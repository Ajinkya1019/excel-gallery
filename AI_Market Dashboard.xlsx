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tables/table4.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slicers/slicer3.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95ec35f4483ba193/Desktop/Sample Data/Excel_Gallery/"/>
    </mc:Choice>
  </mc:AlternateContent>
  <xr:revisionPtr revIDLastSave="3657" documentId="8_{E2A15D4B-C82C-4860-A1D4-FB32FD769203}" xr6:coauthVersionLast="47" xr6:coauthVersionMax="47" xr10:uidLastSave="{83236BB9-D4F6-42C3-91DD-E966B3144C7E}"/>
  <workbookProtection workbookAlgorithmName="SHA-512" workbookHashValue="xq4Vcak+gFmPBS4UAg4zMfBY977vep43eC9c4jRYt819uP21p6QQFCqVmQA5UcMai1stL1NdFOwtJho6Clhu2Q==" workbookSaltValue="oZ0/RPOI7wN/Ma0+XW2slQ==" workbookSpinCount="100000" lockStructure="1"/>
  <bookViews>
    <workbookView xWindow="-108" yWindow="-108" windowWidth="23256" windowHeight="13176" activeTab="3" xr2:uid="{3D24129B-CC32-46EB-AF23-BB2ECC7D95F3}"/>
  </bookViews>
  <sheets>
    <sheet name="ai_job_market" sheetId="2" r:id="rId1"/>
    <sheet name="Sheet1" sheetId="1" state="hidden" r:id="rId2"/>
    <sheet name="Pivot Tables" sheetId="12" r:id="rId3"/>
    <sheet name="Home" sheetId="13" r:id="rId4"/>
    <sheet name="Industry" sheetId="3" r:id="rId5"/>
    <sheet name="Experience" sheetId="14" r:id="rId6"/>
  </sheets>
  <definedNames>
    <definedName name="ExternalData_1" localSheetId="0" hidden="1">ai_job_market!$A$1:$Z$2001</definedName>
    <definedName name="ExternalData_1" localSheetId="1" hidden="1">Sheet1!$A$1:$B$23</definedName>
    <definedName name="ExternalData_2" localSheetId="1" hidden="1">Sheet1!$D$1:$E$9</definedName>
    <definedName name="Slicer_company_size">#N/A</definedName>
    <definedName name="Slicer_industry">#N/A</definedName>
    <definedName name="Slicer_industry1">#N/A</definedName>
  </definedNames>
  <calcPr calcId="191029"/>
  <pivotCaches>
    <pivotCache cacheId="0" r:id="rId7"/>
    <pivotCache cacheId="1" r:id="rId8"/>
    <pivotCache cacheId="2" r:id="rId9"/>
    <pivotCache cacheId="3"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2" l="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K22" i="12"/>
  <c r="L17" i="12"/>
  <c r="L15" i="12"/>
  <c r="L14" i="12"/>
  <c r="L18" i="12"/>
  <c r="L20" i="12"/>
  <c r="L16" i="12"/>
  <c r="L19"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881A21-7320-4033-9A5B-08A4C511A067}" keepAlive="1" name="Query - ai_job_market" description="Connection to the 'ai_job_market' query in the workbook." type="5" refreshedVersion="8" background="1" saveData="1">
    <dbPr connection="Provider=Microsoft.Mashup.OleDb.1;Data Source=$Workbook$;Location=ai_job_market;Extended Properties=&quot;&quot;" command="SELECT * FROM [ai_job_market]"/>
  </connection>
  <connection id="2" xr16:uid="{05CD4276-D5A4-4AC8-9C83-7C901861438D}" keepAlive="1" name="Query - ai_job_market (2)" description="Connection to the 'ai_job_market (2)' query in the workbook." type="5" refreshedVersion="8" background="1" saveData="1">
    <dbPr connection="Provider=Microsoft.Mashup.OleDb.1;Data Source=$Workbook$;Location=&quot;ai_job_market (2)&quot;;Extended Properties=&quot;&quot;" command="SELECT * FROM [ai_job_market (2)]"/>
  </connection>
  <connection id="3" xr16:uid="{C42F7149-4894-45E7-BD66-2733E4EC6404}" keepAlive="1" name="Query - ai_job_market (3)" description="Connection to the 'ai_job_market (3)' query in the workbook." type="5" refreshedVersion="8" background="1" saveData="1">
    <dbPr connection="Provider=Microsoft.Mashup.OleDb.1;Data Source=$Workbook$;Location=&quot;ai_job_market (3)&quot;;Extended Properties=&quot;&quot;" command="SELECT * FROM [ai_job_market (3)]"/>
  </connection>
</connections>
</file>

<file path=xl/sharedStrings.xml><?xml version="1.0" encoding="utf-8"?>
<sst xmlns="http://schemas.openxmlformats.org/spreadsheetml/2006/main" count="47217" uniqueCount="6400">
  <si>
    <t>job_id</t>
  </si>
  <si>
    <t>company_name</t>
  </si>
  <si>
    <t>industry</t>
  </si>
  <si>
    <t>job_title</t>
  </si>
  <si>
    <t>skills_required</t>
  </si>
  <si>
    <t>experience_level</t>
  </si>
  <si>
    <t>employment_type</t>
  </si>
  <si>
    <t>posted_date</t>
  </si>
  <si>
    <t>company_size</t>
  </si>
  <si>
    <t>tools_preferred</t>
  </si>
  <si>
    <t>Foster and Sons</t>
  </si>
  <si>
    <t>Healthcare</t>
  </si>
  <si>
    <t>Data Analyst</t>
  </si>
  <si>
    <t>NumPy, Reinforcement Learning, PyTorch, Scikit-learn, GCP, FastAPI</t>
  </si>
  <si>
    <t>Mid</t>
  </si>
  <si>
    <t>Full-time</t>
  </si>
  <si>
    <t>Large</t>
  </si>
  <si>
    <t>KDB+, LangChain</t>
  </si>
  <si>
    <t>Boyd, Myers and Ramirez</t>
  </si>
  <si>
    <t>Tech</t>
  </si>
  <si>
    <t>Computer Vision Engineer</t>
  </si>
  <si>
    <t>Scikit-learn, CUDA, SQL, Pandas</t>
  </si>
  <si>
    <t>Senior</t>
  </si>
  <si>
    <t>FastAPI, KDB+, TensorFlow</t>
  </si>
  <si>
    <t>King Inc</t>
  </si>
  <si>
    <t>Quant Researcher</t>
  </si>
  <si>
    <t>MLflow, FastAPI, Azure, PyTorch, SQL, GCP</t>
  </si>
  <si>
    <t>Entry</t>
  </si>
  <si>
    <t>BigQuery, PyTorch, Scikit-learn</t>
  </si>
  <si>
    <t>Cooper, Archer and Lynch</t>
  </si>
  <si>
    <t>AI Product Manager</t>
  </si>
  <si>
    <t>Scikit-learn, C++, Pandas, LangChain, AWS, R</t>
  </si>
  <si>
    <t>TensorFlow, BigQuery, MLflow</t>
  </si>
  <si>
    <t>Hall LLC</t>
  </si>
  <si>
    <t>Finance</t>
  </si>
  <si>
    <t>Data Scientist</t>
  </si>
  <si>
    <t>Excel, Keras, SQL, Hugging Face</t>
  </si>
  <si>
    <t>Contract</t>
  </si>
  <si>
    <t>PyTorch, LangChain</t>
  </si>
  <si>
    <t>Ellis PLC</t>
  </si>
  <si>
    <t>E-commerce</t>
  </si>
  <si>
    <t>GCP, Excel, Scikit-learn, MLflow</t>
  </si>
  <si>
    <t>Remote</t>
  </si>
  <si>
    <t>PyTorch, TensorFlow, FastAPI</t>
  </si>
  <si>
    <t>Matthews-Moses</t>
  </si>
  <si>
    <t>Automotive</t>
  </si>
  <si>
    <t>Python, Flask, Scikit-learn, GCP</t>
  </si>
  <si>
    <t>PyTorch, MLflow</t>
  </si>
  <si>
    <t>Mullins Ltd</t>
  </si>
  <si>
    <t>Education</t>
  </si>
  <si>
    <t>Excel, SQL, Flask</t>
  </si>
  <si>
    <t>Internship</t>
  </si>
  <si>
    <t>BigQuery</t>
  </si>
  <si>
    <t>Aguilar PLC</t>
  </si>
  <si>
    <t>ML Engineer</t>
  </si>
  <si>
    <t>Pandas, LangChain, GCP, Azure</t>
  </si>
  <si>
    <t>Scikit-learn, LangChain, BigQuery</t>
  </si>
  <si>
    <t>Parks LLC</t>
  </si>
  <si>
    <t>Excel, Reinforcement Learning, TensorFlow</t>
  </si>
  <si>
    <t>MLflow, TensorFlow</t>
  </si>
  <si>
    <t>Vaughan-Ortiz</t>
  </si>
  <si>
    <t>Keras, MLflow, Reinforcement Learning</t>
  </si>
  <si>
    <t>LangChain, BigQuery, Scikit-learn</t>
  </si>
  <si>
    <t>Johnson, Guzman and Hernandez</t>
  </si>
  <si>
    <t>Excel, Reinforcement Learning, Keras, Scikit-learn</t>
  </si>
  <si>
    <t>TensorFlow, PyTorch, BigQuery</t>
  </si>
  <si>
    <t>Martin and Sons</t>
  </si>
  <si>
    <t>NLP Engineer</t>
  </si>
  <si>
    <t>C++, Hugging Face, Python, FastAPI</t>
  </si>
  <si>
    <t>Startup</t>
  </si>
  <si>
    <t>LangChain</t>
  </si>
  <si>
    <t>Frank-Duarte</t>
  </si>
  <si>
    <t>Retail</t>
  </si>
  <si>
    <t>Excel, MLflow, NumPy, Hugging Face, LangChain, FastAPI</t>
  </si>
  <si>
    <t>LangChain, TensorFlow, Scikit-learn</t>
  </si>
  <si>
    <t>Rogers Ltd</t>
  </si>
  <si>
    <t>Pandas, CUDA, NumPy, FastAPI</t>
  </si>
  <si>
    <t>FastAPI</t>
  </si>
  <si>
    <t>Wright-Evans</t>
  </si>
  <si>
    <t>Hugging Face, Scikit-learn, Reinforcement Learning</t>
  </si>
  <si>
    <t>TensorFlow</t>
  </si>
  <si>
    <t>Preston Ltd</t>
  </si>
  <si>
    <t>MLflow, R, C++</t>
  </si>
  <si>
    <t>Smith-Moore</t>
  </si>
  <si>
    <t>Excel, MLflow, Hugging Face, Flask, Power BI</t>
  </si>
  <si>
    <t>Webb and Sons</t>
  </si>
  <si>
    <t>AWS, Azure, Power BI, CUDA, Reinforcement Learning, Hugging Face</t>
  </si>
  <si>
    <t>BigQuery, FastAPI, KDB+</t>
  </si>
  <si>
    <t>Gates LLC</t>
  </si>
  <si>
    <t>R, CUDA, Power BI, AWS</t>
  </si>
  <si>
    <t>MLflow</t>
  </si>
  <si>
    <t>Whitaker, Walker and Sandoval</t>
  </si>
  <si>
    <t>C++, Power BI, R, SQL, Keras, Azure</t>
  </si>
  <si>
    <t>Scikit-learn, BigQuery, PyTorch</t>
  </si>
  <si>
    <t>Humphrey LLC</t>
  </si>
  <si>
    <t>LangChain, NumPy, CUDA, C++, MLflow, R</t>
  </si>
  <si>
    <t>Adams, Stevenson and Wagner</t>
  </si>
  <si>
    <t>CUDA, FastAPI, Scikit-learn, MLflow, Hugging Face</t>
  </si>
  <si>
    <t>PyTorch, Scikit-learn, KDB+</t>
  </si>
  <si>
    <t>Thomas, Hurst and Becker</t>
  </si>
  <si>
    <t>PyTorch, CUDA, Hugging Face, Flask, C++</t>
  </si>
  <si>
    <t>Scikit-learn</t>
  </si>
  <si>
    <t>Sherman-Nguyen</t>
  </si>
  <si>
    <t>Python, Reinforcement Learning, MLflow</t>
  </si>
  <si>
    <t>Johnson-Keller</t>
  </si>
  <si>
    <t>PyTorch, Reinforcement Learning, FastAPI, Power BI, Python, R</t>
  </si>
  <si>
    <t>FastAPI, PyTorch, KDB+</t>
  </si>
  <si>
    <t>Le PLC</t>
  </si>
  <si>
    <t>Azure, Flask, FastAPI, Hugging Face, Power BI, Python</t>
  </si>
  <si>
    <t>TensorFlow, Scikit-learn, FastAPI</t>
  </si>
  <si>
    <t>Abbott, Nielsen and Young</t>
  </si>
  <si>
    <t>R, Python, Pandas</t>
  </si>
  <si>
    <t>Thomas-Ruiz</t>
  </si>
  <si>
    <t>Flask, Hugging Face, Pandas, Python, Scikit-learn, Keras</t>
  </si>
  <si>
    <t>Scikit-learn, FastAPI, LangChain</t>
  </si>
  <si>
    <t>Good, Ware and Cruz</t>
  </si>
  <si>
    <t>Scikit-learn, SQL, Azure</t>
  </si>
  <si>
    <t>Gay PLC</t>
  </si>
  <si>
    <t>Keras, Excel, TensorFlow</t>
  </si>
  <si>
    <t>KDB+, PyTorch</t>
  </si>
  <si>
    <t>Kirby-Zuniga</t>
  </si>
  <si>
    <t>Hugging Face, Scikit-learn, C++, Excel, Azure</t>
  </si>
  <si>
    <t>LangChain, KDB+</t>
  </si>
  <si>
    <t>Castillo, Campbell and Robinson</t>
  </si>
  <si>
    <t>Keras, PyTorch, AWS, FastAPI, CUDA</t>
  </si>
  <si>
    <t>TensorFlow, Scikit-learn</t>
  </si>
  <si>
    <t>Carter LLC</t>
  </si>
  <si>
    <t>MLflow, Keras, SQL, GCP, Power BI</t>
  </si>
  <si>
    <t>PyTorch</t>
  </si>
  <si>
    <t>Hall Group</t>
  </si>
  <si>
    <t>GCP, C++, Excel</t>
  </si>
  <si>
    <t>Huynh PLC</t>
  </si>
  <si>
    <t>PyTorch, LangChain, R</t>
  </si>
  <si>
    <t>Scikit-learn, FastAPI, MLflow</t>
  </si>
  <si>
    <t>Smith, Haas and Mendez</t>
  </si>
  <si>
    <t>AI Researcher</t>
  </si>
  <si>
    <t>Excel, SQL, Python</t>
  </si>
  <si>
    <t>Scikit-learn, LangChain, KDB+</t>
  </si>
  <si>
    <t>Briggs, Shaw and Berry</t>
  </si>
  <si>
    <t>SQL, Hugging Face, TensorFlow</t>
  </si>
  <si>
    <t>Boyd PLC</t>
  </si>
  <si>
    <t>PyTorch, Power BI, AWS, FastAPI</t>
  </si>
  <si>
    <t>Sanders, Mejia and Townsend</t>
  </si>
  <si>
    <t>Power BI, PyTorch, GCP, CUDA, Keras, Scikit-learn</t>
  </si>
  <si>
    <t>FastAPI, Scikit-learn, LangChain</t>
  </si>
  <si>
    <t>Hernandez Inc</t>
  </si>
  <si>
    <t>NumPy, AWS, Excel, SQL, Keras</t>
  </si>
  <si>
    <t>Scikit-learn, TensorFlow, BigQuery</t>
  </si>
  <si>
    <t>Parrish, White and Grant</t>
  </si>
  <si>
    <t>R, Power BI, CUDA, MLflow</t>
  </si>
  <si>
    <t>Carroll, Lucero and Lambert</t>
  </si>
  <si>
    <t>NumPy, SQL, Python, Reinforcement Learning, LangChain</t>
  </si>
  <si>
    <t>Thomas, Waller and Kelly</t>
  </si>
  <si>
    <t>Hugging Face, Flask, TensorFlow, Excel, SQL</t>
  </si>
  <si>
    <t>TensorFlow, LangChain, PyTorch</t>
  </si>
  <si>
    <t>Franklin, Wright and Berg</t>
  </si>
  <si>
    <t>Hugging Face, Pandas, CUDA, LangChain, FastAPI</t>
  </si>
  <si>
    <t>KDB+</t>
  </si>
  <si>
    <t>Coleman, Gray and Roach</t>
  </si>
  <si>
    <t>LangChain, AWS, GCP</t>
  </si>
  <si>
    <t>FastAPI, MLflow, TensorFlow</t>
  </si>
  <si>
    <t>Mooney-Decker</t>
  </si>
  <si>
    <t>Scikit-learn, PyTorch, Flask, Azure</t>
  </si>
  <si>
    <t>PyTorch, BigQuery</t>
  </si>
  <si>
    <t>Wood LLC</t>
  </si>
  <si>
    <t>GCP, TensorFlow, Power BI</t>
  </si>
  <si>
    <t>MLflow, BigQuery, LangChain</t>
  </si>
  <si>
    <t>Copeland Group</t>
  </si>
  <si>
    <t>TensorFlow, LangChain, PyTorch, Power BI, R</t>
  </si>
  <si>
    <t>KDB+, PyTorch, MLflow</t>
  </si>
  <si>
    <t>Richards PLC</t>
  </si>
  <si>
    <t>Power BI, CUDA, C++, Pandas, SQL, AWS</t>
  </si>
  <si>
    <t>FastAPI, KDB+, Scikit-learn</t>
  </si>
  <si>
    <t>Melendez, Williams and Williamson</t>
  </si>
  <si>
    <t>TensorFlow, Keras, PyTorch, AWS, Scikit-learn</t>
  </si>
  <si>
    <t>Ellis, Crane and Boyle</t>
  </si>
  <si>
    <t>Azure, Keras, Scikit-learn, Hugging Face, Excel, R</t>
  </si>
  <si>
    <t>LangChain, KDB+, FastAPI</t>
  </si>
  <si>
    <t>Foley-Moore</t>
  </si>
  <si>
    <t>Keras, Pandas, Python, FastAPI, CUDA, Scikit-learn</t>
  </si>
  <si>
    <t>Wright and Sons</t>
  </si>
  <si>
    <t>R, SQL, Python, PyTorch</t>
  </si>
  <si>
    <t>LangChain, BigQuery, MLflow</t>
  </si>
  <si>
    <t>Williams-Vargas</t>
  </si>
  <si>
    <t>Keras, Excel, FastAPI, Azure, R, PyTorch</t>
  </si>
  <si>
    <t>FastAPI, TensorFlow, BigQuery</t>
  </si>
  <si>
    <t>Hill-Huff</t>
  </si>
  <si>
    <t>Power BI, LangChain, Flask, Excel, SQL, CUDA</t>
  </si>
  <si>
    <t>BigQuery, PyTorch, TensorFlow</t>
  </si>
  <si>
    <t>Meyer PLC</t>
  </si>
  <si>
    <t>AWS, Excel, Azure</t>
  </si>
  <si>
    <t>LangChain, Scikit-learn, PyTorch</t>
  </si>
  <si>
    <t>Boyd-Carlson</t>
  </si>
  <si>
    <t>Excel, AWS, Keras, Azure, FastAPI, R</t>
  </si>
  <si>
    <t>MLflow, LangChain</t>
  </si>
  <si>
    <t>Scott-Gardner</t>
  </si>
  <si>
    <t>FastAPI, C++, Excel, Flask, Pandas</t>
  </si>
  <si>
    <t>FastAPI, PyTorch, LangChain</t>
  </si>
  <si>
    <t>Jackson Group</t>
  </si>
  <si>
    <t>TensorFlow, C++, SQL, Hugging Face, Flask, Power BI</t>
  </si>
  <si>
    <t>Sullivan, Silva and Sawyer</t>
  </si>
  <si>
    <t>Power BI, Excel, GCP</t>
  </si>
  <si>
    <t>Page, Bonilla and Cohen</t>
  </si>
  <si>
    <t>Python, FastAPI, Scikit-learn, Hugging Face, Power BI, Flask</t>
  </si>
  <si>
    <t>Young-Wright</t>
  </si>
  <si>
    <t>Hugging Face, Keras, Scikit-learn</t>
  </si>
  <si>
    <t>TensorFlow, LangChain</t>
  </si>
  <si>
    <t>Patel PLC</t>
  </si>
  <si>
    <t>Reinforcement Learning, LangChain, Python</t>
  </si>
  <si>
    <t>Lopez, Nelson and Meyer</t>
  </si>
  <si>
    <t>Azure, Pandas, Power BI, MLflow</t>
  </si>
  <si>
    <t>Harris, Porter and Walter</t>
  </si>
  <si>
    <t>C++, Reinforcement Learning, NumPy, Azure, MLflow, Flask</t>
  </si>
  <si>
    <t>FastAPI, KDB+</t>
  </si>
  <si>
    <t>Dominguez and Sons</t>
  </si>
  <si>
    <t>LangChain, FastAPI, SQL</t>
  </si>
  <si>
    <t>BigQuery, KDB+</t>
  </si>
  <si>
    <t>Griffith-Garner</t>
  </si>
  <si>
    <t>NumPy, Python, Azure, GCP, C++, Scikit-learn</t>
  </si>
  <si>
    <t>Smith LLC</t>
  </si>
  <si>
    <t>Power BI, AWS, NumPy, CUDA, MLflow</t>
  </si>
  <si>
    <t>LangChain, PyTorch, MLflow</t>
  </si>
  <si>
    <t>Smith-Jones</t>
  </si>
  <si>
    <t>LangChain, PyTorch, Flask</t>
  </si>
  <si>
    <t>Maddox, Steele and Jones</t>
  </si>
  <si>
    <t>Flask, Scikit-learn, NumPy</t>
  </si>
  <si>
    <t>FastAPI, PyTorch</t>
  </si>
  <si>
    <t>Williams PLC</t>
  </si>
  <si>
    <t>SQL, FastAPI, LangChain, Scikit-learn, NumPy, TensorFlow</t>
  </si>
  <si>
    <t>FastAPI, LangChain</t>
  </si>
  <si>
    <t>Hurst, Manning and Wood</t>
  </si>
  <si>
    <t>Azure, Excel, TensorFlow</t>
  </si>
  <si>
    <t>PyTorch, BigQuery, Scikit-learn</t>
  </si>
  <si>
    <t>Howard, Carr and Joseph</t>
  </si>
  <si>
    <t>C++, MLflow, CUDA, Hugging Face</t>
  </si>
  <si>
    <t>MLflow, PyTorch</t>
  </si>
  <si>
    <t>Lewis-Smith</t>
  </si>
  <si>
    <t>MLflow, NumPy, R, C++, PyTorch</t>
  </si>
  <si>
    <t>Luna and Sons</t>
  </si>
  <si>
    <t>R, Python, Flask</t>
  </si>
  <si>
    <t>FastAPI, TensorFlow, PyTorch</t>
  </si>
  <si>
    <t>King-Sheppard</t>
  </si>
  <si>
    <t>FastAPI, Hugging Face, PyTorch</t>
  </si>
  <si>
    <t>Meyer-Shaffer</t>
  </si>
  <si>
    <t>Pandas, Flask, FastAPI, Reinforcement Learning</t>
  </si>
  <si>
    <t>LangChain, PyTorch, Scikit-learn</t>
  </si>
  <si>
    <t>Ellis, Page and Smith</t>
  </si>
  <si>
    <t>Reinforcement Learning, Flask, NumPy, LangChain</t>
  </si>
  <si>
    <t>Martinez-Fitzgerald</t>
  </si>
  <si>
    <t>AWS, TensorFlow, Flask, Power BI</t>
  </si>
  <si>
    <t>Johnson Inc</t>
  </si>
  <si>
    <t>Reinforcement Learning, Python, Pandas, TensorFlow</t>
  </si>
  <si>
    <t>Scikit-learn, MLflow, PyTorch</t>
  </si>
  <si>
    <t>Camacho PLC</t>
  </si>
  <si>
    <t>R, C++, GCP, Hugging Face, LangChain, TensorFlow</t>
  </si>
  <si>
    <t>PyTorch, Scikit-learn, BigQuery</t>
  </si>
  <si>
    <t>Sweeney-Griffith</t>
  </si>
  <si>
    <t>Flask, Azure, C++, Excel</t>
  </si>
  <si>
    <t>Stafford, Owens and Thompson</t>
  </si>
  <si>
    <t>MLflow, Hugging Face, Python, Scikit-learn</t>
  </si>
  <si>
    <t>MLflow, LangChain, KDB+</t>
  </si>
  <si>
    <t>Gonzalez, Watts and Thompson</t>
  </si>
  <si>
    <t>FastAPI, SQL, Flask, CUDA, C++, Scikit-learn</t>
  </si>
  <si>
    <t>Graham Group</t>
  </si>
  <si>
    <t>LangChain, FastAPI, PyTorch, CUDA, AWS</t>
  </si>
  <si>
    <t>BigQuery, Scikit-learn, MLflow</t>
  </si>
  <si>
    <t>Ward-Allen</t>
  </si>
  <si>
    <t>C++, Power BI, NumPy</t>
  </si>
  <si>
    <t>LangChain, BigQuery</t>
  </si>
  <si>
    <t>Garrett, Hernandez and Anderson</t>
  </si>
  <si>
    <t>LangChain, MLflow</t>
  </si>
  <si>
    <t>Long Inc</t>
  </si>
  <si>
    <t>Flask, Python, Power BI, CUDA</t>
  </si>
  <si>
    <t>FastAPI, LangChain, BigQuery</t>
  </si>
  <si>
    <t>Cummings-Nash</t>
  </si>
  <si>
    <t>Python, SQL, C++, FastAPI</t>
  </si>
  <si>
    <t>Sawyer, Donovan and Vargas</t>
  </si>
  <si>
    <t>TensorFlow, Power BI, FastAPI, LangChain, Scikit-learn, Python</t>
  </si>
  <si>
    <t>BigQuery, KDB+, LangChain</t>
  </si>
  <si>
    <t>Stewart, Gutierrez and Simpson</t>
  </si>
  <si>
    <t>GCP, LangChain, Keras</t>
  </si>
  <si>
    <t>LangChain, FastAPI, Scikit-learn</t>
  </si>
  <si>
    <t>Jones-Marshall</t>
  </si>
  <si>
    <t>Excel, TensorFlow, Pandas, CUDA</t>
  </si>
  <si>
    <t>MLflow, FastAPI, TensorFlow</t>
  </si>
  <si>
    <t>Murphy-Rosales</t>
  </si>
  <si>
    <t>FastAPI, PyTorch, CUDA, Flask, Scikit-learn</t>
  </si>
  <si>
    <t>Solis-Thornton</t>
  </si>
  <si>
    <t>Hugging Face, Python, FastAPI, CUDA, GCP</t>
  </si>
  <si>
    <t>Michael Ltd</t>
  </si>
  <si>
    <t>PyTorch, MLflow, Scikit-learn, Excel, Pandas</t>
  </si>
  <si>
    <t>Alexander and Sons</t>
  </si>
  <si>
    <t>Pandas, R, FastAPI, AWS, MLflow, Python</t>
  </si>
  <si>
    <t>LangChain, FastAPI</t>
  </si>
  <si>
    <t>Travis, Fletcher and Rodriguez</t>
  </si>
  <si>
    <t>Python, SQL, Power BI, Scikit-learn, FastAPI</t>
  </si>
  <si>
    <t>FastAPI, KDB+, LangChain</t>
  </si>
  <si>
    <t>Lozano-Hill</t>
  </si>
  <si>
    <t>Keras, NumPy, Excel, C++, Pandas</t>
  </si>
  <si>
    <t>TensorFlow, BigQuery</t>
  </si>
  <si>
    <t>Farmer, Leach and Norris</t>
  </si>
  <si>
    <t>Keras, Power BI, MLflow, AWS</t>
  </si>
  <si>
    <t>Price-Nichols</t>
  </si>
  <si>
    <t>Pandas, MLflow, Hugging Face, SQL</t>
  </si>
  <si>
    <t>Gonzalez, Jackson and Williams</t>
  </si>
  <si>
    <t>Hugging Face, LangChain, Azure, Scikit-learn, Flask</t>
  </si>
  <si>
    <t>KDB+, BigQuery, MLflow</t>
  </si>
  <si>
    <t>Dodson, Palmer and Huber</t>
  </si>
  <si>
    <t>Python, Pandas, NumPy, MLflow</t>
  </si>
  <si>
    <t>Morris-Sanchez</t>
  </si>
  <si>
    <t>Power BI, GCP, Scikit-learn</t>
  </si>
  <si>
    <t>Cobb-Lindsey</t>
  </si>
  <si>
    <t>FastAPI, TensorFlow, NumPy, AWS, Azure</t>
  </si>
  <si>
    <t>LangChain, Scikit-learn</t>
  </si>
  <si>
    <t>Ramirez-Goodwin</t>
  </si>
  <si>
    <t>CUDA, Pandas, GCP, LangChain, Azure, TensorFlow</t>
  </si>
  <si>
    <t>KDB+, MLflow</t>
  </si>
  <si>
    <t>Duran PLC</t>
  </si>
  <si>
    <t>Keras, GCP, SQL</t>
  </si>
  <si>
    <t>BigQuery, FastAPI</t>
  </si>
  <si>
    <t>Kaiser Group</t>
  </si>
  <si>
    <t>Power BI, FastAPI, Reinforcement Learning, SQL, Keras, AWS</t>
  </si>
  <si>
    <t>TensorFlow, Scikit-learn, MLflow</t>
  </si>
  <si>
    <t>Garcia PLC</t>
  </si>
  <si>
    <t>AWS, Hugging Face, Flask, CUDA</t>
  </si>
  <si>
    <t>Steele-Norman</t>
  </si>
  <si>
    <t>Azure, MLflow, Excel, CUDA</t>
  </si>
  <si>
    <t>Garcia Ltd</t>
  </si>
  <si>
    <t>SQL, Flask, NumPy, Power BI, Excel</t>
  </si>
  <si>
    <t>Hill LLC</t>
  </si>
  <si>
    <t>GCP, Azure, Reinforcement Learning, TensorFlow, CUDA, FastAPI</t>
  </si>
  <si>
    <t>Morales, Thomas and Miller</t>
  </si>
  <si>
    <t>Python, FastAPI, R</t>
  </si>
  <si>
    <t>MLflow, Scikit-learn, FastAPI</t>
  </si>
  <si>
    <t>Kelly-Novak</t>
  </si>
  <si>
    <t>Scikit-learn, Pandas, GCP, Python, R</t>
  </si>
  <si>
    <t>Martin-Hernandez</t>
  </si>
  <si>
    <t>AWS, Python, GCP, R, C++, FastAPI</t>
  </si>
  <si>
    <t>Scikit-learn, TensorFlow</t>
  </si>
  <si>
    <t>Price-Dean</t>
  </si>
  <si>
    <t>NumPy, LangChain, Excel, Keras</t>
  </si>
  <si>
    <t>Ruiz Inc</t>
  </si>
  <si>
    <t>NumPy, Scikit-learn, Keras, TensorFlow, Hugging Face, Excel</t>
  </si>
  <si>
    <t>Hudson, Burton and Campbell</t>
  </si>
  <si>
    <t>TensorFlow, R, Hugging Face</t>
  </si>
  <si>
    <t>Roberson Inc</t>
  </si>
  <si>
    <t>Python, Power BI, Pandas, MLflow, Keras, Scikit-learn</t>
  </si>
  <si>
    <t>MLflow, PyTorch, FastAPI</t>
  </si>
  <si>
    <t>Gutierrez PLC</t>
  </si>
  <si>
    <t>PyTorch, GCP, NumPy, Python, Pandas, Keras</t>
  </si>
  <si>
    <t>TensorFlow, KDB+, BigQuery</t>
  </si>
  <si>
    <t>King, Chambers and Brown</t>
  </si>
  <si>
    <t>SQL, Excel, Python</t>
  </si>
  <si>
    <t>Scikit-learn, MLflow</t>
  </si>
  <si>
    <t>Shannon LLC</t>
  </si>
  <si>
    <t>GCP, Keras, Azure, SQL, Scikit-learn, NumPy</t>
  </si>
  <si>
    <t>Thompson-Norris</t>
  </si>
  <si>
    <t>Azure, TensorFlow, PyTorch, AWS, Flask</t>
  </si>
  <si>
    <t>Davis and Sons</t>
  </si>
  <si>
    <t>Hugging Face, Power BI, SQL, FastAPI, C++, Reinforcement Learning</t>
  </si>
  <si>
    <t>Reed, Garcia and French</t>
  </si>
  <si>
    <t>Keras, CUDA, TensorFlow</t>
  </si>
  <si>
    <t>BigQuery, TensorFlow</t>
  </si>
  <si>
    <t>Anderson-Cruz</t>
  </si>
  <si>
    <t>SQL, AWS, Power BI</t>
  </si>
  <si>
    <t>King PLC</t>
  </si>
  <si>
    <t>NumPy, CUDA, Scikit-learn, Keras, Excel, Pandas</t>
  </si>
  <si>
    <t>Baker-Gomez</t>
  </si>
  <si>
    <t>NumPy, PyTorch, FastAPI, CUDA, Azure</t>
  </si>
  <si>
    <t>Patterson, Bruce and Herring</t>
  </si>
  <si>
    <t>Keras, Pandas, MLflow, Scikit-learn</t>
  </si>
  <si>
    <t>PyTorch, KDB+, LangChain</t>
  </si>
  <si>
    <t>Jackson Inc</t>
  </si>
  <si>
    <t>MLflow, NumPy, Scikit-learn, Azure, Keras</t>
  </si>
  <si>
    <t>Thompson, Lewis and Gonzalez</t>
  </si>
  <si>
    <t>AWS, Hugging Face, Python, Reinforcement Learning, Scikit-learn, LangChain</t>
  </si>
  <si>
    <t>Mclean Inc</t>
  </si>
  <si>
    <t>Keras, Pandas, TensorFlow, CUDA</t>
  </si>
  <si>
    <t>KDB+, FastAPI</t>
  </si>
  <si>
    <t>Moore Inc</t>
  </si>
  <si>
    <t>Power BI, CUDA, Scikit-learn</t>
  </si>
  <si>
    <t>BigQuery, LangChain, FastAPI</t>
  </si>
  <si>
    <t>Flores-Dalton</t>
  </si>
  <si>
    <t>CUDA, Reinforcement Learning, TensorFlow, Power BI, FastAPI, LangChain</t>
  </si>
  <si>
    <t>Nguyen and Sons</t>
  </si>
  <si>
    <t>C++, MLflow, TensorFlow, NumPy, Excel, R</t>
  </si>
  <si>
    <t>PyTorch, FastAPI</t>
  </si>
  <si>
    <t>Russell Inc</t>
  </si>
  <si>
    <t>Excel, CUDA, GCP, Scikit-learn, Python</t>
  </si>
  <si>
    <t>Castillo and Sons</t>
  </si>
  <si>
    <t>NumPy, MLflow, R, C++</t>
  </si>
  <si>
    <t>FastAPI, PyTorch, TensorFlow</t>
  </si>
  <si>
    <t>Price PLC</t>
  </si>
  <si>
    <t>AWS, GCP, R, Power BI</t>
  </si>
  <si>
    <t>BigQuery, Scikit-learn</t>
  </si>
  <si>
    <t>Payne, Vasquez and Arnold</t>
  </si>
  <si>
    <t>Azure, Hugging Face, C++, Scikit-learn, Flask, Pandas</t>
  </si>
  <si>
    <t>Roth LLC</t>
  </si>
  <si>
    <t>SQL, AWS, Pandas, PyTorch, LangChain, C++</t>
  </si>
  <si>
    <t>Bryant and Sons</t>
  </si>
  <si>
    <t>AWS, Pandas, NumPy, LangChain, GCP, Flask</t>
  </si>
  <si>
    <t>Morris, Williams and Campbell</t>
  </si>
  <si>
    <t>C++, PyTorch, NumPy, LangChain, AWS, Keras</t>
  </si>
  <si>
    <t>Perez Ltd</t>
  </si>
  <si>
    <t>MLflow, LangChain, Power BI, Scikit-learn, Pandas</t>
  </si>
  <si>
    <t>Smith-Hernandez</t>
  </si>
  <si>
    <t>NumPy, TensorFlow, GCP, LangChain</t>
  </si>
  <si>
    <t>Scikit-learn, KDB+</t>
  </si>
  <si>
    <t>Barber, Green and Fernandez</t>
  </si>
  <si>
    <t>Scikit-learn, PyTorch, Python, GCP</t>
  </si>
  <si>
    <t>MLflow, KDB+</t>
  </si>
  <si>
    <t>Baker, Nichols and Chen</t>
  </si>
  <si>
    <t>LangChain, Keras, Hugging Face, Scikit-learn, Reinforcement Learning</t>
  </si>
  <si>
    <t>BigQuery, MLflow, Scikit-learn</t>
  </si>
  <si>
    <t>Crawford-Cooper</t>
  </si>
  <si>
    <t>FastAPI, Python, Pandas, Azure</t>
  </si>
  <si>
    <t>Manning, Hernandez and Serrano</t>
  </si>
  <si>
    <t>Power BI, Flask, GCP, CUDA</t>
  </si>
  <si>
    <t>Sanchez and Sons</t>
  </si>
  <si>
    <t>PyTorch, AWS, SQL</t>
  </si>
  <si>
    <t>PyTorch, Scikit-learn</t>
  </si>
  <si>
    <t>Gomez-Mosley</t>
  </si>
  <si>
    <t>CUDA, Python, Keras, SQL</t>
  </si>
  <si>
    <t>Knox, Kirby and Rogers</t>
  </si>
  <si>
    <t>NumPy, AWS, Azure, TensorFlow, CUDA</t>
  </si>
  <si>
    <t>FastAPI, TensorFlow, LangChain</t>
  </si>
  <si>
    <t>Johnson-Hansen</t>
  </si>
  <si>
    <t>Python, Keras, PyTorch</t>
  </si>
  <si>
    <t>Allen-Carr</t>
  </si>
  <si>
    <t>TensorFlow, FastAPI, AWS</t>
  </si>
  <si>
    <t>Carroll-Peterson</t>
  </si>
  <si>
    <t>CUDA, MLflow, LangChain</t>
  </si>
  <si>
    <t>TensorFlow, FastAPI, PyTorch</t>
  </si>
  <si>
    <t>Flask, GCP, Azure, Reinforcement Learning, PyTorch</t>
  </si>
  <si>
    <t>MLflow, PyTorch, KDB+</t>
  </si>
  <si>
    <t>Dixon-Fields</t>
  </si>
  <si>
    <t>PyTorch, Power BI, TensorFlow, Keras</t>
  </si>
  <si>
    <t>Ashley-Espinoza</t>
  </si>
  <si>
    <t>Python, LangChain, Hugging Face, Excel, Flask, Reinforcement Learning</t>
  </si>
  <si>
    <t>TensorFlow, MLflow</t>
  </si>
  <si>
    <t>Scott, Nelson and Cooke</t>
  </si>
  <si>
    <t>Flask, Keras, Hugging Face, Azure, C++, SQL</t>
  </si>
  <si>
    <t>Wright-Pennington</t>
  </si>
  <si>
    <t>R, NumPy, Keras, TensorFlow, Python, GCP</t>
  </si>
  <si>
    <t>Scikit-learn, KDB+, BigQuery</t>
  </si>
  <si>
    <t>Garcia-Martinez</t>
  </si>
  <si>
    <t>Power BI, Flask, LangChain, Excel, MLflow</t>
  </si>
  <si>
    <t>Scikit-learn, BigQuery, KDB+</t>
  </si>
  <si>
    <t>Ryan-Ward</t>
  </si>
  <si>
    <t>FastAPI, Azure, Power BI, CUDA, Flask</t>
  </si>
  <si>
    <t>KDB+, BigQuery</t>
  </si>
  <si>
    <t>Ross, Torres and Griffith</t>
  </si>
  <si>
    <t>MLflow, Excel, LangChain</t>
  </si>
  <si>
    <t>Contreras, Taylor and Nelson</t>
  </si>
  <si>
    <t>NumPy, Scikit-learn, AWS, Power BI, SQL</t>
  </si>
  <si>
    <t>Scikit-learn, MLflow, BigQuery</t>
  </si>
  <si>
    <t>French Inc</t>
  </si>
  <si>
    <t>R, Keras, NumPy, FastAPI</t>
  </si>
  <si>
    <t>Roth, Le and Hamilton</t>
  </si>
  <si>
    <t>Keras, GCP, NumPy, AWS</t>
  </si>
  <si>
    <t>Boyd, Gallagher and Thompson</t>
  </si>
  <si>
    <t>Hugging Face, Reinforcement Learning, LangChain</t>
  </si>
  <si>
    <t>BigQuery, MLflow, FastAPI</t>
  </si>
  <si>
    <t>Benjamin-Nguyen</t>
  </si>
  <si>
    <t>LangChain, TensorFlow, AWS, Reinforcement Learning</t>
  </si>
  <si>
    <t>Coleman-Jimenez</t>
  </si>
  <si>
    <t>FastAPI, Reinforcement Learning, Hugging Face, GCP, R</t>
  </si>
  <si>
    <t>Williams-Gross</t>
  </si>
  <si>
    <t>Power BI, Excel, SQL, AWS, Azure</t>
  </si>
  <si>
    <t>FastAPI, MLflow, KDB+</t>
  </si>
  <si>
    <t>Gonzalez Ltd</t>
  </si>
  <si>
    <t>FastAPI, AWS, PyTorch</t>
  </si>
  <si>
    <t>Hart-Miller</t>
  </si>
  <si>
    <t>CUDA, Python, Keras</t>
  </si>
  <si>
    <t>Kim Inc</t>
  </si>
  <si>
    <t>Flask, Azure, Hugging Face, FastAPI, Excel</t>
  </si>
  <si>
    <t>Horton LLC</t>
  </si>
  <si>
    <t>TensorFlow, CUDA, Reinforcement Learning, Flask, R</t>
  </si>
  <si>
    <t>Mendoza Ltd</t>
  </si>
  <si>
    <t>NumPy, MLflow, Python, C++, Azure</t>
  </si>
  <si>
    <t>FastAPI, MLflow</t>
  </si>
  <si>
    <t>Alexander, Warner and Mendez</t>
  </si>
  <si>
    <t>NumPy, PyTorch, C++, MLflow, TensorFlow</t>
  </si>
  <si>
    <t>TensorFlow, KDB+, MLflow</t>
  </si>
  <si>
    <t>Williams Ltd</t>
  </si>
  <si>
    <t>Power BI, Azure, FastAPI, LangChain, NumPy</t>
  </si>
  <si>
    <t>Mills Group</t>
  </si>
  <si>
    <t>Excel, Azure, Python, R, Hugging Face</t>
  </si>
  <si>
    <t>PyTorch, LangChain, MLflow</t>
  </si>
  <si>
    <t>Jordan-Graves</t>
  </si>
  <si>
    <t>Power BI, MLflow, NumPy, Pandas</t>
  </si>
  <si>
    <t>Scikit-learn, PyTorch, LangChain</t>
  </si>
  <si>
    <t>Casey-Smith</t>
  </si>
  <si>
    <t>LangChain, R, Hugging Face, Scikit-learn</t>
  </si>
  <si>
    <t>TensorFlow, BigQuery, KDB+</t>
  </si>
  <si>
    <t>Melton-Turner</t>
  </si>
  <si>
    <t>Power BI, TensorFlow, Azure, CUDA, GCP, Pandas</t>
  </si>
  <si>
    <t>TensorFlow, FastAPI</t>
  </si>
  <si>
    <t>Gutierrez-Hernandez</t>
  </si>
  <si>
    <t>Reinforcement Learning, SQL, Scikit-learn, AWS</t>
  </si>
  <si>
    <t>KDB+, Scikit-learn, PyTorch</t>
  </si>
  <si>
    <t>Oliver, Tran and Jackson</t>
  </si>
  <si>
    <t>Scikit-learn, LangChain, Hugging Face, Python</t>
  </si>
  <si>
    <t>Diaz-Hardy</t>
  </si>
  <si>
    <t>Python, NumPy, Flask, LangChain, R</t>
  </si>
  <si>
    <t>White-Hayes</t>
  </si>
  <si>
    <t>PyTorch, Python, GCP, MLflow</t>
  </si>
  <si>
    <t>Scikit-learn, BigQuery</t>
  </si>
  <si>
    <t>Dominguez Ltd</t>
  </si>
  <si>
    <t>Python, MLflow, Azure, TensorFlow, Power BI</t>
  </si>
  <si>
    <t>Welch, Green and Williams</t>
  </si>
  <si>
    <t>NumPy, R, MLflow, C++, FastAPI</t>
  </si>
  <si>
    <t>Reed LLC</t>
  </si>
  <si>
    <t>Excel, CUDA, Pandas</t>
  </si>
  <si>
    <t>Brown and Sons</t>
  </si>
  <si>
    <t>Scikit-learn, SQL, Keras, GCP, AWS, NumPy</t>
  </si>
  <si>
    <t>Gutierrez Group</t>
  </si>
  <si>
    <t>PyTorch, SQL, Reinforcement Learning, MLflow, AWS</t>
  </si>
  <si>
    <t>Robinson, Stafford and Hoffman</t>
  </si>
  <si>
    <t>FastAPI, GCP, LangChain, MLflow</t>
  </si>
  <si>
    <t>PyTorch, KDB+</t>
  </si>
  <si>
    <t>Wu, Browning and Ramos</t>
  </si>
  <si>
    <t>NumPy, R, Power BI, CUDA</t>
  </si>
  <si>
    <t>MLflow, LangChain, FastAPI</t>
  </si>
  <si>
    <t>Jones-Curtis</t>
  </si>
  <si>
    <t>Pandas, CUDA, PyTorch</t>
  </si>
  <si>
    <t>FastAPI, BigQuery</t>
  </si>
  <si>
    <t>Lewis-Brooks</t>
  </si>
  <si>
    <t>Azure, Python, Hugging Face, SQL</t>
  </si>
  <si>
    <t>Hobbs, Lawson and Robertson</t>
  </si>
  <si>
    <t>MLflow, PyTorch, Scikit-learn</t>
  </si>
  <si>
    <t>Gonzales, Lane and Hart</t>
  </si>
  <si>
    <t>Pandas, Reinforcement Learning, FastAPI</t>
  </si>
  <si>
    <t>Kim PLC</t>
  </si>
  <si>
    <t>TensorFlow, SQL, NumPy</t>
  </si>
  <si>
    <t>Vasquez, Fleming and Jones</t>
  </si>
  <si>
    <t>Flask, C++, TensorFlow, Reinforcement Learning, R</t>
  </si>
  <si>
    <t>Scikit-learn, TensorFlow, FastAPI</t>
  </si>
  <si>
    <t>Rice Inc</t>
  </si>
  <si>
    <t>LangChain, Python, SQL</t>
  </si>
  <si>
    <t>Morris, Jensen and Hamilton</t>
  </si>
  <si>
    <t>Azure, Scikit-learn, Keras, R, Hugging Face</t>
  </si>
  <si>
    <t>Gonzalez and Sons</t>
  </si>
  <si>
    <t>NumPy, AWS, LangChain</t>
  </si>
  <si>
    <t>Robinson-Hall</t>
  </si>
  <si>
    <t>C++, Scikit-learn, CUDA, LangChain</t>
  </si>
  <si>
    <t>BigQuery, PyTorch</t>
  </si>
  <si>
    <t>NumPy, Excel, Azure, AWS</t>
  </si>
  <si>
    <t>Richards-Barnes</t>
  </si>
  <si>
    <t>Power BI, GCP, FastAPI, C++, Pandas, SQL</t>
  </si>
  <si>
    <t>Bailey-Harris</t>
  </si>
  <si>
    <t>MLflow, Flask, Azure, CUDA, FastAPI</t>
  </si>
  <si>
    <t>Soto and Sons</t>
  </si>
  <si>
    <t>Pandas, AWS, R, TensorFlow, FastAPI, MLflow</t>
  </si>
  <si>
    <t>Python, Power BI, PyTorch</t>
  </si>
  <si>
    <t>Lane-Weaver</t>
  </si>
  <si>
    <t>TensorFlow, Python, AWS, Reinforcement Learning, NumPy, CUDA</t>
  </si>
  <si>
    <t>Hernandez PLC</t>
  </si>
  <si>
    <t>SQL, MLflow, R</t>
  </si>
  <si>
    <t>Ortiz-Mcfarland</t>
  </si>
  <si>
    <t>NumPy, Reinforcement Learning, Azure, C++, R</t>
  </si>
  <si>
    <t>Scikit-learn, BigQuery, FastAPI</t>
  </si>
  <si>
    <t>Rice-Hendricks</t>
  </si>
  <si>
    <t>Power BI, Azure, SQL, C++, Hugging Face</t>
  </si>
  <si>
    <t>KDB+, FastAPI, PyTorch</t>
  </si>
  <si>
    <t>Brown, Jackson and Carr</t>
  </si>
  <si>
    <t>Python, Pandas, AWS, TensorFlow, SQL</t>
  </si>
  <si>
    <t>Kelley, Steele and Bell</t>
  </si>
  <si>
    <t>LangChain, Flask, PyTorch, Python</t>
  </si>
  <si>
    <t>Cline PLC</t>
  </si>
  <si>
    <t>Keras, Azure, Excel, TensorFlow</t>
  </si>
  <si>
    <t>Shah-White</t>
  </si>
  <si>
    <t>Keras, CUDA, PyTorch, Power BI</t>
  </si>
  <si>
    <t>Davis-Butler</t>
  </si>
  <si>
    <t>Scikit-learn, Power BI, PyTorch, SQL, Excel, AWS</t>
  </si>
  <si>
    <t>Newton, Kelly and Martinez</t>
  </si>
  <si>
    <t>Azure, NumPy, LangChain, FastAPI, Hugging Face, Keras</t>
  </si>
  <si>
    <t>Berry-Lewis</t>
  </si>
  <si>
    <t>AWS, Python, Flask, Pandas, Azure, LangChain</t>
  </si>
  <si>
    <t>Brandt, Fuller and Cruz</t>
  </si>
  <si>
    <t>Hugging Face, R, C++</t>
  </si>
  <si>
    <t>TensorFlow, LangChain, FastAPI</t>
  </si>
  <si>
    <t>Turner PLC</t>
  </si>
  <si>
    <t>Python, NumPy, Excel, Azure, Scikit-learn</t>
  </si>
  <si>
    <t>Sanchez Ltd</t>
  </si>
  <si>
    <t>Power BI, GCP, MLflow, CUDA, Flask</t>
  </si>
  <si>
    <t>Crawford Group</t>
  </si>
  <si>
    <t>PyTorch, Reinforcement Learning, Azure, Python, AWS, Hugging Face</t>
  </si>
  <si>
    <t>FastAPI, LangChain, TensorFlow</t>
  </si>
  <si>
    <t>Humphrey, Barrett and Colon</t>
  </si>
  <si>
    <t>Pandas, MLflow, Azure, Reinforcement Learning, FastAPI, R</t>
  </si>
  <si>
    <t>MLflow, PyTorch, TensorFlow</t>
  </si>
  <si>
    <t>Obrien PLC</t>
  </si>
  <si>
    <t>Pandas, AWS, R, PyTorch, Power BI, NumPy</t>
  </si>
  <si>
    <t>Stanton, Martin and Martin</t>
  </si>
  <si>
    <t>C++, NumPy, Power BI, MLflow, CUDA</t>
  </si>
  <si>
    <t>James, Payne and Roth</t>
  </si>
  <si>
    <t>Power BI, Azure, R</t>
  </si>
  <si>
    <t>LangChain, Scikit-learn, FastAPI</t>
  </si>
  <si>
    <t>Bowen, Flores and Williams</t>
  </si>
  <si>
    <t>NumPy, C++, AWS, SQL, MLflow</t>
  </si>
  <si>
    <t>Flynn LLC</t>
  </si>
  <si>
    <t>Azure, C++, Reinforcement Learning</t>
  </si>
  <si>
    <t>BigQuery, Scikit-learn, LangChain</t>
  </si>
  <si>
    <t>Campos, Floyd and Clark</t>
  </si>
  <si>
    <t>Power BI, Hugging Face, Keras, Reinforcement Learning, TensorFlow, Excel</t>
  </si>
  <si>
    <t>Henderson, Lynch and Lindsey</t>
  </si>
  <si>
    <t>MLflow, LangChain, Hugging Face, Azure, Flask</t>
  </si>
  <si>
    <t>Mitchell-Peters</t>
  </si>
  <si>
    <t>SQL, Keras, Scikit-learn, NumPy</t>
  </si>
  <si>
    <t>Mcfarland Inc</t>
  </si>
  <si>
    <t>NumPy, Pandas, Hugging Face</t>
  </si>
  <si>
    <t>TensorFlow, MLflow, LangChain</t>
  </si>
  <si>
    <t>Jones and Sons</t>
  </si>
  <si>
    <t>Scikit-learn, Keras, C++</t>
  </si>
  <si>
    <t>BigQuery, MLflow, KDB+</t>
  </si>
  <si>
    <t>Nash, Anderson and Brown</t>
  </si>
  <si>
    <t>MLflow, GCP, TensorFlow, AWS</t>
  </si>
  <si>
    <t>TensorFlow, LangChain, BigQuery</t>
  </si>
  <si>
    <t>Whitehead, Summers and Nelson</t>
  </si>
  <si>
    <t>Flask, Excel, Keras, PyTorch, Python</t>
  </si>
  <si>
    <t>Gonzalez-Thompson</t>
  </si>
  <si>
    <t>SQL, Python, MLflow</t>
  </si>
  <si>
    <t>Simon, Price and Dickson</t>
  </si>
  <si>
    <t>PyTorch, Excel, Reinforcement Learning, Scikit-learn, Azure</t>
  </si>
  <si>
    <t>Strickland-Stevenson</t>
  </si>
  <si>
    <t>Excel, Hugging Face, PyTorch, R, SQL, Flask</t>
  </si>
  <si>
    <t>TensorFlow, PyTorch, LangChain</t>
  </si>
  <si>
    <t>Kramer Inc</t>
  </si>
  <si>
    <t>Scikit-learn, Hugging Face, Pandas, Keras, TensorFlow</t>
  </si>
  <si>
    <t>Mahoney-Collins</t>
  </si>
  <si>
    <t>FastAPI, MLflow, LangChain, Hugging Face, Power BI</t>
  </si>
  <si>
    <t>Ortiz PLC</t>
  </si>
  <si>
    <t>Pandas, Keras, Python, NumPy, GCP</t>
  </si>
  <si>
    <t>Donaldson, Cox and Lopez</t>
  </si>
  <si>
    <t>Power BI, Azure, SQL, Flask, NumPy, CUDA</t>
  </si>
  <si>
    <t>Clark, Baker and Parks</t>
  </si>
  <si>
    <t>Keras, SQL, FastAPI, GCP, Flask</t>
  </si>
  <si>
    <t>Anderson-Gonzalez</t>
  </si>
  <si>
    <t>Excel, Keras, Pandas, CUDA, SQL, Hugging Face</t>
  </si>
  <si>
    <t>MLflow, KDB+, BigQuery</t>
  </si>
  <si>
    <t>Walker-Becker</t>
  </si>
  <si>
    <t>CUDA, PyTorch, Excel</t>
  </si>
  <si>
    <t>Flask, Scikit-learn, FastAPI, Power BI</t>
  </si>
  <si>
    <t>Blake-Daugherty</t>
  </si>
  <si>
    <t>Flask, C++, CUDA, R</t>
  </si>
  <si>
    <t>Powers Group</t>
  </si>
  <si>
    <t>R, Pandas, TensorFlow</t>
  </si>
  <si>
    <t>Bernard-Herrera</t>
  </si>
  <si>
    <t>MLflow, Hugging Face, FastAPI, Azure</t>
  </si>
  <si>
    <t>Thomas Group</t>
  </si>
  <si>
    <t>NumPy, MLflow, PyTorch, Pandas, FastAPI</t>
  </si>
  <si>
    <t>Phelps-Johnson</t>
  </si>
  <si>
    <t>FastAPI, TensorFlow, Keras, Excel, Pandas</t>
  </si>
  <si>
    <t>Young-Brown</t>
  </si>
  <si>
    <t>Power BI, C++, Flask, Keras, Reinforcement Learning, SQL</t>
  </si>
  <si>
    <t>Alvarez, Martinez and Miller</t>
  </si>
  <si>
    <t>FastAPI, MLflow, Pandas, R, TensorFlow</t>
  </si>
  <si>
    <t>Phillips-Baker</t>
  </si>
  <si>
    <t>R, Keras, PyTorch</t>
  </si>
  <si>
    <t>Cochran-Bailey</t>
  </si>
  <si>
    <t>Pandas, GCP, C++, Reinforcement Learning</t>
  </si>
  <si>
    <t>Vazquez LLC</t>
  </si>
  <si>
    <t>Azure, LangChain, Reinforcement Learning</t>
  </si>
  <si>
    <t>Carey and Sons</t>
  </si>
  <si>
    <t>Keras, Excel, SQL, Python, Scikit-learn</t>
  </si>
  <si>
    <t>FastAPI, Scikit-learn, MLflow</t>
  </si>
  <si>
    <t>Marshall, Mccoy and Montgomery</t>
  </si>
  <si>
    <t>Power BI, C++, NumPy</t>
  </si>
  <si>
    <t>Hart-Peterson</t>
  </si>
  <si>
    <t>Excel, FastAPI, Hugging Face, C++, GCP, R</t>
  </si>
  <si>
    <t>Clark-Sharp</t>
  </si>
  <si>
    <t>Reinforcement Learning, MLflow, Hugging Face, CUDA, Flask</t>
  </si>
  <si>
    <t>Daniels, Martinez and Brown</t>
  </si>
  <si>
    <t>AWS, Power BI, GCP, NumPy, Flask</t>
  </si>
  <si>
    <t>Lawson-Mitchell</t>
  </si>
  <si>
    <t>Azure, Flask, CUDA, TensorFlow</t>
  </si>
  <si>
    <t>Scikit-learn, LangChain</t>
  </si>
  <si>
    <t>James, Johnson and Pineda</t>
  </si>
  <si>
    <t>FastAPI, Pandas, Scikit-learn</t>
  </si>
  <si>
    <t>Scikit-learn, PyTorch</t>
  </si>
  <si>
    <t>Allen-Parker</t>
  </si>
  <si>
    <t>FastAPI, Keras, TensorFlow, SQL, C++, GCP</t>
  </si>
  <si>
    <t>LangChain, KDB+, Scikit-learn</t>
  </si>
  <si>
    <t>Russell and Sons</t>
  </si>
  <si>
    <t>Excel, CUDA, Reinforcement Learning, R, FastAPI, Keras</t>
  </si>
  <si>
    <t>Peters, Mcdaniel and Adams</t>
  </si>
  <si>
    <t>Excel, GCP, CUDA, Azure</t>
  </si>
  <si>
    <t>Jones PLC</t>
  </si>
  <si>
    <t>Python, PyTorch, LangChain, Hugging Face, Power BI, Scikit-learn</t>
  </si>
  <si>
    <t>LangChain, PyTorch, FastAPI</t>
  </si>
  <si>
    <t>Taylor, Ruiz and Padilla</t>
  </si>
  <si>
    <t>Scikit-learn, Excel, GCP, Python</t>
  </si>
  <si>
    <t>MLflow, FastAPI</t>
  </si>
  <si>
    <t>Johnson-Roberson</t>
  </si>
  <si>
    <t>FastAPI, MLflow, Pandas, Hugging Face, GCP, C++</t>
  </si>
  <si>
    <t>FastAPI, MLflow, Scikit-learn</t>
  </si>
  <si>
    <t>MLflow, Scikit-learn, R</t>
  </si>
  <si>
    <t>Willis, Smith and Norris</t>
  </si>
  <si>
    <t>SQL, Flask, Reinforcement Learning, C++</t>
  </si>
  <si>
    <t>Gallagher Inc</t>
  </si>
  <si>
    <t>LangChain, Excel, TensorFlow, Scikit-learn</t>
  </si>
  <si>
    <t>LangChain, KDB+, BigQuery</t>
  </si>
  <si>
    <t>Jones Inc</t>
  </si>
  <si>
    <t>AWS, FastAPI, MLflow</t>
  </si>
  <si>
    <t>Coleman-Yoder</t>
  </si>
  <si>
    <t>Azure, Hugging Face, Python</t>
  </si>
  <si>
    <t>Mcdonald Ltd</t>
  </si>
  <si>
    <t>R, AWS, Azure</t>
  </si>
  <si>
    <t>Anderson-Campbell</t>
  </si>
  <si>
    <t>CUDA, Power BI, SQL, Pandas</t>
  </si>
  <si>
    <t>Scikit-learn, FastAPI, KDB+</t>
  </si>
  <si>
    <t>Garner, Massey and Lozano</t>
  </si>
  <si>
    <t>Reinforcement Learning, Scikit-learn, Excel, SQL</t>
  </si>
  <si>
    <t>MLflow, BigQuery</t>
  </si>
  <si>
    <t>White, Waters and Johnson</t>
  </si>
  <si>
    <t>MLflow, Keras, LangChain</t>
  </si>
  <si>
    <t>Cox-Griffin</t>
  </si>
  <si>
    <t>C++, Scikit-learn, PyTorch, Pandas, Flask</t>
  </si>
  <si>
    <t>Smith Inc</t>
  </si>
  <si>
    <t>AWS, SQL, Excel</t>
  </si>
  <si>
    <t>Mason Inc</t>
  </si>
  <si>
    <t>Reinforcement Learning, MLflow, TensorFlow, PyTorch, Keras</t>
  </si>
  <si>
    <t>Clark Group</t>
  </si>
  <si>
    <t>Azure, TensorFlow, NumPy</t>
  </si>
  <si>
    <t>Sutton-Weber</t>
  </si>
  <si>
    <t>FastAPI, NumPy, C++, LangChain</t>
  </si>
  <si>
    <t>Stevenson Ltd</t>
  </si>
  <si>
    <t>Flask, Excel, PyTorch, Scikit-learn, FastAPI, Keras</t>
  </si>
  <si>
    <t>PyTorch, TensorFlow, MLflow</t>
  </si>
  <si>
    <t>Scott-Wright</t>
  </si>
  <si>
    <t>Keras, MLflow, Excel</t>
  </si>
  <si>
    <t>Gonzales-Charles</t>
  </si>
  <si>
    <t>Azure, PyTorch, CUDA</t>
  </si>
  <si>
    <t>KDB+, TensorFlow, LangChain</t>
  </si>
  <si>
    <t>Saunders Inc</t>
  </si>
  <si>
    <t>CUDA, R, Hugging Face, PyTorch, AWS</t>
  </si>
  <si>
    <t>Park PLC</t>
  </si>
  <si>
    <t>Pandas, C++, R, MLflow</t>
  </si>
  <si>
    <t>Jimenez-Brown</t>
  </si>
  <si>
    <t>Python, Pandas, R, Flask</t>
  </si>
  <si>
    <t>Mendoza-Smith</t>
  </si>
  <si>
    <t>PyTorch, TensorFlow, Hugging Face</t>
  </si>
  <si>
    <t>MLflow, BigQuery, KDB+</t>
  </si>
  <si>
    <t>Hartman-Torres</t>
  </si>
  <si>
    <t>Python, AWS, R, Azure, Scikit-learn</t>
  </si>
  <si>
    <t>Johnson, Humphrey and Walsh</t>
  </si>
  <si>
    <t>Excel, NumPy, AWS, PyTorch, Pandas, CUDA</t>
  </si>
  <si>
    <t>Rose, Miller and Gonzalez</t>
  </si>
  <si>
    <t>LangChain, Hugging Face, NumPy, Excel</t>
  </si>
  <si>
    <t>Meyer-Randall</t>
  </si>
  <si>
    <t>FastAPI, LangChain, Pandas, NumPy, TensorFlow</t>
  </si>
  <si>
    <t>Knox, Diaz and Fowler</t>
  </si>
  <si>
    <t>AWS, MLflow, PyTorch</t>
  </si>
  <si>
    <t>LangChain, BigQuery, TensorFlow</t>
  </si>
  <si>
    <t>Arnold LLC</t>
  </si>
  <si>
    <t>PyTorch, Flask, Scikit-learn, AWS</t>
  </si>
  <si>
    <t>Durham LLC</t>
  </si>
  <si>
    <t>SQL, TensorFlow, AWS, Reinforcement Learning, GCP, NumPy</t>
  </si>
  <si>
    <t>Robinson, Chang and Jimenez</t>
  </si>
  <si>
    <t>Excel, Hugging Face, FastAPI, CUDA, MLflow, Flask</t>
  </si>
  <si>
    <t>Dunn, Anderson and Barber</t>
  </si>
  <si>
    <t>FastAPI, Pandas, Scikit-learn, PyTorch</t>
  </si>
  <si>
    <t>Lee Ltd</t>
  </si>
  <si>
    <t>NumPy, MLflow, CUDA, Azure, C++, GCP</t>
  </si>
  <si>
    <t>Powell and Sons</t>
  </si>
  <si>
    <t>C++, Python, TensorFlow, Keras, Excel</t>
  </si>
  <si>
    <t>Thompson, Bonilla and Caldwell</t>
  </si>
  <si>
    <t>Keras, FastAPI, AWS, SQL, Excel, C++</t>
  </si>
  <si>
    <t>Allen, Navarro and Palmer</t>
  </si>
  <si>
    <t>Reinforcement Learning, TensorFlow, Azure, CUDA, GCP, Hugging Face</t>
  </si>
  <si>
    <t>Hunt-Richards</t>
  </si>
  <si>
    <t>Pandas, TensorFlow, PyTorch, Power BI, GCP</t>
  </si>
  <si>
    <t>Scikit-learn, TensorFlow, PyTorch</t>
  </si>
  <si>
    <t>Malone-Rodriguez</t>
  </si>
  <si>
    <t>Hugging Face, FastAPI, Python, NumPy</t>
  </si>
  <si>
    <t>Scikit-learn, TensorFlow, MLflow</t>
  </si>
  <si>
    <t>Shields Group</t>
  </si>
  <si>
    <t>Azure, SQL, Hugging Face, R, LangChain</t>
  </si>
  <si>
    <t>PyTorch, TensorFlow</t>
  </si>
  <si>
    <t>Ball, Vasquez and Morales</t>
  </si>
  <si>
    <t>PyTorch, AWS, Python, Scikit-learn</t>
  </si>
  <si>
    <t>Johnson, Zuniga and Martinez</t>
  </si>
  <si>
    <t>Azure, AWS, Keras, R, FastAPI</t>
  </si>
  <si>
    <t>BigQuery, MLflow, LangChain</t>
  </si>
  <si>
    <t>Bryan-Rios</t>
  </si>
  <si>
    <t>Keras, Azure, Hugging Face, CUDA, MLflow</t>
  </si>
  <si>
    <t>Williams, Garza and Hill</t>
  </si>
  <si>
    <t>Reinforcement Learning, SQL, AWS, FastAPI, TensorFlow, PyTorch</t>
  </si>
  <si>
    <t>BigQuery, MLflow</t>
  </si>
  <si>
    <t>Graves Group</t>
  </si>
  <si>
    <t>Pandas, Scikit-learn, Excel, TensorFlow, GCP</t>
  </si>
  <si>
    <t>Rogers, Davila and Ashley</t>
  </si>
  <si>
    <t>FastAPI, Keras, PyTorch, GCP, Excel</t>
  </si>
  <si>
    <t>KDB+, Scikit-learn</t>
  </si>
  <si>
    <t>Strickland-Werner</t>
  </si>
  <si>
    <t>GCP, Excel, CUDA</t>
  </si>
  <si>
    <t>Moreno, Wood and Murillo</t>
  </si>
  <si>
    <t>SQL, Flask, AWS, Reinforcement Learning, FastAPI, LangChain</t>
  </si>
  <si>
    <t>LangChain, KDB+, PyTorch</t>
  </si>
  <si>
    <t>Singleton, Simon and Harper</t>
  </si>
  <si>
    <t>FastAPI, Scikit-learn, Pandas, Azure, Reinforcement Learning</t>
  </si>
  <si>
    <t>Dunn, Snyder and Nichols</t>
  </si>
  <si>
    <t>LangChain, Hugging Face, Keras, Azure, Excel, FastAPI</t>
  </si>
  <si>
    <t>Wallace, Gonzales and Wilkins</t>
  </si>
  <si>
    <t>R, MLflow, Azure, Scikit-learn</t>
  </si>
  <si>
    <t>Turner-Mccarthy</t>
  </si>
  <si>
    <t>NumPy, R, MLflow, Flask, TensorFlow</t>
  </si>
  <si>
    <t>Scikit-learn, BigQuery, MLflow</t>
  </si>
  <si>
    <t>Reyes, Miller and Burke</t>
  </si>
  <si>
    <t>Scikit-learn, R, TensorFlow, Power BI, Azure</t>
  </si>
  <si>
    <t>Russell, Kim and Harris</t>
  </si>
  <si>
    <t>Keras, Python, Reinforcement Learning, Scikit-learn</t>
  </si>
  <si>
    <t>KDB+, MLflow, TensorFlow</t>
  </si>
  <si>
    <t>Miller-Holland</t>
  </si>
  <si>
    <t>Flask, NumPy, Keras, AWS, SQL</t>
  </si>
  <si>
    <t>Anthony-Gould</t>
  </si>
  <si>
    <t>Hugging Face, Azure, NumPy, Scikit-learn, Pandas</t>
  </si>
  <si>
    <t>PyTorch, Scikit-learn, FastAPI</t>
  </si>
  <si>
    <t>Adams-Hill</t>
  </si>
  <si>
    <t>Azure, R, CUDA</t>
  </si>
  <si>
    <t>Salas Inc</t>
  </si>
  <si>
    <t>Excel, Keras, GCP, MLflow</t>
  </si>
  <si>
    <t>BigQuery, TensorFlow, FastAPI</t>
  </si>
  <si>
    <t>Morrison-Patel</t>
  </si>
  <si>
    <t>Pandas, Excel, NumPy, LangChain</t>
  </si>
  <si>
    <t>Scikit-learn, FastAPI</t>
  </si>
  <si>
    <t>Moyer-Simpson</t>
  </si>
  <si>
    <t>Pandas, FastAPI, Scikit-learn, AWS</t>
  </si>
  <si>
    <t>Jimenez PLC</t>
  </si>
  <si>
    <t>MLflow, Scikit-learn, Python, Reinforcement Learning, C++</t>
  </si>
  <si>
    <t>Atkinson-Gonzales</t>
  </si>
  <si>
    <t>FastAPI, Azure, LangChain, GCP</t>
  </si>
  <si>
    <t>Cook LLC</t>
  </si>
  <si>
    <t>Reinforcement Learning, Hugging Face, Scikit-learn, C++</t>
  </si>
  <si>
    <t>Wagner Inc</t>
  </si>
  <si>
    <t>Azure, PyTorch, Keras</t>
  </si>
  <si>
    <t>TensorFlow, MLflow, FastAPI</t>
  </si>
  <si>
    <t>Galloway-Martinez</t>
  </si>
  <si>
    <t>Pandas, FastAPI, TensorFlow, SQL</t>
  </si>
  <si>
    <t>Love-Rhodes</t>
  </si>
  <si>
    <t>AWS, Power BI, R, NumPy, Scikit-learn, LangChain</t>
  </si>
  <si>
    <t>KDB+, FastAPI, LangChain</t>
  </si>
  <si>
    <t>Stewart-Kennedy</t>
  </si>
  <si>
    <t>C++, AWS, MLflow</t>
  </si>
  <si>
    <t>Sparks and Sons</t>
  </si>
  <si>
    <t>Flask, PyTorch, C++, Pandas, TensorFlow</t>
  </si>
  <si>
    <t>TensorFlow, KDB+</t>
  </si>
  <si>
    <t>White Inc</t>
  </si>
  <si>
    <t>Azure, PyTorch, R, Reinforcement Learning, Flask, Keras</t>
  </si>
  <si>
    <t>Watson Ltd</t>
  </si>
  <si>
    <t>Scikit-learn, R, TensorFlow, PyTorch</t>
  </si>
  <si>
    <t>BigQuery, LangChain, MLflow</t>
  </si>
  <si>
    <t>Clark-Bailey</t>
  </si>
  <si>
    <t>MLflow, Keras, C++, GCP, NumPy</t>
  </si>
  <si>
    <t>Holland-Mcgee</t>
  </si>
  <si>
    <t>GCP, Power BI, Python, Azure, Hugging Face, CUDA</t>
  </si>
  <si>
    <t>Cummings, Schmidt and Clarke</t>
  </si>
  <si>
    <t>C++, Excel, MLflow, Pandas, R, NumPy</t>
  </si>
  <si>
    <t>Hines-Mckinney</t>
  </si>
  <si>
    <t>Keras, FastAPI, Power BI, MLflow</t>
  </si>
  <si>
    <t>Graves and Sons</t>
  </si>
  <si>
    <t>Excel, PyTorch, R, Power BI, Flask, Pandas</t>
  </si>
  <si>
    <t>Walker-Davis</t>
  </si>
  <si>
    <t>Power BI, R, Scikit-learn</t>
  </si>
  <si>
    <t>TensorFlow, MLflow, Scikit-learn</t>
  </si>
  <si>
    <t>Finley, Bruce and Wheeler</t>
  </si>
  <si>
    <t>Excel, PyTorch, LangChain, Flask, GCP</t>
  </si>
  <si>
    <t>Simmons-Evans</t>
  </si>
  <si>
    <t>Power BI, Scikit-learn, R, Pandas</t>
  </si>
  <si>
    <t>Melton-Salazar</t>
  </si>
  <si>
    <t>Reinforcement Learning, Python, NumPy, LangChain</t>
  </si>
  <si>
    <t>Anthony, Miller and Russell</t>
  </si>
  <si>
    <t>TensorFlow, Keras, PyTorch, Reinforcement Learning</t>
  </si>
  <si>
    <t>Young-Anderson</t>
  </si>
  <si>
    <t>NumPy, GCP, AWS, Python, Keras</t>
  </si>
  <si>
    <t>Scikit-learn, TensorFlow, KDB+</t>
  </si>
  <si>
    <t>Conway, Hernandez and Perez</t>
  </si>
  <si>
    <t>MLflow, Power BI, Keras</t>
  </si>
  <si>
    <t>Anderson and Sons</t>
  </si>
  <si>
    <t>TensorFlow, Power BI, Python, Keras, AWS</t>
  </si>
  <si>
    <t>Ware-Ellis</t>
  </si>
  <si>
    <t>SQL, MLflow, Power BI, FastAPI, NumPy</t>
  </si>
  <si>
    <t>FastAPI, BigQuery, MLflow</t>
  </si>
  <si>
    <t>Snyder, Simpson and Maxwell</t>
  </si>
  <si>
    <t>FastAPI, NumPy, C++, MLflow, GCP</t>
  </si>
  <si>
    <t>Ellis Ltd</t>
  </si>
  <si>
    <t>SQL, Pandas, Power BI, FastAPI</t>
  </si>
  <si>
    <t>Blair, Ruiz and Sanchez</t>
  </si>
  <si>
    <t>FastAPI, Power BI, Azure, Python</t>
  </si>
  <si>
    <t>Griffin-Dalton</t>
  </si>
  <si>
    <t>Python, PyTorch, Excel</t>
  </si>
  <si>
    <t>LangChain, BigQuery, FastAPI</t>
  </si>
  <si>
    <t>Alexander PLC</t>
  </si>
  <si>
    <t>LangChain, GCP, R, MLflow, Scikit-learn</t>
  </si>
  <si>
    <t>Velazquez, Brewer and Murphy</t>
  </si>
  <si>
    <t>C++, LangChain, Power BI, Pandas, CUDA, TensorFlow</t>
  </si>
  <si>
    <t>Bean LLC</t>
  </si>
  <si>
    <t>Excel, Power BI, Reinforcement Learning, SQL, NumPy</t>
  </si>
  <si>
    <t>Rogers-Villanueva</t>
  </si>
  <si>
    <t>Flask, FastAPI, CUDA</t>
  </si>
  <si>
    <t>Taylor PLC</t>
  </si>
  <si>
    <t>Power BI, MLflow, TensorFlow, AWS, Hugging Face</t>
  </si>
  <si>
    <t>Lee Group</t>
  </si>
  <si>
    <t>Python, Power BI, Scikit-learn, FastAPI, Excel, SQL</t>
  </si>
  <si>
    <t>Miller, Browning and Shaw</t>
  </si>
  <si>
    <t>Reinforcement Learning, CUDA, NumPy</t>
  </si>
  <si>
    <t>Branch, Elliott and Ramirez</t>
  </si>
  <si>
    <t>Power BI, Keras, TensorFlow, FastAPI</t>
  </si>
  <si>
    <t>MLflow, TensorFlow, FastAPI</t>
  </si>
  <si>
    <t>Reyes, Vincent and Hayes</t>
  </si>
  <si>
    <t>Hugging Face, R, LangChain</t>
  </si>
  <si>
    <t>Rose Ltd</t>
  </si>
  <si>
    <t>Pandas, CUDA, AWS, TensorFlow, Python</t>
  </si>
  <si>
    <t>MLflow, FastAPI, BigQuery</t>
  </si>
  <si>
    <t>Miller-Bishop</t>
  </si>
  <si>
    <t>Hugging Face, GCP, Excel, NumPy</t>
  </si>
  <si>
    <t>Krueger-Tanner</t>
  </si>
  <si>
    <t>LangChain, Reinforcement Learning, FastAPI, Power BI, AWS</t>
  </si>
  <si>
    <t>KDB+, TensorFlow, PyTorch</t>
  </si>
  <si>
    <t>Johnson, Castaneda and Duke</t>
  </si>
  <si>
    <t>CUDA, FastAPI, Python</t>
  </si>
  <si>
    <t>Riley, Beltran and Lucero</t>
  </si>
  <si>
    <t>Flask, TensorFlow, Scikit-learn, MLflow</t>
  </si>
  <si>
    <t>Perez-Williams</t>
  </si>
  <si>
    <t>Scikit-learn, SQL, GCP, Hugging Face</t>
  </si>
  <si>
    <t>Silva-Russell</t>
  </si>
  <si>
    <t>Reinforcement Learning, MLflow, PyTorch, LangChain, Hugging Face, AWS</t>
  </si>
  <si>
    <t>TensorFlow, PyTorch</t>
  </si>
  <si>
    <t>Matthews, Bailey and Banks</t>
  </si>
  <si>
    <t>R, Python, PyTorch, CUDA</t>
  </si>
  <si>
    <t>KDB+, PyTorch, FastAPI</t>
  </si>
  <si>
    <t>Santiago-King</t>
  </si>
  <si>
    <t>MLflow, Keras, TensorFlow, CUDA, Flask</t>
  </si>
  <si>
    <t>Caldwell, Richardson and Hines</t>
  </si>
  <si>
    <t>CUDA, Power BI, Hugging Face, Pandas, MLflow</t>
  </si>
  <si>
    <t>Washington, Smith and Hicks</t>
  </si>
  <si>
    <t>Flask, PyTorch, Reinforcement Learning, MLflow</t>
  </si>
  <si>
    <t>LangChain, PyTorch</t>
  </si>
  <si>
    <t>Cummings, Ball and Owens</t>
  </si>
  <si>
    <t>C++, NumPy, CUDA, GCP, TensorFlow, Hugging Face</t>
  </si>
  <si>
    <t>TensorFlow, Scikit-learn, PyTorch</t>
  </si>
  <si>
    <t>Harrington, Gross and Kim</t>
  </si>
  <si>
    <t>Flask, CUDA, AWS</t>
  </si>
  <si>
    <t>Bryan, Harding and Hamilton</t>
  </si>
  <si>
    <t>R, Python, PyTorch, GCP, Power BI</t>
  </si>
  <si>
    <t>Miller, Cox and Clark</t>
  </si>
  <si>
    <t>Hugging Face, MLflow, CUDA</t>
  </si>
  <si>
    <t>Watson-Boyle</t>
  </si>
  <si>
    <t>Scikit-learn, PyTorch, TensorFlow</t>
  </si>
  <si>
    <t>Montoya, Chambers and Bennett</t>
  </si>
  <si>
    <t>Excel, CUDA, Keras</t>
  </si>
  <si>
    <t>Fields, Porter and Martinez</t>
  </si>
  <si>
    <t>Power BI, FastAPI, Azure, MLflow, CUDA</t>
  </si>
  <si>
    <t>KDB+, Scikit-learn, FastAPI</t>
  </si>
  <si>
    <t>Gallegos, Ruiz and Ross</t>
  </si>
  <si>
    <t>Reinforcement Learning, Hugging Face, GCP, Excel, MLflow, CUDA</t>
  </si>
  <si>
    <t>Ingram LLC</t>
  </si>
  <si>
    <t>Keras, Excel, Power BI, SQL, GCP</t>
  </si>
  <si>
    <t>KDB+, TensorFlow</t>
  </si>
  <si>
    <t>Moody Inc</t>
  </si>
  <si>
    <t>LangChain, Scikit-learn, Keras, Power BI, Excel</t>
  </si>
  <si>
    <t>Walls-Kidd</t>
  </si>
  <si>
    <t>SQL, CUDA, AWS</t>
  </si>
  <si>
    <t>Mullins Group</t>
  </si>
  <si>
    <t>SQL, C++, CUDA, GCP, Flask, Reinforcement Learning</t>
  </si>
  <si>
    <t>King Group</t>
  </si>
  <si>
    <t>C++, Excel, Scikit-learn, FastAPI, Power BI</t>
  </si>
  <si>
    <t>Hansen-Stone</t>
  </si>
  <si>
    <t>C++, CUDA, Power BI, Azure, AWS, PyTorch</t>
  </si>
  <si>
    <t>Gardner Group</t>
  </si>
  <si>
    <t>LangChain, Pandas, Scikit-learn, CUDA, Reinforcement Learning, TensorFlow</t>
  </si>
  <si>
    <t>Leonard-Duke</t>
  </si>
  <si>
    <t>Keras, PyTorch, AWS, SQL</t>
  </si>
  <si>
    <t>Patton and Sons</t>
  </si>
  <si>
    <t>Power BI, GCP, TensorFlow, CUDA, MLflow</t>
  </si>
  <si>
    <t>BigQuery, LangChain, Scikit-learn</t>
  </si>
  <si>
    <t>Vazquez PLC</t>
  </si>
  <si>
    <t>FastAPI, NumPy, R</t>
  </si>
  <si>
    <t>Romero PLC</t>
  </si>
  <si>
    <t>Howell PLC</t>
  </si>
  <si>
    <t>Flask, PyTorch, GCP</t>
  </si>
  <si>
    <t>LangChain, FastAPI, TensorFlow</t>
  </si>
  <si>
    <t>Beltran PLC</t>
  </si>
  <si>
    <t>Azure, PyTorch, Pandas, R, GCP</t>
  </si>
  <si>
    <t>FastAPI, Scikit-learn</t>
  </si>
  <si>
    <t>Browning Inc</t>
  </si>
  <si>
    <t>PyTorch, Azure, LangChain, Python</t>
  </si>
  <si>
    <t>Strong-Davis</t>
  </si>
  <si>
    <t>Reinforcement Learning, Scikit-learn, TensorFlow, PyTorch, Hugging Face, Flask</t>
  </si>
  <si>
    <t>Richardson, Burton and Stephens</t>
  </si>
  <si>
    <t>LangChain, Pandas, Power BI</t>
  </si>
  <si>
    <t>Salinas-Taylor</t>
  </si>
  <si>
    <t>PyTorch, MLflow, LangChain</t>
  </si>
  <si>
    <t>Hunt Ltd</t>
  </si>
  <si>
    <t>SQL, GCP, PyTorch</t>
  </si>
  <si>
    <t>Carr Group</t>
  </si>
  <si>
    <t>C++, GCP, Reinforcement Learning, R, Python, Power BI</t>
  </si>
  <si>
    <t>Harris LLC</t>
  </si>
  <si>
    <t>Reinforcement Learning, Pandas, NumPy, FastAPI</t>
  </si>
  <si>
    <t>Reyes-Lowery</t>
  </si>
  <si>
    <t>Pandas, Keras, Scikit-learn, TensorFlow</t>
  </si>
  <si>
    <t>Charles, Henry and Stark</t>
  </si>
  <si>
    <t>FastAPI, AWS, Hugging Face, R</t>
  </si>
  <si>
    <t>Hill, Lucas and Alvarez</t>
  </si>
  <si>
    <t>C++, PyTorch, Flask</t>
  </si>
  <si>
    <t>Stone-Lee</t>
  </si>
  <si>
    <t>LangChain, Pandas, AWS</t>
  </si>
  <si>
    <t>Johnson, Williams and Perkins</t>
  </si>
  <si>
    <t>AWS, GCP, Azure, Scikit-learn, Python</t>
  </si>
  <si>
    <t>FastAPI, TensorFlow</t>
  </si>
  <si>
    <t>Hays-Smith</t>
  </si>
  <si>
    <t>FastAPI, NumPy, Excel</t>
  </si>
  <si>
    <t>Hansen-Martin</t>
  </si>
  <si>
    <t>Reinforcement Learning, GCP, PyTorch</t>
  </si>
  <si>
    <t>LangChain, MLflow, Scikit-learn</t>
  </si>
  <si>
    <t>Calderon Inc</t>
  </si>
  <si>
    <t>GCP, SQL, R, AWS</t>
  </si>
  <si>
    <t>Brown Group</t>
  </si>
  <si>
    <t>CUDA, SQL, AWS, Azure, Python</t>
  </si>
  <si>
    <t>Robertson, Davis and Gray</t>
  </si>
  <si>
    <t>Excel, Scikit-learn, Flask, Power BI</t>
  </si>
  <si>
    <t>Anderson, Lawrence and Drake</t>
  </si>
  <si>
    <t>FastAPI, Azure, Pandas, NumPy</t>
  </si>
  <si>
    <t>BigQuery, TensorFlow, KDB+</t>
  </si>
  <si>
    <t>Lynn-Burke</t>
  </si>
  <si>
    <t>PyTorch, Power BI, Scikit-learn</t>
  </si>
  <si>
    <t>Travis-Glass</t>
  </si>
  <si>
    <t>Hugging Face, PyTorch, Reinforcement Learning, MLflow, Scikit-learn</t>
  </si>
  <si>
    <t>MLflow, Scikit-learn</t>
  </si>
  <si>
    <t>Leonard LLC</t>
  </si>
  <si>
    <t>LangChain, Python, MLflow, TensorFlow, FastAPI</t>
  </si>
  <si>
    <t>Kim, Allison and Ryan</t>
  </si>
  <si>
    <t>Keras, Python, SQL</t>
  </si>
  <si>
    <t>Ellis, Townsend and Harrison</t>
  </si>
  <si>
    <t>SQL, R, TensorFlow, Flask</t>
  </si>
  <si>
    <t>Steele, Aguilar and Jackson</t>
  </si>
  <si>
    <t>Reinforcement Learning, Keras, NumPy, Pandas, Hugging Face, R</t>
  </si>
  <si>
    <t>Peck Group</t>
  </si>
  <si>
    <t>Python, LangChain, CUDA, C++</t>
  </si>
  <si>
    <t>Higgins-Hall</t>
  </si>
  <si>
    <t>Keras, R, NumPy, Reinforcement Learning</t>
  </si>
  <si>
    <t>Scikit-learn, KDB+, MLflow</t>
  </si>
  <si>
    <t>Hicks, Sullivan and Kline</t>
  </si>
  <si>
    <t>TensorFlow, Keras, Python, FastAPI</t>
  </si>
  <si>
    <t>Marquez and Sons</t>
  </si>
  <si>
    <t>Pandas, C++, PyTorch, TensorFlow</t>
  </si>
  <si>
    <t>Moore-Mann</t>
  </si>
  <si>
    <t>FastAPI, CUDA, R, Scikit-learn</t>
  </si>
  <si>
    <t>Ramirez Ltd</t>
  </si>
  <si>
    <t>LangChain, MLflow, Flask, AWS</t>
  </si>
  <si>
    <t>Garcia, Drake and Gonzalez</t>
  </si>
  <si>
    <t>Excel, FastAPI, Hugging Face, LangChain, Flask</t>
  </si>
  <si>
    <t>Edwards, Jackson and Baker</t>
  </si>
  <si>
    <t>NumPy, MLflow, TensorFlow</t>
  </si>
  <si>
    <t>Turner Group</t>
  </si>
  <si>
    <t>TensorFlow, Power BI, GCP, Flask, Keras, Pandas</t>
  </si>
  <si>
    <t>FastAPI, BigQuery, TensorFlow</t>
  </si>
  <si>
    <t>Castro PLC</t>
  </si>
  <si>
    <t>TensorFlow, GCP, Reinforcement Learning, Hugging Face</t>
  </si>
  <si>
    <t>PyTorch, TensorFlow, KDB+</t>
  </si>
  <si>
    <t>Coffey, Shannon and Mclean</t>
  </si>
  <si>
    <t>MLflow, Keras, Reinforcement Learning, Flask, TensorFlow, R</t>
  </si>
  <si>
    <t>Wilcox Ltd</t>
  </si>
  <si>
    <t>FastAPI, R, Scikit-learn, SQL</t>
  </si>
  <si>
    <t>Mcbride-Skinner</t>
  </si>
  <si>
    <t>PyTorch, CUDA, Reinforcement Learning, C++</t>
  </si>
  <si>
    <t>TensorFlow, BigQuery, LangChain</t>
  </si>
  <si>
    <t>Alexander Inc</t>
  </si>
  <si>
    <t>FastAPI, C++, MLflow, Reinforcement Learning</t>
  </si>
  <si>
    <t>Ramsey-Barnes</t>
  </si>
  <si>
    <t>LangChain, Python, AWS, R, Azure, Pandas</t>
  </si>
  <si>
    <t>Clark and Sons</t>
  </si>
  <si>
    <t>FastAPI, NumPy, C++, Azure</t>
  </si>
  <si>
    <t>MLflow, KDB+, FastAPI</t>
  </si>
  <si>
    <t>Blair-Shaffer</t>
  </si>
  <si>
    <t>Keras, PyTorch, R, Hugging Face, CUDA</t>
  </si>
  <si>
    <t>Salazar-Clark</t>
  </si>
  <si>
    <t>Reinforcement Learning, AWS, Azure, Pandas, Keras, Power BI</t>
  </si>
  <si>
    <t>Jones-Simpson</t>
  </si>
  <si>
    <t>TensorFlow, CUDA, MLflow</t>
  </si>
  <si>
    <t>Johnson-Jackson</t>
  </si>
  <si>
    <t>R, MLflow, Reinforcement Learning, Azure</t>
  </si>
  <si>
    <t>Lane-Rodriguez</t>
  </si>
  <si>
    <t>Scikit-learn, Excel, Azure, Flask, Hugging Face, Pandas</t>
  </si>
  <si>
    <t>PyTorch, LangChain, KDB+</t>
  </si>
  <si>
    <t>Jones, Thompson and Gomez</t>
  </si>
  <si>
    <t>Power BI, Hugging Face, GCP</t>
  </si>
  <si>
    <t>Ho, Mitchell and King</t>
  </si>
  <si>
    <t>NumPy, LangChain, R, Scikit-learn</t>
  </si>
  <si>
    <t>Mathis-Davila</t>
  </si>
  <si>
    <t>SQL, Hugging Face, Keras, AWS, MLflow, R</t>
  </si>
  <si>
    <t>Perez-Hawkins</t>
  </si>
  <si>
    <t>Pandas, Hugging Face, Keras</t>
  </si>
  <si>
    <t>Perez, Butler and Carroll</t>
  </si>
  <si>
    <t>Excel, Hugging Face, SQL, Azure</t>
  </si>
  <si>
    <t>Ford PLC</t>
  </si>
  <si>
    <t>FastAPI, Scikit-learn, Pandas, NumPy, Excel, CUDA</t>
  </si>
  <si>
    <t>Rivera Ltd</t>
  </si>
  <si>
    <t>Python, PyTorch, Keras, Power BI, Reinforcement Learning</t>
  </si>
  <si>
    <t>Thompson-White</t>
  </si>
  <si>
    <t>LangChain, TensorFlow, Pandas, Flask</t>
  </si>
  <si>
    <t>Johnson, Foster and Martin</t>
  </si>
  <si>
    <t>MLflow, CUDA, Power BI, FastAPI</t>
  </si>
  <si>
    <t>Solomon-Hartman</t>
  </si>
  <si>
    <t>Pandas, Azure, Keras, PyTorch, AWS, Hugging Face</t>
  </si>
  <si>
    <t>Kelley, Adams and Robertson</t>
  </si>
  <si>
    <t>Hugging Face, SQL, TensorFlow</t>
  </si>
  <si>
    <t>Johnson-Cabrera</t>
  </si>
  <si>
    <t>TensorFlow, PyTorch, FastAPI, Hugging Face, LangChain, AWS</t>
  </si>
  <si>
    <t>Love, Liu and Flynn</t>
  </si>
  <si>
    <t>Excel, LangChain, MLflow, CUDA, Reinforcement Learning</t>
  </si>
  <si>
    <t>Mcdonald and Sons</t>
  </si>
  <si>
    <t>TensorFlow, AWS, Azure</t>
  </si>
  <si>
    <t>FastAPI, LangChain, PyTorch</t>
  </si>
  <si>
    <t>Le Ltd</t>
  </si>
  <si>
    <t>R, TensorFlow, C++, Hugging Face, SQL, Flask</t>
  </si>
  <si>
    <t>Larson-Moss</t>
  </si>
  <si>
    <t>C++, Reinforcement Learning, NumPy, LangChain</t>
  </si>
  <si>
    <t>Farmer, Thompson and Smith</t>
  </si>
  <si>
    <t>Flask, SQL, PyTorch, C++, TensorFlow</t>
  </si>
  <si>
    <t>Burns-Davis</t>
  </si>
  <si>
    <t>Python, AWS, NumPy, Power BI, Hugging Face</t>
  </si>
  <si>
    <t>Scott-Hernandez</t>
  </si>
  <si>
    <t>CUDA, Keras, TensorFlow, Scikit-learn</t>
  </si>
  <si>
    <t>Lozano-Valencia</t>
  </si>
  <si>
    <t>LangChain, AWS, Scikit-learn, Flask</t>
  </si>
  <si>
    <t>Watkins-Pearson</t>
  </si>
  <si>
    <t>R, SQL, Hugging Face, Keras, Pandas</t>
  </si>
  <si>
    <t>Lewis Inc</t>
  </si>
  <si>
    <t>Hugging Face, Pandas, PyTorch, SQL, R, Excel</t>
  </si>
  <si>
    <t>LangChain, TensorFlow</t>
  </si>
  <si>
    <t>Moreno, Salazar and Sexton</t>
  </si>
  <si>
    <t>Power BI, Hugging Face, TensorFlow</t>
  </si>
  <si>
    <t>Lopez Ltd</t>
  </si>
  <si>
    <t>Power BI, R, GCP</t>
  </si>
  <si>
    <t>Orozco-Tran</t>
  </si>
  <si>
    <t>Reinforcement Learning, Excel, TensorFlow, AWS, C++</t>
  </si>
  <si>
    <t>Allen-Miller</t>
  </si>
  <si>
    <t>Hugging Face, Power BI, SQL, Pandas, Reinforcement Learning</t>
  </si>
  <si>
    <t>Ray, Phillips and Kim</t>
  </si>
  <si>
    <t>PyTorch, Reinforcement Learning, R, NumPy</t>
  </si>
  <si>
    <t>Rodriguez-Williams</t>
  </si>
  <si>
    <t>MLflow, C++, SQL</t>
  </si>
  <si>
    <t>Randall-Sanchez</t>
  </si>
  <si>
    <t>MLflow, Azure, GCP, Flask, AWS</t>
  </si>
  <si>
    <t>Mendoza, Chung and Burnett</t>
  </si>
  <si>
    <t>Python, PyTorch, R, LangChain</t>
  </si>
  <si>
    <t>Odom PLC</t>
  </si>
  <si>
    <t>TensorFlow, Python, CUDA</t>
  </si>
  <si>
    <t>Miller, Jimenez and Walker</t>
  </si>
  <si>
    <t>C++, Pandas, Hugging Face, SQL, LangChain, Python</t>
  </si>
  <si>
    <t>Valdez-Williams</t>
  </si>
  <si>
    <t>NumPy, AWS, Excel</t>
  </si>
  <si>
    <t>Rodriguez, West and Erickson</t>
  </si>
  <si>
    <t>PyTorch, Reinforcement Learning, FastAPI, R, C++</t>
  </si>
  <si>
    <t>Church-Young</t>
  </si>
  <si>
    <t>Keras, LangChain, CUDA</t>
  </si>
  <si>
    <t>FastAPI, Scikit-learn, TensorFlow</t>
  </si>
  <si>
    <t>Ramirez PLC</t>
  </si>
  <si>
    <t>GCP, PyTorch, Flask</t>
  </si>
  <si>
    <t>MLflow, KDB+, LangChain</t>
  </si>
  <si>
    <t>Simmons PLC</t>
  </si>
  <si>
    <t>AWS, Excel, R</t>
  </si>
  <si>
    <t>Miller, Simmons and Johnson</t>
  </si>
  <si>
    <t>FastAPI, LangChain, SQL, TensorFlow, R</t>
  </si>
  <si>
    <t>Stevens, Ball and Tyler</t>
  </si>
  <si>
    <t>Keras, LangChain, R, MLflow, Azure, TensorFlow</t>
  </si>
  <si>
    <t>Hunt, Scott and Schneider</t>
  </si>
  <si>
    <t>SQL, R, Keras</t>
  </si>
  <si>
    <t>Wright, Diaz and Rosario</t>
  </si>
  <si>
    <t>Dean, Reid and Johnson</t>
  </si>
  <si>
    <t>AWS, CUDA, GCP, Scikit-learn, Azure</t>
  </si>
  <si>
    <t>Rose, Simon and Cruz</t>
  </si>
  <si>
    <t>SQL, Hugging Face, Azure, C++, Keras, Flask</t>
  </si>
  <si>
    <t>Russo Inc</t>
  </si>
  <si>
    <t>Excel, Power BI, GCP, CUDA, PyTorch, Keras</t>
  </si>
  <si>
    <t>Short, Hodge and Castillo</t>
  </si>
  <si>
    <t>Keras, C++, Scikit-learn, Flask, PyTorch, Pandas</t>
  </si>
  <si>
    <t>Bauer Group</t>
  </si>
  <si>
    <t>TensorFlow, Power BI, Reinforcement Learning, NumPy, CUDA, Excel</t>
  </si>
  <si>
    <t>Petty PLC</t>
  </si>
  <si>
    <t>Python, Azure, R, TensorFlow, GCP</t>
  </si>
  <si>
    <t>MLflow, BigQuery, Scikit-learn</t>
  </si>
  <si>
    <t>Stuart and Sons</t>
  </si>
  <si>
    <t>Hugging Face, C++, PyTorch, Reinforcement Learning, TensorFlow</t>
  </si>
  <si>
    <t>Barker, Monroe and Ortega</t>
  </si>
  <si>
    <t>Reinforcement Learning, GCP, NumPy</t>
  </si>
  <si>
    <t>Chambers-Santiago</t>
  </si>
  <si>
    <t>Reinforcement Learning, NumPy, Scikit-learn</t>
  </si>
  <si>
    <t>Nolan-Brown</t>
  </si>
  <si>
    <t>PyTorch, Hugging Face, GCP, Flask</t>
  </si>
  <si>
    <t>Cox, Fitzgerald and Wong</t>
  </si>
  <si>
    <t>R, FastAPI, AWS</t>
  </si>
  <si>
    <t>Zhang-Williams</t>
  </si>
  <si>
    <t>MLflow, CUDA, C++</t>
  </si>
  <si>
    <t>Henry-Grimes</t>
  </si>
  <si>
    <t>CUDA, AWS, NumPy, Azure, Power BI</t>
  </si>
  <si>
    <t>Garcia, Lowery and Alexander</t>
  </si>
  <si>
    <t>Keras, NumPy, Python, AWS, Flask, Azure</t>
  </si>
  <si>
    <t>Azure, Flask, MLflow, GCP</t>
  </si>
  <si>
    <t>Davis LLC</t>
  </si>
  <si>
    <t>FastAPI, CUDA, R</t>
  </si>
  <si>
    <t>Foster-Stephens</t>
  </si>
  <si>
    <t>AWS, CUDA, MLflow, Python</t>
  </si>
  <si>
    <t>Ho, Scott and Martinez</t>
  </si>
  <si>
    <t>Flask, SQL, PyTorch, Azure, AWS</t>
  </si>
  <si>
    <t>Green PLC</t>
  </si>
  <si>
    <t>C++, SQL, Python, MLflow, Power BI, FastAPI</t>
  </si>
  <si>
    <t>Hudson Group</t>
  </si>
  <si>
    <t>CUDA, SQL, Keras, C++</t>
  </si>
  <si>
    <t>Pham, Mathews and Gray</t>
  </si>
  <si>
    <t>MLflow, TensorFlow, NumPy, Pandas</t>
  </si>
  <si>
    <t>Saunders, Howell and Martinez</t>
  </si>
  <si>
    <t>TensorFlow, NumPy, Pandas, PyTorch, Azure</t>
  </si>
  <si>
    <t>KDB+, FastAPI, Scikit-learn</t>
  </si>
  <si>
    <t>King LLC</t>
  </si>
  <si>
    <t>FastAPI, Keras, CUDA, PyTorch, LangChain</t>
  </si>
  <si>
    <t>Anthony Group</t>
  </si>
  <si>
    <t>PyTorch, Azure, Reinforcement Learning, TensorFlow, Pandas, FastAPI</t>
  </si>
  <si>
    <t>Kim, Peterson and Schaefer</t>
  </si>
  <si>
    <t>GCP, MLflow, PyTorch</t>
  </si>
  <si>
    <t>Parrish-Small</t>
  </si>
  <si>
    <t>Python, Flask, LangChain, AWS, Keras</t>
  </si>
  <si>
    <t>FastAPI, Scikit-learn, PyTorch</t>
  </si>
  <si>
    <t>Shaw, Myers and Smith</t>
  </si>
  <si>
    <t>Azure, TensorFlow, C++</t>
  </si>
  <si>
    <t>Smith-Huynh</t>
  </si>
  <si>
    <t>Scikit-learn, Hugging Face, TensorFlow</t>
  </si>
  <si>
    <t>Cardenas-Williams</t>
  </si>
  <si>
    <t>Python, Azure, Reinforcement Learning, LangChain, AWS, Hugging Face</t>
  </si>
  <si>
    <t>LangChain, TensorFlow, KDB+</t>
  </si>
  <si>
    <t>Davis Inc</t>
  </si>
  <si>
    <t>MLflow, Python, TensorFlow, LangChain</t>
  </si>
  <si>
    <t>TensorFlow, PyTorch, KDB+</t>
  </si>
  <si>
    <t>Davis-Hudson</t>
  </si>
  <si>
    <t>GCP, Scikit-learn, Flask, AWS, Excel, Power BI</t>
  </si>
  <si>
    <t>Mcdonald, Carey and Cruz</t>
  </si>
  <si>
    <t>TensorFlow, R, FastAPI, Pandas, Power BI</t>
  </si>
  <si>
    <t>Williams LLC</t>
  </si>
  <si>
    <t>Python, Hugging Face, Scikit-learn, GCP</t>
  </si>
  <si>
    <t>Cooper PLC</t>
  </si>
  <si>
    <t>Azure, Pandas, TensorFlow, AWS</t>
  </si>
  <si>
    <t>BigQuery, Scikit-learn, PyTorch</t>
  </si>
  <si>
    <t>Graham, Ramirez and Haas</t>
  </si>
  <si>
    <t>R, Reinforcement Learning, Scikit-learn, PyTorch, GCP</t>
  </si>
  <si>
    <t>Lowe, Schmidt and Harris</t>
  </si>
  <si>
    <t>Excel, Hugging Face, AWS, TensorFlow, R, Power BI</t>
  </si>
  <si>
    <t>Kemp, Young and Stewart</t>
  </si>
  <si>
    <t>Python, Pandas, Excel, TensorFlow, Azure</t>
  </si>
  <si>
    <t>Hodges, Allen and Washington</t>
  </si>
  <si>
    <t>PyTorch, Pandas, Reinforcement Learning</t>
  </si>
  <si>
    <t>Blair PLC</t>
  </si>
  <si>
    <t>NumPy, Keras, PyTorch, TensorFlow, Flask, Excel</t>
  </si>
  <si>
    <t>FastAPI, PyTorch, BigQuery</t>
  </si>
  <si>
    <t>Cruz, Patrick and King</t>
  </si>
  <si>
    <t>R, TensorFlow, AWS</t>
  </si>
  <si>
    <t>Rivers, Jones and Cameron</t>
  </si>
  <si>
    <t>SQL, NumPy, Scikit-learn</t>
  </si>
  <si>
    <t>Lindsey-Chan</t>
  </si>
  <si>
    <t>MLflow, Flask, Keras, Scikit-learn, LangChain</t>
  </si>
  <si>
    <t>Hess Inc</t>
  </si>
  <si>
    <t>FastAPI, Excel, PyTorch, Flask, Reinforcement Learning</t>
  </si>
  <si>
    <t>BigQuery, PyTorch, FastAPI</t>
  </si>
  <si>
    <t>Hugging Face, GCP, Scikit-learn</t>
  </si>
  <si>
    <t>Moore, Fields and Valdez</t>
  </si>
  <si>
    <t>SQL, Python, Excel, Flask</t>
  </si>
  <si>
    <t>Todd-Wright</t>
  </si>
  <si>
    <t>SQL, Keras, Pandas, GCP</t>
  </si>
  <si>
    <t>Morrison and Sons</t>
  </si>
  <si>
    <t>CUDA, Power BI, AWS, FastAPI, C++</t>
  </si>
  <si>
    <t>Barrett, Bennett and Stokes</t>
  </si>
  <si>
    <t>C++, CUDA, Azure</t>
  </si>
  <si>
    <t>Jefferson, Orr and Gonzalez</t>
  </si>
  <si>
    <t>LangChain, GCP, Reinforcement Learning, Excel, FastAPI, Power BI</t>
  </si>
  <si>
    <t>Davis, Chambers and Lee</t>
  </si>
  <si>
    <t>Excel, Power BI, PyTorch, Hugging Face, R</t>
  </si>
  <si>
    <t>Guerra-Hall</t>
  </si>
  <si>
    <t>GCP, Reinforcement Learning, Keras, Pandas</t>
  </si>
  <si>
    <t>Brooks Ltd</t>
  </si>
  <si>
    <t>Keras, FastAPI, C++, Hugging Face</t>
  </si>
  <si>
    <t>Nolan, Jones and Nelson</t>
  </si>
  <si>
    <t>Python, PyTorch, SQL, FastAPI</t>
  </si>
  <si>
    <t>MLflow, FastAPI, Scikit-learn</t>
  </si>
  <si>
    <t>Davidson, Walsh and Meyers</t>
  </si>
  <si>
    <t>Keras, Python, Hugging Face, Flask</t>
  </si>
  <si>
    <t>Burgess-Barrera</t>
  </si>
  <si>
    <t>Hugging Face, Azure, PyTorch, GCP</t>
  </si>
  <si>
    <t>Anderson LLC</t>
  </si>
  <si>
    <t>TensorFlow, LangChain, Keras, Scikit-learn, Excel, C++</t>
  </si>
  <si>
    <t>Cameron, Carter and Smith</t>
  </si>
  <si>
    <t>Scikit-learn, Azure, GCP</t>
  </si>
  <si>
    <t>Christensen LLC</t>
  </si>
  <si>
    <t>FastAPI, TensorFlow, Keras</t>
  </si>
  <si>
    <t>Clark-Dennis</t>
  </si>
  <si>
    <t>R, NumPy, Scikit-learn</t>
  </si>
  <si>
    <t>Obrien and Sons</t>
  </si>
  <si>
    <t>Python, MLflow, SQL</t>
  </si>
  <si>
    <t>Scikit-learn, MLflow, FastAPI</t>
  </si>
  <si>
    <t>Gomez PLC</t>
  </si>
  <si>
    <t>R, Scikit-learn, Power BI</t>
  </si>
  <si>
    <t>Rogers-Shaw</t>
  </si>
  <si>
    <t>Pandas, LangChain, Python, Keras</t>
  </si>
  <si>
    <t>KDB+, Scikit-learn, TensorFlow</t>
  </si>
  <si>
    <t>Gardner-Murphy</t>
  </si>
  <si>
    <t>Hugging Face, R, Azure, Power BI, Excel</t>
  </si>
  <si>
    <t>Brooks, Morales and Parker</t>
  </si>
  <si>
    <t>Pandas, FastAPI, Hugging Face, PyTorch, Power BI</t>
  </si>
  <si>
    <t>Harrison, Nelson and Butler</t>
  </si>
  <si>
    <t>GCP, Pandas, FastAPI, C++, Excel</t>
  </si>
  <si>
    <t>Boyd, Manning and Smith</t>
  </si>
  <si>
    <t>Excel, Pandas, CUDA</t>
  </si>
  <si>
    <t>Morgan Group</t>
  </si>
  <si>
    <t>Reinforcement Learning, Hugging Face, Pandas, Excel</t>
  </si>
  <si>
    <t>Sutton, Rivera and Mcintyre</t>
  </si>
  <si>
    <t>Reinforcement Learning, LangChain, C++</t>
  </si>
  <si>
    <t>Lee Inc</t>
  </si>
  <si>
    <t>FastAPI, Excel, AWS, LangChain, Python</t>
  </si>
  <si>
    <t>Clark-Stevens</t>
  </si>
  <si>
    <t>Power BI, C++, R</t>
  </si>
  <si>
    <t>Young LLC</t>
  </si>
  <si>
    <t>C++, Hugging Face, Flask, Python, NumPy, Scikit-learn</t>
  </si>
  <si>
    <t>Shaffer Inc</t>
  </si>
  <si>
    <t>FastAPI, Azure, TensorFlow</t>
  </si>
  <si>
    <t>Powers, Lee and Graves</t>
  </si>
  <si>
    <t>MLflow, Reinforcement Learning, Python</t>
  </si>
  <si>
    <t>Williams-White</t>
  </si>
  <si>
    <t>CUDA, R, Reinforcement Learning</t>
  </si>
  <si>
    <t>Smith-Green</t>
  </si>
  <si>
    <t>Python, AWS, FastAPI</t>
  </si>
  <si>
    <t>Miller and Sons</t>
  </si>
  <si>
    <t>MLflow, AWS, SQL, Python</t>
  </si>
  <si>
    <t>Thomas-Howell</t>
  </si>
  <si>
    <t>MLflow, Azure, Python</t>
  </si>
  <si>
    <t>Velez, Foley and Walker</t>
  </si>
  <si>
    <t>Excel, Flask, Power BI, PyTorch, SQL, CUDA</t>
  </si>
  <si>
    <t>Mccoy Group</t>
  </si>
  <si>
    <t>Scikit-learn, AWS, CUDA, Azure, Hugging Face</t>
  </si>
  <si>
    <t>Hall Ltd</t>
  </si>
  <si>
    <t>LangChain, Python, AWS, R, Keras</t>
  </si>
  <si>
    <t>Dixon-Sanchez</t>
  </si>
  <si>
    <t>Excel, Azure, Pandas, PyTorch, SQL</t>
  </si>
  <si>
    <t>Goodman and Sons</t>
  </si>
  <si>
    <t>NumPy, Excel, LangChain</t>
  </si>
  <si>
    <t>Garcia, Moss and Mccormick</t>
  </si>
  <si>
    <t>TensorFlow, Flask, NumPy, GCP</t>
  </si>
  <si>
    <t>Mccullough-Fields</t>
  </si>
  <si>
    <t>Hugging Face, Flask, Pandas, Scikit-learn</t>
  </si>
  <si>
    <t>Green, Stewart and Nelson</t>
  </si>
  <si>
    <t>Python, Pandas, R, Scikit-learn</t>
  </si>
  <si>
    <t>LangChain, TensorFlow, BigQuery</t>
  </si>
  <si>
    <t>Montgomery and Sons</t>
  </si>
  <si>
    <t>Excel, TensorFlow, Azure, Reinforcement Learning</t>
  </si>
  <si>
    <t>Fuentes LLC</t>
  </si>
  <si>
    <t>Hugging Face, Keras, FastAPI, Power BI</t>
  </si>
  <si>
    <t>Farmer-Higgins</t>
  </si>
  <si>
    <t>Reinforcement Learning, Pandas, AWS</t>
  </si>
  <si>
    <t>FastAPI, KDB+, BigQuery</t>
  </si>
  <si>
    <t>Lyons-Dunlap</t>
  </si>
  <si>
    <t>Keras, Python, PyTorch, GCP, C++</t>
  </si>
  <si>
    <t>Moore, Whitney and Davis</t>
  </si>
  <si>
    <t>PyTorch, Flask, CUDA, NumPy, AWS, SQL</t>
  </si>
  <si>
    <t>Scikit-learn, PyTorch, FastAPI</t>
  </si>
  <si>
    <t>Glass and Sons</t>
  </si>
  <si>
    <t>LangChain, TensorFlow, Azure</t>
  </si>
  <si>
    <t>Gaines Ltd</t>
  </si>
  <si>
    <t>TensorFlow, FastAPI, PyTorch, Hugging Face, Pandas</t>
  </si>
  <si>
    <t>TensorFlow, LangChain, Scikit-learn</t>
  </si>
  <si>
    <t>Garcia-Cannon</t>
  </si>
  <si>
    <t>Keras, NumPy, R, LangChain, Reinforcement Learning</t>
  </si>
  <si>
    <t>Robbins, Luna and Wiggins</t>
  </si>
  <si>
    <t>SQL, LangChain, MLflow, AWS, Reinforcement Learning</t>
  </si>
  <si>
    <t>Green-Poole</t>
  </si>
  <si>
    <t>Flask, LangChain, FastAPI</t>
  </si>
  <si>
    <t>Shaw-Bell</t>
  </si>
  <si>
    <t>LangChain, SQL, Reinforcement Learning</t>
  </si>
  <si>
    <t>Mason, Gonzalez and Miller</t>
  </si>
  <si>
    <t>Power BI, AWS, TensorFlow, Keras, CUDA, Pandas</t>
  </si>
  <si>
    <t>Carroll-Carroll</t>
  </si>
  <si>
    <t>Power BI, Pandas, CUDA</t>
  </si>
  <si>
    <t>Fisher, Davis and Kelly</t>
  </si>
  <si>
    <t>Pandas, GCP, Hugging Face</t>
  </si>
  <si>
    <t>Hughes Ltd</t>
  </si>
  <si>
    <t>AWS, Power BI, MLflow, Python, GCP</t>
  </si>
  <si>
    <t>MLflow, LangChain, BigQuery</t>
  </si>
  <si>
    <t>Mcneil Ltd</t>
  </si>
  <si>
    <t>Pandas, R, AWS, PyTorch</t>
  </si>
  <si>
    <t>Clark, Garcia and Smith</t>
  </si>
  <si>
    <t>Hugging Face, Python, Pandas</t>
  </si>
  <si>
    <t>Robinson-Murphy</t>
  </si>
  <si>
    <t>Power BI, Python, GCP, C++</t>
  </si>
  <si>
    <t>Scikit-learn, FastAPI, TensorFlow</t>
  </si>
  <si>
    <t>Jenkins, Shelton and Galloway</t>
  </si>
  <si>
    <t>CUDA, AWS, Scikit-learn</t>
  </si>
  <si>
    <t>Oconnor, Montgomery and Figueroa</t>
  </si>
  <si>
    <t>Python, LangChain, Pandas, TensorFlow</t>
  </si>
  <si>
    <t>Lin-Robinson</t>
  </si>
  <si>
    <t>Hugging Face, Azure, NumPy</t>
  </si>
  <si>
    <t>LangChain, Scikit-learn, MLflow</t>
  </si>
  <si>
    <t>Thompson, Mosley and Mitchell</t>
  </si>
  <si>
    <t>R, Scikit-learn, SQL, LangChain</t>
  </si>
  <si>
    <t>Austin-Burke</t>
  </si>
  <si>
    <t>FastAPI, SQL, Scikit-learn, NumPy, Excel, PyTorch</t>
  </si>
  <si>
    <t>Smith-Webster</t>
  </si>
  <si>
    <t>Power BI, Scikit-learn, R, Python, Keras</t>
  </si>
  <si>
    <t>Bennett and Sons</t>
  </si>
  <si>
    <t>C++, Reinforcement Learning, Azure, CUDA, MLflow</t>
  </si>
  <si>
    <t>Hess-Hobbs</t>
  </si>
  <si>
    <t>Keras, AWS, NumPy, MLflow, TensorFlow, Flask</t>
  </si>
  <si>
    <t>Scott-Garcia</t>
  </si>
  <si>
    <t>Flask, Power BI, LangChain, Excel, MLflow, R</t>
  </si>
  <si>
    <t>FastAPI, TensorFlow, MLflow</t>
  </si>
  <si>
    <t>Scott Ltd</t>
  </si>
  <si>
    <t>Hugging Face, MLflow, CUDA, Python, Keras, SQL</t>
  </si>
  <si>
    <t>TensorFlow, FastAPI, Scikit-learn</t>
  </si>
  <si>
    <t>Wheeler, Thompson and Rivera</t>
  </si>
  <si>
    <t>Pandas, MLflow, TensorFlow, Power BI</t>
  </si>
  <si>
    <t>Collins LLC</t>
  </si>
  <si>
    <t>R, CUDA, TensorFlow</t>
  </si>
  <si>
    <t>Decker, Wilson and Daniel</t>
  </si>
  <si>
    <t>Azure, Excel, Power BI, SQL</t>
  </si>
  <si>
    <t>Erickson-Hill</t>
  </si>
  <si>
    <t>LangChain, Reinforcement Learning, CUDA, R, SQL, Excel</t>
  </si>
  <si>
    <t>Harrison, Miller and Vasquez</t>
  </si>
  <si>
    <t>Flask, Reinforcement Learning, Pandas, CUDA, Azure</t>
  </si>
  <si>
    <t>Avery-Randall</t>
  </si>
  <si>
    <t>TensorFlow, Power BI, PyTorch</t>
  </si>
  <si>
    <t>Gonzalez LLC</t>
  </si>
  <si>
    <t>C++, Hugging Face, PyTorch, SQL</t>
  </si>
  <si>
    <t>Rodriguez LLC</t>
  </si>
  <si>
    <t>LangChain, AWS, Hugging Face, Flask, R</t>
  </si>
  <si>
    <t>Diaz PLC</t>
  </si>
  <si>
    <t>Python, TensorFlow, GCP, R</t>
  </si>
  <si>
    <t>Perez-Herman</t>
  </si>
  <si>
    <t>C++, GCP, Keras, AWS, TensorFlow, LangChain</t>
  </si>
  <si>
    <t>Reese Inc</t>
  </si>
  <si>
    <t>Python, PyTorch, Hugging Face, CUDA, Azure, MLflow</t>
  </si>
  <si>
    <t>BigQuery, LangChain</t>
  </si>
  <si>
    <t>Yang-Ross</t>
  </si>
  <si>
    <t>GCP, Power BI, Azure, Python</t>
  </si>
  <si>
    <t>KDB+, TensorFlow, Scikit-learn</t>
  </si>
  <si>
    <t>Arnold, Burns and Garcia</t>
  </si>
  <si>
    <t>C++, FastAPI, Scikit-learn</t>
  </si>
  <si>
    <t>Blankenship-Ferguson</t>
  </si>
  <si>
    <t>FastAPI, AWS, Power BI, Flask, SQL, MLflow</t>
  </si>
  <si>
    <t>Acosta, Roy and Gutierrez</t>
  </si>
  <si>
    <t>Python, AWS, R, Pandas, Power BI, TensorFlow</t>
  </si>
  <si>
    <t>Barton, Guzman and Jones</t>
  </si>
  <si>
    <t>Pandas, R, LangChain</t>
  </si>
  <si>
    <t>Miller-Schultz</t>
  </si>
  <si>
    <t>Flask, C++, NumPy, Python, GCP</t>
  </si>
  <si>
    <t>Hendricks Group</t>
  </si>
  <si>
    <t>Hugging Face, Flask, MLflow</t>
  </si>
  <si>
    <t>Burke, Paul and Conner</t>
  </si>
  <si>
    <t>Excel, Reinforcement Learning, Pandas, GCP, FastAPI</t>
  </si>
  <si>
    <t>Glenn-Rodriguez</t>
  </si>
  <si>
    <t>SQL, GCP, Scikit-learn</t>
  </si>
  <si>
    <t>Schaefer-Anderson</t>
  </si>
  <si>
    <t>C++, Python, GCP</t>
  </si>
  <si>
    <t>Harris, Hopkins and Miranda</t>
  </si>
  <si>
    <t>NumPy, Pandas, Reinforcement Learning</t>
  </si>
  <si>
    <t>PyTorch, Scikit-learn, TensorFlow</t>
  </si>
  <si>
    <t>Reyes LLC</t>
  </si>
  <si>
    <t>Reinforcement Learning, Python, MLflow, Flask</t>
  </si>
  <si>
    <t>Smith, Adkins and Peterson</t>
  </si>
  <si>
    <t>Scikit-learn, LangChain, MLflow, FastAPI</t>
  </si>
  <si>
    <t>Guerra and Sons</t>
  </si>
  <si>
    <t>Azure, MLflow, Pandas, PyTorch</t>
  </si>
  <si>
    <t>MLflow, PyTorch, LangChain</t>
  </si>
  <si>
    <t>AWS, Keras, Flask, R, PyTorch, Python</t>
  </si>
  <si>
    <t>Rodriguez-Mcgrath</t>
  </si>
  <si>
    <t>GCP, Keras, LangChain</t>
  </si>
  <si>
    <t>Mullen, Chaney and Morris</t>
  </si>
  <si>
    <t>R, Pandas, TensorFlow, Hugging Face, Python</t>
  </si>
  <si>
    <t>Walker, Welch and Alexander</t>
  </si>
  <si>
    <t>SQL, Excel, Azure, PyTorch, Scikit-learn</t>
  </si>
  <si>
    <t>Scikit-learn, LangChain, TensorFlow</t>
  </si>
  <si>
    <t>Cochran Ltd</t>
  </si>
  <si>
    <t>SQL, NumPy, Python, Power BI, Scikit-learn</t>
  </si>
  <si>
    <t>Wells PLC</t>
  </si>
  <si>
    <t>Pandas, CUDA, R, Python, FastAPI, SQL</t>
  </si>
  <si>
    <t>Knight PLC</t>
  </si>
  <si>
    <t>LangChain, Pandas, Flask, AWS</t>
  </si>
  <si>
    <t>Rivers-Bautista</t>
  </si>
  <si>
    <t>Power BI, NumPy, LangChain, CUDA, Reinforcement Learning, Excel</t>
  </si>
  <si>
    <t>Cabrera, Schultz and Walker</t>
  </si>
  <si>
    <t>Keras, Scikit-learn, MLflow, Python, SQL, Excel</t>
  </si>
  <si>
    <t>TensorFlow, LangChain, MLflow</t>
  </si>
  <si>
    <t>Morgan, Novak and Sullivan</t>
  </si>
  <si>
    <t>GCP, SQL, TensorFlow, Keras, Reinforcement Learning</t>
  </si>
  <si>
    <t>Hall, Oconnell and Wilson</t>
  </si>
  <si>
    <t>Power BI, R, C++, TensorFlow, Python</t>
  </si>
  <si>
    <t>Harris Ltd</t>
  </si>
  <si>
    <t>PyTorch, FastAPI, MLflow, C++, Pandas, NumPy</t>
  </si>
  <si>
    <t>Barajas-Wilson</t>
  </si>
  <si>
    <t>AWS, Pandas, FastAPI, R</t>
  </si>
  <si>
    <t>KDB+, LangChain, Scikit-learn</t>
  </si>
  <si>
    <t>Olsen and Sons</t>
  </si>
  <si>
    <t>Pandas, Hugging Face, LangChain, Reinforcement Learning</t>
  </si>
  <si>
    <t>Adams-Bautista</t>
  </si>
  <si>
    <t>Excel, Power BI, Azure, NumPy, Hugging Face, LangChain</t>
  </si>
  <si>
    <t>Montgomery-Bell</t>
  </si>
  <si>
    <t>Power BI, TensorFlow, Python, Azure, C++, SQL</t>
  </si>
  <si>
    <t>FastAPI, MLflow, LangChain</t>
  </si>
  <si>
    <t>Case PLC</t>
  </si>
  <si>
    <t>MLflow, PyTorch, Azure, R, Python, GCP</t>
  </si>
  <si>
    <t>Fisher LLC</t>
  </si>
  <si>
    <t>Pandas, AWS, MLflow, TensorFlow</t>
  </si>
  <si>
    <t>Keras, FastAPI, Python, Excel, AWS</t>
  </si>
  <si>
    <t>PyTorch, TensorFlow, Scikit-learn</t>
  </si>
  <si>
    <t>Weiss Inc</t>
  </si>
  <si>
    <t>Power BI, MLflow, FastAPI, R, TensorFlow, NumPy</t>
  </si>
  <si>
    <t>TensorFlow, FastAPI, LangChain</t>
  </si>
  <si>
    <t>Mendoza, Bishop and Wade</t>
  </si>
  <si>
    <t>GCP, FastAPI, Excel</t>
  </si>
  <si>
    <t>Stephenson and Sons</t>
  </si>
  <si>
    <t>AWS, C++, MLflow</t>
  </si>
  <si>
    <t>Hernandez-Robles</t>
  </si>
  <si>
    <t>Keras, TensorFlow, R, Azure</t>
  </si>
  <si>
    <t>Carter, Gordon and Hurst</t>
  </si>
  <si>
    <t>AWS, Azure, Flask, Reinforcement Learning, TensorFlow, Excel</t>
  </si>
  <si>
    <t>Thomas and Sons</t>
  </si>
  <si>
    <t>Excel, Flask, Hugging Face, TensorFlow</t>
  </si>
  <si>
    <t>Love LLC</t>
  </si>
  <si>
    <t>CUDA, TensorFlow, FastAPI, Power BI, LangChain, MLflow</t>
  </si>
  <si>
    <t>Ingram-Long</t>
  </si>
  <si>
    <t>R, AWS, Python, MLflow</t>
  </si>
  <si>
    <t>FastAPI, BigQuery, PyTorch</t>
  </si>
  <si>
    <t>Zavala, Jones and Williams</t>
  </si>
  <si>
    <t>Python, FastAPI, MLflow, LangChain</t>
  </si>
  <si>
    <t>Leon, May and Wilson</t>
  </si>
  <si>
    <t>LangChain, Python, AWS</t>
  </si>
  <si>
    <t>Norton-Flores</t>
  </si>
  <si>
    <t>LangChain, R, Azure, CUDA</t>
  </si>
  <si>
    <t>Brown, Ross and Wright</t>
  </si>
  <si>
    <t>Hugging Face, Scikit-learn, Excel, SQL</t>
  </si>
  <si>
    <t>Townsend, Jenkins and Johnson</t>
  </si>
  <si>
    <t>Reinforcement Learning, LangChain, CUDA</t>
  </si>
  <si>
    <t>BigQuery, Scikit-learn, FastAPI</t>
  </si>
  <si>
    <t>Riddle, Hicks and Thompson</t>
  </si>
  <si>
    <t>Keras, C++, Azure, FastAPI, CUDA, Scikit-learn</t>
  </si>
  <si>
    <t>Herrera, Moore and Braun</t>
  </si>
  <si>
    <t>CUDA, C++, Excel</t>
  </si>
  <si>
    <t>Jones LLC</t>
  </si>
  <si>
    <t>R, Hugging Face, Excel, Keras</t>
  </si>
  <si>
    <t>Jones-Ortiz</t>
  </si>
  <si>
    <t>LangChain, TensorFlow, C++, Power BI, MLflow, AWS</t>
  </si>
  <si>
    <t>Howe-Gallagher</t>
  </si>
  <si>
    <t>Python, Keras, CUDA, PyTorch, MLflow, NumPy</t>
  </si>
  <si>
    <t>Ellis-Bailey</t>
  </si>
  <si>
    <t>C++, Power BI, Pandas</t>
  </si>
  <si>
    <t>Robinson Group</t>
  </si>
  <si>
    <t>Scikit-learn, PyTorch, R, FastAPI, Excel, NumPy</t>
  </si>
  <si>
    <t>KDB+, BigQuery, FastAPI</t>
  </si>
  <si>
    <t>Goodwin-Ramirez</t>
  </si>
  <si>
    <t>Hugging Face, FastAPI, C++, CUDA</t>
  </si>
  <si>
    <t>Bennett-Jackson</t>
  </si>
  <si>
    <t>Reinforcement Learning, TensorFlow, SQL, Flask, C++, Keras</t>
  </si>
  <si>
    <t>LangChain, MLflow, KDB+</t>
  </si>
  <si>
    <t>Bean-Chavez</t>
  </si>
  <si>
    <t>Pandas, NumPy, TensorFlow, R</t>
  </si>
  <si>
    <t>Goodwin, Harrison and Lopez</t>
  </si>
  <si>
    <t>Azure, PyTorch, R, Scikit-learn, AWS, Excel</t>
  </si>
  <si>
    <t>Gardner-Li</t>
  </si>
  <si>
    <t>Excel, SQL, GCP, Hugging Face, R</t>
  </si>
  <si>
    <t>Robinson-Hill</t>
  </si>
  <si>
    <t>Excel, CUDA, GCP, Reinforcement Learning, TensorFlow</t>
  </si>
  <si>
    <t>Keras, Hugging Face, R</t>
  </si>
  <si>
    <t>Fisher, Miller and Duarte</t>
  </si>
  <si>
    <t>Azure, Scikit-learn, Python, AWS, LangChain, C++</t>
  </si>
  <si>
    <t>Clayton, Pratt and Stone</t>
  </si>
  <si>
    <t>PyTorch, Excel, Scikit-learn, TensorFlow</t>
  </si>
  <si>
    <t>Jones, Spencer and Bowers</t>
  </si>
  <si>
    <t>Scikit-learn, GCP, AWS, FastAPI, Excel, Pandas</t>
  </si>
  <si>
    <t>Lyons Inc</t>
  </si>
  <si>
    <t>CUDA, R, GCP</t>
  </si>
  <si>
    <t>Robinson PLC</t>
  </si>
  <si>
    <t>FastAPI, C++, Azure, Reinforcement Learning, CUDA</t>
  </si>
  <si>
    <t>Lopez, Davis and Greene</t>
  </si>
  <si>
    <t>LangChain, Azure, CUDA, GCP</t>
  </si>
  <si>
    <t>KDB+, LangChain, PyTorch</t>
  </si>
  <si>
    <t>Williams, Romero and Goodwin</t>
  </si>
  <si>
    <t>Azure, PyTorch, Excel, R, NumPy</t>
  </si>
  <si>
    <t>Martinez LLC</t>
  </si>
  <si>
    <t>R, MLflow, AWS, Flask, C++</t>
  </si>
  <si>
    <t>Lopez-Hughes</t>
  </si>
  <si>
    <t>AWS, Reinforcement Learning, TensorFlow, FastAPI, SQL, Power BI</t>
  </si>
  <si>
    <t>LangChain, PyTorch, BigQuery</t>
  </si>
  <si>
    <t>Palmer, Moody and Wallace</t>
  </si>
  <si>
    <t>CUDA, NumPy, Power BI, Azure, C++</t>
  </si>
  <si>
    <t>PyTorch, MLflow, KDB+</t>
  </si>
  <si>
    <t>Lawrence PLC</t>
  </si>
  <si>
    <t>SQL, Flask, FastAPI, Pandas, Power BI</t>
  </si>
  <si>
    <t>FastAPI, PyTorch, MLflow</t>
  </si>
  <si>
    <t>Harrison-Stevenson</t>
  </si>
  <si>
    <t>GCP, Excel, NumPy, Azure, R, Pandas</t>
  </si>
  <si>
    <t>Webb-Garcia</t>
  </si>
  <si>
    <t>Python, MLflow, Reinforcement Learning, Power BI, Flask</t>
  </si>
  <si>
    <t>Williams-Leonard</t>
  </si>
  <si>
    <t>Flask, GCP, MLflow, Keras, CUDA, AWS</t>
  </si>
  <si>
    <t>Fox Group</t>
  </si>
  <si>
    <t>TensorFlow, C++, AWS, GCP</t>
  </si>
  <si>
    <t>Taylor, Ruiz and Hernandez</t>
  </si>
  <si>
    <t>Azure, LangChain, C++, NumPy, MLflow</t>
  </si>
  <si>
    <t>Taylor, Thompson and Good</t>
  </si>
  <si>
    <t>Scikit-learn, C++, LangChain, CUDA, Excel, Flask</t>
  </si>
  <si>
    <t>Wheeler, Hall and Gonzalez</t>
  </si>
  <si>
    <t>Excel, AWS, Flask, NumPy</t>
  </si>
  <si>
    <t>Bell, Jones and Munoz</t>
  </si>
  <si>
    <t>FastAPI, Keras, MLflow</t>
  </si>
  <si>
    <t>Moyer, Nelson and Johnston</t>
  </si>
  <si>
    <t>Keras, PyTorch, TensorFlow, Scikit-learn, Azure</t>
  </si>
  <si>
    <t>Shepard, Anderson and Robinson</t>
  </si>
  <si>
    <t>Excel, CUDA, Reinforcement Learning</t>
  </si>
  <si>
    <t>Smith and Sons</t>
  </si>
  <si>
    <t>Hugging Face, GCP, Azure</t>
  </si>
  <si>
    <t>Mathews, Chavez and Scott</t>
  </si>
  <si>
    <t>LangChain, AWS, NumPy, Flask, GCP, Excel</t>
  </si>
  <si>
    <t>Wiley LLC</t>
  </si>
  <si>
    <t>SQL, NumPy, Excel, Pandas, Python</t>
  </si>
  <si>
    <t>Lawrence, Smith and Powell</t>
  </si>
  <si>
    <t>Reinforcement Learning, Flask, CUDA</t>
  </si>
  <si>
    <t>Allen, Harvey and Jordan</t>
  </si>
  <si>
    <t>C++, GCP, Pandas, MLflow, TensorFlow</t>
  </si>
  <si>
    <t>Shaw-Knapp</t>
  </si>
  <si>
    <t>Reinforcement Learning, C++, PyTorch, AWS, Azure</t>
  </si>
  <si>
    <t>FastAPI, LangChain, KDB+</t>
  </si>
  <si>
    <t>Phillips Ltd</t>
  </si>
  <si>
    <t>LangChain, PyTorch, GCP, AWS, C++, Azure</t>
  </si>
  <si>
    <t>Lang-Hill</t>
  </si>
  <si>
    <t>Hugging Face, Flask, LangChain, TensorFlow, Pandas, FastAPI</t>
  </si>
  <si>
    <t>TensorFlow, BigQuery, FastAPI</t>
  </si>
  <si>
    <t>Hernandez LLC</t>
  </si>
  <si>
    <t>PyTorch, C++, Python, TensorFlow, Power BI</t>
  </si>
  <si>
    <t>Bradford, Ryan and Edwards</t>
  </si>
  <si>
    <t>FastAPI, Excel, TensorFlow</t>
  </si>
  <si>
    <t>LangChain, Scikit-learn, KDB+</t>
  </si>
  <si>
    <t>Lang PLC</t>
  </si>
  <si>
    <t>Power BI, TensorFlow, Keras</t>
  </si>
  <si>
    <t>Rivas Inc</t>
  </si>
  <si>
    <t>Pandas, TensorFlow, Keras, Python, Excel</t>
  </si>
  <si>
    <t>Spencer-Watson</t>
  </si>
  <si>
    <t>MLflow, C++, Excel</t>
  </si>
  <si>
    <t>Ward, Morton and Taylor</t>
  </si>
  <si>
    <t>Azure, Flask, Keras, Scikit-learn, Reinforcement Learning, GCP</t>
  </si>
  <si>
    <t>KDB+, MLflow, Scikit-learn</t>
  </si>
  <si>
    <t>Deleon, Waters and Perez</t>
  </si>
  <si>
    <t>NumPy, PyTorch, R, Flask, Python, Keras</t>
  </si>
  <si>
    <t>Thomas, Park and Smith</t>
  </si>
  <si>
    <t>CUDA, Excel, Azure, NumPy</t>
  </si>
  <si>
    <t>TensorFlow, MLflow, KDB+</t>
  </si>
  <si>
    <t>Wilcox PLC</t>
  </si>
  <si>
    <t>NumPy, Pandas, Excel</t>
  </si>
  <si>
    <t>PyTorch, FastAPI, BigQuery</t>
  </si>
  <si>
    <t>Sanders-English</t>
  </si>
  <si>
    <t>NumPy, AWS, Reinforcement Learning, Scikit-learn, MLflow</t>
  </si>
  <si>
    <t>Jackson-Johnson</t>
  </si>
  <si>
    <t>Flask, Keras, FastAPI, Azure, TensorFlow</t>
  </si>
  <si>
    <t>PyTorch, KDB+, MLflow</t>
  </si>
  <si>
    <t>Morgan, Moore and Ramirez</t>
  </si>
  <si>
    <t>SQL, Excel, GCP, Keras, FastAPI, MLflow</t>
  </si>
  <si>
    <t>Hugging Face, MLflow, Reinforcement Learning</t>
  </si>
  <si>
    <t>Rojas-Mckinney</t>
  </si>
  <si>
    <t>FastAPI, Reinforcement Learning, PyTorch</t>
  </si>
  <si>
    <t>Gilbert-Gonzalez</t>
  </si>
  <si>
    <t>CUDA, NumPy, Flask, LangChain, Power BI, Azure</t>
  </si>
  <si>
    <t>Martinez-Martin</t>
  </si>
  <si>
    <t>Ayers-Davis</t>
  </si>
  <si>
    <t>Hugging Face, Flask, Power BI, Pandas, Excel</t>
  </si>
  <si>
    <t>Mcintosh Inc</t>
  </si>
  <si>
    <t>R, PyTorch, Flask, GCP, Hugging Face</t>
  </si>
  <si>
    <t>Barnes, Cervantes and Ramos</t>
  </si>
  <si>
    <t>PyTorch, Scikit-learn, C++, Azure</t>
  </si>
  <si>
    <t>Harris-Flores</t>
  </si>
  <si>
    <t>PyTorch, MLflow, Scikit-learn</t>
  </si>
  <si>
    <t>MLflow, LangChain, PyTorch</t>
  </si>
  <si>
    <t>Montgomery, Bradley and Brandt</t>
  </si>
  <si>
    <t>Azure, Reinforcement Learning, SQL, LangChain</t>
  </si>
  <si>
    <t>Wright-Ochoa</t>
  </si>
  <si>
    <t>R, C++, Keras</t>
  </si>
  <si>
    <t>PyTorch, FastAPI, TensorFlow</t>
  </si>
  <si>
    <t>Sanders Group</t>
  </si>
  <si>
    <t>C++, Pandas, FastAPI, MLflow, Excel</t>
  </si>
  <si>
    <t>Meadows Group</t>
  </si>
  <si>
    <t>AWS, Flask, Keras, Hugging Face, NumPy, Scikit-learn</t>
  </si>
  <si>
    <t>Thompson-Patterson</t>
  </si>
  <si>
    <t>AWS, Hugging Face, GCP, Power BI, Keras</t>
  </si>
  <si>
    <t>TensorFlow, PyTorch, FastAPI</t>
  </si>
  <si>
    <t>Edwards, Moore and Miller</t>
  </si>
  <si>
    <t>GCP, R, Reinforcement Learning, PyTorch, Hugging Face, Excel</t>
  </si>
  <si>
    <t>Martinez and Sons</t>
  </si>
  <si>
    <t>PyTorch, GCP, Keras, NumPy, Flask</t>
  </si>
  <si>
    <t>Shepard-Kelly</t>
  </si>
  <si>
    <t>TensorFlow, MLflow, C++, Flask, SQL, GCP</t>
  </si>
  <si>
    <t>Lambert Inc</t>
  </si>
  <si>
    <t>C++, Pandas, Flask, Hugging Face, Excel</t>
  </si>
  <si>
    <t>Blankenship, Greer and Hernandez</t>
  </si>
  <si>
    <t>R, CUDA, Pandas, TensorFlow, Azure, PyTorch</t>
  </si>
  <si>
    <t>Benson LLC</t>
  </si>
  <si>
    <t>Scikit-learn, TensorFlow, PyTorch, Python</t>
  </si>
  <si>
    <t>Martinez-Braun</t>
  </si>
  <si>
    <t>TensorFlow, GCP, Python</t>
  </si>
  <si>
    <t>Powell-Moreno</t>
  </si>
  <si>
    <t>FastAPI, Hugging Face, R, Keras, NumPy, PyTorch</t>
  </si>
  <si>
    <t>Pitts-Fuentes</t>
  </si>
  <si>
    <t>Keras, Scikit-learn, R, Flask, Python, FastAPI</t>
  </si>
  <si>
    <t>Allen Ltd</t>
  </si>
  <si>
    <t>Azure, PyTorch, CUDA, TensorFlow, Flask</t>
  </si>
  <si>
    <t>Anderson, Reyes and Perez</t>
  </si>
  <si>
    <t>Pandas, Azure, Power BI</t>
  </si>
  <si>
    <t>PyTorch, Scikit-learn, MLflow</t>
  </si>
  <si>
    <t>Boyd-Brooks</t>
  </si>
  <si>
    <t>Reinforcement Learning, NumPy, LangChain, GCP</t>
  </si>
  <si>
    <t>Excel, Hugging Face, TensorFlow</t>
  </si>
  <si>
    <t>Oconnor-Russell</t>
  </si>
  <si>
    <t>AWS, MLflow, CUDA, FastAPI, Keras, Reinforcement Learning</t>
  </si>
  <si>
    <t>Jensen-Adams</t>
  </si>
  <si>
    <t>Pandas, TensorFlow, NumPy</t>
  </si>
  <si>
    <t>Smith-Coleman</t>
  </si>
  <si>
    <t>NumPy, SQL, Flask, Power BI, GCP</t>
  </si>
  <si>
    <t>Rose, Johnson and Cook</t>
  </si>
  <si>
    <t>PyTorch, AWS, Flask, Scikit-learn</t>
  </si>
  <si>
    <t>Davies-Vazquez</t>
  </si>
  <si>
    <t>Excel, Power BI, C++, R, Hugging Face, SQL</t>
  </si>
  <si>
    <t>Frazier, Torres and Humphrey</t>
  </si>
  <si>
    <t>Python, R, Flask</t>
  </si>
  <si>
    <t>Chen and Sons</t>
  </si>
  <si>
    <t>PyTorch, SQL, CUDA, Excel</t>
  </si>
  <si>
    <t>Kramer, Mccall and Simpson</t>
  </si>
  <si>
    <t>Python, Excel, MLflow</t>
  </si>
  <si>
    <t>Lee LLC</t>
  </si>
  <si>
    <t>NumPy, R, Reinforcement Learning, Pandas, AWS, SQL</t>
  </si>
  <si>
    <t>Bennett-Johnson</t>
  </si>
  <si>
    <t>CUDA, GCP, Flask, Excel</t>
  </si>
  <si>
    <t>Butler-Reese</t>
  </si>
  <si>
    <t>TensorFlow, C++, Excel, LangChain, Power BI, Azure</t>
  </si>
  <si>
    <t>Hernandez-Schwartz</t>
  </si>
  <si>
    <t>PyTorch, Power BI, LangChain, Keras</t>
  </si>
  <si>
    <t>LangChain, MLflow, FastAPI</t>
  </si>
  <si>
    <t>Reynolds, James and Holland</t>
  </si>
  <si>
    <t>FastAPI, Pandas, CUDA, C++, AWS, Hugging Face</t>
  </si>
  <si>
    <t>Peterson Inc</t>
  </si>
  <si>
    <t>Excel, NumPy, C++, Pandas</t>
  </si>
  <si>
    <t>Johnson, Gomez and Simpson</t>
  </si>
  <si>
    <t>TensorFlow, Hugging Face, R</t>
  </si>
  <si>
    <t>Hughes, Hoover and Reyes</t>
  </si>
  <si>
    <t>GCP, SQL, NumPy, Python, Azure</t>
  </si>
  <si>
    <t>MLflow, FastAPI, PyTorch</t>
  </si>
  <si>
    <t>Ibarra-Garcia</t>
  </si>
  <si>
    <t>Hugging Face, SQL, Azure, LangChain, AWS, NumPy</t>
  </si>
  <si>
    <t>Stafford Ltd</t>
  </si>
  <si>
    <t>C++, Keras, SQL, R, AWS</t>
  </si>
  <si>
    <t>Roberts-Green</t>
  </si>
  <si>
    <t>Pandas, GCP, Azure, LangChain, CUDA</t>
  </si>
  <si>
    <t>Graham-Cruz</t>
  </si>
  <si>
    <t>R, Azure, Hugging Face, C++, PyTorch, AWS</t>
  </si>
  <si>
    <t>PyTorch, BigQuery, TensorFlow</t>
  </si>
  <si>
    <t>Hernandez, Carrillo and Garza</t>
  </si>
  <si>
    <t>NumPy, Azure, PyTorch, Python, Pandas, R</t>
  </si>
  <si>
    <t>Kelley, Mathews and Serrano</t>
  </si>
  <si>
    <t>Power BI, R, NumPy</t>
  </si>
  <si>
    <t>PyTorch, KDB+, BigQuery</t>
  </si>
  <si>
    <t>Norton-White</t>
  </si>
  <si>
    <t>Azure, MLflow, Scikit-learn, TensorFlow</t>
  </si>
  <si>
    <t>KDB+, PyTorch, TensorFlow</t>
  </si>
  <si>
    <t>Leonard-Cooper</t>
  </si>
  <si>
    <t>TensorFlow, LangChain, Hugging Face</t>
  </si>
  <si>
    <t>Scikit-learn, KDB+, FastAPI</t>
  </si>
  <si>
    <t>Patel, Davis and Anderson</t>
  </si>
  <si>
    <t>Scikit-learn, LangChain, Power BI, TensorFlow</t>
  </si>
  <si>
    <t>White, Valencia and Humphrey</t>
  </si>
  <si>
    <t>TensorFlow, CUDA, Excel, C++, Pandas</t>
  </si>
  <si>
    <t>GCP, Keras, Hugging Face, TensorFlow, SQL</t>
  </si>
  <si>
    <t>LangChain, Hugging Face, NumPy</t>
  </si>
  <si>
    <t>Hill Inc</t>
  </si>
  <si>
    <t>Excel, PyTorch, TensorFlow</t>
  </si>
  <si>
    <t>Mcdowell-Thompson</t>
  </si>
  <si>
    <t>Python, LangChain, SQL, TensorFlow, Excel</t>
  </si>
  <si>
    <t>Hampton-Brooks</t>
  </si>
  <si>
    <t>SQL, CUDA, Flask, MLflow, TensorFlow</t>
  </si>
  <si>
    <t>Hartman Inc</t>
  </si>
  <si>
    <t>Excel, Azure, FastAPI, LangChain, GCP</t>
  </si>
  <si>
    <t>Scikit-learn, LangChain, FastAPI</t>
  </si>
  <si>
    <t>Gray, Gonzalez and Moore</t>
  </si>
  <si>
    <t>PyTorch, Excel, CUDA, Keras</t>
  </si>
  <si>
    <t>Mcgee and Sons</t>
  </si>
  <si>
    <t>MLflow, AWS, CUDA, Hugging Face, FastAPI, NumPy</t>
  </si>
  <si>
    <t>Zimmerman-Becker</t>
  </si>
  <si>
    <t>PyTorch, Hugging Face, MLflow, R, Keras, Reinforcement Learning</t>
  </si>
  <si>
    <t>Bray-Hayden</t>
  </si>
  <si>
    <t>Pandas, CUDA, GCP, TensorFlow</t>
  </si>
  <si>
    <t>Adams, Mitchell and Stanley</t>
  </si>
  <si>
    <t>MLflow, Power BI, Pandas, SQL</t>
  </si>
  <si>
    <t>Cameron Group</t>
  </si>
  <si>
    <t>Crawford Ltd</t>
  </si>
  <si>
    <t>Excel, NumPy, R, TensorFlow</t>
  </si>
  <si>
    <t>Nunez, Reed and Dominguez</t>
  </si>
  <si>
    <t>Excel, Pandas, AWS, MLflow</t>
  </si>
  <si>
    <t>Martinez-Jacobs</t>
  </si>
  <si>
    <t>Keras, Flask, NumPy</t>
  </si>
  <si>
    <t>FastAPI, KDB+, MLflow</t>
  </si>
  <si>
    <t>Reinforcement Learning, Power BI, SQL, MLflow, Excel, Scikit-learn</t>
  </si>
  <si>
    <t>SQL, AWS, Python</t>
  </si>
  <si>
    <t>Taylor and Sons</t>
  </si>
  <si>
    <t>AWS, GCP, Reinforcement Learning, Pandas, C++, NumPy</t>
  </si>
  <si>
    <t>Burns-Lewis</t>
  </si>
  <si>
    <t>R, Azure, Python</t>
  </si>
  <si>
    <t>Khan Inc</t>
  </si>
  <si>
    <t>Scikit-learn, Reinforcement Learning, Pandas, LangChain, Python, CUDA</t>
  </si>
  <si>
    <t>Hall, Golden and Randall</t>
  </si>
  <si>
    <t>Hugging Face, LangChain, Keras, NumPy</t>
  </si>
  <si>
    <t>Anderson Inc</t>
  </si>
  <si>
    <t>NumPy, LangChain, MLflow, CUDA, TensorFlow</t>
  </si>
  <si>
    <t>Harris and Sons</t>
  </si>
  <si>
    <t>NumPy, Python, Pandas</t>
  </si>
  <si>
    <t>Thomas, Horton and Evans</t>
  </si>
  <si>
    <t>MLflow, Keras, Hugging Face, Scikit-learn, R</t>
  </si>
  <si>
    <t>MLflow, Scikit-learn, SQL</t>
  </si>
  <si>
    <t>Coleman-Brown</t>
  </si>
  <si>
    <t>TensorFlow, Reinforcement Learning, Python, AWS, Pandas, Power BI</t>
  </si>
  <si>
    <t>TensorFlow, KDB+, Scikit-learn</t>
  </si>
  <si>
    <t>Walker, Miller and Williams</t>
  </si>
  <si>
    <t>NumPy, FastAPI, PyTorch</t>
  </si>
  <si>
    <t>TensorFlow, MLflow, SQL, Flask, CUDA, C++</t>
  </si>
  <si>
    <t>Wilcox-Orozco</t>
  </si>
  <si>
    <t>LangChain, Hugging Face, Excel, Reinforcement Learning, Python</t>
  </si>
  <si>
    <t>Fry-Sanders</t>
  </si>
  <si>
    <t>Excel, Pandas, NumPy, Azure</t>
  </si>
  <si>
    <t>Herrera, Dean and Wright</t>
  </si>
  <si>
    <t>Power BI, C++, Excel, PyTorch, Pandas</t>
  </si>
  <si>
    <t>MLflow, LangChain, Scikit-learn</t>
  </si>
  <si>
    <t>Black Ltd</t>
  </si>
  <si>
    <t>LangChain, Flask, Pandas</t>
  </si>
  <si>
    <t>Maldonado-Reyes</t>
  </si>
  <si>
    <t>NumPy, MLflow, TensorFlow, GCP, Reinforcement Learning, R</t>
  </si>
  <si>
    <t>Jones-Jordan</t>
  </si>
  <si>
    <t>Hugging Face, PyTorch, CUDA, MLflow</t>
  </si>
  <si>
    <t>Stafford-Fuller</t>
  </si>
  <si>
    <t>MLflow, Pandas, GCP</t>
  </si>
  <si>
    <t>Dickerson, Tate and Mason</t>
  </si>
  <si>
    <t>Python, C++, CUDA, Excel, SQL, TensorFlow</t>
  </si>
  <si>
    <t>Anderson-Glenn</t>
  </si>
  <si>
    <t>NumPy, C++, Flask, AWS, Power BI</t>
  </si>
  <si>
    <t>Elliott, Campbell and Moore</t>
  </si>
  <si>
    <t>AWS, Excel, NumPy, Flask, TensorFlow, Keras</t>
  </si>
  <si>
    <t>Garcia, Murphy and Clark</t>
  </si>
  <si>
    <t>Scikit-learn, NumPy, Reinforcement Learning, C++, LangChain</t>
  </si>
  <si>
    <t>Allen-Sutton</t>
  </si>
  <si>
    <t>TensorFlow, R, Python</t>
  </si>
  <si>
    <t>Snow, Welch and Meyer</t>
  </si>
  <si>
    <t>NumPy, TensorFlow, CUDA</t>
  </si>
  <si>
    <t>Farley LLC</t>
  </si>
  <si>
    <t>Reinforcement Learning, Flask, TensorFlow</t>
  </si>
  <si>
    <t>Smith Group</t>
  </si>
  <si>
    <t>SQL, TensorFlow, CUDA</t>
  </si>
  <si>
    <t>Suarez Group</t>
  </si>
  <si>
    <t>Flask, C++, LangChain, AWS, Keras, GCP</t>
  </si>
  <si>
    <t>Haas, Bryant and Scott</t>
  </si>
  <si>
    <t>Reinforcement Learning, C++, MLflow</t>
  </si>
  <si>
    <t>Hernandez-Rodriguez</t>
  </si>
  <si>
    <t>GCP, C++, CUDA, LangChain</t>
  </si>
  <si>
    <t>Robbins, Hall and Barnett</t>
  </si>
  <si>
    <t>Keras, R, CUDA, NumPy</t>
  </si>
  <si>
    <t>Johnson-Kelly</t>
  </si>
  <si>
    <t>NumPy, Reinforcement Learning, FastAPI, GCP, AWS</t>
  </si>
  <si>
    <t>Cardenas, Kemp and Roberts</t>
  </si>
  <si>
    <t>R, Pandas, Flask</t>
  </si>
  <si>
    <t>Henry-Mason</t>
  </si>
  <si>
    <t>SQL, GCP, Reinforcement Learning, Python, Power BI, R</t>
  </si>
  <si>
    <t>Miller PLC</t>
  </si>
  <si>
    <t>TensorFlow, Reinforcement Learning, Python, C++, CUDA</t>
  </si>
  <si>
    <t>Hopkins-Smith</t>
  </si>
  <si>
    <t>PyTorch, Azure, GCP, Python, AWS, Power BI</t>
  </si>
  <si>
    <t>Miller-Riley</t>
  </si>
  <si>
    <t>Keras, Reinforcement Learning, MLflow</t>
  </si>
  <si>
    <t>PyTorch, Keras, R, Excel</t>
  </si>
  <si>
    <t>Downs-Griffin</t>
  </si>
  <si>
    <t>Excel, C++, Hugging Face, R</t>
  </si>
  <si>
    <t>Hunt, Ortiz and Erickson</t>
  </si>
  <si>
    <t>LangChain, Azure, Python</t>
  </si>
  <si>
    <t>Sanchez, Jackson and Fernandez</t>
  </si>
  <si>
    <t>SQL, FastAPI, Excel, Keras</t>
  </si>
  <si>
    <t>Ward LLC</t>
  </si>
  <si>
    <t>Keras, C++, Pandas, CUDA, LangChain</t>
  </si>
  <si>
    <t>James, Pearson and Roth</t>
  </si>
  <si>
    <t>Flask, TensorFlow, SQL, Pandas</t>
  </si>
  <si>
    <t>BigQuery, FastAPI, LangChain</t>
  </si>
  <si>
    <t>Woodard Inc</t>
  </si>
  <si>
    <t>Pandas, NumPy, Excel</t>
  </si>
  <si>
    <t>Perry-Mcmahon</t>
  </si>
  <si>
    <t>SQL, Power BI, Reinforcement Learning, Keras</t>
  </si>
  <si>
    <t>Galloway, Jordan and Cox</t>
  </si>
  <si>
    <t>MLflow, SQL, Excel</t>
  </si>
  <si>
    <t>Jensen-Harris</t>
  </si>
  <si>
    <t>Excel, GCP, Reinforcement Learning, Hugging Face, CUDA, Python</t>
  </si>
  <si>
    <t>Hurley Ltd</t>
  </si>
  <si>
    <t>Power BI, MLflow, Reinforcement Learning</t>
  </si>
  <si>
    <t>Waters Group</t>
  </si>
  <si>
    <t>R, Pandas, NumPy</t>
  </si>
  <si>
    <t>Curry PLC</t>
  </si>
  <si>
    <t>NumPy, Excel, Reinforcement Learning, Python, SQL</t>
  </si>
  <si>
    <t>Reynolds-Castillo</t>
  </si>
  <si>
    <t>NumPy, Flask, C++</t>
  </si>
  <si>
    <t>Gordon, Rose and Byrd</t>
  </si>
  <si>
    <t>MLflow, Power BI, Keras, Flask, CUDA</t>
  </si>
  <si>
    <t>Andersen, Rose and Scott</t>
  </si>
  <si>
    <t>Scikit-learn, TensorFlow, Excel, CUDA</t>
  </si>
  <si>
    <t>Ross Group</t>
  </si>
  <si>
    <t>LangChain, NumPy, C++</t>
  </si>
  <si>
    <t>Myers, Bradley and Gilmore</t>
  </si>
  <si>
    <t>GCP, CUDA, NumPy, Azure</t>
  </si>
  <si>
    <t>Mack and Sons</t>
  </si>
  <si>
    <t>Reinforcement Learning, NumPy, Power BI</t>
  </si>
  <si>
    <t>Bartlett PLC</t>
  </si>
  <si>
    <t>FastAPI, NumPy, Excel, Flask</t>
  </si>
  <si>
    <t>Thompson LLC</t>
  </si>
  <si>
    <t>FastAPI, NumPy, Reinforcement Learning, Pandas, R</t>
  </si>
  <si>
    <t>Crawford, Schmidt and Gonzalez</t>
  </si>
  <si>
    <t>LangChain, PyTorch, Scikit-learn, NumPy, SQL, Flask</t>
  </si>
  <si>
    <t>Watson, Richardson and Baker</t>
  </si>
  <si>
    <t>Keras, Scikit-learn, Pandas</t>
  </si>
  <si>
    <t>BigQuery, PyTorch, MLflow</t>
  </si>
  <si>
    <t>Ruiz, Johnson and Christensen</t>
  </si>
  <si>
    <t>Pandas, LangChain, AWS, Hugging Face</t>
  </si>
  <si>
    <t>Hernandez Ltd</t>
  </si>
  <si>
    <t>Azure, CUDA, GCP, TensorFlow, C++</t>
  </si>
  <si>
    <t>Richmond, Jones and Reilly</t>
  </si>
  <si>
    <t>Python, Excel, Azure, PyTorch</t>
  </si>
  <si>
    <t>Martinez Inc</t>
  </si>
  <si>
    <t>GCP, Flask, PyTorch</t>
  </si>
  <si>
    <t>Fisher Group</t>
  </si>
  <si>
    <t>SQL, Hugging Face, R, Python, Azure, LangChain</t>
  </si>
  <si>
    <t>Jones, Crawford and Kelly</t>
  </si>
  <si>
    <t>MLflow, Azure, Hugging Face</t>
  </si>
  <si>
    <t>Boyd, Howard and Morgan</t>
  </si>
  <si>
    <t>Power BI, Hugging Face, Flask, Keras, Reinforcement Learning, SQL</t>
  </si>
  <si>
    <t>Wood Inc</t>
  </si>
  <si>
    <t>Hugging Face, Scikit-learn, LangChain, TensorFlow, Excel</t>
  </si>
  <si>
    <t>Jackson, Yang and Freeman</t>
  </si>
  <si>
    <t>Python, Keras, PyTorch, Reinforcement Learning, SQL, R</t>
  </si>
  <si>
    <t>Martin PLC</t>
  </si>
  <si>
    <t>C++, MLflow, Reinforcement Learning, TensorFlow, GCP, Flask</t>
  </si>
  <si>
    <t>Burns, Suarez and Morrison</t>
  </si>
  <si>
    <t>SQL, Flask, LangChain, Excel, Python</t>
  </si>
  <si>
    <t>Russo, Sharp and Bailey</t>
  </si>
  <si>
    <t>MLflow, Python, R, AWS, Hugging Face, Scikit-learn</t>
  </si>
  <si>
    <t>KDB+, BigQuery, Scikit-learn</t>
  </si>
  <si>
    <t>Estrada, Smith and Baldwin</t>
  </si>
  <si>
    <t>Excel, AWS, PyTorch, GCP, NumPy, Reinforcement Learning</t>
  </si>
  <si>
    <t>Gregory, Nelson and Smith</t>
  </si>
  <si>
    <t>GCP, NumPy, Hugging Face</t>
  </si>
  <si>
    <t>Houston-Miller</t>
  </si>
  <si>
    <t>NumPy, Azure, AWS, Keras, R</t>
  </si>
  <si>
    <t>Smith, Wallace and Garza</t>
  </si>
  <si>
    <t>LangChain, PyTorch, AWS, Power BI, R</t>
  </si>
  <si>
    <t>Ford Inc</t>
  </si>
  <si>
    <t>C++, FastAPI, Power BI, SQL, AWS, Reinforcement Learning</t>
  </si>
  <si>
    <t>Meadows, Wilkinson and Palmer</t>
  </si>
  <si>
    <t>Keras, SQL, TensorFlow</t>
  </si>
  <si>
    <t>Hess and Sons</t>
  </si>
  <si>
    <t>NumPy, Excel, TensorFlow</t>
  </si>
  <si>
    <t>Grimes-Sullivan</t>
  </si>
  <si>
    <t>SQL, NumPy, Keras</t>
  </si>
  <si>
    <t>Weeks, Williams and Smith</t>
  </si>
  <si>
    <t>Keras, Pandas, MLflow</t>
  </si>
  <si>
    <t>Mcguire-Hayes</t>
  </si>
  <si>
    <t>Keras, Flask, Scikit-learn, Reinforcement Learning, Power BI, AWS</t>
  </si>
  <si>
    <t>MLflow, Scikit-learn, BigQuery</t>
  </si>
  <si>
    <t>Williams, Adams and Dominguez</t>
  </si>
  <si>
    <t>SQL, CUDA, Flask</t>
  </si>
  <si>
    <t>Buchanan-James</t>
  </si>
  <si>
    <t>Flask, Scikit-learn, GCP, TensorFlow, NumPy</t>
  </si>
  <si>
    <t>Hall-Wilcox</t>
  </si>
  <si>
    <t>Reinforcement Learning, FastAPI, R, Azure, PyTorch, Scikit-learn</t>
  </si>
  <si>
    <t>Brown, Gallagher and Scott</t>
  </si>
  <si>
    <t>Excel, TensorFlow, SQL, Power BI, LangChain, Scikit-learn</t>
  </si>
  <si>
    <t>BigQuery, PyTorch, KDB+</t>
  </si>
  <si>
    <t>Miller-Cole</t>
  </si>
  <si>
    <t>CUDA, C++, Azure, FastAPI, PyTorch</t>
  </si>
  <si>
    <t>BigQuery, MLflow, TensorFlow</t>
  </si>
  <si>
    <t>Fox Ltd</t>
  </si>
  <si>
    <t>Python, GCP, NumPy</t>
  </si>
  <si>
    <t>Odonnell Group</t>
  </si>
  <si>
    <t>C++, Excel, NumPy, Pandas, TensorFlow</t>
  </si>
  <si>
    <t>Schultz Inc</t>
  </si>
  <si>
    <t>SQL, C++, Flask, Scikit-learn, Power BI, R</t>
  </si>
  <si>
    <t>Robinson, Espinoza and Garcia</t>
  </si>
  <si>
    <t>NumPy, Python, PyTorch, C++, AWS</t>
  </si>
  <si>
    <t>Henson, Sawyer and Gordon</t>
  </si>
  <si>
    <t>NumPy, R, AWS, TensorFlow</t>
  </si>
  <si>
    <t>Rodriguez-Morales</t>
  </si>
  <si>
    <t>FastAPI, MLflow, Flask</t>
  </si>
  <si>
    <t>Munoz, Parker and Marsh</t>
  </si>
  <si>
    <t>NumPy, FastAPI, LangChain, Python</t>
  </si>
  <si>
    <t>Collins Ltd</t>
  </si>
  <si>
    <t>Excel, AWS, SQL, CUDA</t>
  </si>
  <si>
    <t>Sanchez-Camacho</t>
  </si>
  <si>
    <t>Azure, NumPy, Pandas, MLflow</t>
  </si>
  <si>
    <t>Paul-Ellis</t>
  </si>
  <si>
    <t>R, SQL, C++, FastAPI</t>
  </si>
  <si>
    <t>Church LLC</t>
  </si>
  <si>
    <t>Pandas, GCP, CUDA, NumPy, AWS</t>
  </si>
  <si>
    <t>Holt, Carlson and Shaffer</t>
  </si>
  <si>
    <t>AWS, SQL, GCP, NumPy, CUDA, Azure</t>
  </si>
  <si>
    <t>Wells and Sons</t>
  </si>
  <si>
    <t>Power BI, MLflow, Python, PyTorch, Scikit-learn</t>
  </si>
  <si>
    <t>Gomez-Anderson</t>
  </si>
  <si>
    <t>Power BI, Scikit-learn, R</t>
  </si>
  <si>
    <t>Keras, MLflow, AWS, SQL, Excel</t>
  </si>
  <si>
    <t>Klein-Ramirez</t>
  </si>
  <si>
    <t>CUDA, Excel, C++</t>
  </si>
  <si>
    <t>Obrien-Kelley</t>
  </si>
  <si>
    <t>LangChain, R, Keras, Python, TensorFlow, Excel</t>
  </si>
  <si>
    <t>TensorFlow, Reinforcement Learning, LangChain</t>
  </si>
  <si>
    <t>Bryan Inc</t>
  </si>
  <si>
    <t>Azure, Flask, Scikit-learn, Keras, NumPy, FastAPI</t>
  </si>
  <si>
    <t>Anderson PLC</t>
  </si>
  <si>
    <t>Flask, LangChain, Power BI, Azure</t>
  </si>
  <si>
    <t>Evans Group</t>
  </si>
  <si>
    <t>FastAPI, Hugging Face, Pandas, LangChain</t>
  </si>
  <si>
    <t>Garcia Inc</t>
  </si>
  <si>
    <t>NumPy, Pandas, CUDA, AWS</t>
  </si>
  <si>
    <t>Bennett Inc</t>
  </si>
  <si>
    <t>Azure, LangChain, GCP, AWS, Flask</t>
  </si>
  <si>
    <t>Brown-Jones</t>
  </si>
  <si>
    <t>Keras, SQL, Reinforcement Learning, Scikit-learn, GCP</t>
  </si>
  <si>
    <t>Irwin, Flores and Fowler</t>
  </si>
  <si>
    <t>MLflow, NumPy, Flask, FastAPI, Hugging Face, PyTorch</t>
  </si>
  <si>
    <t>Olsen, Turner and Carpenter</t>
  </si>
  <si>
    <t>Excel, R, Hugging Face</t>
  </si>
  <si>
    <t>Gray-Simmons</t>
  </si>
  <si>
    <t>NumPy, PyTorch, C++, R, Azure</t>
  </si>
  <si>
    <t>Garcia-Obrien</t>
  </si>
  <si>
    <t>Excel, Keras, GCP, FastAPI, Pandas, NumPy</t>
  </si>
  <si>
    <t>Travis-Murphy</t>
  </si>
  <si>
    <t>NumPy, Hugging Face, Python</t>
  </si>
  <si>
    <t>Perez Inc</t>
  </si>
  <si>
    <t>Azure, GCP, Hugging Face</t>
  </si>
  <si>
    <t>Owen-Lopez</t>
  </si>
  <si>
    <t>Python, FastAPI, Pandas, LangChain, Hugging Face, Power BI</t>
  </si>
  <si>
    <t>Ashley, Owens and Garcia</t>
  </si>
  <si>
    <t>FastAPI, LangChain, Hugging Face, AWS, Keras</t>
  </si>
  <si>
    <t>Miranda Group</t>
  </si>
  <si>
    <t>Excel, R, NumPy, SQL</t>
  </si>
  <si>
    <t>Carter Inc</t>
  </si>
  <si>
    <t>NumPy, PyTorch, Excel, Python, Scikit-learn</t>
  </si>
  <si>
    <t>MLflow, TensorFlow, PyTorch</t>
  </si>
  <si>
    <t>Norton Ltd</t>
  </si>
  <si>
    <t>SQL, AWS, PyTorch, Scikit-learn</t>
  </si>
  <si>
    <t>KDB+, LangChain, BigQuery</t>
  </si>
  <si>
    <t>Hernandez-Guerrero</t>
  </si>
  <si>
    <t>AWS, Flask, NumPy</t>
  </si>
  <si>
    <t>Harris, Braun and Patton</t>
  </si>
  <si>
    <t>FastAPI, PyTorch, SQL, Reinforcement Learning, Power BI, TensorFlow</t>
  </si>
  <si>
    <t>BigQuery, KDB+, TensorFlow</t>
  </si>
  <si>
    <t>Tate-Snow</t>
  </si>
  <si>
    <t>TensorFlow, FastAPI, SQL, Keras</t>
  </si>
  <si>
    <t>Conner-Jones</t>
  </si>
  <si>
    <t>LangChain, Reinforcement Learning, SQL, Flask</t>
  </si>
  <si>
    <t>Douglas-Ferguson</t>
  </si>
  <si>
    <t>Python, MLflow, CUDA, Excel, C++</t>
  </si>
  <si>
    <t>Garcia, Moore and Fox</t>
  </si>
  <si>
    <t>Azure, FastAPI, Keras, SQL</t>
  </si>
  <si>
    <t>Cooper-Bruce</t>
  </si>
  <si>
    <t>Hugging Face, SQL, MLflow, Scikit-learn, Power BI</t>
  </si>
  <si>
    <t>Mcintyre-Wagner</t>
  </si>
  <si>
    <t>Flask, Power BI, GCP, FastAPI, Hugging Face, AWS</t>
  </si>
  <si>
    <t>Jones-George</t>
  </si>
  <si>
    <t>PyTorch, TensorFlow, FastAPI, C++, SQL, GCP</t>
  </si>
  <si>
    <t>Tapia Group</t>
  </si>
  <si>
    <t>Flask, R, TensorFlow, Hugging Face, PyTorch</t>
  </si>
  <si>
    <t>LangChain, BigQuery, KDB+</t>
  </si>
  <si>
    <t>Carpenter Group</t>
  </si>
  <si>
    <t>MLflow, CUDA, GCP</t>
  </si>
  <si>
    <t>Deleon-Lyons</t>
  </si>
  <si>
    <t>LangChain, Power BI, PyTorch, Pandas</t>
  </si>
  <si>
    <t>Petersen-Fuentes</t>
  </si>
  <si>
    <t>CUDA, LangChain, PyTorch</t>
  </si>
  <si>
    <t>Bryant PLC</t>
  </si>
  <si>
    <t>TensorFlow, CUDA, Pandas, Hugging Face, PyTorch, MLflow</t>
  </si>
  <si>
    <t>Long, Harrington and Bryant</t>
  </si>
  <si>
    <t>GCP, Pandas, R, Excel, Azure, PyTorch</t>
  </si>
  <si>
    <t>PyTorch, FastAPI, LangChain</t>
  </si>
  <si>
    <t>Vaughn and Sons</t>
  </si>
  <si>
    <t>GCP, CUDA, NumPy</t>
  </si>
  <si>
    <t>Johnson, Yates and Lee</t>
  </si>
  <si>
    <t>LangChain, Excel, Hugging Face</t>
  </si>
  <si>
    <t>Esparza-Chen</t>
  </si>
  <si>
    <t>AWS, Excel, Keras, Scikit-learn</t>
  </si>
  <si>
    <t>Hall-Lynn</t>
  </si>
  <si>
    <t>Flask, MLflow, NumPy, Scikit-learn, CUDA</t>
  </si>
  <si>
    <t>Gutierrez-Flores</t>
  </si>
  <si>
    <t>NumPy, Keras, AWS, Python, LangChain, MLflow</t>
  </si>
  <si>
    <t>Stanley-Stone</t>
  </si>
  <si>
    <t>Flask, LangChain, MLflow</t>
  </si>
  <si>
    <t>Jones, Allen and Horton</t>
  </si>
  <si>
    <t>TensorFlow, Pandas, Keras, R</t>
  </si>
  <si>
    <t>White-Everett</t>
  </si>
  <si>
    <t>LangChain, Keras, SQL, FastAPI, Azure</t>
  </si>
  <si>
    <t>Mayo-Mullins</t>
  </si>
  <si>
    <t>SQL, Pandas, FastAPI, C++, Keras, Python</t>
  </si>
  <si>
    <t>MLflow, Scikit-learn, LangChain</t>
  </si>
  <si>
    <t>Wiggins and Sons</t>
  </si>
  <si>
    <t>LangChain, Power BI, MLflow</t>
  </si>
  <si>
    <t>Larson, Vasquez and Bishop</t>
  </si>
  <si>
    <t>AWS, LangChain, FastAPI, C++, Python, CUDA</t>
  </si>
  <si>
    <t>PyTorch, TensorFlow, LangChain</t>
  </si>
  <si>
    <t>Carter-Pittman</t>
  </si>
  <si>
    <t>PyTorch, C++, CUDA, MLflow, R, NumPy</t>
  </si>
  <si>
    <t>Holmes-Sloan</t>
  </si>
  <si>
    <t>Scikit-learn, Keras, Excel, PyTorch</t>
  </si>
  <si>
    <t>Stevens, Smith and Mendez</t>
  </si>
  <si>
    <t>Azure, Power BI, GCP, LangChain</t>
  </si>
  <si>
    <t>Pope Inc</t>
  </si>
  <si>
    <t>Reinforcement Learning, TensorFlow, Pandas, FastAPI</t>
  </si>
  <si>
    <t>Davis, Brown and Burke</t>
  </si>
  <si>
    <t>Excel, Scikit-learn, GCP</t>
  </si>
  <si>
    <t>Evans-Scott</t>
  </si>
  <si>
    <t>MLflow, Pandas, Scikit-learn, AWS, Flask, FastAPI</t>
  </si>
  <si>
    <t>Owen Ltd</t>
  </si>
  <si>
    <t>AWS, FastAPI, R, C++, Python, Reinforcement Learning</t>
  </si>
  <si>
    <t>Lynn, Davenport and Gonzales</t>
  </si>
  <si>
    <t>NumPy, Scikit-learn, FastAPI, Power BI, Pandas</t>
  </si>
  <si>
    <t>Colon Ltd</t>
  </si>
  <si>
    <t>Keras, C++, LangChain, AWS, Python, GCP</t>
  </si>
  <si>
    <t>Barnett-Boyer</t>
  </si>
  <si>
    <t>Hugging Face, Pandas, Reinforcement Learning, C++, FastAPI</t>
  </si>
  <si>
    <t>Sanchez Inc</t>
  </si>
  <si>
    <t>LangChain, AWS, Reinforcement Learning, Hugging Face, FastAPI</t>
  </si>
  <si>
    <t>Anderson, Ortiz and Stanley</t>
  </si>
  <si>
    <t>Azure, AWS, Reinforcement Learning</t>
  </si>
  <si>
    <t>Parker PLC</t>
  </si>
  <si>
    <t>MLflow, Pandas, Keras</t>
  </si>
  <si>
    <t>Hernandez-Taylor</t>
  </si>
  <si>
    <t>PyTorch, CUDA, Azure, Pandas, Flask</t>
  </si>
  <si>
    <t>Cantu and Sons</t>
  </si>
  <si>
    <t>TensorFlow, FastAPI, Excel, GCP</t>
  </si>
  <si>
    <t>Harrington, Clark and Carter</t>
  </si>
  <si>
    <t>Azure, R, MLflow, TensorFlow</t>
  </si>
  <si>
    <t>Hernandez, Myers and Ward</t>
  </si>
  <si>
    <t>NumPy, LangChain, FastAPI, Reinforcement Learning, Flask</t>
  </si>
  <si>
    <t>BigQuery, KDB+, FastAPI</t>
  </si>
  <si>
    <t>Price-Kelley</t>
  </si>
  <si>
    <t>MLflow, PyTorch, NumPy, TensorFlow</t>
  </si>
  <si>
    <t>Lopez Group</t>
  </si>
  <si>
    <t>NumPy, TensorFlow, Keras, MLflow, CUDA, C++</t>
  </si>
  <si>
    <t>Kidd LLC</t>
  </si>
  <si>
    <t>CUDA, PyTorch, Reinforcement Learning, NumPy, AWS</t>
  </si>
  <si>
    <t>Williams, Poole and Anderson</t>
  </si>
  <si>
    <t>Power BI, Azure, Reinforcement Learning, R</t>
  </si>
  <si>
    <t>Mcdowell-Davis</t>
  </si>
  <si>
    <t>Python, Reinforcement Learning, PyTorch, TensorFlow, Pandas, Power BI</t>
  </si>
  <si>
    <t>Pineda, Williams and George</t>
  </si>
  <si>
    <t>FastAPI, TensorFlow, Reinforcement Learning, Power BI, C++</t>
  </si>
  <si>
    <t>Peck-Olson</t>
  </si>
  <si>
    <t>C++, Power BI, LangChain, Azure, Pandas, TensorFlow</t>
  </si>
  <si>
    <t>MLflow, BigQuery, PyTorch</t>
  </si>
  <si>
    <t>Johnson, Hodge and Shaffer</t>
  </si>
  <si>
    <t>CUDA, PyTorch, GCP, C++</t>
  </si>
  <si>
    <t>Carlson Group</t>
  </si>
  <si>
    <t>R, MLflow, Power BI, SQL, FastAPI</t>
  </si>
  <si>
    <t>Davis, Bailey and Hebert</t>
  </si>
  <si>
    <t>PyTorch, Keras, Azure, AWS, R, Reinforcement Learning</t>
  </si>
  <si>
    <t>Aguirre, Collins and Manning</t>
  </si>
  <si>
    <t>R, CUDA, C++, Excel</t>
  </si>
  <si>
    <t>Scikit-learn, BigQuery, LangChain</t>
  </si>
  <si>
    <t>Freeman, Foley and Smith</t>
  </si>
  <si>
    <t>Azure, Python, Flask, Power BI, NumPy, Excel</t>
  </si>
  <si>
    <t>Acevedo-Frazier</t>
  </si>
  <si>
    <t>Reinforcement Learning, Hugging Face, MLflow, CUDA</t>
  </si>
  <si>
    <t>Davis PLC</t>
  </si>
  <si>
    <t>Reinforcement Learning, Azure, Hugging Face, LangChain, Pandas</t>
  </si>
  <si>
    <t>Ford-Taylor</t>
  </si>
  <si>
    <t>Azure, AWS, PyTorch, TensorFlow, GCP</t>
  </si>
  <si>
    <t>Sanchez LLC</t>
  </si>
  <si>
    <t>R, Hugging Face, Flask</t>
  </si>
  <si>
    <t>Armstrong Inc</t>
  </si>
  <si>
    <t>Reinforcement Learning, Power BI, MLflow, PyTorch, R, Pandas</t>
  </si>
  <si>
    <t>Gilbert Inc</t>
  </si>
  <si>
    <t>Hugging Face, Flask, SQL, Scikit-learn, C++</t>
  </si>
  <si>
    <t>Miller Ltd</t>
  </si>
  <si>
    <t>FastAPI, Scikit-learn, SQL</t>
  </si>
  <si>
    <t>TensorFlow, Scikit-learn, LangChain</t>
  </si>
  <si>
    <t>Moore-Garner</t>
  </si>
  <si>
    <t>Pandas, FastAPI, Hugging Face</t>
  </si>
  <si>
    <t>Jenkins-Good</t>
  </si>
  <si>
    <t>AWS, TensorFlow, Excel, SQL, GCP</t>
  </si>
  <si>
    <t>Vance Ltd</t>
  </si>
  <si>
    <t>Excel, TensorFlow, Flask, Scikit-learn</t>
  </si>
  <si>
    <t>Sellers, Williams and Ortiz</t>
  </si>
  <si>
    <t>Flask, Azure, SQL</t>
  </si>
  <si>
    <t>Rodgers, Martinez and Zhang</t>
  </si>
  <si>
    <t>Flask, Excel, AWS, PyTorch, LangChain</t>
  </si>
  <si>
    <t>Simon LLC</t>
  </si>
  <si>
    <t>Flask, Reinforcement Learning, Pandas, Hugging Face, Keras</t>
  </si>
  <si>
    <t>Flynn-Franco</t>
  </si>
  <si>
    <t>NumPy, Pandas, SQL, R, Excel</t>
  </si>
  <si>
    <t>Floyd-Smith</t>
  </si>
  <si>
    <t>GCP, Reinforcement Learning, CUDA, NumPy, SQL</t>
  </si>
  <si>
    <t>Bailey, Mccullough and Moon</t>
  </si>
  <si>
    <t>TensorFlow, Power BI, Azure, Flask, Reinforcement Learning, R</t>
  </si>
  <si>
    <t>Kerr, Austin and Smith</t>
  </si>
  <si>
    <t>GCP, Power BI, FastAPI, Reinforcement Learning, TensorFlow, AWS</t>
  </si>
  <si>
    <t>LangChain, MLflow, PyTorch</t>
  </si>
  <si>
    <t>Potter, Chapman and Christensen</t>
  </si>
  <si>
    <t>R, Python, Hugging Face, Excel, Azure</t>
  </si>
  <si>
    <t>Scikit-learn, KDB+, TensorFlow</t>
  </si>
  <si>
    <t>Francis-Jones</t>
  </si>
  <si>
    <t>LangChain, Python, R, C++, NumPy</t>
  </si>
  <si>
    <t>Stephens, Garcia and Yoder</t>
  </si>
  <si>
    <t>MLflow, Excel, CUDA, LangChain, AWS, Azure</t>
  </si>
  <si>
    <t>Robbins-Burke</t>
  </si>
  <si>
    <t>AWS, Hugging Face, MLflow, Excel, C++</t>
  </si>
  <si>
    <t>Hall, Savage and Walker</t>
  </si>
  <si>
    <t>PyTorch, TensorFlow, AWS, C++, GCP</t>
  </si>
  <si>
    <t>KDB+, MLflow, FastAPI</t>
  </si>
  <si>
    <t>Smith-Cross</t>
  </si>
  <si>
    <t>Flask, Keras, Pandas, CUDA, PyTorch, Reinforcement Learning</t>
  </si>
  <si>
    <t>Martinez-Stephens</t>
  </si>
  <si>
    <t>Azure, Reinforcement Learning, Excel, SQL</t>
  </si>
  <si>
    <t>Barton, Wilson and Russell</t>
  </si>
  <si>
    <t>Power BI, GCP, Reinforcement Learning</t>
  </si>
  <si>
    <t>Brown, Bernard and Flores</t>
  </si>
  <si>
    <t>Excel, R, Reinforcement Learning, Python, Power BI, FastAPI</t>
  </si>
  <si>
    <t>Mendoza-Flores</t>
  </si>
  <si>
    <t>FastAPI, Python, TensorFlow, AWS</t>
  </si>
  <si>
    <t>TensorFlow, MLflow, BigQuery</t>
  </si>
  <si>
    <t>Bowman PLC</t>
  </si>
  <si>
    <t>LangChain, Excel, TensorFlow</t>
  </si>
  <si>
    <t>Turner, Hernandez and White</t>
  </si>
  <si>
    <t>GCP, TensorFlow, Flask, Azure</t>
  </si>
  <si>
    <t>Keras, Power BI, Excel, Python</t>
  </si>
  <si>
    <t>Zhang-Watson</t>
  </si>
  <si>
    <t>Excel, Flask, AWS, R</t>
  </si>
  <si>
    <t>Harrison, Wallace and Chen</t>
  </si>
  <si>
    <t>Hugging Face, GCP, Keras</t>
  </si>
  <si>
    <t>Cruz, Cruz and Flores</t>
  </si>
  <si>
    <t>Reinforcement Learning, TensorFlow, CUDA</t>
  </si>
  <si>
    <t>KDB+, BigQuery, PyTorch</t>
  </si>
  <si>
    <t>Garcia-Smith</t>
  </si>
  <si>
    <t>FastAPI, CUDA, Pandas, Python, NumPy, Reinforcement Learning</t>
  </si>
  <si>
    <t>PyTorch, LangChain, Scikit-learn</t>
  </si>
  <si>
    <t>Castaneda Group</t>
  </si>
  <si>
    <t>Reinforcement Learning, Azure, Flask</t>
  </si>
  <si>
    <t>Sawyer, Frye and Jenkins</t>
  </si>
  <si>
    <t>GCP, PyTorch, FastAPI, LangChain, Pandas</t>
  </si>
  <si>
    <t>Bradshaw and Sons</t>
  </si>
  <si>
    <t>PyTorch, MLflow, LangChain, Python, Azure, Pandas</t>
  </si>
  <si>
    <t>Cross, Johnson and Chan</t>
  </si>
  <si>
    <t>Scikit-learn, TensorFlow, Azure, C++, Flask</t>
  </si>
  <si>
    <t>TensorFlow, NumPy, Azure, LangChain, AWS</t>
  </si>
  <si>
    <t>Adams-Chapman</t>
  </si>
  <si>
    <t>SQL, CUDA, Scikit-learn, Keras, Power BI, R</t>
  </si>
  <si>
    <t>Duran-Williams</t>
  </si>
  <si>
    <t>GCP, MLflow, FastAPI, TensorFlow, AWS, Reinforcement Learning</t>
  </si>
  <si>
    <t>Arnold Inc</t>
  </si>
  <si>
    <t>FastAPI, GCP, Keras, Pandas</t>
  </si>
  <si>
    <t>Kirk Group</t>
  </si>
  <si>
    <t>Azure, Excel, Keras, SQL, Reinforcement Learning, Power BI</t>
  </si>
  <si>
    <t>TensorFlow, BigQuery, Scikit-learn</t>
  </si>
  <si>
    <t>Flynn-Kennedy</t>
  </si>
  <si>
    <t>Python, Keras, AWS, CUDA, NumPy, R</t>
  </si>
  <si>
    <t>PyTorch, FastAPI, KDB+</t>
  </si>
  <si>
    <t>Singleton-Roy</t>
  </si>
  <si>
    <t>C++, Pandas, MLflow, Scikit-learn, AWS, LangChain</t>
  </si>
  <si>
    <t>Combs, Brown and Williams</t>
  </si>
  <si>
    <t>TensorFlow, Hugging Face, Scikit-learn</t>
  </si>
  <si>
    <t>Meyer-Reyes</t>
  </si>
  <si>
    <t>AWS, NumPy, Excel, CUDA</t>
  </si>
  <si>
    <t>MLflow, KDB+, Scikit-learn</t>
  </si>
  <si>
    <t>Scikit-learn, NumPy, FastAPI</t>
  </si>
  <si>
    <t>Duncan-Reyes</t>
  </si>
  <si>
    <t>Reinforcement Learning, SQL, Pandas, NumPy, TensorFlow, Power BI</t>
  </si>
  <si>
    <t>Davis, Murphy and Cox</t>
  </si>
  <si>
    <t>MLflow, NumPy, Reinforcement Learning, FastAPI, Pandas</t>
  </si>
  <si>
    <t>KDB+, Scikit-learn, LangChain</t>
  </si>
  <si>
    <t>Peterson, Brown and Mcdonald</t>
  </si>
  <si>
    <t>Flask, GCP, Hugging Face, FastAPI, Excel, CUDA</t>
  </si>
  <si>
    <t>TensorFlow, KDB+, FastAPI</t>
  </si>
  <si>
    <t>Turner and Sons</t>
  </si>
  <si>
    <t>PyTorch, Pandas, Excel</t>
  </si>
  <si>
    <t>Spears, Moore and Mccormick</t>
  </si>
  <si>
    <t>Keras, Pandas, Power BI, Scikit-learn, FastAPI, Azure</t>
  </si>
  <si>
    <t>Shaw LLC</t>
  </si>
  <si>
    <t>Hugging Face, LangChain, Flask, PyTorch, TensorFlow</t>
  </si>
  <si>
    <t>Gill-Schmidt</t>
  </si>
  <si>
    <t>Reinforcement Learning, GCP, Azure, LangChain, MLflow</t>
  </si>
  <si>
    <t>Fuentes, Russo and Watson</t>
  </si>
  <si>
    <t>Pandas, PyTorch, AWS</t>
  </si>
  <si>
    <t>Weaver-Mills</t>
  </si>
  <si>
    <t>Power BI, Pandas, Hugging Face, PyTorch</t>
  </si>
  <si>
    <t>Lee-Levy</t>
  </si>
  <si>
    <t>AWS, CUDA, GCP, Flask, FastAPI, NumPy</t>
  </si>
  <si>
    <t>PyTorch, Reinforcement Learning, Keras, C++, CUDA, SQL</t>
  </si>
  <si>
    <t>Murphy-Sosa</t>
  </si>
  <si>
    <t>TensorFlow, Excel, Scikit-learn, Azure, R, Pandas</t>
  </si>
  <si>
    <t>Lawrence Group</t>
  </si>
  <si>
    <t>FastAPI, Azure, AWS, Python</t>
  </si>
  <si>
    <t>Gonzales-Gardner</t>
  </si>
  <si>
    <t>NumPy, GCP, R, Reinforcement Learning, LangChain, AWS</t>
  </si>
  <si>
    <t>PyTorch, LangChain, BigQuery</t>
  </si>
  <si>
    <t>Padilla, Mann and Pierce</t>
  </si>
  <si>
    <t>MLflow, Pandas, PyTorch, C++, LangChain</t>
  </si>
  <si>
    <t>Vazquez, Mcknight and Vega</t>
  </si>
  <si>
    <t>Keras, FastAPI, PyTorch, LangChain, Scikit-learn, Hugging Face</t>
  </si>
  <si>
    <t>Walker, Soto and Miles</t>
  </si>
  <si>
    <t>SQL, MLflow, Pandas, CUDA, Scikit-learn</t>
  </si>
  <si>
    <t>Kelly-Walls</t>
  </si>
  <si>
    <t>Reinforcement Learning, R, C++</t>
  </si>
  <si>
    <t>Roberts-Watson</t>
  </si>
  <si>
    <t>Power BI, SQL, Python, TensorFlow</t>
  </si>
  <si>
    <t>George, Hines and Galvan</t>
  </si>
  <si>
    <t>Keras, MLflow, FastAPI, Python, Scikit-learn, Reinforcement Learning</t>
  </si>
  <si>
    <t>Lam, Garcia and Lopez</t>
  </si>
  <si>
    <t>R, Keras, Pandas, Reinforcement Learning</t>
  </si>
  <si>
    <t>Vasquez, Grimes and Mooney</t>
  </si>
  <si>
    <t>LangChain, SQL, Reinforcement Learning, PyTorch</t>
  </si>
  <si>
    <t>Mcneil-Nelson</t>
  </si>
  <si>
    <t>CUDA, SQL, Flask</t>
  </si>
  <si>
    <t>MLflow, KDB+, TensorFlow</t>
  </si>
  <si>
    <t>Wiggins-Rivera</t>
  </si>
  <si>
    <t>LangChain, AWS, R</t>
  </si>
  <si>
    <t>Morris-Swanson</t>
  </si>
  <si>
    <t>LangChain, AWS, Keras, Hugging Face, Pandas</t>
  </si>
  <si>
    <t>Wong and Sons</t>
  </si>
  <si>
    <t>C++, Reinforcement Learning, MLflow, Pandas, SQL</t>
  </si>
  <si>
    <t>Scikit-learn, PyTorch, MLflow</t>
  </si>
  <si>
    <t>Davidson, Green and Johnson</t>
  </si>
  <si>
    <t>AWS, SQL, CUDA, Hugging Face, Power BI</t>
  </si>
  <si>
    <t>Greer-Garner</t>
  </si>
  <si>
    <t>Power BI, Pandas, GCP, Hugging Face, R</t>
  </si>
  <si>
    <t>Nash, Solomon and Cameron</t>
  </si>
  <si>
    <t>Jimenez Group</t>
  </si>
  <si>
    <t>MLflow, CUDA, Reinforcement Learning</t>
  </si>
  <si>
    <t>Garcia-Adams</t>
  </si>
  <si>
    <t>Python, GCP, Scikit-learn, Pandas, PyTorch</t>
  </si>
  <si>
    <t>Munoz and Sons</t>
  </si>
  <si>
    <t>Reinforcement Learning, FastAPI, Power BI</t>
  </si>
  <si>
    <t>Griffin Ltd</t>
  </si>
  <si>
    <t>Reinforcement Learning, Scikit-learn, Hugging Face, MLflow</t>
  </si>
  <si>
    <t>Briggs-Miller</t>
  </si>
  <si>
    <t>R, Flask, Keras, Python, CUDA, FastAPI</t>
  </si>
  <si>
    <t>Scikit-learn, FastAPI, PyTorch</t>
  </si>
  <si>
    <t>Dominguez Group</t>
  </si>
  <si>
    <t>Keras, FastAPI, Reinforcement Learning, Power BI</t>
  </si>
  <si>
    <t>Cohen, Schneider and Scott</t>
  </si>
  <si>
    <t>CUDA, FastAPI, Reinforcement Learning</t>
  </si>
  <si>
    <t>Peterson Ltd</t>
  </si>
  <si>
    <t>Reinforcement Learning, Python, Pandas, Excel, LangChain, Azure</t>
  </si>
  <si>
    <t>PyTorch, LangChain, TensorFlow</t>
  </si>
  <si>
    <t>Ramsey-Hamilton</t>
  </si>
  <si>
    <t>FastAPI, CUDA, GCP, Keras, MLflow, C++</t>
  </si>
  <si>
    <t>Davidson-Clark</t>
  </si>
  <si>
    <t>Flask, Pandas, LangChain</t>
  </si>
  <si>
    <t>Ramirez, Sanchez and Lucas</t>
  </si>
  <si>
    <t>R, Azure, Power BI, NumPy, Reinforcement Learning</t>
  </si>
  <si>
    <t>Atkinson, Branch and Horton</t>
  </si>
  <si>
    <t>R, NumPy, SQL, GCP, Python, FastAPI</t>
  </si>
  <si>
    <t>Hawkins Ltd</t>
  </si>
  <si>
    <t>AWS, Scikit-learn, TensorFlow, CUDA</t>
  </si>
  <si>
    <t>Moore Ltd</t>
  </si>
  <si>
    <t>Excel, Reinforcement Learning, NumPy, AWS, MLflow</t>
  </si>
  <si>
    <t>Hughes-Henry</t>
  </si>
  <si>
    <t>TensorFlow, SQL, Scikit-learn</t>
  </si>
  <si>
    <t>Johnson-Thomas</t>
  </si>
  <si>
    <t>Reinforcement Learning, TensorFlow, PyTorch, Excel, FastAPI</t>
  </si>
  <si>
    <t>Hunt, White and Schmidt</t>
  </si>
  <si>
    <t>AWS, Python, MLflow, Scikit-learn, Keras, Power BI</t>
  </si>
  <si>
    <t>Harris-Zavala</t>
  </si>
  <si>
    <t>GCP, SQL, LangChain, R</t>
  </si>
  <si>
    <t>SQL, Excel, AWS, MLflow, TensorFlow, FastAPI</t>
  </si>
  <si>
    <t>Craig-Lloyd</t>
  </si>
  <si>
    <t>MLflow, Reinforcement Learning, Azure, C++, Pandas, NumPy</t>
  </si>
  <si>
    <t>Bell-Perez</t>
  </si>
  <si>
    <t>Excel, C++, GCP, SQL, PyTorch</t>
  </si>
  <si>
    <t>Cole-Clark</t>
  </si>
  <si>
    <t>CUDA, TensorFlow, Python, Azure, Scikit-learn</t>
  </si>
  <si>
    <t>Knight-Lozano</t>
  </si>
  <si>
    <t>LangChain, GCP, R, SQL</t>
  </si>
  <si>
    <t>TensorFlow, Scikit-learn, KDB+</t>
  </si>
  <si>
    <t>Burton LLC</t>
  </si>
  <si>
    <t>Scikit-learn, Power BI, R, Reinforcement Learning, Excel, Azure</t>
  </si>
  <si>
    <t>Castillo, Bonilla and Mclaughlin</t>
  </si>
  <si>
    <t>NumPy, Excel, LangChain, Keras</t>
  </si>
  <si>
    <t>Byrd-Christian</t>
  </si>
  <si>
    <t>SQL, Reinforcement Learning, Python</t>
  </si>
  <si>
    <t>Price-Sandoval</t>
  </si>
  <si>
    <t>Flask, NumPy, C++</t>
  </si>
  <si>
    <t>Black-Simmons</t>
  </si>
  <si>
    <t>Pandas, SQL, CUDA, Power BI, AWS</t>
  </si>
  <si>
    <t>Berger, Jackson and Hansen</t>
  </si>
  <si>
    <t>CUDA, SQL, Power BI, GCP, FastAPI, PyTorch</t>
  </si>
  <si>
    <t>Kent-Preston</t>
  </si>
  <si>
    <t>Excel, GCP, Scikit-learn, PyTorch</t>
  </si>
  <si>
    <t>Hartman, Rowe and Hernandez</t>
  </si>
  <si>
    <t>C++, NumPy, Excel, Keras, TensorFlow</t>
  </si>
  <si>
    <t>Morrison-Turner</t>
  </si>
  <si>
    <t>C++, SQL, Flask, PyTorch, MLflow, FastAPI</t>
  </si>
  <si>
    <t>Power BI, SQL, Reinforcement Learning, TensorFlow</t>
  </si>
  <si>
    <t>Gardner-Chavez</t>
  </si>
  <si>
    <t>TensorFlow, Pandas, Flask, Reinforcement Learning, Azure</t>
  </si>
  <si>
    <t>Morris-Blake</t>
  </si>
  <si>
    <t>Python, NumPy, LangChain, Excel</t>
  </si>
  <si>
    <t>Hunter-Ward</t>
  </si>
  <si>
    <t>SQL, Python, CUDA, FastAPI, TensorFlow</t>
  </si>
  <si>
    <t>Hicks and Sons</t>
  </si>
  <si>
    <t>Reinforcement Learning, Excel, Azure, SQL, FastAPI, Pandas</t>
  </si>
  <si>
    <t>PyTorch, BigQuery, FastAPI</t>
  </si>
  <si>
    <t>Torres-Clark</t>
  </si>
  <si>
    <t>Excel, Hugging Face, CUDA, Flask, TensorFlow, C++</t>
  </si>
  <si>
    <t>Brown Ltd</t>
  </si>
  <si>
    <t>C++, GCP, Reinforcement Learning</t>
  </si>
  <si>
    <t>Kerr Ltd</t>
  </si>
  <si>
    <t>PyTorch, CUDA, AWS, Reinforcement Learning</t>
  </si>
  <si>
    <t>Hobbs, Moreno and Williams</t>
  </si>
  <si>
    <t>Scikit-learn, Pandas, Keras, Power BI, TensorFlow, LangChain</t>
  </si>
  <si>
    <t>LangChain, PyTorch, KDB+</t>
  </si>
  <si>
    <t>Brown, Giles and Thompson</t>
  </si>
  <si>
    <t>R, LangChain, MLflow, Power BI, Azure, CUDA</t>
  </si>
  <si>
    <t>Jordan Inc</t>
  </si>
  <si>
    <t>AWS, Excel, C++, Keras</t>
  </si>
  <si>
    <t>Rodriguez Inc</t>
  </si>
  <si>
    <t>AWS, SQL, Scikit-learn, Flask, FastAPI</t>
  </si>
  <si>
    <t>Evans-Alvarado</t>
  </si>
  <si>
    <t>FastAPI, AWS, Pandas, Excel, Reinforcement Learning, Azure</t>
  </si>
  <si>
    <t>Phillips, Sanchez and Christensen</t>
  </si>
  <si>
    <t>CUDA, Pandas, Python, PyTorch, Azure, Keras</t>
  </si>
  <si>
    <t>Sexton, Davis and Allen</t>
  </si>
  <si>
    <t>R, Flask, Keras, GCP, Hugging Face</t>
  </si>
  <si>
    <t>Gill, Russo and Hill</t>
  </si>
  <si>
    <t>LangChain, Keras, Excel</t>
  </si>
  <si>
    <t>Walsh, Davis and Tanner</t>
  </si>
  <si>
    <t>Power BI, Scikit-learn, Keras, TensorFlow, MLflow, SQL</t>
  </si>
  <si>
    <t>Green Group</t>
  </si>
  <si>
    <t>SQL, Excel, Flask, NumPy, FastAPI</t>
  </si>
  <si>
    <t>Wilson, Wilson and Austin</t>
  </si>
  <si>
    <t>GCP, SQL, Keras, AWS, Python</t>
  </si>
  <si>
    <t>Williams-Thomas</t>
  </si>
  <si>
    <t>Flask, AWS, Reinforcement Learning, LangChain, FastAPI</t>
  </si>
  <si>
    <t>Thompson, Gibson and Simmons</t>
  </si>
  <si>
    <t>Python, AWS, MLflow, C++, R</t>
  </si>
  <si>
    <t>Bush, Dennis and Burke</t>
  </si>
  <si>
    <t>Python, MLflow, LangChain, GCP, PyTorch, Keras</t>
  </si>
  <si>
    <t>AWS, Excel, Keras, Power BI, CUDA, Flask</t>
  </si>
  <si>
    <t>Russell, Wood and Robertson</t>
  </si>
  <si>
    <t>Python, Excel, FastAPI, GCP, C++, PyTorch</t>
  </si>
  <si>
    <t>Johnson LLC</t>
  </si>
  <si>
    <t>GCP, Azure, CUDA, AWS, PyTorch</t>
  </si>
  <si>
    <t>Kaufman LLC</t>
  </si>
  <si>
    <t>AWS, Excel, SQL, Scikit-learn</t>
  </si>
  <si>
    <t>Scikit-learn, KDB+, PyTorch</t>
  </si>
  <si>
    <t>Murphy LLC</t>
  </si>
  <si>
    <t>Keras, TensorFlow, MLflow, NumPy, Pandas, Scikit-learn</t>
  </si>
  <si>
    <t>LangChain, FastAPI, PyTorch</t>
  </si>
  <si>
    <t>Matthews-Collins</t>
  </si>
  <si>
    <t>Flask, Pandas, GCP</t>
  </si>
  <si>
    <t>Rivas PLC</t>
  </si>
  <si>
    <t>CUDA, SQL, Azure, MLflow, Python, GCP</t>
  </si>
  <si>
    <t>Alvarez PLC</t>
  </si>
  <si>
    <t>Azure, Flask, PyTorch, C++, GCP, Pandas</t>
  </si>
  <si>
    <t>Best Inc</t>
  </si>
  <si>
    <t>FastAPI, Excel, AWS, TensorFlow</t>
  </si>
  <si>
    <t>Ochoa, Davidson and Thomas</t>
  </si>
  <si>
    <t>Azure, Keras, C++, LangChain</t>
  </si>
  <si>
    <t>Reilly, Barajas and Hughes</t>
  </si>
  <si>
    <t>CUDA, Excel, FastAPI, MLflow, Azure, Power BI</t>
  </si>
  <si>
    <t>Dixon, Wright and Smith</t>
  </si>
  <si>
    <t>MLflow, SQL, Pandas</t>
  </si>
  <si>
    <t>Sawyer, Hall and Lowe</t>
  </si>
  <si>
    <t>CUDA, NumPy, Keras</t>
  </si>
  <si>
    <t>TensorFlow, MLflow, PyTorch</t>
  </si>
  <si>
    <t>Donaldson, Espinoza and Mills</t>
  </si>
  <si>
    <t>C++, Reinforcement Learning, Flask, AWS, Scikit-learn, NumPy</t>
  </si>
  <si>
    <t>Davis-Moore</t>
  </si>
  <si>
    <t>PyTorch, Python, FastAPI, Azure, LangChain</t>
  </si>
  <si>
    <t>Clark PLC</t>
  </si>
  <si>
    <t>GCP, Scikit-learn, CUDA, R, AWS, Pandas</t>
  </si>
  <si>
    <t>Lynch-Coffey</t>
  </si>
  <si>
    <t>Azure, R, Hugging Face, SQL, MLflow, Flask</t>
  </si>
  <si>
    <t>Archer Ltd</t>
  </si>
  <si>
    <t>Keras, Azure, C++, Reinforcement Learning, Hugging Face</t>
  </si>
  <si>
    <t>Estrada, Perry and Jackson</t>
  </si>
  <si>
    <t>NumPy, Hugging Face, CUDA, Flask</t>
  </si>
  <si>
    <t>Shelton-Ellison</t>
  </si>
  <si>
    <t>FastAPI, C++, R, Scikit-learn, GCP, Flask</t>
  </si>
  <si>
    <t>PyTorch, FastAPI, MLflow</t>
  </si>
  <si>
    <t>Montgomery Inc</t>
  </si>
  <si>
    <t>Power BI, R, Python, C++, SQL</t>
  </si>
  <si>
    <t>Rios, Evans and Foster</t>
  </si>
  <si>
    <t>R, Python, Reinforcement Learning</t>
  </si>
  <si>
    <t>Garcia, Lopez and Santiago</t>
  </si>
  <si>
    <t>LangChain, Azure, PyTorch, FastAPI</t>
  </si>
  <si>
    <t>Bell Group</t>
  </si>
  <si>
    <t>Hugging Face, GCP, FastAPI</t>
  </si>
  <si>
    <t>Stevens-Foster</t>
  </si>
  <si>
    <t>Power BI, Python, Pandas, AWS</t>
  </si>
  <si>
    <t>Scikit-learn, PyTorch, BigQuery</t>
  </si>
  <si>
    <t>Sawyer PLC</t>
  </si>
  <si>
    <t>Hugging Face, Azure, SQL</t>
  </si>
  <si>
    <t>Hurley-Scott</t>
  </si>
  <si>
    <t>R, CUDA, Reinforcement Learning</t>
  </si>
  <si>
    <t>Black-Bennett</t>
  </si>
  <si>
    <t>Reinforcement Learning, Hugging Face, CUDA, MLflow, AWS, PyTorch</t>
  </si>
  <si>
    <t>Perez Group</t>
  </si>
  <si>
    <t>Scikit-learn, Pandas, FastAPI, AWS, Python</t>
  </si>
  <si>
    <t>Saunders, Bradford and Sharp</t>
  </si>
  <si>
    <t>Pandas, Excel, Flask, LangChain, Scikit-learn, TensorFlow</t>
  </si>
  <si>
    <t>Hudson-Gordon</t>
  </si>
  <si>
    <t>FastAPI, SQL, Scikit-learn</t>
  </si>
  <si>
    <t>Nelson, Maddox and Klein</t>
  </si>
  <si>
    <t>Flask, MLflow, Scikit-learn</t>
  </si>
  <si>
    <t>Clark, Price and Dickson</t>
  </si>
  <si>
    <t>C++, Keras, Pandas</t>
  </si>
  <si>
    <t>Gonzalez PLC</t>
  </si>
  <si>
    <t>Keras, Azure, C++</t>
  </si>
  <si>
    <t>Pierce Inc</t>
  </si>
  <si>
    <t>C++, CUDA, Power BI, TensorFlow</t>
  </si>
  <si>
    <t>House, Bond and Myers</t>
  </si>
  <si>
    <t>R, C++, SQL, GCP, MLflow, TensorFlow</t>
  </si>
  <si>
    <t>LangChain, MLflow, TensorFlow</t>
  </si>
  <si>
    <t>Johns Inc</t>
  </si>
  <si>
    <t>LangChain, Reinforcement Learning, Flask</t>
  </si>
  <si>
    <t>KDB+, TensorFlow, FastAPI</t>
  </si>
  <si>
    <t>Matthews, Mcdowell and Reynolds</t>
  </si>
  <si>
    <t>Reinforcement Learning, Excel, Power BI, Hugging Face</t>
  </si>
  <si>
    <t>Navarro-Costa</t>
  </si>
  <si>
    <t>C++, TensorFlow, FastAPI, AWS, Reinforcement Learning</t>
  </si>
  <si>
    <t>Morris Inc</t>
  </si>
  <si>
    <t>Scikit-learn, LangChain, MLflow, Flask</t>
  </si>
  <si>
    <t>Miller, Pena and Spencer</t>
  </si>
  <si>
    <t>Keras, FastAPI, Scikit-learn, R, Hugging Face, PyTorch</t>
  </si>
  <si>
    <t>Davis, Sosa and Greene</t>
  </si>
  <si>
    <t>Keras, Pandas, R, Excel, SQL</t>
  </si>
  <si>
    <t>MLflow, PyTorch, BigQuery</t>
  </si>
  <si>
    <t>Klein, Jordan and Lang</t>
  </si>
  <si>
    <t>AWS, GCP, Azure</t>
  </si>
  <si>
    <t>Valdez, Nguyen and Espinoza</t>
  </si>
  <si>
    <t>Power BI, R, LangChain, C++</t>
  </si>
  <si>
    <t>Patterson-Salazar</t>
  </si>
  <si>
    <t>C++, Hugging Face, Flask</t>
  </si>
  <si>
    <t>Thomas, Greene and Munoz</t>
  </si>
  <si>
    <t>CUDA, FastAPI, Power BI</t>
  </si>
  <si>
    <t>Torres Ltd</t>
  </si>
  <si>
    <t>Flask, GCP, C++</t>
  </si>
  <si>
    <t>Young, Peterson and Wood</t>
  </si>
  <si>
    <t>Flask, Pandas, PyTorch, Excel</t>
  </si>
  <si>
    <t>Reilly PLC</t>
  </si>
  <si>
    <t>Reinforcement Learning, LangChain, Excel, Pandas, Python, Flask</t>
  </si>
  <si>
    <t>Woods-Kelly</t>
  </si>
  <si>
    <t>C++, Python, R, Excel</t>
  </si>
  <si>
    <t>Moss-Jackson</t>
  </si>
  <si>
    <t>LangChain, Pandas, TensorFlow, CUDA</t>
  </si>
  <si>
    <t>Johnson and Sons</t>
  </si>
  <si>
    <t>MLflow, Flask, AWS</t>
  </si>
  <si>
    <t>PyTorch, MLflow, TensorFlow</t>
  </si>
  <si>
    <t>SQL, AWS, Power BI, NumPy, Reinforcement Learning</t>
  </si>
  <si>
    <t>Evans LLC</t>
  </si>
  <si>
    <t>Pandas, SQL, Power BI, Python, Reinforcement Learning</t>
  </si>
  <si>
    <t>Chambers PLC</t>
  </si>
  <si>
    <t>NumPy, Power BI, LangChain, GCP, Python</t>
  </si>
  <si>
    <t>PyTorch, MLflow, BigQuery</t>
  </si>
  <si>
    <t>Conner-Young</t>
  </si>
  <si>
    <t>Azure, Python, FastAPI</t>
  </si>
  <si>
    <t>Morris LLC</t>
  </si>
  <si>
    <t>Scikit-learn, LangChain, Hugging Face, SQL, Azure, MLflow</t>
  </si>
  <si>
    <t>LangChain, FastAPI, KDB+</t>
  </si>
  <si>
    <t>Hawkins-Valdez</t>
  </si>
  <si>
    <t>CUDA, SQL, NumPy, Python, Flask</t>
  </si>
  <si>
    <t>Vance-Mcdowell</t>
  </si>
  <si>
    <t>LangChain, CUDA, Excel, Flask</t>
  </si>
  <si>
    <t>Wright LLC</t>
  </si>
  <si>
    <t>AWS, Flask, MLflow, FastAPI, Azure</t>
  </si>
  <si>
    <t>Silva LLC</t>
  </si>
  <si>
    <t>CUDA, Hugging Face, SQL, GCP, C++, Python</t>
  </si>
  <si>
    <t>Sanders, Rodriguez and Meyers</t>
  </si>
  <si>
    <t>SQL, LangChain, Hugging Face, R</t>
  </si>
  <si>
    <t>Allen Group</t>
  </si>
  <si>
    <t>TensorFlow, NumPy, GCP, Power BI, FastAPI</t>
  </si>
  <si>
    <t>Webb LLC</t>
  </si>
  <si>
    <t>C++, Hugging Face, Excel, GCP, TensorFlow, FastAPI</t>
  </si>
  <si>
    <t>Harris-Brown</t>
  </si>
  <si>
    <t>FastAPI, Azure, MLflow, PyTorch, Excel</t>
  </si>
  <si>
    <t>Stewart-White</t>
  </si>
  <si>
    <t>Azure, MLflow, Hugging Face, GCP, Keras</t>
  </si>
  <si>
    <t>Roberts, Ford and Davis</t>
  </si>
  <si>
    <t>Power BI, MLflow, SQL, AWS</t>
  </si>
  <si>
    <t>Garcia, Blake and Gardner</t>
  </si>
  <si>
    <t>NumPy, R, Excel, Scikit-learn, Flask, LangChain</t>
  </si>
  <si>
    <t>Brown-Fisher</t>
  </si>
  <si>
    <t>C++, Excel, TensorFlow, PyTorch</t>
  </si>
  <si>
    <t>Hayes PLC</t>
  </si>
  <si>
    <t>Pandas, C++, Power BI, Hugging Face, Excel</t>
  </si>
  <si>
    <t>KDB+, PyTorch, BigQuery</t>
  </si>
  <si>
    <t>Mccoy, Barnes and Mercado</t>
  </si>
  <si>
    <t>Pandas, Scikit-learn, NumPy</t>
  </si>
  <si>
    <t>Herrera and Sons</t>
  </si>
  <si>
    <t>MLflow, AWS, Flask, SQL, Azure</t>
  </si>
  <si>
    <t>Smith-Hansen</t>
  </si>
  <si>
    <t>Excel, Reinforcement Learning, TensorFlow, SQL</t>
  </si>
  <si>
    <t>TensorFlow, FastAPI, MLflow</t>
  </si>
  <si>
    <t>Goodman, Watson and Norman</t>
  </si>
  <si>
    <t>PyTorch, R, Python, GCP, CUDA, C++</t>
  </si>
  <si>
    <t>Bennett PLC</t>
  </si>
  <si>
    <t>Flask, LangChain, Reinforcement Learning</t>
  </si>
  <si>
    <t>Brady-Jones</t>
  </si>
  <si>
    <t>LangChain, GCP, Keras</t>
  </si>
  <si>
    <t>Walker and Sons</t>
  </si>
  <si>
    <t>MLflow, PyTorch, SQL, TensorFlow</t>
  </si>
  <si>
    <t>Bautista LLC</t>
  </si>
  <si>
    <t>GCP, Pandas, AWS, Azure, Flask, PyTorch</t>
  </si>
  <si>
    <t>Church Ltd</t>
  </si>
  <si>
    <t>GCP, Pandas, Python</t>
  </si>
  <si>
    <t>KDB+, LangChain, MLflow</t>
  </si>
  <si>
    <t>SQL, Pandas, CUDA, LangChain, Excel</t>
  </si>
  <si>
    <t>Acosta, Williams and Carter</t>
  </si>
  <si>
    <t>Python, R, Reinforcement Learning, Azure</t>
  </si>
  <si>
    <t>Thornton, Pittman and Torres</t>
  </si>
  <si>
    <t>AWS, TensorFlow, CUDA, MLflow</t>
  </si>
  <si>
    <t>Palmer Group</t>
  </si>
  <si>
    <t>R, SQL, CUDA, Keras, AWS, Power BI</t>
  </si>
  <si>
    <t>Smith, Hancock and Bolton</t>
  </si>
  <si>
    <t>Pandas, NumPy, TensorFlow, SQL</t>
  </si>
  <si>
    <t>Shaffer, Wright and Morgan</t>
  </si>
  <si>
    <t>Power BI, SQL, TensorFlow</t>
  </si>
  <si>
    <t>Proctor Inc</t>
  </si>
  <si>
    <t>Excel, Scikit-learn, PyTorch, C++, GCP</t>
  </si>
  <si>
    <t>Ross, Barrera and Winters</t>
  </si>
  <si>
    <t>LangChain, SQL, NumPy, R, Power BI</t>
  </si>
  <si>
    <t>Hernandez, Collins and Smith</t>
  </si>
  <si>
    <t>Scikit-learn, Reinforcement Learning, TensorFlow</t>
  </si>
  <si>
    <t>Nguyen, Shaffer and Thompson</t>
  </si>
  <si>
    <t>SQL, CUDA, Reinforcement Learning, Excel</t>
  </si>
  <si>
    <t>Nguyen, Brown and Edwards</t>
  </si>
  <si>
    <t>TensorFlow, MLflow, SQL, PyTorch</t>
  </si>
  <si>
    <t>Bartlett Group</t>
  </si>
  <si>
    <t>Scikit-learn, TensorFlow, Azure, CUDA</t>
  </si>
  <si>
    <t>Moran, Ellis and Vargas</t>
  </si>
  <si>
    <t>Pandas, AWS, GCP, SQL, Azure, NumPy</t>
  </si>
  <si>
    <t>Porter, Hernandez and Hall</t>
  </si>
  <si>
    <t>MLflow, Keras, Scikit-learn, R, GCP</t>
  </si>
  <si>
    <t>Hunter and Sons</t>
  </si>
  <si>
    <t>SQL, Scikit-learn, Reinforcement Learning, MLflow, Pandas</t>
  </si>
  <si>
    <t>NumPy, GCP, SQL, CUDA, PyTorch</t>
  </si>
  <si>
    <t>Diaz-Gray</t>
  </si>
  <si>
    <t>Excel, GCP, C++, NumPy, Hugging Face</t>
  </si>
  <si>
    <t>Poole-Scott</t>
  </si>
  <si>
    <t>MLflow, LangChain, Excel, C++</t>
  </si>
  <si>
    <t>Bishop, Finley and Duran</t>
  </si>
  <si>
    <t>C++, CUDA, Keras, Excel</t>
  </si>
  <si>
    <t>Rivera Group</t>
  </si>
  <si>
    <t>CUDA, Pandas, MLflow, Azure, Flask</t>
  </si>
  <si>
    <t>Blanchard LLC</t>
  </si>
  <si>
    <t>LangChain, Python, Excel, C++, FastAPI</t>
  </si>
  <si>
    <t>Herman, Rivera and Gonzalez</t>
  </si>
  <si>
    <t>AWS, Reinforcement Learning, Azure, Python, TensorFlow</t>
  </si>
  <si>
    <t>Mcmillan, Jensen and Olson</t>
  </si>
  <si>
    <t>Reinforcement Learning, Keras, R, MLflow, Power BI, Flask</t>
  </si>
  <si>
    <t>Mcbride, Davenport and Kidd</t>
  </si>
  <si>
    <t>Keras, NumPy, GCP</t>
  </si>
  <si>
    <t>Lane, Diaz and Khan</t>
  </si>
  <si>
    <t>AWS, Flask, SQL, Keras, Excel</t>
  </si>
  <si>
    <t>Taylor LLC</t>
  </si>
  <si>
    <t>TensorFlow, Reinforcement Learning, C++, Power BI, LangChain</t>
  </si>
  <si>
    <t>Moss, Simmons and Elliott</t>
  </si>
  <si>
    <t>Power BI, Azure, Hugging Face, Python, C++, R</t>
  </si>
  <si>
    <t>LangChain, TensorFlow, MLflow</t>
  </si>
  <si>
    <t>Crane, Robles and Arias</t>
  </si>
  <si>
    <t>TensorFlow, Reinforcement Learning, SQL, NumPy, Python</t>
  </si>
  <si>
    <t>Martinez-Fuller</t>
  </si>
  <si>
    <t>Scikit-learn, GCP, NumPy, Flask, Excel, AWS</t>
  </si>
  <si>
    <t>Wood-Johnson</t>
  </si>
  <si>
    <t>AWS, NumPy, LangChain, Scikit-learn, FastAPI</t>
  </si>
  <si>
    <t>Martin Group</t>
  </si>
  <si>
    <t>CUDA, Power BI, LangChain, Scikit-learn</t>
  </si>
  <si>
    <t>Morrison, Wallace and Wade</t>
  </si>
  <si>
    <t>PyTorch, Power BI, Pandas, Scikit-learn</t>
  </si>
  <si>
    <t>Villa, Hall and Bishop</t>
  </si>
  <si>
    <t>LangChain, Power BI, AWS, TensorFlow</t>
  </si>
  <si>
    <t>Kennedy-Davis</t>
  </si>
  <si>
    <t>Keras, Python, Power BI, GCP</t>
  </si>
  <si>
    <t>BigQuery, FastAPI, PyTorch</t>
  </si>
  <si>
    <t>Anderson Group</t>
  </si>
  <si>
    <t>LangChain, Pandas, Scikit-learn, MLflow, C++</t>
  </si>
  <si>
    <t>Price, Moore and Kidd</t>
  </si>
  <si>
    <t>FastAPI, Excel, Scikit-learn, Pandas, PyTorch, Hugging Face</t>
  </si>
  <si>
    <t>Carroll Group</t>
  </si>
  <si>
    <t>C++, AWS, NumPy, SQL</t>
  </si>
  <si>
    <t>Woods-French</t>
  </si>
  <si>
    <t>TensorFlow, Python, Reinforcement Learning</t>
  </si>
  <si>
    <t>Miller, Gonzalez and Kelly</t>
  </si>
  <si>
    <t>Reinforcement Learning, Flask, C++, Azure, Hugging Face, Python</t>
  </si>
  <si>
    <t>TensorFlow, Scikit-learn, NumPy, C++, Hugging Face</t>
  </si>
  <si>
    <t>FastAPI, MLflow, PyTorch</t>
  </si>
  <si>
    <t>Anderson, Lucas and Clements</t>
  </si>
  <si>
    <t>SQL, AWS, TensorFlow</t>
  </si>
  <si>
    <t>Hugging Face, Pandas, SQL</t>
  </si>
  <si>
    <t>Braun Inc</t>
  </si>
  <si>
    <t>NumPy, TensorFlow, Pandas, CUDA</t>
  </si>
  <si>
    <t>Williams, Carter and Wilson</t>
  </si>
  <si>
    <t>C++, Pandas, Keras, Excel</t>
  </si>
  <si>
    <t>Howard-Farrell</t>
  </si>
  <si>
    <t>Scikit-learn, Excel, Flask</t>
  </si>
  <si>
    <t>Richards-Adams</t>
  </si>
  <si>
    <t>FastAPI, C++, NumPy, Flask</t>
  </si>
  <si>
    <t>Olson Group</t>
  </si>
  <si>
    <t>SQL, Pandas, Flask</t>
  </si>
  <si>
    <t>FastAPI, MLflow, BigQuery</t>
  </si>
  <si>
    <t>Montgomery-Castro</t>
  </si>
  <si>
    <t>MLflow, Keras, C++, Reinforcement Learning</t>
  </si>
  <si>
    <t>Cannon Group</t>
  </si>
  <si>
    <t>Hugging Face, Flask, Pandas, SQL, TensorFlow</t>
  </si>
  <si>
    <t>Green-Freeman</t>
  </si>
  <si>
    <t>GCP, LangChain, Scikit-learn, NumPy, Pandas</t>
  </si>
  <si>
    <t>Sullivan, Spencer and Holland</t>
  </si>
  <si>
    <t>FastAPI, TensorFlow, Hugging Face, SQL, Azure, Reinforcement Learning</t>
  </si>
  <si>
    <t>Barrett-Smith</t>
  </si>
  <si>
    <t>SQL, R, AWS</t>
  </si>
  <si>
    <t>MLflow, BigQuery, FastAPI</t>
  </si>
  <si>
    <t>Vargas-Rodriguez</t>
  </si>
  <si>
    <t>AWS, C++, Hugging Face, Azure, TensorFlow, MLflow</t>
  </si>
  <si>
    <t>Gaines-Vance</t>
  </si>
  <si>
    <t>TensorFlow, MLflow, CUDA</t>
  </si>
  <si>
    <t>Brown, Fox and Stokes</t>
  </si>
  <si>
    <t>Flask, CUDA, Hugging Face, MLflow, FastAPI</t>
  </si>
  <si>
    <t>Sparks-Garrison</t>
  </si>
  <si>
    <t>FastAPI, GCP, C++</t>
  </si>
  <si>
    <t>Payne, Swanson and Silva</t>
  </si>
  <si>
    <t>TensorFlow, Power BI, Scikit-learn, Excel</t>
  </si>
  <si>
    <t>Vargas-Edwards</t>
  </si>
  <si>
    <t>R, Keras, Azure, AWS, NumPy, GCP</t>
  </si>
  <si>
    <t>Griffith, Ruiz and Jones</t>
  </si>
  <si>
    <t>SQL, FastAPI, CUDA, GCP, LangChain, Scikit-learn</t>
  </si>
  <si>
    <t>Flowers Group</t>
  </si>
  <si>
    <t>NumPy, R, CUDA, MLflow, Azure, PyTorch</t>
  </si>
  <si>
    <t>Deleon PLC</t>
  </si>
  <si>
    <t>Power BI, Keras, TensorFlow</t>
  </si>
  <si>
    <t>Mcintosh-Mitchell</t>
  </si>
  <si>
    <t>Keras, Power BI, TensorFlow, Excel, SQL, LangChain</t>
  </si>
  <si>
    <t>Davies-Valentine</t>
  </si>
  <si>
    <t>AWS, GCP, Keras, SQL, Pandas, Python</t>
  </si>
  <si>
    <t>Collins Group</t>
  </si>
  <si>
    <t>Azure, PyTorch, LangChain</t>
  </si>
  <si>
    <t>Fields-Ramirez</t>
  </si>
  <si>
    <t>Hugging Face, LangChain, R, Python, SQL, TensorFlow</t>
  </si>
  <si>
    <t>Christensen, Heath and Lopez</t>
  </si>
  <si>
    <t>SQL, Scikit-learn, GCP</t>
  </si>
  <si>
    <t>Cross-Randall</t>
  </si>
  <si>
    <t>Hugging Face, R, TensorFlow</t>
  </si>
  <si>
    <t>Brewer-Bruce</t>
  </si>
  <si>
    <t>TensorFlow, Hugging Face, CUDA, PyTorch</t>
  </si>
  <si>
    <t>Henderson, Owens and Jones</t>
  </si>
  <si>
    <t>FastAPI, Python, MLflow, R, TensorFlow</t>
  </si>
  <si>
    <t>Lee-Davis</t>
  </si>
  <si>
    <t>Excel, Pandas, Power BI, NumPy, Reinforcement Learning, C++</t>
  </si>
  <si>
    <t>Watson-Fernandez</t>
  </si>
  <si>
    <t>Flask, Python, C++, Azure</t>
  </si>
  <si>
    <t>Benjamin, Jordan and Larsen</t>
  </si>
  <si>
    <t>Scikit-learn, MLflow, Keras, Hugging Face</t>
  </si>
  <si>
    <t>Moore LLC</t>
  </si>
  <si>
    <t>R, NumPy, Hugging Face, TensorFlow</t>
  </si>
  <si>
    <t>Wilson, Roberts and Frank</t>
  </si>
  <si>
    <t>PyTorch, Azure, Flask, SQL, Power BI, TensorFlow</t>
  </si>
  <si>
    <t>Hernandez, Long and Hutchinson</t>
  </si>
  <si>
    <t>GCP, C++, R, Pandas</t>
  </si>
  <si>
    <t>Huffman, Larson and Bryant</t>
  </si>
  <si>
    <t>NumPy, C++, Python</t>
  </si>
  <si>
    <t>Perry, Ford and Watson</t>
  </si>
  <si>
    <t>Python, Excel, Scikit-learn, TensorFlow, R</t>
  </si>
  <si>
    <t>Coffey Ltd</t>
  </si>
  <si>
    <t>LangChain, GCP, NumPy</t>
  </si>
  <si>
    <t>Lewis-Suarez</t>
  </si>
  <si>
    <t>Power BI, Pandas, Python, Keras, NumPy, Scikit-learn</t>
  </si>
  <si>
    <t>Flask, Pandas, Power BI, Scikit-learn, R</t>
  </si>
  <si>
    <t>Bennett-Peck</t>
  </si>
  <si>
    <t>PyTorch, Hugging Face, GCP, Keras, TensorFlow, AWS</t>
  </si>
  <si>
    <t>Azure, LangChain, Flask</t>
  </si>
  <si>
    <t>Benton-Dunn</t>
  </si>
  <si>
    <t>AWS, GCP, PyTorch, Keras, TensorFlow</t>
  </si>
  <si>
    <t>Scikit-learn, MLflow, KDB+</t>
  </si>
  <si>
    <t>Azure, Keras, R, Scikit-learn, TensorFlow, PyTorch</t>
  </si>
  <si>
    <t>Washington, Allen and Watts</t>
  </si>
  <si>
    <t>AWS, TensorFlow, R</t>
  </si>
  <si>
    <t>Bauer, Hayden and Reynolds</t>
  </si>
  <si>
    <t>NumPy, Excel, GCP, CUDA, AWS</t>
  </si>
  <si>
    <t>Williams-Hamilton</t>
  </si>
  <si>
    <t>PyTorch, Keras, R, SQL, Reinforcement Learning, Excel</t>
  </si>
  <si>
    <t>Walters LLC</t>
  </si>
  <si>
    <t>SQL, Excel, Flask, Scikit-learn</t>
  </si>
  <si>
    <t>Davis, Hanson and Gaines</t>
  </si>
  <si>
    <t>Flask, Keras, TensorFlow, CUDA, C++</t>
  </si>
  <si>
    <t>TensorFlow, FastAPI, BigQuery</t>
  </si>
  <si>
    <t>Garcia, Smith and James</t>
  </si>
  <si>
    <t>NumPy, Pandas, SQL, GCP, FastAPI</t>
  </si>
  <si>
    <t>SQL, Power BI, Excel, Reinforcement Learning</t>
  </si>
  <si>
    <t>Powell Ltd</t>
  </si>
  <si>
    <t>NumPy, CUDA, TensorFlow, Pandas, Hugging Face, PyTorch</t>
  </si>
  <si>
    <t>Scikit-learn, KDB+, LangChain</t>
  </si>
  <si>
    <t>Bell-Miles</t>
  </si>
  <si>
    <t>R, Excel, NumPy, CUDA, Azure, TensorFlow</t>
  </si>
  <si>
    <t>Cohen-Gardner</t>
  </si>
  <si>
    <t>SQL, MLflow, Keras</t>
  </si>
  <si>
    <t>Smith, Shepherd and Dawson</t>
  </si>
  <si>
    <t>Keras, FastAPI, Flask</t>
  </si>
  <si>
    <t>Dennis-West</t>
  </si>
  <si>
    <t>LangChain, SQL, Hugging Face</t>
  </si>
  <si>
    <t>Cortez, Kirby and Harris</t>
  </si>
  <si>
    <t>TensorFlow, Excel, NumPy, Reinforcement Learning, MLflow, Power BI</t>
  </si>
  <si>
    <t>Hugging Face, Pandas, Scikit-learn, Flask</t>
  </si>
  <si>
    <t>Jones-Romero</t>
  </si>
  <si>
    <t>AWS, Scikit-learn, TensorFlow, FastAPI, Power BI, Azure</t>
  </si>
  <si>
    <t>Mercer, Robinson and Rhodes</t>
  </si>
  <si>
    <t>LangChain, FastAPI, R</t>
  </si>
  <si>
    <t>White-Gomez</t>
  </si>
  <si>
    <t>TensorFlow, SQL, Reinforcement Learning, AWS, PyTorch, Python</t>
  </si>
  <si>
    <t>Morgan-Phillips</t>
  </si>
  <si>
    <t>Scikit-learn, Reinforcement Learning, NumPy, MLflow, Flask, Hugging Face</t>
  </si>
  <si>
    <t>Bailey-York</t>
  </si>
  <si>
    <t>FastAPI, Azure, NumPy, GCP, Flask</t>
  </si>
  <si>
    <t>Rodriguez-Walters</t>
  </si>
  <si>
    <t>Flask, TensorFlow, Python, R, Azure, SQL</t>
  </si>
  <si>
    <t>Keras, GCP, Scikit-learn, MLflow, NumPy</t>
  </si>
  <si>
    <t>Green-Moore</t>
  </si>
  <si>
    <t>R, NumPy, PyTorch</t>
  </si>
  <si>
    <t>Underwood, Scott and Norris</t>
  </si>
  <si>
    <t>NumPy, Pandas, LangChain, MLflow, TensorFlow, R</t>
  </si>
  <si>
    <t>BigQuery, TensorFlow, MLflow</t>
  </si>
  <si>
    <t>Gonzalez-Gordon</t>
  </si>
  <si>
    <t>MLflow, LangChain, Power BI, CUDA, SQL, TensorFlow</t>
  </si>
  <si>
    <t>Gilmore Group</t>
  </si>
  <si>
    <t>Scikit-learn, R, Power BI</t>
  </si>
  <si>
    <t>Scott-Jones</t>
  </si>
  <si>
    <t>Keras, NumPy, Reinforcement Learning, Scikit-learn, Azure, Pandas</t>
  </si>
  <si>
    <t>Johnson-Peters</t>
  </si>
  <si>
    <t>LangChain, GCP, NumPy, Python, R</t>
  </si>
  <si>
    <t>Black, Baker and Sanchez</t>
  </si>
  <si>
    <t>FastAPI, Flask, Power BI, Reinforcement Learning, PyTorch</t>
  </si>
  <si>
    <t>Durham Ltd</t>
  </si>
  <si>
    <t>SQL, MLflow, Keras, TensorFlow, NumPy, Reinforcement Learning</t>
  </si>
  <si>
    <t>AWS, NumPy, TensorFlow, Hugging Face, CUDA, Power BI</t>
  </si>
  <si>
    <t>PyTorch, FastAPI, Scikit-learn</t>
  </si>
  <si>
    <t>Lindsey LLC</t>
  </si>
  <si>
    <t>AWS, Flask, C++, GCP, Hugging Face</t>
  </si>
  <si>
    <t>Miller, Garcia and Juarez</t>
  </si>
  <si>
    <t>Reinforcement Learning, TensorFlow, Flask, Excel, GCP</t>
  </si>
  <si>
    <t>Matthews and Sons</t>
  </si>
  <si>
    <t>TensorFlow, Hugging Face, MLflow, GCP, PyTorch</t>
  </si>
  <si>
    <t>Cannon-Phelps</t>
  </si>
  <si>
    <t>R, FastAPI, TensorFlow</t>
  </si>
  <si>
    <t>Brady and Sons</t>
  </si>
  <si>
    <t>Excel, R, Pandas</t>
  </si>
  <si>
    <t>PyTorch, CUDA, TensorFlow, FastAPI, Keras</t>
  </si>
  <si>
    <t>Gonzalez, Burnett and Alexander</t>
  </si>
  <si>
    <t>Reinforcement Learning, Hugging Face, CUDA, PyTorch</t>
  </si>
  <si>
    <t>Morris-Lee</t>
  </si>
  <si>
    <t>Reinforcement Learning, TensorFlow, Pandas, Keras, Python, PyTorch</t>
  </si>
  <si>
    <t>Baxter and Sons</t>
  </si>
  <si>
    <t>Pandas, Reinforcement Learning, FastAPI, Power BI</t>
  </si>
  <si>
    <t>King, Hatfield and Small</t>
  </si>
  <si>
    <t>Reinforcement Learning, TensorFlow, Hugging Face, SQL, C++, LangChain</t>
  </si>
  <si>
    <t>Bailey, Chavez and Green</t>
  </si>
  <si>
    <t>R, Scikit-learn, LangChain, Flask</t>
  </si>
  <si>
    <t>Daniels, Lambert and Porter</t>
  </si>
  <si>
    <t>LangChain, C++, Power BI</t>
  </si>
  <si>
    <t>Casey Ltd</t>
  </si>
  <si>
    <t>NumPy, SQL, Flask, Python</t>
  </si>
  <si>
    <t>Williams, Robinson and Scott</t>
  </si>
  <si>
    <t>Excel, Scikit-learn, AWS, Flask, LangChain</t>
  </si>
  <si>
    <t>Excel, Pandas, SQL, R, Azure</t>
  </si>
  <si>
    <t>Brooks Group</t>
  </si>
  <si>
    <t>Pandas, GCP, Power BI, Hugging Face, Reinforcement Learning, CUDA</t>
  </si>
  <si>
    <t>Martinez, Nelson and Hernandez</t>
  </si>
  <si>
    <t>PyTorch, Python, AWS, Reinforcement Learning, FastAPI, CUDA</t>
  </si>
  <si>
    <t>Scikit-learn, PyTorch, Python</t>
  </si>
  <si>
    <t>Riley Ltd</t>
  </si>
  <si>
    <t>LangChain, Power BI, Python</t>
  </si>
  <si>
    <t>Hunter Inc</t>
  </si>
  <si>
    <t>NumPy, PyTorch, Excel</t>
  </si>
  <si>
    <t>Day, Jones and Castillo</t>
  </si>
  <si>
    <t>Scikit-learn, PyTorch, Reinforcement Learning, Flask, FastAPI, MLflow</t>
  </si>
  <si>
    <t>Tran, Williams and Ochoa</t>
  </si>
  <si>
    <t>CUDA, Pandas, Scikit-learn</t>
  </si>
  <si>
    <t>Deleon, Fuller and Hall</t>
  </si>
  <si>
    <t>NumPy, PyTorch, SQL, TensorFlow</t>
  </si>
  <si>
    <t>Pierce, White and Poole</t>
  </si>
  <si>
    <t>Reinforcement Learning, Pandas, Azure, SQL, C++</t>
  </si>
  <si>
    <t>FastAPI, LangChain, Python, AWS, R, TensorFlow</t>
  </si>
  <si>
    <t>Tucker LLC</t>
  </si>
  <si>
    <t>AWS, Power BI, Pandas, TensorFlow</t>
  </si>
  <si>
    <t>Washington, Kirby and Kennedy</t>
  </si>
  <si>
    <t>Hugging Face, LangChain, Flask, AWS</t>
  </si>
  <si>
    <t>FastAPI, LangChain, MLflow</t>
  </si>
  <si>
    <t>Mills LLC</t>
  </si>
  <si>
    <t>PyTorch, C++, Flask, Pandas, NumPy</t>
  </si>
  <si>
    <t>MLflow, LangChain, TensorFlow</t>
  </si>
  <si>
    <t>Stewart Inc</t>
  </si>
  <si>
    <t>CUDA, LangChain, NumPy, GCP, Flask, Azure</t>
  </si>
  <si>
    <t>Mckay-Patton</t>
  </si>
  <si>
    <t>Excel, Azure, R, FastAPI, PyTorch, Power BI</t>
  </si>
  <si>
    <t>Cooley LLC</t>
  </si>
  <si>
    <t>TensorFlow, GCP, Power BI, FastAPI, Pandas, R</t>
  </si>
  <si>
    <t>NumPy, Keras, Reinforcement Learning</t>
  </si>
  <si>
    <t>Carlson, Taylor and Johnson</t>
  </si>
  <si>
    <t>Excel, SQL, AWS, Scikit-learn, GCP</t>
  </si>
  <si>
    <t>Price LLC</t>
  </si>
  <si>
    <t>PyTorch, Excel, LangChain, Scikit-learn</t>
  </si>
  <si>
    <t>TensorFlow, FastAPI, KDB+</t>
  </si>
  <si>
    <t>Adams and Sons</t>
  </si>
  <si>
    <t>Scikit-learn, CUDA, GCP, SQL, Reinforcement Learning</t>
  </si>
  <si>
    <t>Roberts Ltd</t>
  </si>
  <si>
    <t>SQL, PyTorch, Keras, Reinforcement Learning, C++, Hugging Face</t>
  </si>
  <si>
    <t>Johnson, Fuller and Rogers</t>
  </si>
  <si>
    <t>Excel, LangChain, FastAPI, SQL, Azure, Keras</t>
  </si>
  <si>
    <t>Morgan PLC</t>
  </si>
  <si>
    <t>C++, Azure, Hugging Face, Keras, PyTorch</t>
  </si>
  <si>
    <t>Evans PLC</t>
  </si>
  <si>
    <t>SQL, Azure, Reinforcement Learning, C++</t>
  </si>
  <si>
    <t>Young-Flores</t>
  </si>
  <si>
    <t>Pandas, FastAPI, Azure, Flask, Python, SQL</t>
  </si>
  <si>
    <t>Howard, Owens and Coleman</t>
  </si>
  <si>
    <t>SQL, NumPy, GCP</t>
  </si>
  <si>
    <t>Jefferson-Cooper</t>
  </si>
  <si>
    <t>Flask, GCP, C++, Hugging Face, PyTorch</t>
  </si>
  <si>
    <t>Mosley, Schultz and Wilson</t>
  </si>
  <si>
    <t>Hugging Face, MLflow, PyTorch</t>
  </si>
  <si>
    <t>Collier, Houston and Brown</t>
  </si>
  <si>
    <t>Reinforcement Learning, C++, TensorFlow</t>
  </si>
  <si>
    <t>Raymond-Powell</t>
  </si>
  <si>
    <t>Azure, LangChain, R</t>
  </si>
  <si>
    <t>Booth-Gibbs</t>
  </si>
  <si>
    <t>Flask, Excel, Azure, MLflow, Keras, LangChain</t>
  </si>
  <si>
    <t>Henderson-Lewis</t>
  </si>
  <si>
    <t>Scikit-learn, TensorFlow, Power BI, SQL, Hugging Face, Excel</t>
  </si>
  <si>
    <t>Rhodes PLC</t>
  </si>
  <si>
    <t>Excel, GCP, R</t>
  </si>
  <si>
    <t>Yang, Wyatt and Jackson</t>
  </si>
  <si>
    <t>Power BI, NumPy, GCP</t>
  </si>
  <si>
    <t>Ortiz-Hogan</t>
  </si>
  <si>
    <t>C++, R, LangChain, Keras</t>
  </si>
  <si>
    <t>Morgan-Kelly</t>
  </si>
  <si>
    <t>Hugging Face, AWS, R</t>
  </si>
  <si>
    <t>Kelly-Conrad</t>
  </si>
  <si>
    <t>CUDA, NumPy, Power BI, Azure, SQL, Keras</t>
  </si>
  <si>
    <t>Briggs, Chase and Thompson</t>
  </si>
  <si>
    <t>Azure, MLflow, Keras, Scikit-learn</t>
  </si>
  <si>
    <t>Payne-Reese</t>
  </si>
  <si>
    <t>GCP, Hugging Face, NumPy, Power BI, Excel, Keras</t>
  </si>
  <si>
    <t>Mullins, Black and Ferrell</t>
  </si>
  <si>
    <t>R, Scikit-learn, Excel, Hugging Face</t>
  </si>
  <si>
    <t>Williams, Johnson and Williams</t>
  </si>
  <si>
    <t>Azure, Pandas, Scikit-learn</t>
  </si>
  <si>
    <t>Vega, Trujillo and Sanchez</t>
  </si>
  <si>
    <t>Azure, TensorFlow, AWS, NumPy</t>
  </si>
  <si>
    <t>Parker Group</t>
  </si>
  <si>
    <t>NumPy, Flask, MLflow</t>
  </si>
  <si>
    <t>Miranda, Gonzalez and Long</t>
  </si>
  <si>
    <t>R, Excel, FastAPI, Pandas, TensorFlow, NumPy</t>
  </si>
  <si>
    <t>LangChain, FastAPI, MLflow</t>
  </si>
  <si>
    <t>Franklin, Saunders and Gray</t>
  </si>
  <si>
    <t>CUDA, Hugging Face, Azure</t>
  </si>
  <si>
    <t>Smith, Montes and Rodriguez</t>
  </si>
  <si>
    <t>FastAPI, CUDA, NumPy</t>
  </si>
  <si>
    <t>Klein, Mason and Edwards</t>
  </si>
  <si>
    <t>PyTorch, TensorFlow, FastAPI, NumPy, Reinforcement Learning</t>
  </si>
  <si>
    <t>Mcbride-Harrison</t>
  </si>
  <si>
    <t>Python, Pandas, R, Reinforcement Learning</t>
  </si>
  <si>
    <t>Brown-Shaffer</t>
  </si>
  <si>
    <t>Azure, Hugging Face, C++, Power BI</t>
  </si>
  <si>
    <t>Mcintyre, Bradley and Scott</t>
  </si>
  <si>
    <t>SQL, FastAPI, NumPy, TensorFlow, Keras, Reinforcement Learning</t>
  </si>
  <si>
    <t>Harris-Miller</t>
  </si>
  <si>
    <t>Scikit-learn, Keras, Pandas</t>
  </si>
  <si>
    <t>Meadows PLC</t>
  </si>
  <si>
    <t>FastAPI, MLflow, Excel, Reinforcement Learning, Hugging Face, Pandas</t>
  </si>
  <si>
    <t>Crawford, Perry and Reynolds</t>
  </si>
  <si>
    <t>C++, Scikit-learn, FastAPI, GCP</t>
  </si>
  <si>
    <t>Python, Keras, NumPy, R, Scikit-learn, PyTorch</t>
  </si>
  <si>
    <t>Herring, Smith and Fletcher</t>
  </si>
  <si>
    <t>Keras, C++, Flask, Python, GCP, NumPy</t>
  </si>
  <si>
    <t>Howard-Johnson</t>
  </si>
  <si>
    <t>Keras, TensorFlow, Excel, CUDA, PyTorch</t>
  </si>
  <si>
    <t>Kidd PLC</t>
  </si>
  <si>
    <t>TensorFlow, Flask, GCP, Pandas</t>
  </si>
  <si>
    <t>Mccoy Inc</t>
  </si>
  <si>
    <t>AWS, FastAPI, Keras</t>
  </si>
  <si>
    <t>Riddle, Costa and Morris</t>
  </si>
  <si>
    <t>Reinforcement Learning, Excel, LangChain, TensorFlow, FastAPI, R</t>
  </si>
  <si>
    <t>Allen-Middleton</t>
  </si>
  <si>
    <t>Excel, FastAPI, Power BI, R</t>
  </si>
  <si>
    <t>Walker, Parks and Ray</t>
  </si>
  <si>
    <t>GCP, Hugging Face, MLflow</t>
  </si>
  <si>
    <t>Lee, Roberts and Jones</t>
  </si>
  <si>
    <t>Azure, SQL, AWS</t>
  </si>
  <si>
    <t>Cox, Jacobson and Gillespie</t>
  </si>
  <si>
    <t>Flask, FastAPI, Power BI, Reinforcement Learning, Keras, SQL</t>
  </si>
  <si>
    <t>Stevenson-Flores</t>
  </si>
  <si>
    <t>R, FastAPI, Power BI</t>
  </si>
  <si>
    <t>Fisher Inc</t>
  </si>
  <si>
    <t>Azure, Scikit-learn, Excel, Flask, GCP, AWS</t>
  </si>
  <si>
    <t>Santos and Sons</t>
  </si>
  <si>
    <t>Azure, GCP, Hugging Face, R, Scikit-learn</t>
  </si>
  <si>
    <t>Washington Group</t>
  </si>
  <si>
    <t>C++, AWS, SQL</t>
  </si>
  <si>
    <t>Hoffman LLC</t>
  </si>
  <si>
    <t>SQL, Scikit-learn, TensorFlow, LangChain, R, Power BI</t>
  </si>
  <si>
    <t>MLflow, TensorFlow, Scikit-learn</t>
  </si>
  <si>
    <t>Suarez LLC</t>
  </si>
  <si>
    <t>C++, LangChain, NumPy, Azure, MLflow</t>
  </si>
  <si>
    <t>Green Ltd</t>
  </si>
  <si>
    <t>Keras, Scikit-learn, Pandas, Python, FastAPI</t>
  </si>
  <si>
    <t>Fischer-Guzman</t>
  </si>
  <si>
    <t>PyTorch, Python, Flask</t>
  </si>
  <si>
    <t>Powell-Hall</t>
  </si>
  <si>
    <t>AWS, R, FastAPI</t>
  </si>
  <si>
    <t>Price-Johnson</t>
  </si>
  <si>
    <t>AWS, PyTorch, Scikit-learn</t>
  </si>
  <si>
    <t>Boyle, Griffin and Mitchell</t>
  </si>
  <si>
    <t>Power BI, TensorFlow, Azure, PyTorch, NumPy</t>
  </si>
  <si>
    <t>Gould, Owen and Hahn</t>
  </si>
  <si>
    <t>FastAPI, AWS, Python</t>
  </si>
  <si>
    <t>Fox Inc</t>
  </si>
  <si>
    <t>Flask, Pandas, SQL, PyTorch</t>
  </si>
  <si>
    <t>Martin, Morrison and Woods</t>
  </si>
  <si>
    <t>Pandas, PyTorch, Power BI, FastAPI, TensorFlow</t>
  </si>
  <si>
    <t>Thornton, Johnson and Coleman</t>
  </si>
  <si>
    <t>Nelson PLC</t>
  </si>
  <si>
    <t>PyTorch, Pandas, TensorFlow, Azure, NumPy</t>
  </si>
  <si>
    <t>Peters, Martin and Gonzalez</t>
  </si>
  <si>
    <t>PyTorch, Excel, Scikit-learn, MLflow</t>
  </si>
  <si>
    <t>Holmes-Palmer</t>
  </si>
  <si>
    <t>NumPy, Excel, LangChain, PyTorch, AWS, Power BI</t>
  </si>
  <si>
    <t>Bass, Carpenter and Bishop</t>
  </si>
  <si>
    <t>Azure, TensorFlow, Excel</t>
  </si>
  <si>
    <t>Robinson Inc</t>
  </si>
  <si>
    <t>Excel, MLflow, NumPy</t>
  </si>
  <si>
    <t>Moore-Ross</t>
  </si>
  <si>
    <t>AWS, MLflow, Reinforcement Learning, FastAPI, Python</t>
  </si>
  <si>
    <t>Hernandez-Schneider</t>
  </si>
  <si>
    <t>Python, MLflow, Azure, Reinforcement Learning</t>
  </si>
  <si>
    <t>Singleton-Morris</t>
  </si>
  <si>
    <t>AWS, NumPy, CUDA, Scikit-learn</t>
  </si>
  <si>
    <t>Smith, Barnett and Robles</t>
  </si>
  <si>
    <t>Azure, R, MLflow, Python, AWS</t>
  </si>
  <si>
    <t>Anderson, Perez and Harrison</t>
  </si>
  <si>
    <t>GCP, Hugging Face, Python</t>
  </si>
  <si>
    <t>Woodard-Jones</t>
  </si>
  <si>
    <t>Hugging Face, PyTorch, SQL, FastAPI</t>
  </si>
  <si>
    <t>Taylor, Randolph and Robinson</t>
  </si>
  <si>
    <t>CUDA, MLflow, Flask, Python, Scikit-learn, PyTorch</t>
  </si>
  <si>
    <t>Scott, Nguyen and Gomez</t>
  </si>
  <si>
    <t>Keras, LangChain, FastAPI</t>
  </si>
  <si>
    <t>Stephens, Barnes and Howard</t>
  </si>
  <si>
    <t>AWS, LangChain, Python, PyTorch, R</t>
  </si>
  <si>
    <t>Young-Cook</t>
  </si>
  <si>
    <t>CUDA, Pandas, R, Reinforcement Learning, TensorFlow, Azure</t>
  </si>
  <si>
    <t>Perez-Mills</t>
  </si>
  <si>
    <t>NumPy, MLflow, Flask, Keras, TensorFlow, FastAPI</t>
  </si>
  <si>
    <t>Torres, Williams and Ramos</t>
  </si>
  <si>
    <t>GCP, Hugging Face, Keras</t>
  </si>
  <si>
    <t>Mosley-Ferrell</t>
  </si>
  <si>
    <t>Reinforcement Learning, C++, Scikit-learn</t>
  </si>
  <si>
    <t>Roman Inc</t>
  </si>
  <si>
    <t>AWS, Power BI, TensorFlow, SQL</t>
  </si>
  <si>
    <t>Johnson-Bell</t>
  </si>
  <si>
    <t>AWS, Azure, Reinforcement Learning, NumPy</t>
  </si>
  <si>
    <t>Macias, King and Sanchez</t>
  </si>
  <si>
    <t>PyTorch, Reinforcement Learning, Pandas</t>
  </si>
  <si>
    <t>Franco and Sons</t>
  </si>
  <si>
    <t>Hugging Face, FastAPI, Reinforcement Learning, Flask</t>
  </si>
  <si>
    <t>Villa, Fowler and Oneill</t>
  </si>
  <si>
    <t>Power BI, Reinforcement Learning, TensorFlow, CUDA</t>
  </si>
  <si>
    <t>Cervantes-Parker</t>
  </si>
  <si>
    <t>Reinforcement Learning, TensorFlow, R, SQL, FastAPI</t>
  </si>
  <si>
    <t>Gonzalez Inc</t>
  </si>
  <si>
    <t>Keras, LangChain, AWS, TensorFlow, Reinforcement Learning, NumPy</t>
  </si>
  <si>
    <t>NumPy, Excel, Scikit-learn, CUDA, R, TensorFlow</t>
  </si>
  <si>
    <t>Cox, Taylor and Kent</t>
  </si>
  <si>
    <t>C++, TensorFlow, Keras</t>
  </si>
  <si>
    <t>Blanchard-Rodriguez</t>
  </si>
  <si>
    <t>Excel, Scikit-learn, PyTorch, FastAPI</t>
  </si>
  <si>
    <t>Schmitt, Terry and Ramirez</t>
  </si>
  <si>
    <t>Hugging Face, PyTorch, AWS, MLflow</t>
  </si>
  <si>
    <t>Nixon-Martinez</t>
  </si>
  <si>
    <t>Reinforcement Learning, MLflow, GCP, Azure, Pandas</t>
  </si>
  <si>
    <t>Jenkins Ltd</t>
  </si>
  <si>
    <t>Power BI, Python, Scikit-learn, R, Pandas</t>
  </si>
  <si>
    <t>Grant, Rosario and Williams</t>
  </si>
  <si>
    <t>Keras, AWS, SQL, CUDA, Python, GCP</t>
  </si>
  <si>
    <t>Rogers, Nixon and Martinez</t>
  </si>
  <si>
    <t>Excel, Flask, FastAPI</t>
  </si>
  <si>
    <t>Carter-Lang</t>
  </si>
  <si>
    <t>LangChain, MLflow, Azure</t>
  </si>
  <si>
    <t>Moss, Salazar and Stanley</t>
  </si>
  <si>
    <t>CUDA, Scikit-learn, Power BI, TensorFlow</t>
  </si>
  <si>
    <t>Carlson-Allen</t>
  </si>
  <si>
    <t>C++, Azure, CUDA</t>
  </si>
  <si>
    <t>MLflow, FastAPI, LangChain</t>
  </si>
  <si>
    <t>Robertson-Alvarez</t>
  </si>
  <si>
    <t>NumPy, Python, SQL</t>
  </si>
  <si>
    <t>Gutierrez-Solomon</t>
  </si>
  <si>
    <t>Pandas, Azure, Reinforcement Learning, C++, FastAPI</t>
  </si>
  <si>
    <t>Holland PLC</t>
  </si>
  <si>
    <t>C++, R, Python, Scikit-learn, Reinforcement Learning, LangChain</t>
  </si>
  <si>
    <t>Gonzalez, Wilson and Barnett</t>
  </si>
  <si>
    <t>TensorFlow, Excel, LangChain</t>
  </si>
  <si>
    <t>Tran and Sons</t>
  </si>
  <si>
    <t>SQL, Flask, C++</t>
  </si>
  <si>
    <t>Pena, Figueroa and Gregory</t>
  </si>
  <si>
    <t>Scikit-learn, Python, Excel, C++</t>
  </si>
  <si>
    <t>Perez-Wilkins</t>
  </si>
  <si>
    <t>MLflow, C++, Power BI, LangChain</t>
  </si>
  <si>
    <t>Morales-Wallace</t>
  </si>
  <si>
    <t>SQL, C++, R, Scikit-learn, NumPy</t>
  </si>
  <si>
    <t>Steele-Hansen</t>
  </si>
  <si>
    <t>Excel, Power BI, Hugging Face, LangChain, MLflow</t>
  </si>
  <si>
    <t>Martin, Love and Gonzalez</t>
  </si>
  <si>
    <t>Reinforcement Learning, FastAPI, AWS</t>
  </si>
  <si>
    <t>Wood PLC</t>
  </si>
  <si>
    <t>Excel, Power BI, Hugging Face, Flask, NumPy</t>
  </si>
  <si>
    <t>Watson and Sons</t>
  </si>
  <si>
    <t>R, LangChain, Power BI, C++</t>
  </si>
  <si>
    <t>Martinez, Frye and Murray</t>
  </si>
  <si>
    <t>Hugging Face, Excel, Keras, FastAPI, TensorFlow, GCP</t>
  </si>
  <si>
    <t>LangChain, KDB+, MLflow</t>
  </si>
  <si>
    <t>Austin-Garza</t>
  </si>
  <si>
    <t>Cook-Francis</t>
  </si>
  <si>
    <t>SQL, GCP, Excel, CUDA, R</t>
  </si>
  <si>
    <t>Frank-Graham</t>
  </si>
  <si>
    <t>Scikit-learn, Excel, Python, Flask, GCP, C++</t>
  </si>
  <si>
    <t>Miller Inc</t>
  </si>
  <si>
    <t>Pandas, GCP, Azure, Reinforcement Learning, TensorFlow, MLflow</t>
  </si>
  <si>
    <t>Hughes Group</t>
  </si>
  <si>
    <t>CUDA, SQL, C++, PyTorch, Hugging Face, AWS</t>
  </si>
  <si>
    <t>Wallace LLC</t>
  </si>
  <si>
    <t>Hugging Face, Power BI, TensorFlow, C++, Python, AWS</t>
  </si>
  <si>
    <t>Little, Bishop and Silva</t>
  </si>
  <si>
    <t>LangChain, CUDA, FastAPI, Excel, GCP, Power BI</t>
  </si>
  <si>
    <t>Randall-Lewis</t>
  </si>
  <si>
    <t>MLflow, Python, Reinforcement Learning, SQL, Pandas, NumPy</t>
  </si>
  <si>
    <t>Scikit-learn, C++, NumPy, FastAPI</t>
  </si>
  <si>
    <t>Diaz, Thomas and Hahn</t>
  </si>
  <si>
    <t>TensorFlow, C++, Pandas</t>
  </si>
  <si>
    <t>Strickland-Oliver</t>
  </si>
  <si>
    <t>TensorFlow, PyTorch, C++</t>
  </si>
  <si>
    <t>Bartlett-Long</t>
  </si>
  <si>
    <t>Hugging Face, SQL, AWS, Scikit-learn, C++, Pandas</t>
  </si>
  <si>
    <t>Martin, Reeves and Holt</t>
  </si>
  <si>
    <t>CUDA, Scikit-learn, R, Azure</t>
  </si>
  <si>
    <t>Roth-Caldwell</t>
  </si>
  <si>
    <t>LangChain, PyTorch, TensorFlow, GCP</t>
  </si>
  <si>
    <t>Cherry, Hernandez and Powell</t>
  </si>
  <si>
    <t>MLflow, AWS, SQL, Pandas</t>
  </si>
  <si>
    <t>Ross-Harris</t>
  </si>
  <si>
    <t>Python, Flask, Azure, MLflow, Keras, Power BI</t>
  </si>
  <si>
    <t>Riley-Little</t>
  </si>
  <si>
    <t>Power BI, Excel, Scikit-learn, Hugging Face, FastAPI</t>
  </si>
  <si>
    <t>Bell, Boyer and Thompson</t>
  </si>
  <si>
    <t>Python, Keras, Hugging Face, Flask, TensorFlow</t>
  </si>
  <si>
    <t>Carter, Green and Page</t>
  </si>
  <si>
    <t>CUDA, TensorFlow, PyTorch, Python, R, NumPy</t>
  </si>
  <si>
    <t>Fernandez-Campos</t>
  </si>
  <si>
    <t>Python, TensorFlow, Power BI</t>
  </si>
  <si>
    <t>Smith, Austin and Robinson</t>
  </si>
  <si>
    <t>MLflow, Keras, GCP</t>
  </si>
  <si>
    <t>Graham-Cox</t>
  </si>
  <si>
    <t>MLflow, Hugging Face, Scikit-learn, C++</t>
  </si>
  <si>
    <t>Blake, Chen and Barnes</t>
  </si>
  <si>
    <t>Pandas, TensorFlow, Hugging Face</t>
  </si>
  <si>
    <t>Wilson-Anderson</t>
  </si>
  <si>
    <t>Power BI, NumPy, TensorFlow, Flask, SQL</t>
  </si>
  <si>
    <t>Allison, Jensen and Wilson</t>
  </si>
  <si>
    <t>Hugging Face, Scikit-learn, GCP, TensorFlow, NumPy</t>
  </si>
  <si>
    <t>Smith PLC</t>
  </si>
  <si>
    <t>Power BI, Hugging Face, Azure, NumPy, SQL</t>
  </si>
  <si>
    <t>Rose-Knight</t>
  </si>
  <si>
    <t>MLflow, TensorFlow, Reinforcement Learning</t>
  </si>
  <si>
    <t>Castro-Carpenter</t>
  </si>
  <si>
    <t>Flask, AWS, TensorFlow, NumPy</t>
  </si>
  <si>
    <t>Wilson PLC</t>
  </si>
  <si>
    <t>Scikit-learn, GCP, LangChain, Python, CUDA, Excel</t>
  </si>
  <si>
    <t>Hodges-Johnson</t>
  </si>
  <si>
    <t>Hugging Face, Excel, Scikit-learn, CUDA, SQL, PyTorch</t>
  </si>
  <si>
    <t>Alvarado PLC</t>
  </si>
  <si>
    <t>Pandas, MLflow, Power BI, Python</t>
  </si>
  <si>
    <t>Brown, White and Alvarado</t>
  </si>
  <si>
    <t>Hugging Face, TensorFlow, C++, Keras, AWS</t>
  </si>
  <si>
    <t>Flores-Lee</t>
  </si>
  <si>
    <t>C++, Excel, Pandas</t>
  </si>
  <si>
    <t>Sexton, Woods and Allen</t>
  </si>
  <si>
    <t>NumPy, Python, PyTorch</t>
  </si>
  <si>
    <t>Robinson Ltd</t>
  </si>
  <si>
    <t>Reinforcement Learning, TensorFlow, Excel, Azure</t>
  </si>
  <si>
    <t>Williams-Cooper</t>
  </si>
  <si>
    <t>Excel, R, FastAPI</t>
  </si>
  <si>
    <t>Garcia-Moss</t>
  </si>
  <si>
    <t>Excel, R, MLflow, Azure, Flask, TensorFlow</t>
  </si>
  <si>
    <t>Lopez, Kelley and Davis</t>
  </si>
  <si>
    <t>LangChain, SQL, Hugging Face, AWS, CUDA</t>
  </si>
  <si>
    <t>Excel, Power BI, Python</t>
  </si>
  <si>
    <t>Bush Inc</t>
  </si>
  <si>
    <t>MLflow, Pandas, NumPy, GCP, FastAPI, LangChain</t>
  </si>
  <si>
    <t>FastAPI, KDB+, PyTorch</t>
  </si>
  <si>
    <t>Martin, Joseph and Baldwin</t>
  </si>
  <si>
    <t>GCP, Flask, TensorFlow, MLflow</t>
  </si>
  <si>
    <t>Kelly and Sons</t>
  </si>
  <si>
    <t>Reinforcement Learning, MLflow, Hugging Face, C++, Azure</t>
  </si>
  <si>
    <t>Wheeler LLC</t>
  </si>
  <si>
    <t>Hugging Face, TensorFlow, MLflow</t>
  </si>
  <si>
    <t>PyTorch, KDB+, TensorFlow</t>
  </si>
  <si>
    <t>Moore, Smith and Obrien</t>
  </si>
  <si>
    <t>Perez, Rangel and Pugh</t>
  </si>
  <si>
    <t>MLflow, CUDA, GCP, Pandas, Power BI</t>
  </si>
  <si>
    <t>KDB+, Scikit-learn, MLflow</t>
  </si>
  <si>
    <t>Martinez-Williams</t>
  </si>
  <si>
    <t>Python, Azure, CUDA, NumPy, Power BI</t>
  </si>
  <si>
    <t>Klein-Williams</t>
  </si>
  <si>
    <t>Pandas, MLflow, C++, Reinforcement Learning, SQL, Python</t>
  </si>
  <si>
    <t>Vazquez and Sons</t>
  </si>
  <si>
    <t>GCP, C++, FastAPI</t>
  </si>
  <si>
    <t>Calderon, Kelly and Velasquez</t>
  </si>
  <si>
    <t>NumPy, Python, SQL, CUDA, Hugging Face</t>
  </si>
  <si>
    <t>Johnson-Rivas</t>
  </si>
  <si>
    <t>GCP, TensorFlow, Hugging Face</t>
  </si>
  <si>
    <t>Lee, Huerta and Mcclain</t>
  </si>
  <si>
    <t>Excel, LangChain, AWS, CUDA, Hugging Face, Power BI</t>
  </si>
  <si>
    <t>Wilson LLC</t>
  </si>
  <si>
    <t>Power BI, GCP, NumPy</t>
  </si>
  <si>
    <t>Beck-Miller</t>
  </si>
  <si>
    <t>Reinforcement Learning, Keras, TensorFlow, Python, LangChain</t>
  </si>
  <si>
    <t>Scikit-learn, MLflow, LangChain</t>
  </si>
  <si>
    <t>Dominguez LLC</t>
  </si>
  <si>
    <t>Reinforcement Learning, Keras, MLflow, PyTorch, Pandas</t>
  </si>
  <si>
    <t>Ruiz-Smith</t>
  </si>
  <si>
    <t>Pandas, MLflow, LangChain, Hugging Face, TensorFlow, PyTorch</t>
  </si>
  <si>
    <t>Hugging Face, Excel, TensorFlow, R, Keras</t>
  </si>
  <si>
    <t>Gonzalez, Smith and Rice</t>
  </si>
  <si>
    <t>Flask, PyTorch, LangChain, Pandas, Azure, FastAPI</t>
  </si>
  <si>
    <t>Trevino, Adams and Carroll</t>
  </si>
  <si>
    <t>GCP, Power BI, AWS, LangChain</t>
  </si>
  <si>
    <t>Ellis, Jones and Grant</t>
  </si>
  <si>
    <t>Python, Pandas, C++</t>
  </si>
  <si>
    <t>Griffin and Sons</t>
  </si>
  <si>
    <t>R, NumPy, PyTorch, Pandas</t>
  </si>
  <si>
    <t>R, Pandas, CUDA</t>
  </si>
  <si>
    <t>Bell, Ruiz and Hull</t>
  </si>
  <si>
    <t>MLflow, FastAPI, GCP</t>
  </si>
  <si>
    <t>Wilkerson LLC</t>
  </si>
  <si>
    <t>NumPy, Flask, Pandas</t>
  </si>
  <si>
    <t>Davis-Owen</t>
  </si>
  <si>
    <t>Hugging Face, MLflow, Python, Reinforcement Learning</t>
  </si>
  <si>
    <t>Fry Inc</t>
  </si>
  <si>
    <t>Power BI, CUDA, Excel</t>
  </si>
  <si>
    <t>Myers PLC</t>
  </si>
  <si>
    <t>Power BI, TensorFlow, NumPy, MLflow</t>
  </si>
  <si>
    <t>Rosales Ltd</t>
  </si>
  <si>
    <t>PyTorch, GCP, Reinforcement Learning, TensorFlow, FastAPI</t>
  </si>
  <si>
    <t>Wilkerson, Chase and Rivera</t>
  </si>
  <si>
    <t>AWS, R, FastAPI, Python, MLflow</t>
  </si>
  <si>
    <t>Clark Ltd</t>
  </si>
  <si>
    <t>R, GCP, Power BI, Python, Pandas</t>
  </si>
  <si>
    <t>Holt-Wells</t>
  </si>
  <si>
    <t>Reinforcement Learning, C++, Pandas, Keras, NumPy</t>
  </si>
  <si>
    <t>Larson Ltd</t>
  </si>
  <si>
    <t>FastAPI, Keras, C++, LangChain, SQL, AWS</t>
  </si>
  <si>
    <t>Ray-Edwards</t>
  </si>
  <si>
    <t>Python, Hugging Face, Flask, Excel</t>
  </si>
  <si>
    <t>Roth, Johnson and Cummings</t>
  </si>
  <si>
    <t>Pandas, Python, C++</t>
  </si>
  <si>
    <t>Powell-Parker</t>
  </si>
  <si>
    <t>MLflow, Scikit-learn, TensorFlow, Azure, SQL, R</t>
  </si>
  <si>
    <t>Montoya Inc</t>
  </si>
  <si>
    <t>Azure, R, Pandas, MLflow, TensorFlow, Keras</t>
  </si>
  <si>
    <t>Allen, Hernandez and Salazar</t>
  </si>
  <si>
    <t>Reinforcement Learning, Power BI, C++, AWS</t>
  </si>
  <si>
    <t>Miller-Salazar</t>
  </si>
  <si>
    <t>Excel, TensorFlow, Hugging Face, MLflow, SQL</t>
  </si>
  <si>
    <t>Klein, Brown and Wallace</t>
  </si>
  <si>
    <t>Hugging Face, LangChain, Azure, AWS, SQL</t>
  </si>
  <si>
    <t>Kim, Farrell and Tucker</t>
  </si>
  <si>
    <t>C++, Scikit-learn, FastAPI</t>
  </si>
  <si>
    <t>Mckee-Brown</t>
  </si>
  <si>
    <t>FastAPI, Reinforcement Learning, PyTorch, C++, Keras</t>
  </si>
  <si>
    <t>Campbell, Winters and Glover</t>
  </si>
  <si>
    <t>CUDA, Pandas, AWS, LangChain</t>
  </si>
  <si>
    <t>Hart LLC</t>
  </si>
  <si>
    <t>LangChain, AWS, MLflow, SQL, Hugging Face, Power BI</t>
  </si>
  <si>
    <t>Burns-Guzman</t>
  </si>
  <si>
    <t>Flask, LangChain, C++</t>
  </si>
  <si>
    <t>Craig, Ortiz and Gross</t>
  </si>
  <si>
    <t>Azure, Hugging Face, TensorFlow, NumPy, PyTorch</t>
  </si>
  <si>
    <t>Mccormick Group</t>
  </si>
  <si>
    <t>R, Reinforcement Learning, LangChain, Hugging Face, CUDA, Flask</t>
  </si>
  <si>
    <t>Ortiz and Sons</t>
  </si>
  <si>
    <t>CUDA, FastAPI, Power BI, Flask, SQL</t>
  </si>
  <si>
    <t>Guzman, Peterson and Perry</t>
  </si>
  <si>
    <t>GCP, CUDA, R</t>
  </si>
  <si>
    <t>Vazquez-Davis</t>
  </si>
  <si>
    <t>Flask, Hugging Face, Keras, Excel, Scikit-learn</t>
  </si>
  <si>
    <t>LangChain, TensorFlow, FastAPI</t>
  </si>
  <si>
    <t>Gross PLC</t>
  </si>
  <si>
    <t>CUDA, Excel, Keras, C++, PyTorch, GCP</t>
  </si>
  <si>
    <t>Lee-Johnson</t>
  </si>
  <si>
    <t>GCP, C++, MLflow, PyTorch, Scikit-learn, FastAPI</t>
  </si>
  <si>
    <t>Kelly Group</t>
  </si>
  <si>
    <t>Pandas, LangChain, Excel, Power BI, Keras</t>
  </si>
  <si>
    <t>Johnson-Guzman</t>
  </si>
  <si>
    <t>Power BI, Reinforcement Learning, LangChain, SQL, Excel, Scikit-learn</t>
  </si>
  <si>
    <t>TensorFlow, PyTorch, MLflow</t>
  </si>
  <si>
    <t>Schneider-Barnett</t>
  </si>
  <si>
    <t>TensorFlow, CUDA, Reinforcement Learning, GCP, Excel</t>
  </si>
  <si>
    <t>Evans, Le and Gomez</t>
  </si>
  <si>
    <t>Keras, NumPy, Reinforcement Learning, Azure, GCP, Power BI</t>
  </si>
  <si>
    <t>Wade PLC</t>
  </si>
  <si>
    <t>Power BI, Keras, GCP, FastAPI</t>
  </si>
  <si>
    <t>Figueroa LLC</t>
  </si>
  <si>
    <t>MLflow, FastAPI, Azure, Keras, Pandas, CUDA</t>
  </si>
  <si>
    <t>Marshall LLC</t>
  </si>
  <si>
    <t>MLflow, TensorFlow, CUDA, GCP</t>
  </si>
  <si>
    <t>Browning, Sanchez and Elliott</t>
  </si>
  <si>
    <t>Python, Pandas, LangChain, PyTorch, Hugging Face</t>
  </si>
  <si>
    <t>Thompson, Baker and Ortega</t>
  </si>
  <si>
    <t>Reinforcement Learning, Pandas, Flask</t>
  </si>
  <si>
    <t>Bailey, Wilson and Fry</t>
  </si>
  <si>
    <t>LangChain, Azure, GCP, Python, R, C++</t>
  </si>
  <si>
    <t>Gallagher, Montes and Rowe</t>
  </si>
  <si>
    <t>AWS, Flask, Reinforcement Learning, LangChain, R</t>
  </si>
  <si>
    <t>Chan, Miller and Meyer</t>
  </si>
  <si>
    <t>Pandas, Reinforcement Learning, NumPy, TensorFlow, Keras, CUDA</t>
  </si>
  <si>
    <t>Keras, Scikit-learn, FastAPI, Azure, GCP, CUDA</t>
  </si>
  <si>
    <t>GCP, Keras, Flask, LangChain, TensorFlow, Python</t>
  </si>
  <si>
    <t>Martin-Torres</t>
  </si>
  <si>
    <t>Python, Azure, Power BI, Pandas, C++, FastAPI</t>
  </si>
  <si>
    <t>Gross, Rivera and Gutierrez</t>
  </si>
  <si>
    <t>LangChain, NumPy, Pandas, Azure, Scikit-learn, Hugging Face</t>
  </si>
  <si>
    <t>Holland LLC</t>
  </si>
  <si>
    <t>Scikit-learn, MLflow, AWS</t>
  </si>
  <si>
    <t>Novak, Clark and Sullivan</t>
  </si>
  <si>
    <t>FastAPI, LangChain, R</t>
  </si>
  <si>
    <t>Hall PLC</t>
  </si>
  <si>
    <t>Flask, Pandas, Reinforcement Learning, Scikit-learn, NumPy</t>
  </si>
  <si>
    <t>Gamble-Cardenas</t>
  </si>
  <si>
    <t>R, Flask, Power BI</t>
  </si>
  <si>
    <t>Sutton, Mcdonald and Vang</t>
  </si>
  <si>
    <t>PyTorch, Hugging Face, SQL, MLflow, R, Python</t>
  </si>
  <si>
    <t>GCP, Flask, PyTorch, AWS, Excel, Keras</t>
  </si>
  <si>
    <t>KDB+, FastAPI, MLflow</t>
  </si>
  <si>
    <t>Myers Group</t>
  </si>
  <si>
    <t>FastAPI, Reinforcement Learning, AWS</t>
  </si>
  <si>
    <t>Davis-French</t>
  </si>
  <si>
    <t>AWS, Excel, Flask, PyTorch</t>
  </si>
  <si>
    <t>Rivera, Kennedy and Smith</t>
  </si>
  <si>
    <t>PyTorch, GCP, Excel, Flask</t>
  </si>
  <si>
    <t>Romero, Clark and Williams</t>
  </si>
  <si>
    <t>GCP, Reinforcement Learning, AWS</t>
  </si>
  <si>
    <t>Wong-Miller</t>
  </si>
  <si>
    <t>Flask, NumPy, Scikit-learn</t>
  </si>
  <si>
    <t>Franco, Green and Green</t>
  </si>
  <si>
    <t>MLflow, GCP, Python, R, TensorFlow</t>
  </si>
  <si>
    <t>Gould Inc</t>
  </si>
  <si>
    <t>Azure, CUDA, LangChain, Hugging Face</t>
  </si>
  <si>
    <t>Page, Garrett and Little</t>
  </si>
  <si>
    <t>Keras, Pandas, CUDA</t>
  </si>
  <si>
    <t>Reinforcement Learning, Power BI, Hugging Face, CUDA, Pandas</t>
  </si>
  <si>
    <t>Schaefer-Mcbride</t>
  </si>
  <si>
    <t>AWS, MLflow, Hugging Face, Flask</t>
  </si>
  <si>
    <t>Wallace and Sons</t>
  </si>
  <si>
    <t>NumPy, R, Pandas</t>
  </si>
  <si>
    <t>Le, Morris and Hernandez</t>
  </si>
  <si>
    <t>TensorFlow, Azure, C++, Scikit-learn, Python, Flask</t>
  </si>
  <si>
    <t>Scikit-learn, FastAPI, BigQuery</t>
  </si>
  <si>
    <t>Johnson, Gomez and Neal</t>
  </si>
  <si>
    <t>SQL, MLflow, LangChain</t>
  </si>
  <si>
    <t>Campbell-Yu</t>
  </si>
  <si>
    <t>Keras, MLflow, Hugging Face, FastAPI, Azure</t>
  </si>
  <si>
    <t>Martinez, Gonzalez and Rasmussen</t>
  </si>
  <si>
    <t>Excel, Azure, Hugging Face, FastAPI</t>
  </si>
  <si>
    <t>Gonzalez, Roth and Gilbert</t>
  </si>
  <si>
    <t>AWS, Keras, FastAPI</t>
  </si>
  <si>
    <t>Brown, Morris and Young</t>
  </si>
  <si>
    <t>Power BI, Keras, Pandas, Excel, NumPy, PyTorch</t>
  </si>
  <si>
    <t>Avila-Johnson</t>
  </si>
  <si>
    <t>NumPy, Hugging Face, Keras, Azure</t>
  </si>
  <si>
    <t>Lynch and Sons</t>
  </si>
  <si>
    <t>Scikit-learn, Pandas, Python, Keras</t>
  </si>
  <si>
    <t>Haynes-George</t>
  </si>
  <si>
    <t>Flask, GCP, FastAPI, Reinforcement Learning</t>
  </si>
  <si>
    <t>Fowler-Stewart</t>
  </si>
  <si>
    <t>Hugging Face, PyTorch, Power BI, Pandas, Flask</t>
  </si>
  <si>
    <t>Powell, Ruiz and Smith</t>
  </si>
  <si>
    <t>CUDA, NumPy, TensorFlow, Keras</t>
  </si>
  <si>
    <t>Richardson, Rojas and Patton</t>
  </si>
  <si>
    <t>Python, R, TensorFlow, AWS, Hugging Face, GCP</t>
  </si>
  <si>
    <t>BigQuery, KDB+, MLflow</t>
  </si>
  <si>
    <t>Patterson-Green</t>
  </si>
  <si>
    <t>NumPy, TensorFlow, Reinforcement Learning, Keras</t>
  </si>
  <si>
    <t>BigQuery, TensorFlow, PyTorch</t>
  </si>
  <si>
    <t>Conner-Rivera</t>
  </si>
  <si>
    <t>LangChain, Keras, SQL, NumPy, TensorFlow, Scikit-learn</t>
  </si>
  <si>
    <t>Johnson-Murphy</t>
  </si>
  <si>
    <t>R, FastAPI, NumPy, PyTorch, Excel</t>
  </si>
  <si>
    <t>Freeman, Williams and Thomas</t>
  </si>
  <si>
    <t>FastAPI, Azure, Pandas, Keras</t>
  </si>
  <si>
    <t>AWS, Azure, C++, NumPy</t>
  </si>
  <si>
    <t>Sosa, Whitney and Dickerson</t>
  </si>
  <si>
    <t>GCP, R, Flask, Azure, Pandas, FastAPI</t>
  </si>
  <si>
    <t>Johnson PLC</t>
  </si>
  <si>
    <t>TensorFlow, GCP, Flask, Excel</t>
  </si>
  <si>
    <t>Rosales-Peterson</t>
  </si>
  <si>
    <t>TensorFlow, Flask, AWS, Python</t>
  </si>
  <si>
    <t>Salazar, Wiggins and Campbell</t>
  </si>
  <si>
    <t>Reinforcement Learning, C++, Keras</t>
  </si>
  <si>
    <t>BigQuery, MLflow, PyTorch</t>
  </si>
  <si>
    <t>Torres PLC</t>
  </si>
  <si>
    <t>SQL, Hugging Face, CUDA, GCP, NumPy, C++</t>
  </si>
  <si>
    <t>Zuniga, Coleman and Guzman</t>
  </si>
  <si>
    <t>Python, TensorFlow, Azure, PyTorch, Power BI, Hugging Face</t>
  </si>
  <si>
    <t>Oliver-Miller</t>
  </si>
  <si>
    <t>GCP, SQL, Flask, C++, Scikit-learn</t>
  </si>
  <si>
    <t>BigQuery, FastAPI, Scikit-learn</t>
  </si>
  <si>
    <t>Mullins, Butler and Moses</t>
  </si>
  <si>
    <t>LangChain, Scikit-learn, Hugging Face</t>
  </si>
  <si>
    <t>Roberson, Dunlap and Todd</t>
  </si>
  <si>
    <t>FastAPI, SQL, GCP, Pandas, CUDA, Reinforcement Learning</t>
  </si>
  <si>
    <t>FastAPI, Scikit-learn, KDB+</t>
  </si>
  <si>
    <t>Hammond-Miles</t>
  </si>
  <si>
    <t>MLflow, Python, AWS, NumPy, Flask, C++</t>
  </si>
  <si>
    <t>Walls, Young and Cook</t>
  </si>
  <si>
    <t>Reinforcement Learning, Keras, MLflow, Flask, Pandas, AWS</t>
  </si>
  <si>
    <t>Henderson-Douglas</t>
  </si>
  <si>
    <t>C++, Scikit-learn, PyTorch, SQL, Reinforcement Learning, Hugging Face</t>
  </si>
  <si>
    <t>Azure, CUDA, Excel</t>
  </si>
  <si>
    <t>Evans, Keller and Macdonald</t>
  </si>
  <si>
    <t>Excel, Flask, SQL, R</t>
  </si>
  <si>
    <t>Smith, Smith and Calhoun</t>
  </si>
  <si>
    <t>Keras, NumPy, Flask, Python</t>
  </si>
  <si>
    <t>Holmes Inc</t>
  </si>
  <si>
    <t>LangChain, NumPy, CUDA</t>
  </si>
  <si>
    <t>Gordon-Bradley</t>
  </si>
  <si>
    <t>R, Excel, SQL, MLflow, PyTorch, CUDA</t>
  </si>
  <si>
    <t>Garrison-Rosales</t>
  </si>
  <si>
    <t>GCP, Python, R</t>
  </si>
  <si>
    <t>Beasley LLC</t>
  </si>
  <si>
    <t>GCP, PyTorch, Keras, Reinforcement Learning, C++</t>
  </si>
  <si>
    <t>Miller, Harris and Johnson</t>
  </si>
  <si>
    <t>FastAPI, Pandas, MLflow, R</t>
  </si>
  <si>
    <t>Miller, Hahn and Jackson</t>
  </si>
  <si>
    <t>Reinforcement Learning, AWS, Azure</t>
  </si>
  <si>
    <t>Smith-Mcintyre</t>
  </si>
  <si>
    <t>AWS, Flask, Reinforcement Learning, Scikit-learn, Excel</t>
  </si>
  <si>
    <t>FastAPI, Pandas, MLflow</t>
  </si>
  <si>
    <t>Jones-Robertson</t>
  </si>
  <si>
    <t>FastAPI, Excel, Pandas</t>
  </si>
  <si>
    <t>Schneider-Watson</t>
  </si>
  <si>
    <t>C++, Pandas, CUDA, Scikit-learn</t>
  </si>
  <si>
    <t>Thompson, Castillo and Farrell</t>
  </si>
  <si>
    <t>Keras, Hugging Face, Power BI, C++, SQL, Python</t>
  </si>
  <si>
    <t>Acevedo Ltd</t>
  </si>
  <si>
    <t>TensorFlow, Pandas, Reinforcement Learning</t>
  </si>
  <si>
    <t>Flynn, Arellano and Porter</t>
  </si>
  <si>
    <t>Pandas, Reinforcement Learning, TensorFlow</t>
  </si>
  <si>
    <t>Harper and Sons</t>
  </si>
  <si>
    <t>Reinforcement Learning, Flask, Hugging Face</t>
  </si>
  <si>
    <t>Molina-Dixon</t>
  </si>
  <si>
    <t>AWS, SQL, Python, LangChain, Keras, Azure</t>
  </si>
  <si>
    <t>Baker, Smith and Phillips</t>
  </si>
  <si>
    <t>R, Excel, NumPy</t>
  </si>
  <si>
    <t>Robertson, Miller and Watson</t>
  </si>
  <si>
    <t>AWS, Power BI, MLflow, C++</t>
  </si>
  <si>
    <t>Bowman, Sutton and Richmond</t>
  </si>
  <si>
    <t>Pandas, Azure, Hugging Face, Python</t>
  </si>
  <si>
    <t>Moore-Wood</t>
  </si>
  <si>
    <t>SQL, FastAPI, Flask, Hugging Face</t>
  </si>
  <si>
    <t>Lee, Mitchell and Neal</t>
  </si>
  <si>
    <t>Hugging Face, Azure, C++, Reinforcement Learning</t>
  </si>
  <si>
    <t>Burton, Reynolds and Dougherty</t>
  </si>
  <si>
    <t>Scikit-learn, C++, GCP, FastAPI</t>
  </si>
  <si>
    <t>TensorFlow, Scikit-learn, BigQuery</t>
  </si>
  <si>
    <t>Kelly Ltd</t>
  </si>
  <si>
    <t>C++, SQL, Reinforcement Learning, PyTorch</t>
  </si>
  <si>
    <t>Thompson, Morris and Griffin</t>
  </si>
  <si>
    <t>AWS, SQL, Reinforcement Learning, Keras, Flask, C++</t>
  </si>
  <si>
    <t>Carr Inc</t>
  </si>
  <si>
    <t>SQL, R, MLflow, Flask, Reinforcement Learning, Python</t>
  </si>
  <si>
    <t>BigQuery, LangChain, KDB+</t>
  </si>
  <si>
    <t>Townsend, Strickland and Rodriguez</t>
  </si>
  <si>
    <t>GCP, Azure, AWS, SQL, MLflow, CUDA</t>
  </si>
  <si>
    <t>Pineda Inc</t>
  </si>
  <si>
    <t>Keras, GCP, CUDA, AWS, PyTorch</t>
  </si>
  <si>
    <t>Hudson and Sons</t>
  </si>
  <si>
    <t>Python, AWS, PyTorch, NumPy</t>
  </si>
  <si>
    <t>Miller-Burton</t>
  </si>
  <si>
    <t>PyTorch, GCP, Scikit-learn, LangChain, Reinforcement Learning, Keras</t>
  </si>
  <si>
    <t>Murillo Inc</t>
  </si>
  <si>
    <t>Azure, Hugging Face, Excel, Scikit-learn</t>
  </si>
  <si>
    <t>Alvarez-Butler</t>
  </si>
  <si>
    <t>C++, CUDA, Scikit-learn, Keras</t>
  </si>
  <si>
    <t>Glenn-Brady</t>
  </si>
  <si>
    <t>FastAPI, Scikit-learn, AWS, NumPy</t>
  </si>
  <si>
    <t>Bryant-Martin</t>
  </si>
  <si>
    <t>Reinforcement Learning, Flask, NumPy, Keras</t>
  </si>
  <si>
    <t>Bailey PLC</t>
  </si>
  <si>
    <t>Hugging Face, Excel, SQL, LangChain</t>
  </si>
  <si>
    <t>Swanson, Young and Martin</t>
  </si>
  <si>
    <t>PyTorch, LangChain, FastAPI</t>
  </si>
  <si>
    <t>Hancock-Wiggins</t>
  </si>
  <si>
    <t>Scikit-learn, NumPy, Power BI, Azure, FastAPI, Reinforcement Learning</t>
  </si>
  <si>
    <t>Mcconnell Ltd</t>
  </si>
  <si>
    <t>Keras, GCP, PyTorch</t>
  </si>
  <si>
    <t>Scikit-learn, MLflow, Python, R, Pandas, FastAPI</t>
  </si>
  <si>
    <t>Gray-Dixon</t>
  </si>
  <si>
    <t>AWS, GCP, CUDA, MLflow</t>
  </si>
  <si>
    <t>Miller, Casey and Gray</t>
  </si>
  <si>
    <t>Scikit-learn, Excel, Power BI, Python</t>
  </si>
  <si>
    <t>Andersen Inc</t>
  </si>
  <si>
    <t>LangChain, Pandas, Reinforcement Learning, R, FastAPI</t>
  </si>
  <si>
    <t>MLflow, KDB+, PyTorch</t>
  </si>
  <si>
    <t>Bernard, Henry and Zamora</t>
  </si>
  <si>
    <t>PyTorch, Power BI, Pandas, Hugging Face</t>
  </si>
  <si>
    <t>Frost Ltd</t>
  </si>
  <si>
    <t>Hugging Face, SQL, LangChain, FastAPI, Flask</t>
  </si>
  <si>
    <t>Lewis Group</t>
  </si>
  <si>
    <t>FastAPI, C++, MLflow</t>
  </si>
  <si>
    <t>Tucker, Strong and Bond</t>
  </si>
  <si>
    <t>R, C++, Keras, Excel, Azure</t>
  </si>
  <si>
    <t>Livingston-Phillips</t>
  </si>
  <si>
    <t>PyTorch, SQL, Python</t>
  </si>
  <si>
    <t>Snyder Group</t>
  </si>
  <si>
    <t>TensorFlow, GCP, CUDA, R</t>
  </si>
  <si>
    <t>Herman, Johnson and Barnes</t>
  </si>
  <si>
    <t>SQL, CUDA, LangChain, Scikit-learn, Reinforcement Learning</t>
  </si>
  <si>
    <t>Perez-Bailey</t>
  </si>
  <si>
    <t>AWS, Power BI, FastAPI</t>
  </si>
  <si>
    <t>Summers, Swanson and Brown</t>
  </si>
  <si>
    <t>Reinforcement Learning, SQL, C++, Pandas</t>
  </si>
  <si>
    <t>BigQuery, FastAPI, MLflow</t>
  </si>
  <si>
    <t>Schmidt-Payne</t>
  </si>
  <si>
    <t>Reinforcement Learning, PyTorch, GCP, R, Excel</t>
  </si>
  <si>
    <t>Ortiz, Hill and Anderson</t>
  </si>
  <si>
    <t>Pandas, Excel, FastAPI, Reinforcement Learning, LangChain</t>
  </si>
  <si>
    <t>Dalton-Galloway</t>
  </si>
  <si>
    <t>Azure, Excel, Power BI, C++, NumPy</t>
  </si>
  <si>
    <t>Brown-Garcia</t>
  </si>
  <si>
    <t>PyTorch, AWS, LangChain, Pandas, GCP</t>
  </si>
  <si>
    <t>Ramirez, Morrison and Shaffer</t>
  </si>
  <si>
    <t>SQL, Azure, MLflow, LangChain</t>
  </si>
  <si>
    <t>AWS, NumPy, CUDA, Azure, SQL, Hugging Face</t>
  </si>
  <si>
    <t>Barnes-Gonzalez</t>
  </si>
  <si>
    <t>Keras, PyTorch, Azure, C++, Python, LangChain</t>
  </si>
  <si>
    <t>Mann, Taylor and Martin</t>
  </si>
  <si>
    <t>Bush and Sons</t>
  </si>
  <si>
    <t>PyTorch, CUDA, Keras</t>
  </si>
  <si>
    <t>Callahan, Sullivan and Flynn</t>
  </si>
  <si>
    <t>Hugging Face, GCP, R, Scikit-learn</t>
  </si>
  <si>
    <t>MLflow, TensorFlow, KDB+</t>
  </si>
  <si>
    <t>Joseph-Romero</t>
  </si>
  <si>
    <t>Power BI, LangChain, FastAPI, Flask, SQL, Scikit-learn</t>
  </si>
  <si>
    <t>Singh, Shannon and Castaneda</t>
  </si>
  <si>
    <t>NumPy, Reinforcement Learning, GCP, Azure, LangChain, Scikit-learn</t>
  </si>
  <si>
    <t>Johnson, Sweeney and Hall</t>
  </si>
  <si>
    <t>Azure, Flask, PyTorch, Excel, Pandas</t>
  </si>
  <si>
    <t>Wu Inc</t>
  </si>
  <si>
    <t>TensorFlow, Power BI, MLflow, Flask, CUDA, Reinforcement Learning</t>
  </si>
  <si>
    <t>Lopez-Williams</t>
  </si>
  <si>
    <t>PyTorch, NumPy, SQL, FastAPI</t>
  </si>
  <si>
    <t>Hughes-Figueroa</t>
  </si>
  <si>
    <t>TensorFlow, Pandas, Excel, LangChain, MLflow</t>
  </si>
  <si>
    <t>Randall, Grant and Rosario</t>
  </si>
  <si>
    <t>Hugging Face, FastAPI, AWS, Scikit-learn, Keras</t>
  </si>
  <si>
    <t>Griffith Ltd</t>
  </si>
  <si>
    <t>SQL, Pandas, AWS, Power BI, Scikit-learn</t>
  </si>
  <si>
    <t>Smith, Woods and Tucker</t>
  </si>
  <si>
    <t>TensorFlow, AWS, Flask</t>
  </si>
  <si>
    <t>Frazier Inc</t>
  </si>
  <si>
    <t>Hugging Face, FastAPI, TensorFlow, GCP</t>
  </si>
  <si>
    <t>Torres, Campbell and Krause</t>
  </si>
  <si>
    <t>TensorFlow, Keras, R</t>
  </si>
  <si>
    <t>CUDA, Azure, Python, Scikit-learn, Power BI</t>
  </si>
  <si>
    <t>Lucas-Morris</t>
  </si>
  <si>
    <t>Azure, TensorFlow, AWS, Flask, Reinforcement Learning, LangChain</t>
  </si>
  <si>
    <t>Martinez-Weaver</t>
  </si>
  <si>
    <t>Python, Power BI, Flask</t>
  </si>
  <si>
    <t>Mendez and Sons</t>
  </si>
  <si>
    <t>Scikit-learn, AWS, Python, MLflow</t>
  </si>
  <si>
    <t>Johnson, Wright and Quinn</t>
  </si>
  <si>
    <t>LangChain, R, C++</t>
  </si>
  <si>
    <t>Mitchell, Collins and Collins</t>
  </si>
  <si>
    <t>Azure, C++, TensorFlow, Hugging Face, Python, PyTorch</t>
  </si>
  <si>
    <t>Williams-Torres</t>
  </si>
  <si>
    <t>CUDA, SQL, Keras, Azure, LangChain, Reinforcement Learning</t>
  </si>
  <si>
    <t>Martinez Group</t>
  </si>
  <si>
    <t>LangChain, Keras, Python, FastAPI, R, C++</t>
  </si>
  <si>
    <t>TensorFlow, KDB+, PyTorch</t>
  </si>
  <si>
    <t>Weaver-Mcdonald</t>
  </si>
  <si>
    <t>Python, Power BI, GCP</t>
  </si>
  <si>
    <t>Cook-Jarvis</t>
  </si>
  <si>
    <t>TensorFlow, Power BI, Scikit-learn, Python, GCP, SQL</t>
  </si>
  <si>
    <t>Moreno-Sanchez</t>
  </si>
  <si>
    <t>GCP, MLflow, TensorFlow</t>
  </si>
  <si>
    <t>Kline Group</t>
  </si>
  <si>
    <t>NumPy, Reinforcement Learning, AWS, Power BI, PyTorch, SQL</t>
  </si>
  <si>
    <t>KDB+, MLflow, BigQuery</t>
  </si>
  <si>
    <t>Quinn Group</t>
  </si>
  <si>
    <t>Reinforcement Learning, GCP, TensorFlow, Pandas</t>
  </si>
  <si>
    <t>Mills-Mitchell</t>
  </si>
  <si>
    <t>PyTorch, NumPy, MLflow</t>
  </si>
  <si>
    <t>Andrews, Sanchez and Carroll</t>
  </si>
  <si>
    <t>Reinforcement Learning, Python, PyTorch, Keras</t>
  </si>
  <si>
    <t>PyTorch, NumPy, Power BI</t>
  </si>
  <si>
    <t>Smith-Hall</t>
  </si>
  <si>
    <t>Flask, Keras, GCP, Power BI</t>
  </si>
  <si>
    <t>Anderson, Tucker and Phillips</t>
  </si>
  <si>
    <t>Scikit-learn, GCP, MLflow</t>
  </si>
  <si>
    <t>Kirk-Meyers</t>
  </si>
  <si>
    <t>Scikit-learn, CUDA, Python</t>
  </si>
  <si>
    <t>Bishop-Contreras</t>
  </si>
  <si>
    <t>PyTorch, Excel, TensorFlow, Scikit-learn, Power BI</t>
  </si>
  <si>
    <t>Poole, Ramirez and Sims</t>
  </si>
  <si>
    <t>Reinforcement Learning, MLflow, Scikit-learn, Flask, Python, FastAPI</t>
  </si>
  <si>
    <t>Sandoval Ltd</t>
  </si>
  <si>
    <t>LangChain, Hugging Face, Scikit-learn, Flask, Reinforcement Learning, Excel</t>
  </si>
  <si>
    <t>TensorFlow, PyTorch, Scikit-learn</t>
  </si>
  <si>
    <t>Skinner Inc</t>
  </si>
  <si>
    <t>Keras, R, Power BI, LangChain</t>
  </si>
  <si>
    <t>Kelly, Pace and Rodriguez</t>
  </si>
  <si>
    <t>Hugging Face, SQL, LangChain, Reinforcement Learning</t>
  </si>
  <si>
    <t>Hunt-Phillips</t>
  </si>
  <si>
    <t>PyTorch, Python, Azure, C++, GCP</t>
  </si>
  <si>
    <t>PyTorch, Scikit-learn, LangChain</t>
  </si>
  <si>
    <t>Edwards-Jones</t>
  </si>
  <si>
    <t>TensorFlow, C++, AWS, CUDA</t>
  </si>
  <si>
    <t>Williams, Glass and Benson</t>
  </si>
  <si>
    <t>Flask, NumPy, C++, Keras, Power BI</t>
  </si>
  <si>
    <t>Jackson, Carrillo and Anderson</t>
  </si>
  <si>
    <t>Scikit-learn, Azure, MLflow, LangChain, TensorFlow</t>
  </si>
  <si>
    <t>Richardson and Sons</t>
  </si>
  <si>
    <t>Excel, C++, MLflow, Pandas</t>
  </si>
  <si>
    <t>Weber, Thompson and Williams</t>
  </si>
  <si>
    <t>GCP, MLflow, Reinforcement Learning, SQL, Azure, Scikit-learn</t>
  </si>
  <si>
    <t>Lee, Scott and Franco</t>
  </si>
  <si>
    <t>R, C++, FastAPI, Excel</t>
  </si>
  <si>
    <t>Wright Group</t>
  </si>
  <si>
    <t>Python, Hugging Face, R</t>
  </si>
  <si>
    <t>Daniels and Sons</t>
  </si>
  <si>
    <t>TensorFlow, Python, AWS, Power BI, NumPy</t>
  </si>
  <si>
    <t>Taylor, Hodges and Martinez</t>
  </si>
  <si>
    <t>Python, PyTorch, GCP, Keras, Azure, Flask</t>
  </si>
  <si>
    <t>Hanson-Weeks</t>
  </si>
  <si>
    <t>GCP, SQL, Power BI, CUDA, AWS</t>
  </si>
  <si>
    <t>Barton-Kirby</t>
  </si>
  <si>
    <t>GCP, TensorFlow, MLflow</t>
  </si>
  <si>
    <t>SQL, Pandas, Excel</t>
  </si>
  <si>
    <t>Schmitt, James and Campbell</t>
  </si>
  <si>
    <t>FastAPI, SQL, Pandas, TensorFlow, MLflow</t>
  </si>
  <si>
    <t>Yates-Brown</t>
  </si>
  <si>
    <t>PyTorch, Flask, Reinforcement Learning, Power BI</t>
  </si>
  <si>
    <t>James, Wagner and Johnson</t>
  </si>
  <si>
    <t>Flask, AWS, Hugging Face</t>
  </si>
  <si>
    <t>Cummings-Reyes</t>
  </si>
  <si>
    <t>Hugging Face, Azure, CUDA, NumPy</t>
  </si>
  <si>
    <t>Bishop Ltd</t>
  </si>
  <si>
    <t>FastAPI, Keras, Hugging Face, Azure, NumPy</t>
  </si>
  <si>
    <t>Daniels-Jones</t>
  </si>
  <si>
    <t>TensorFlow, NumPy, CUDA, Python, AWS, Pandas</t>
  </si>
  <si>
    <t>Reed-Wilson</t>
  </si>
  <si>
    <t>Scikit-learn, Reinforcement Learning, Pandas, Azure, R, GCP</t>
  </si>
  <si>
    <t>LangChain, Scikit-learn, Azure, Python, Pandas</t>
  </si>
  <si>
    <t>Briggs-House</t>
  </si>
  <si>
    <t>GCP, Python, PyTorch, Excel, Power BI</t>
  </si>
  <si>
    <t>Chen, Moore and Ray</t>
  </si>
  <si>
    <t>R, LangChain, FastAPI, Reinforcement Learning, Pandas, GCP</t>
  </si>
  <si>
    <t>Torres-King</t>
  </si>
  <si>
    <t>CUDA, MLflow, C++, Python, Power BI, NumPy</t>
  </si>
  <si>
    <t>Johnson, Espinoza and Ali</t>
  </si>
  <si>
    <t>FastAPI, C++, R, TensorFlow, Reinforcement Learning</t>
  </si>
  <si>
    <t>Blackwell Ltd</t>
  </si>
  <si>
    <t>TensorFlow, SQL, AWS, PyTorch, LangChain</t>
  </si>
  <si>
    <t>Day-Mckee</t>
  </si>
  <si>
    <t>LangChain, MLflow, Azure, Pandas</t>
  </si>
  <si>
    <t>Ellis LLC</t>
  </si>
  <si>
    <t>C++, R, CUDA, Pandas, Azure</t>
  </si>
  <si>
    <t>Good-Gordon</t>
  </si>
  <si>
    <t>Keras, PyTorch, Flask</t>
  </si>
  <si>
    <t>Taylor Ltd</t>
  </si>
  <si>
    <t>Keras, SQL, PyTorch, Python, Pandas, Azure</t>
  </si>
  <si>
    <t>Walker LLC</t>
  </si>
  <si>
    <t>AWS, Scikit-learn, Azure, Python, TensorFlow, LangChain</t>
  </si>
  <si>
    <t>Simpson, Davis and Higgins</t>
  </si>
  <si>
    <t>Flask, R, Excel</t>
  </si>
  <si>
    <t>Simpson Group</t>
  </si>
  <si>
    <t>TensorFlow, NumPy, FastAPI</t>
  </si>
  <si>
    <t>Klein, Ward and Cooper</t>
  </si>
  <si>
    <t>Reinforcement Learning, GCP, TensorFlow</t>
  </si>
  <si>
    <t>Horton-Collins</t>
  </si>
  <si>
    <t>Johnson, Oconnell and Williams</t>
  </si>
  <si>
    <t>PyTorch, TensorFlow, SQL, LangChain, CUDA</t>
  </si>
  <si>
    <t>Powers, Lewis and Stewart</t>
  </si>
  <si>
    <t>Flask, Azure, R</t>
  </si>
  <si>
    <t>Foley, Green and Farley</t>
  </si>
  <si>
    <t>Power BI, GCP, Hugging Face</t>
  </si>
  <si>
    <t>Smith-Fernandez</t>
  </si>
  <si>
    <t>Excel, Hugging Face, R</t>
  </si>
  <si>
    <t>Smith, Tapia and Jones</t>
  </si>
  <si>
    <t>NumPy, Power BI, LangChain, C++, Keras, SQL</t>
  </si>
  <si>
    <t>SQL, LangChain, AWS, NumPy, Azure</t>
  </si>
  <si>
    <t>Floyd Ltd</t>
  </si>
  <si>
    <t>Python, C++, NumPy, Reinforcement Learning, GCP</t>
  </si>
  <si>
    <t>Clark-Holloway</t>
  </si>
  <si>
    <t>Python, Reinforcement Learning, CUDA</t>
  </si>
  <si>
    <t>Johnson Ltd</t>
  </si>
  <si>
    <t>TensorFlow, Azure, LangChain, Flask, Excel</t>
  </si>
  <si>
    <t>Fox-Cochran</t>
  </si>
  <si>
    <t>Azure, SQL, Reinforcement Learning, PyTorch, Hugging Face</t>
  </si>
  <si>
    <t>Villarreal, Ellis and Crane</t>
  </si>
  <si>
    <t>Flask, CUDA, FastAPI, Pandas, Excel</t>
  </si>
  <si>
    <t>Fox, Davis and Houston</t>
  </si>
  <si>
    <t>C++, GCP, LangChain, PyTorch, FastAPI</t>
  </si>
  <si>
    <t>Nash-Perry</t>
  </si>
  <si>
    <t>C++, PyTorch, Power BI</t>
  </si>
  <si>
    <t>Murphy and Sons</t>
  </si>
  <si>
    <t>Python, Reinforcement Learning, CUDA, Flask, Excel</t>
  </si>
  <si>
    <t>Bailey Inc</t>
  </si>
  <si>
    <t>R, C++, Hugging Face, Scikit-learn, Python, LangChain</t>
  </si>
  <si>
    <t>Wright PLC</t>
  </si>
  <si>
    <t>FastAPI, NumPy, LangChain, Scikit-learn, Power BI</t>
  </si>
  <si>
    <t>Grimes-Cruz</t>
  </si>
  <si>
    <t>Scikit-learn, Hugging Face, LangChain</t>
  </si>
  <si>
    <t>Spence, Mcconnell and Fleming</t>
  </si>
  <si>
    <t>AWS, PyTorch, C++, FastAPI</t>
  </si>
  <si>
    <t>Rush Inc</t>
  </si>
  <si>
    <t>Python, Scikit-learn, Pandas</t>
  </si>
  <si>
    <t>C++, Pandas, NumPy, R</t>
  </si>
  <si>
    <t>Beard Group</t>
  </si>
  <si>
    <t>FastAPI, Scikit-learn, CUDA</t>
  </si>
  <si>
    <t>Johnson-Marshall</t>
  </si>
  <si>
    <t>Reinforcement Learning, C++, GCP, AWS, FastAPI</t>
  </si>
  <si>
    <t>R, Hugging Face, Flask, NumPy, Keras, C++</t>
  </si>
  <si>
    <t>Baker, Lawson and Newton</t>
  </si>
  <si>
    <t>MLflow, TensorFlow, Power BI, CUDA, NumPy, PyTorch</t>
  </si>
  <si>
    <t>Chandler Group</t>
  </si>
  <si>
    <t>PyTorch, Scikit-learn, C++</t>
  </si>
  <si>
    <t>Hensley LLC</t>
  </si>
  <si>
    <t>Power BI, Hugging Face, NumPy, R, PyTorch, Keras</t>
  </si>
  <si>
    <t>Burke, Mitchell and Wright</t>
  </si>
  <si>
    <t>Power BI, Hugging Face, Keras</t>
  </si>
  <si>
    <t>Flask, GCP, MLflow, Pandas</t>
  </si>
  <si>
    <t>Meadows and Sons</t>
  </si>
  <si>
    <t>Pandas, Power BI, MLflow, Python, AWS</t>
  </si>
  <si>
    <t>Barr PLC</t>
  </si>
  <si>
    <t>TensorFlow, LangChain, AWS</t>
  </si>
  <si>
    <t>Marshall Inc</t>
  </si>
  <si>
    <t>CUDA, Hugging Face, Python</t>
  </si>
  <si>
    <t>Steele, Sherman and Liu</t>
  </si>
  <si>
    <t>R, Python, LangChain, FastAPI</t>
  </si>
  <si>
    <t>Crane, Johnson and Robinson</t>
  </si>
  <si>
    <t>Keras, Excel, GCP</t>
  </si>
  <si>
    <t>Ferguson PLC</t>
  </si>
  <si>
    <t>Reinforcement Learning, Excel, NumPy, PyTorch, Pandas, SQL</t>
  </si>
  <si>
    <t>Marshall Group</t>
  </si>
  <si>
    <t>Pandas, Power BI, SQL</t>
  </si>
  <si>
    <t>Williams, Brown and Howard</t>
  </si>
  <si>
    <t>Miller, Waters and Clark</t>
  </si>
  <si>
    <t>Power BI, CUDA, AWS</t>
  </si>
  <si>
    <t>Flask, TensorFlow, C++</t>
  </si>
  <si>
    <t>Middleton and Sons</t>
  </si>
  <si>
    <t>Scikit-learn, Python, Hugging Face, Pandas, Keras, MLflow</t>
  </si>
  <si>
    <t>LangChain, SQL, PyTorch, Excel</t>
  </si>
  <si>
    <t>Scott-Norris</t>
  </si>
  <si>
    <t>Python, MLflow, PyTorch, FastAPI</t>
  </si>
  <si>
    <t>Ramos Ltd</t>
  </si>
  <si>
    <t>Scikit-learn, Flask, PyTorch, SQL</t>
  </si>
  <si>
    <t>Daniel-Williams</t>
  </si>
  <si>
    <t>Keras, Pandas, AWS, SQL</t>
  </si>
  <si>
    <t>Lowery-Henry</t>
  </si>
  <si>
    <t>NumPy, Scikit-learn, SQL, LangChain, C++</t>
  </si>
  <si>
    <t>Gutierrez, Salazar and Rowe</t>
  </si>
  <si>
    <t>MLflow, Keras, CUDA, FastAPI, Flask</t>
  </si>
  <si>
    <t>Parker Ltd</t>
  </si>
  <si>
    <t>Pandas, R, AWS, TensorFlow, NumPy, Reinforcement Learning</t>
  </si>
  <si>
    <t>Montes, Graham and Leach</t>
  </si>
  <si>
    <t>LangChain, Power BI, Azure, C++, Scikit-learn, TensorFlow</t>
  </si>
  <si>
    <t>King, Stevens and Schmidt</t>
  </si>
  <si>
    <t>Power BI, LangChain, Python, Reinforcement Learning, TensorFlow, PyTorch</t>
  </si>
  <si>
    <t>Barron-Zuniga</t>
  </si>
  <si>
    <t>GCP, Keras, Flask</t>
  </si>
  <si>
    <t>Caldwell, Silva and Edwards</t>
  </si>
  <si>
    <t>SQL, Flask, Azure, LangChain</t>
  </si>
  <si>
    <t>Bell and Sons</t>
  </si>
  <si>
    <t>SQL, Python, C++, MLflow, CUDA</t>
  </si>
  <si>
    <t>Schroeder Group</t>
  </si>
  <si>
    <t>C++, TensorFlow, AWS</t>
  </si>
  <si>
    <t>Fields PLC</t>
  </si>
  <si>
    <t>Hawkins, Holland and Peters</t>
  </si>
  <si>
    <t>FastAPI, PyTorch, Excel, SQL</t>
  </si>
  <si>
    <t>Robertson and Sons</t>
  </si>
  <si>
    <t>GCP, PyTorch, Power BI, TensorFlow</t>
  </si>
  <si>
    <t>Harrison, Marquez and Bailey</t>
  </si>
  <si>
    <t>PyTorch, GCP, Reinforcement Learning, Excel, C++</t>
  </si>
  <si>
    <t>MLflow, TensorFlow, BigQuery</t>
  </si>
  <si>
    <t>Chen-Erickson</t>
  </si>
  <si>
    <t>FastAPI, SQL, GCP, AWS</t>
  </si>
  <si>
    <t>BigQuery, KDB+, PyTorch</t>
  </si>
  <si>
    <t>Copeland-Mitchell</t>
  </si>
  <si>
    <t>TensorFlow, Scikit-learn, Flask, NumPy, SQL, LangChain</t>
  </si>
  <si>
    <t>Marsh, Foster and Taylor</t>
  </si>
  <si>
    <t>NumPy, GCP, Flask, TensorFlow</t>
  </si>
  <si>
    <t>Benson PLC</t>
  </si>
  <si>
    <t>TensorFlow, PyTorch, Pandas, Excel, Scikit-learn, MLflow</t>
  </si>
  <si>
    <t>Williams, Thomas and Mueller</t>
  </si>
  <si>
    <t>Flask, Keras, GCP, Python, R, C++</t>
  </si>
  <si>
    <t>Bartlett, Hodge and Jones</t>
  </si>
  <si>
    <t>Pandas, FastAPI, PyTorch, CUDA, Azure</t>
  </si>
  <si>
    <t>FastAPI, TensorFlow, KDB+</t>
  </si>
  <si>
    <t>Baldwin LLC</t>
  </si>
  <si>
    <t>Keras, Azure, Excel, MLflow, FastAPI, Hugging Face</t>
  </si>
  <si>
    <t>Mcbride Inc</t>
  </si>
  <si>
    <t>TensorFlow, SQL, NumPy, Flask, Scikit-learn, Hugging Face</t>
  </si>
  <si>
    <t>Colon LLC</t>
  </si>
  <si>
    <t>Reinforcement Learning, Pandas, AWS, PyTorch, Azure, C++</t>
  </si>
  <si>
    <t>Ashley, Boone and Stein</t>
  </si>
  <si>
    <t>Hugging Face, FastAPI, GCP, Pandas, SQL</t>
  </si>
  <si>
    <t>Wilson, Taylor and Watts</t>
  </si>
  <si>
    <t>NumPy, Python, Excel</t>
  </si>
  <si>
    <t>Hodge-Fernandez</t>
  </si>
  <si>
    <t>Hugging Face, LangChain, Azure, C++</t>
  </si>
  <si>
    <t>Roman, Moody and Larson</t>
  </si>
  <si>
    <t>CUDA, Hugging Face, GCP, FastAPI</t>
  </si>
  <si>
    <t>Waller-Buchanan</t>
  </si>
  <si>
    <t>MLflow, Python, Excel, NumPy, LangChain, Power BI</t>
  </si>
  <si>
    <t>Lane-Vaughn</t>
  </si>
  <si>
    <t>Python, GCP, Power BI, MLflow</t>
  </si>
  <si>
    <t>Shaffer, Jones and Weaver</t>
  </si>
  <si>
    <t>GCP, AWS, Keras, Azure</t>
  </si>
  <si>
    <t>Wilkinson Ltd</t>
  </si>
  <si>
    <t>GCP, Excel, PyTorch</t>
  </si>
  <si>
    <t>NumPy, LangChain, FastAPI</t>
  </si>
  <si>
    <t>Gray-Thompson</t>
  </si>
  <si>
    <t>CUDA, Azure, MLflow, NumPy</t>
  </si>
  <si>
    <t>Rubio, Lutz and Sanders</t>
  </si>
  <si>
    <t>PyTorch, Reinforcement Learning, Excel</t>
  </si>
  <si>
    <t>Avila LLC</t>
  </si>
  <si>
    <t>GCP, Excel, Scikit-learn, Azure</t>
  </si>
  <si>
    <t>Scikit-learn, LangChain, MLflow</t>
  </si>
  <si>
    <t>Phillips Inc</t>
  </si>
  <si>
    <t>GCP, PyTorch, NumPy, FastAPI, Excel, Pandas</t>
  </si>
  <si>
    <t>Page, Mccoy and Walsh</t>
  </si>
  <si>
    <t>Python, Reinforcement Learning, Hugging Face</t>
  </si>
  <si>
    <t>Alvarado-Rhodes</t>
  </si>
  <si>
    <t>Azure, Flask, TensorFlow</t>
  </si>
  <si>
    <t>Green-Fleming</t>
  </si>
  <si>
    <t>LangChain, CUDA, TensorFlow, Reinforcement Learning, Excel, Scikit-learn</t>
  </si>
  <si>
    <t>Miller-Walker</t>
  </si>
  <si>
    <t>Azure, Power BI, Flask</t>
  </si>
  <si>
    <t>Thomas, Mccarthy and King</t>
  </si>
  <si>
    <t>Azure, Reinforcement Learning, Flask, Scikit-learn</t>
  </si>
  <si>
    <t>Smith, King and Miller</t>
  </si>
  <si>
    <t>Excel, Power BI, GCP, AWS, CUDA, C++</t>
  </si>
  <si>
    <t>Mann PLC</t>
  </si>
  <si>
    <t>LangChain, Power BI, Azure</t>
  </si>
  <si>
    <t>Ellis, Wilson and Ochoa</t>
  </si>
  <si>
    <t>Flask, Scikit-learn, FastAPI, CUDA, Azure</t>
  </si>
  <si>
    <t>Quinn Ltd</t>
  </si>
  <si>
    <t>Flask, SQL, Azure</t>
  </si>
  <si>
    <t>Ward PLC</t>
  </si>
  <si>
    <t>Reinforcement Learning, Excel, Azure, Pandas, GCP, MLflow</t>
  </si>
  <si>
    <t>Grant Group</t>
  </si>
  <si>
    <t>R, PyTorch, FastAPI, Pandas, Reinforcement Learning, Scikit-learn</t>
  </si>
  <si>
    <t>Gomez and Sons</t>
  </si>
  <si>
    <t>FastAPI, NumPy, PyTorch, Hugging Face, Flask</t>
  </si>
  <si>
    <t>Wilson-Myers</t>
  </si>
  <si>
    <t>Hugging Face, NumPy, Flask</t>
  </si>
  <si>
    <t>Morton-Simpson</t>
  </si>
  <si>
    <t>Flask, FastAPI, Scikit-learn, AWS, Reinforcement Learning, MLflow</t>
  </si>
  <si>
    <t>Nguyen LLC</t>
  </si>
  <si>
    <t>R, Reinforcement Learning, MLflow, C++, Scikit-learn</t>
  </si>
  <si>
    <t>Combs Inc</t>
  </si>
  <si>
    <t>C++, Flask, NumPy, LangChain, SQL</t>
  </si>
  <si>
    <t>MLflow, Scikit-learn, KDB+</t>
  </si>
  <si>
    <t>Ferguson and Sons</t>
  </si>
  <si>
    <t>Power BI, Python, GCP, MLflow</t>
  </si>
  <si>
    <t>Cook Group</t>
  </si>
  <si>
    <t>Flask, Power BI, AWS, NumPy, CUDA, Azure</t>
  </si>
  <si>
    <t>White, Weber and Terry</t>
  </si>
  <si>
    <t>Power BI, CUDA, PyTorch, SQL, Excel, GCP</t>
  </si>
  <si>
    <t>Le-Brown</t>
  </si>
  <si>
    <t>C++, Hugging Face, TensorFlow</t>
  </si>
  <si>
    <t>Boyd, Cochran and Golden</t>
  </si>
  <si>
    <t>Python, Excel, FastAPI, PyTorch, LangChain, GCP</t>
  </si>
  <si>
    <t>Warren, Kirby and Thomas</t>
  </si>
  <si>
    <t>R, LangChain, Hugging Face</t>
  </si>
  <si>
    <t>Berry LLC</t>
  </si>
  <si>
    <t>MLflow, Excel, Scikit-learn, Reinforcement Learning, Python</t>
  </si>
  <si>
    <t>Walker, Brown and Monroe</t>
  </si>
  <si>
    <t>GCP, AWS, Pandas, Flask, Python</t>
  </si>
  <si>
    <t>Armstrong-Clark</t>
  </si>
  <si>
    <t>NumPy, C++, SQL</t>
  </si>
  <si>
    <t>Hall-Gill</t>
  </si>
  <si>
    <t>NumPy, C++, MLflow</t>
  </si>
  <si>
    <t>Riley, Rasmussen and Baker</t>
  </si>
  <si>
    <t>Python, Excel, Hugging Face, CUDA, Flask</t>
  </si>
  <si>
    <t>Scikit-learn, C++, Power BI</t>
  </si>
  <si>
    <t>Excel, Flask, C++, Scikit-learn</t>
  </si>
  <si>
    <t>Moore-Ramirez</t>
  </si>
  <si>
    <t>NumPy, MLflow, PyTorch, Power BI, Scikit-learn, C++</t>
  </si>
  <si>
    <t>Duran-Rangel</t>
  </si>
  <si>
    <t>Reinforcement Learning, MLflow, SQL, NumPy</t>
  </si>
  <si>
    <t>Black, Rodriguez and Hicks</t>
  </si>
  <si>
    <t>CUDA, Keras, Hugging Face, Reinforcement Learning</t>
  </si>
  <si>
    <t>Power BI, LangChain, AWS, Hugging Face, Flask</t>
  </si>
  <si>
    <t>Hines, Castillo and Patterson</t>
  </si>
  <si>
    <t>CUDA, C++, Power BI, FastAPI</t>
  </si>
  <si>
    <t>Mitchell-Rivera</t>
  </si>
  <si>
    <t>Power BI, Reinforcement Learning, R, TensorFlow, GCP, Python</t>
  </si>
  <si>
    <t>Williams, Mcdonald and Martin</t>
  </si>
  <si>
    <t>TensorFlow, Hugging Face, LangChain</t>
  </si>
  <si>
    <t>Lee PLC</t>
  </si>
  <si>
    <t>Wright Inc</t>
  </si>
  <si>
    <t>Power BI, CUDA, Pandas</t>
  </si>
  <si>
    <t>Townsend Inc</t>
  </si>
  <si>
    <t>Reinforcement Learning, PyTorch, Scikit-learn</t>
  </si>
  <si>
    <t>Valentine-Hodge</t>
  </si>
  <si>
    <t>AWS, Scikit-learn, Keras, PyTorch, LangChain</t>
  </si>
  <si>
    <t>Scott-Jackson</t>
  </si>
  <si>
    <t>Scikit-learn, PyTorch, CUDA</t>
  </si>
  <si>
    <t>Austin Group</t>
  </si>
  <si>
    <t>Flask, FastAPI, CUDA, AWS</t>
  </si>
  <si>
    <t>Garza-Gilbert</t>
  </si>
  <si>
    <t>R, PyTorch, SQL, NumPy, CUDA</t>
  </si>
  <si>
    <t>Nichols-Cook</t>
  </si>
  <si>
    <t>Pandas, Power BI, SQL, Reinforcement Learning, LangChain</t>
  </si>
  <si>
    <t>Thompson-Powell</t>
  </si>
  <si>
    <t>Azure, AWS, Keras, Flask, SQL</t>
  </si>
  <si>
    <t>Sawyer-Cooper</t>
  </si>
  <si>
    <t>R, C++, Keras, Hugging Face</t>
  </si>
  <si>
    <t>Ray, Torres and Cortez</t>
  </si>
  <si>
    <t>CUDA, Azure, Power BI, LangChain</t>
  </si>
  <si>
    <t>Stokes-Cameron</t>
  </si>
  <si>
    <t>GCP, CUDA, PyTorch, FastAPI, TensorFlow, Excel</t>
  </si>
  <si>
    <t>Hudson-Robertson</t>
  </si>
  <si>
    <t>GCP, Pandas, R</t>
  </si>
  <si>
    <t>Carter-Jimenez</t>
  </si>
  <si>
    <t>Power BI, Pandas, Flask</t>
  </si>
  <si>
    <t>Freeman-Reyes</t>
  </si>
  <si>
    <t>TensorFlow, Hugging Face, Pandas, Flask, Reinforcement Learning, Keras</t>
  </si>
  <si>
    <t>Hicks, Webb and Krueger</t>
  </si>
  <si>
    <t>Power BI, NumPy, R, FastAPI, Keras</t>
  </si>
  <si>
    <t>Cannon, Martin and Watson</t>
  </si>
  <si>
    <t>AWS, Excel, Keras, Hugging Face, Azure, Reinforcement Learning</t>
  </si>
  <si>
    <t>Blevins PLC</t>
  </si>
  <si>
    <t>Python, Hugging Face, Keras, LangChain</t>
  </si>
  <si>
    <t>Butler, Brown and Thomas</t>
  </si>
  <si>
    <t>Excel, Hugging Face, GCP</t>
  </si>
  <si>
    <t>Ellis Inc</t>
  </si>
  <si>
    <t>NumPy, Reinforcement Learning, Python, Hugging Face, PyTorch, GCP</t>
  </si>
  <si>
    <t>Lindsey Ltd</t>
  </si>
  <si>
    <t>NumPy, Python, MLflow, Flask, GCP</t>
  </si>
  <si>
    <t>Wu Ltd</t>
  </si>
  <si>
    <t>Excel, Keras, GCP, Scikit-learn, Hugging Face, Pandas</t>
  </si>
  <si>
    <t>KDB+, LangChain, TensorFlow</t>
  </si>
  <si>
    <t>Ruiz-Payne</t>
  </si>
  <si>
    <t>PyTorch, Hugging Face, Excel</t>
  </si>
  <si>
    <t>Stewart Group</t>
  </si>
  <si>
    <t>Reinforcement Learning, LangChain, Pandas, TensorFlow, MLflow, FastAPI</t>
  </si>
  <si>
    <t>Adams, Finley and Perez</t>
  </si>
  <si>
    <t>CUDA, SQL, Azure, Excel, Pandas</t>
  </si>
  <si>
    <t>Ponce-Brewer</t>
  </si>
  <si>
    <t>R, Azure, TensorFlow</t>
  </si>
  <si>
    <t>Strickland-Gray</t>
  </si>
  <si>
    <t>AWS, R, Pandas, Power BI, SQL, Scikit-learn</t>
  </si>
  <si>
    <t>Mckee PLC</t>
  </si>
  <si>
    <t>Hugging Face, R, TensorFlow, MLflow, NumPy</t>
  </si>
  <si>
    <t>BigQuery, TensorFlow, LangChain</t>
  </si>
  <si>
    <t>Keith Inc</t>
  </si>
  <si>
    <t>Power BI, Scikit-learn, Excel</t>
  </si>
  <si>
    <t>Willis-Olson</t>
  </si>
  <si>
    <t>Hugging Face, Azure, Keras</t>
  </si>
  <si>
    <t>Roberts, Gill and Williams</t>
  </si>
  <si>
    <t>LangChain, PyTorch, Power BI, Pandas, Scikit-learn, R</t>
  </si>
  <si>
    <t>LangChain, TensorFlow, PyTorch</t>
  </si>
  <si>
    <t>Hugging Face, Excel, Pandas, Keras, Reinforcement Learning, AWS</t>
  </si>
  <si>
    <t>Houston, Ponce and Pennington</t>
  </si>
  <si>
    <t>PyTorch, Excel, Pandas, MLflow, Hugging Face</t>
  </si>
  <si>
    <t>Smith, Willis and Johnson</t>
  </si>
  <si>
    <t>LangChain, SQL, Pandas, R, Reinforcement Learning, Python</t>
  </si>
  <si>
    <t>Greene and Sons</t>
  </si>
  <si>
    <t>Reinforcement Learning, TensorFlow, NumPy</t>
  </si>
  <si>
    <t>Lloyd PLC</t>
  </si>
  <si>
    <t>Flask, LangChain, PyTorch, MLflow, SQL</t>
  </si>
  <si>
    <t>LangChain, Scikit-learn, BigQuery</t>
  </si>
  <si>
    <t>Abbott-Gray</t>
  </si>
  <si>
    <t>FastAPI, NumPy, C++</t>
  </si>
  <si>
    <t>Ramos and Sons</t>
  </si>
  <si>
    <t>Reinforcement Learning, LangChain, CUDA, Hugging Face</t>
  </si>
  <si>
    <t>Hicks Inc</t>
  </si>
  <si>
    <t>TensorFlow, Python, SQL</t>
  </si>
  <si>
    <t>Adams-Bright</t>
  </si>
  <si>
    <t>AWS, Keras, GCP, SQL</t>
  </si>
  <si>
    <t>Martin-Gregory</t>
  </si>
  <si>
    <t>Python, SQL, PyTorch</t>
  </si>
  <si>
    <t>Hugging Face, Flask, Scikit-learn, GCP</t>
  </si>
  <si>
    <t>Schultz-Sanders</t>
  </si>
  <si>
    <t>FastAPI, TensorFlow, Python, GCP</t>
  </si>
  <si>
    <t>Ray LLC</t>
  </si>
  <si>
    <t>Hugging Face, C++, NumPy, R</t>
  </si>
  <si>
    <t>Lee, Rodgers and Hunter</t>
  </si>
  <si>
    <t>LangChain, Python, Excel, AWS, Power BI, Hugging Face</t>
  </si>
  <si>
    <t>Power BI, Excel, Azure, Keras, C++</t>
  </si>
  <si>
    <t>Morse-Hodges</t>
  </si>
  <si>
    <t>Python, MLflow, PyTorch, C++, GCP, Hugging Face</t>
  </si>
  <si>
    <t>West, Williams and Stewart</t>
  </si>
  <si>
    <t>Scikit-learn, AWS, Python, CUDA</t>
  </si>
  <si>
    <t>Lopez LLC</t>
  </si>
  <si>
    <t>Flask, LangChain, AWS, Reinforcement Learning</t>
  </si>
  <si>
    <t>Nunez Inc</t>
  </si>
  <si>
    <t>Azure, Pandas, Excel, Reinforcement Learning, LangChain</t>
  </si>
  <si>
    <t>Lewis, Pollard and Rogers</t>
  </si>
  <si>
    <t>GCP, C++, Azure, TensorFlow, CUDA, R</t>
  </si>
  <si>
    <t>Moody, Oconnor and Brewer</t>
  </si>
  <si>
    <t>CUDA, Azure, FastAPI, Flask</t>
  </si>
  <si>
    <t>Rodriguez-Moore</t>
  </si>
  <si>
    <t>Pandas, Python, PyTorch, R, Flask</t>
  </si>
  <si>
    <t>Baker-Williams</t>
  </si>
  <si>
    <t>Python, Power BI, Hugging Face, AWS</t>
  </si>
  <si>
    <t>Summers, Carter and James</t>
  </si>
  <si>
    <t>AWS, SQL, CUDA, GCP, TensorFlow, C++</t>
  </si>
  <si>
    <t>Hughes, Neal and Davis</t>
  </si>
  <si>
    <t>Reinforcement Learning, R, Azure, CUDA, TensorFlow</t>
  </si>
  <si>
    <t>C++, Keras, Flask, Pandas, PyTorch, Excel</t>
  </si>
  <si>
    <t>Marsh Inc</t>
  </si>
  <si>
    <t>Keras, Reinforcement Learning, Scikit-learn</t>
  </si>
  <si>
    <t>Kim-Thornton</t>
  </si>
  <si>
    <t>Reinforcement Learning, Excel, C++, CUDA, Keras</t>
  </si>
  <si>
    <t>Miller, Wilson and Barker</t>
  </si>
  <si>
    <t>Scikit-learn, Azure, Hugging Face</t>
  </si>
  <si>
    <t>Stewart, Rodriguez and Jenkins</t>
  </si>
  <si>
    <t>TensorFlow, NumPy, CUDA, Power BI</t>
  </si>
  <si>
    <t>Kelly-Cline</t>
  </si>
  <si>
    <t>PyTorch, Power BI, Scikit-learn, Flask, NumPy, Keras</t>
  </si>
  <si>
    <t>Beltran Inc</t>
  </si>
  <si>
    <t>Azure, SQL, NumPy</t>
  </si>
  <si>
    <t>Kennedy, Lopez and Bell</t>
  </si>
  <si>
    <t>Python, LangChain, SQL, AWS, GCP, Power BI</t>
  </si>
  <si>
    <t>Watson-Mitchell</t>
  </si>
  <si>
    <t>SQL, MLflow, PyTorch, Power BI</t>
  </si>
  <si>
    <t>Wolfe, Stephenson and Sanchez</t>
  </si>
  <si>
    <t>Reinforcement Learning, NumPy, Python, Pandas</t>
  </si>
  <si>
    <t>Gaines-Nelson</t>
  </si>
  <si>
    <t>PyTorch, Power BI, Keras</t>
  </si>
  <si>
    <t>Calhoun, Thomas and Brandt</t>
  </si>
  <si>
    <t>Reinforcement Learning, AWS, FastAPI, C++, Azure, LangChain</t>
  </si>
  <si>
    <t>Hernandez, Griffith and Simmons</t>
  </si>
  <si>
    <t>FastAPI, Power BI, CUDA</t>
  </si>
  <si>
    <t>Davies-Payne</t>
  </si>
  <si>
    <t>FastAPI, CUDA, C++, PyTorch</t>
  </si>
  <si>
    <t>Hicks Group</t>
  </si>
  <si>
    <t>Pandas, TensorFlow, AWS</t>
  </si>
  <si>
    <t>Myers Ltd</t>
  </si>
  <si>
    <t>AWS, Excel, TensorFlow, Scikit-learn, Hugging Face</t>
  </si>
  <si>
    <t>Ramirez and Sons</t>
  </si>
  <si>
    <t>NumPy, PyTorch, AWS, Hugging Face</t>
  </si>
  <si>
    <t>Adams-Lee</t>
  </si>
  <si>
    <t>Keras, R, Reinforcement Learning, PyTorch</t>
  </si>
  <si>
    <t>Rosario PLC</t>
  </si>
  <si>
    <t>PyTorch, C++, R, Keras, Reinforcement Learning, Hugging Face</t>
  </si>
  <si>
    <t>GCP, FastAPI, Keras, R, CUDA, Hugging Face</t>
  </si>
  <si>
    <t>Ramos, Hines and Faulkner</t>
  </si>
  <si>
    <t>MLflow, Reinforcement Learning, LangChain, CUDA, Python</t>
  </si>
  <si>
    <t>Pandas, Excel, R, AWS</t>
  </si>
  <si>
    <t>Santos, Lowe and Lindsey</t>
  </si>
  <si>
    <t>Flask, Azure, SQL, Hugging Face, Keras, C++</t>
  </si>
  <si>
    <t>Wilkins-King</t>
  </si>
  <si>
    <t>TensorFlow, C++, Excel, FastAPI, Pandas</t>
  </si>
  <si>
    <t>Parker-Harris</t>
  </si>
  <si>
    <t>CUDA, Pandas, Scikit-learn, LangChain, Azure, FastAPI</t>
  </si>
  <si>
    <t>Mitchell-Ayers</t>
  </si>
  <si>
    <t>CUDA, SQL, Python, Reinforcement Learning</t>
  </si>
  <si>
    <t>James, Scott and Armstrong</t>
  </si>
  <si>
    <t>Azure, MLflow, FastAPI, Hugging Face, LangChain</t>
  </si>
  <si>
    <t>Mcdonald-Hines</t>
  </si>
  <si>
    <t>SQL, Reinforcement Learning, LangChain, R</t>
  </si>
  <si>
    <t>Alvarez and Sons</t>
  </si>
  <si>
    <t>PyTorch, NumPy, C++, AWS, Scikit-learn, CUDA</t>
  </si>
  <si>
    <t>Shaw-May</t>
  </si>
  <si>
    <t>Excel, Power BI, C++, CUDA, Flask</t>
  </si>
  <si>
    <t>Deleon, Johnson and Shah</t>
  </si>
  <si>
    <t>FastAPI, SQL, GCP</t>
  </si>
  <si>
    <t>Stevens LLC</t>
  </si>
  <si>
    <t>AWS, LangChain, Hugging Face, Pandas</t>
  </si>
  <si>
    <t>Moore, Edwards and Greene</t>
  </si>
  <si>
    <t>PyTorch, TensorFlow, Azure, Excel, GCP</t>
  </si>
  <si>
    <t>Python, Hugging Face, GCP, AWS</t>
  </si>
  <si>
    <t>Smith, Rodriguez and Foster</t>
  </si>
  <si>
    <t>LangChain, Power BI, Scikit-learn, SQL, Keras</t>
  </si>
  <si>
    <t>Hale Group</t>
  </si>
  <si>
    <t>AWS, TensorFlow, CUDA, Reinforcement Learning, FastAPI</t>
  </si>
  <si>
    <t>James PLC</t>
  </si>
  <si>
    <t>Scikit-learn, SQL, Python, Hugging Face</t>
  </si>
  <si>
    <t>Wagner-Doyle</t>
  </si>
  <si>
    <t>CUDA, LangChain, Python, Azure</t>
  </si>
  <si>
    <t>Martinez PLC</t>
  </si>
  <si>
    <t>Azure, Pandas, C++, CUDA</t>
  </si>
  <si>
    <t>Allen, Ward and Smith</t>
  </si>
  <si>
    <t>Reinforcement Learning, FastAPI, SQL, Excel, Keras, NumPy</t>
  </si>
  <si>
    <t>TensorFlow, Scikit-learn, NumPy, C++, FastAPI</t>
  </si>
  <si>
    <t>KDB+, PyTorch, Scikit-learn</t>
  </si>
  <si>
    <t>Roach-Flores</t>
  </si>
  <si>
    <t>Keras, Reinforcement Learning, GCP, CUDA</t>
  </si>
  <si>
    <t>Pandas, Reinforcement Learning, GCP, Hugging Face</t>
  </si>
  <si>
    <t>Smith-Garcia</t>
  </si>
  <si>
    <t>Flask, R, LangChain, NumPy, Reinforcement Learning, MLflow</t>
  </si>
  <si>
    <t>White-Frye</t>
  </si>
  <si>
    <t>R, Python, Keras</t>
  </si>
  <si>
    <t>Lewis, Mccormick and Rowland</t>
  </si>
  <si>
    <t>AWS, SQL, Reinforcement Learning, TensorFlow</t>
  </si>
  <si>
    <t>Mccann, Atkinson and Durham</t>
  </si>
  <si>
    <t>MLflow, Power BI, CUDA, R</t>
  </si>
  <si>
    <t>Campbell PLC</t>
  </si>
  <si>
    <t>AWS, Azure, R</t>
  </si>
  <si>
    <t>Edwards-Pacheco</t>
  </si>
  <si>
    <t>R, AWS, Pandas</t>
  </si>
  <si>
    <t>Arroyo Ltd</t>
  </si>
  <si>
    <t>Pandas, C++, FastAPI, Excel</t>
  </si>
  <si>
    <t>Banks-Wright</t>
  </si>
  <si>
    <t>Power BI, AWS, Python, MLflow, Excel, Reinforcement Learning</t>
  </si>
  <si>
    <t>PyTorch, Scikit-learn, Azure, LangChain</t>
  </si>
  <si>
    <t>Moore, Mitchell and Tapia</t>
  </si>
  <si>
    <t>Scikit-learn, Reinforcement Learning, Azure, Power BI, TensorFlow</t>
  </si>
  <si>
    <t>Scikit-learn, FastAPI, PyTorch, Hugging Face, GCP, LangChain</t>
  </si>
  <si>
    <t>Garcia, Chambers and Sutton</t>
  </si>
  <si>
    <t>CUDA, Excel, Flask, Hugging Face, MLflow, Python</t>
  </si>
  <si>
    <t>Wyatt LLC</t>
  </si>
  <si>
    <t>AWS, GCP, Python, MLflow, Scikit-learn, Power BI</t>
  </si>
  <si>
    <t>KDB+, FastAPI, BigQuery</t>
  </si>
  <si>
    <t>Weeks, Diaz and Fisher</t>
  </si>
  <si>
    <t>Excel, PyTorch, Python, TensorFlow, Hugging Face</t>
  </si>
  <si>
    <t>Murphy Inc</t>
  </si>
  <si>
    <t>Hugging Face, Flask, Excel, CUDA, Pandas</t>
  </si>
  <si>
    <t>Mahoney LLC</t>
  </si>
  <si>
    <t>Keras, CUDA, C++, Python, SQL, Scikit-learn</t>
  </si>
  <si>
    <t>Larsen-Armstrong</t>
  </si>
  <si>
    <t>MLflow, PyTorch, GCP, Python</t>
  </si>
  <si>
    <t>Chavez and Sons</t>
  </si>
  <si>
    <t>C++, SQL, NumPy, R, Keras</t>
  </si>
  <si>
    <t>Davis Ltd</t>
  </si>
  <si>
    <t>C++, SQL, AWS, Azure, R</t>
  </si>
  <si>
    <t>Baldwin-Norman</t>
  </si>
  <si>
    <t>Reinforcement Learning, PyTorch, Pandas, Scikit-learn</t>
  </si>
  <si>
    <t>Lyons, Gardner and Moss</t>
  </si>
  <si>
    <t>Hugging Face, TensorFlow, FastAPI, Excel, Pandas</t>
  </si>
  <si>
    <t>Smith-Silva</t>
  </si>
  <si>
    <t>AWS, Excel, PyTorch, R, Pandas</t>
  </si>
  <si>
    <t>Craig-Snyder</t>
  </si>
  <si>
    <t>Excel, Flask, CUDA</t>
  </si>
  <si>
    <t>Shah PLC</t>
  </si>
  <si>
    <t>Keras, Hugging Face, Flask, NumPy</t>
  </si>
  <si>
    <t>Robinson, Mcdowell and Robinson</t>
  </si>
  <si>
    <t>Excel, FastAPI, Keras, PyTorch, Azure, Flask</t>
  </si>
  <si>
    <t>Williams, Brown and Chen</t>
  </si>
  <si>
    <t>SQL, Scikit-learn, FastAPI, GCP</t>
  </si>
  <si>
    <t>Lopez, Davis and Chapman</t>
  </si>
  <si>
    <t>FastAPI, CUDA, C++, Flask, MLflow, Python</t>
  </si>
  <si>
    <t>Walker, Williamson and Brown</t>
  </si>
  <si>
    <t>Azure, SQL, Keras, C++, LangChain, TensorFlow</t>
  </si>
  <si>
    <t>Fry, Farrell and Hernandez</t>
  </si>
  <si>
    <t>SQL, CUDA, GCP</t>
  </si>
  <si>
    <t>Gomez, King and Thompson</t>
  </si>
  <si>
    <t>Azure, Keras, TensorFlow</t>
  </si>
  <si>
    <t>Kim-Woodward</t>
  </si>
  <si>
    <t>R, Power BI, Python, Azure, TensorFlow, Reinforcement Learning</t>
  </si>
  <si>
    <t>Williams, Moore and Rogers</t>
  </si>
  <si>
    <t>TensorFlow, Pandas, Power BI, AWS, Keras, Reinforcement Learning</t>
  </si>
  <si>
    <t>Roberson, Lucero and Smith</t>
  </si>
  <si>
    <t>CUDA, Excel, FastAPI, MLflow</t>
  </si>
  <si>
    <t>Hoffman, Gaines and Medina</t>
  </si>
  <si>
    <t>GCP, Flask, Scikit-learn, Keras, LangChain</t>
  </si>
  <si>
    <t>C++, Pandas, Azure, Keras</t>
  </si>
  <si>
    <t>Stark-Collins</t>
  </si>
  <si>
    <t>SQL, Excel, LangChain, MLflow, Scikit-learn, Python</t>
  </si>
  <si>
    <t>Allen-Sandoval</t>
  </si>
  <si>
    <t>NumPy, Hugging Face, R, CUDA, Pandas, Reinforcement Learning</t>
  </si>
  <si>
    <t>Reid-Armstrong</t>
  </si>
  <si>
    <t>Python, R, Hugging Face, Scikit-learn, NumPy</t>
  </si>
  <si>
    <t>Jones-Lopez</t>
  </si>
  <si>
    <t>Excel, R, GCP</t>
  </si>
  <si>
    <t>Bennett Ltd</t>
  </si>
  <si>
    <t>LangChain, FastAPI, C++</t>
  </si>
  <si>
    <t>Moore-Martin</t>
  </si>
  <si>
    <t>PyTorch, Python, Excel</t>
  </si>
  <si>
    <t>Diaz-Reed</t>
  </si>
  <si>
    <t>C++, R, NumPy, PyTorch, GCP, Hugging Face</t>
  </si>
  <si>
    <t>Clark, Olsen and Williams</t>
  </si>
  <si>
    <t>Pandas, Azure, Hugging Face, Power BI</t>
  </si>
  <si>
    <t>Daniels-Moore</t>
  </si>
  <si>
    <t>NumPy, Hugging Face, C++, Power BI, LangChain</t>
  </si>
  <si>
    <t>KDB+, FastAPI, TensorFlow</t>
  </si>
  <si>
    <t>Ramos, Long and Smith</t>
  </si>
  <si>
    <t>C++, Python, R</t>
  </si>
  <si>
    <t>Miller-Vaughan</t>
  </si>
  <si>
    <t>FastAPI, Power BI, CUDA, Keras, Hugging Face</t>
  </si>
  <si>
    <t>Hines, Stevens and Johnson</t>
  </si>
  <si>
    <t>Azure, FastAPI, Excel, Keras, C++</t>
  </si>
  <si>
    <t>Williams-Mcdonald</t>
  </si>
  <si>
    <t>PyTorch, AWS, Keras, Excel, SQL</t>
  </si>
  <si>
    <t>Chen Ltd</t>
  </si>
  <si>
    <t>Hugging Face, LangChain, Python, FastAPI, CUDA</t>
  </si>
  <si>
    <t>KDB+, BigQuery, LangChain</t>
  </si>
  <si>
    <t>Joseph Ltd</t>
  </si>
  <si>
    <t>GCP, Flask, Hugging Face, AWS</t>
  </si>
  <si>
    <t>FastAPI, Reinforcement Learning, MLflow</t>
  </si>
  <si>
    <t>Jones, Reyes and Watkins</t>
  </si>
  <si>
    <t>Reinforcement Learning, Keras, PyTorch, Pandas, C++, Hugging Face</t>
  </si>
  <si>
    <t>Rodriguez, Mccoy and Rojas</t>
  </si>
  <si>
    <t>C++, LangChain, Azure, Keras</t>
  </si>
  <si>
    <t>Kim, Mitchell and York</t>
  </si>
  <si>
    <t>Power BI, CUDA, TensorFlow</t>
  </si>
  <si>
    <t>Jackson-Ortiz</t>
  </si>
  <si>
    <t>TensorFlow, Excel, Azure, GCP</t>
  </si>
  <si>
    <t>Miller, Russell and Reed</t>
  </si>
  <si>
    <t>Hugging Face, LangChain, Excel, NumPy, Power BI</t>
  </si>
  <si>
    <t>Mclaughlin-Woodard</t>
  </si>
  <si>
    <t>Reinforcement Learning, Flask, Power BI, TensorFlow</t>
  </si>
  <si>
    <t>KDB+, MLflow, PyTorch</t>
  </si>
  <si>
    <t>Smith, Simon and Bennett</t>
  </si>
  <si>
    <t>CUDA, Hugging Face, GCP, Python, AWS</t>
  </si>
  <si>
    <t>Horton and Sons</t>
  </si>
  <si>
    <t>Scikit-learn, Keras, NumPy, Reinforcement Learning</t>
  </si>
  <si>
    <t>Allen-Patterson</t>
  </si>
  <si>
    <t>Pandas, PyTorch, CUDA, Power BI, Flask</t>
  </si>
  <si>
    <t>FastAPI, BigQuery, Scikit-learn</t>
  </si>
  <si>
    <t>Tate-Burnett</t>
  </si>
  <si>
    <t>LangChain, Reinforcement Learning, CUDA, Pandas, Excel</t>
  </si>
  <si>
    <t>Johnson, Hughes and Smith</t>
  </si>
  <si>
    <t>Python, Power BI, MLflow, Hugging Face, FastAPI</t>
  </si>
  <si>
    <t>Cook-Fowler</t>
  </si>
  <si>
    <t>FastAPI, Keras, Flask, AWS, GCP</t>
  </si>
  <si>
    <t>Fleming LLC</t>
  </si>
  <si>
    <t>R, SQL, Pandas, Python</t>
  </si>
  <si>
    <t>Schmidt Inc</t>
  </si>
  <si>
    <t>Flask, GCP, Keras, LangChain, PyTorch</t>
  </si>
  <si>
    <t>Ramirez-Love</t>
  </si>
  <si>
    <t>C++, PyTorch, MLflow, Scikit-learn, TensorFlow</t>
  </si>
  <si>
    <t>Ball-Kelly</t>
  </si>
  <si>
    <t>Keras, Excel, R</t>
  </si>
  <si>
    <t>Grimes-Moore</t>
  </si>
  <si>
    <t>Jackson, Anthony and Woods</t>
  </si>
  <si>
    <t>Reinforcement Learning, LangChain, MLflow, Hugging Face, NumPy, Python</t>
  </si>
  <si>
    <t>Douglas, Thomas and Smith</t>
  </si>
  <si>
    <t>GCP, Power BI, Hugging Face, SQL</t>
  </si>
  <si>
    <t>Solis, Peters and Walsh</t>
  </si>
  <si>
    <t>AWS, Azure, Python, R, Scikit-learn, GCP</t>
  </si>
  <si>
    <t>Webb-Walls</t>
  </si>
  <si>
    <t>NumPy, R, FastAPI, SQL</t>
  </si>
  <si>
    <t>Hall, Barber and Young</t>
  </si>
  <si>
    <t>AWS, Azure, C++, LangChain, Python, Flask</t>
  </si>
  <si>
    <t>Sanchez Group</t>
  </si>
  <si>
    <t>C++, Python, Keras, Scikit-learn</t>
  </si>
  <si>
    <t>Wood-Salas</t>
  </si>
  <si>
    <t>Python, C++, Azure, MLflow, Excel, CUDA</t>
  </si>
  <si>
    <t>Young and Sons</t>
  </si>
  <si>
    <t>CUDA, TensorFlow, Scikit-learn, PyTorch</t>
  </si>
  <si>
    <t>Moran-Brown</t>
  </si>
  <si>
    <t>Azure, C++, Keras</t>
  </si>
  <si>
    <t>Williams-Curtis</t>
  </si>
  <si>
    <t>Scikit-learn, Azure, FastAPI, C++</t>
  </si>
  <si>
    <t>Mueller, Ellis and Clark</t>
  </si>
  <si>
    <t>Flask, FastAPI, Power BI</t>
  </si>
  <si>
    <t>Roberts-Yu</t>
  </si>
  <si>
    <t>R, Flask, Excel, C++, CUDA, Scikit-learn</t>
  </si>
  <si>
    <t>Brooks, Williams and Randolph</t>
  </si>
  <si>
    <t>Hugging Face, Excel, Scikit-learn, R, MLflow</t>
  </si>
  <si>
    <t>Castaneda-Smith</t>
  </si>
  <si>
    <t>AWS, Python, Scikit-learn</t>
  </si>
  <si>
    <t>Estes Group</t>
  </si>
  <si>
    <t>Flask, TensorFlow, Power BI</t>
  </si>
  <si>
    <t>Row Labels</t>
  </si>
  <si>
    <t>Grand Total</t>
  </si>
  <si>
    <t>Column Labels</t>
  </si>
  <si>
    <t>Count of industry</t>
  </si>
  <si>
    <t>Count of experience_level</t>
  </si>
  <si>
    <t>Count of employment_type</t>
  </si>
  <si>
    <t>location.1</t>
  </si>
  <si>
    <t>location.2</t>
  </si>
  <si>
    <t>Tracybury</t>
  </si>
  <si>
    <t xml:space="preserve"> AR</t>
  </si>
  <si>
    <t>Lake Scott</t>
  </si>
  <si>
    <t xml:space="preserve"> CU</t>
  </si>
  <si>
    <t>East Paige</t>
  </si>
  <si>
    <t xml:space="preserve"> CM</t>
  </si>
  <si>
    <t>Perezview</t>
  </si>
  <si>
    <t xml:space="preserve"> FI</t>
  </si>
  <si>
    <t>North Desireeland</t>
  </si>
  <si>
    <t xml:space="preserve"> NE</t>
  </si>
  <si>
    <t>South Kevin</t>
  </si>
  <si>
    <t xml:space="preserve"> TZ</t>
  </si>
  <si>
    <t>West Shawn</t>
  </si>
  <si>
    <t xml:space="preserve"> LR</t>
  </si>
  <si>
    <t>Port Hailey</t>
  </si>
  <si>
    <t xml:space="preserve"> RU</t>
  </si>
  <si>
    <t>Butlermouth</t>
  </si>
  <si>
    <t xml:space="preserve"> GB</t>
  </si>
  <si>
    <t>Nicoleshire</t>
  </si>
  <si>
    <t xml:space="preserve"> BA</t>
  </si>
  <si>
    <t>New Angelatown</t>
  </si>
  <si>
    <t xml:space="preserve"> LU</t>
  </si>
  <si>
    <t>Joychester</t>
  </si>
  <si>
    <t xml:space="preserve"> LT</t>
  </si>
  <si>
    <t>South Michael</t>
  </si>
  <si>
    <t xml:space="preserve"> FM</t>
  </si>
  <si>
    <t>Christianberg</t>
  </si>
  <si>
    <t xml:space="preserve"> GQ</t>
  </si>
  <si>
    <t>New Katieborough</t>
  </si>
  <si>
    <t xml:space="preserve"> FJ</t>
  </si>
  <si>
    <t>Stephaniechester</t>
  </si>
  <si>
    <t>South Tim</t>
  </si>
  <si>
    <t xml:space="preserve"> CZ</t>
  </si>
  <si>
    <t>Blevinsburgh</t>
  </si>
  <si>
    <t xml:space="preserve"> VU</t>
  </si>
  <si>
    <t>Parkmouth</t>
  </si>
  <si>
    <t xml:space="preserve"> CA</t>
  </si>
  <si>
    <t>Stevenhaven</t>
  </si>
  <si>
    <t xml:space="preserve"> BW</t>
  </si>
  <si>
    <t>Gregorymouth</t>
  </si>
  <si>
    <t xml:space="preserve"> LV</t>
  </si>
  <si>
    <t>Lake Alexander</t>
  </si>
  <si>
    <t>North Nicholas</t>
  </si>
  <si>
    <t xml:space="preserve"> SN</t>
  </si>
  <si>
    <t>Leeton</t>
  </si>
  <si>
    <t xml:space="preserve"> MW</t>
  </si>
  <si>
    <t>Suzanneview</t>
  </si>
  <si>
    <t xml:space="preserve"> TW</t>
  </si>
  <si>
    <t>Whitestad</t>
  </si>
  <si>
    <t xml:space="preserve"> BB</t>
  </si>
  <si>
    <t>Taraburgh</t>
  </si>
  <si>
    <t xml:space="preserve"> DZ</t>
  </si>
  <si>
    <t>New Richard</t>
  </si>
  <si>
    <t xml:space="preserve"> TD</t>
  </si>
  <si>
    <t>South Donaldton</t>
  </si>
  <si>
    <t xml:space="preserve"> GE</t>
  </si>
  <si>
    <t>North Michael</t>
  </si>
  <si>
    <t xml:space="preserve"> TT</t>
  </si>
  <si>
    <t>Port Patriciaport</t>
  </si>
  <si>
    <t xml:space="preserve"> TG</t>
  </si>
  <si>
    <t>Danielchester</t>
  </si>
  <si>
    <t xml:space="preserve"> ID</t>
  </si>
  <si>
    <t>Alexandriaburgh</t>
  </si>
  <si>
    <t xml:space="preserve"> KN</t>
  </si>
  <si>
    <t>West Charles</t>
  </si>
  <si>
    <t>North Denise</t>
  </si>
  <si>
    <t xml:space="preserve"> MC</t>
  </si>
  <si>
    <t>Kirbyside</t>
  </si>
  <si>
    <t>Lake John</t>
  </si>
  <si>
    <t xml:space="preserve"> AU</t>
  </si>
  <si>
    <t>East Ashleyland</t>
  </si>
  <si>
    <t xml:space="preserve"> PL</t>
  </si>
  <si>
    <t>Port Misty</t>
  </si>
  <si>
    <t xml:space="preserve"> NL</t>
  </si>
  <si>
    <t>Deleonchester</t>
  </si>
  <si>
    <t xml:space="preserve"> HN</t>
  </si>
  <si>
    <t>Nicoleport</t>
  </si>
  <si>
    <t xml:space="preserve"> BF</t>
  </si>
  <si>
    <t>Kimside</t>
  </si>
  <si>
    <t>Simsside</t>
  </si>
  <si>
    <t>South Jeremiah</t>
  </si>
  <si>
    <t xml:space="preserve"> MX</t>
  </si>
  <si>
    <t>Ramirezmouth</t>
  </si>
  <si>
    <t xml:space="preserve"> PK</t>
  </si>
  <si>
    <t>New Rachelmouth</t>
  </si>
  <si>
    <t xml:space="preserve"> IT</t>
  </si>
  <si>
    <t>Jennyland</t>
  </si>
  <si>
    <t xml:space="preserve"> TR</t>
  </si>
  <si>
    <t>Port Johnville</t>
  </si>
  <si>
    <t xml:space="preserve"> MA</t>
  </si>
  <si>
    <t>North Josephshire</t>
  </si>
  <si>
    <t xml:space="preserve"> YE</t>
  </si>
  <si>
    <t>Lewismouth</t>
  </si>
  <si>
    <t>Steinside</t>
  </si>
  <si>
    <t>North Jason</t>
  </si>
  <si>
    <t xml:space="preserve"> MR</t>
  </si>
  <si>
    <t>Thomasfort</t>
  </si>
  <si>
    <t xml:space="preserve"> KG</t>
  </si>
  <si>
    <t>Chavezstad</t>
  </si>
  <si>
    <t>Carlland</t>
  </si>
  <si>
    <t xml:space="preserve"> ME</t>
  </si>
  <si>
    <t>Jessicamouth</t>
  </si>
  <si>
    <t xml:space="preserve"> PT</t>
  </si>
  <si>
    <t>Caitlynmouth</t>
  </si>
  <si>
    <t>Villarrealhaven</t>
  </si>
  <si>
    <t xml:space="preserve"> KI</t>
  </si>
  <si>
    <t>North Laurie</t>
  </si>
  <si>
    <t xml:space="preserve"> BI</t>
  </si>
  <si>
    <t>East Juliashire</t>
  </si>
  <si>
    <t>North Jonathan</t>
  </si>
  <si>
    <t>Port Jacobchester</t>
  </si>
  <si>
    <t xml:space="preserve"> SB</t>
  </si>
  <si>
    <t>Kaylaburgh</t>
  </si>
  <si>
    <t xml:space="preserve"> NO</t>
  </si>
  <si>
    <t>South Jamie</t>
  </si>
  <si>
    <t xml:space="preserve"> KM</t>
  </si>
  <si>
    <t>Lake Michelleport</t>
  </si>
  <si>
    <t xml:space="preserve"> RS</t>
  </si>
  <si>
    <t>Port Kristenmouth</t>
  </si>
  <si>
    <t xml:space="preserve"> SA</t>
  </si>
  <si>
    <t>Rodriguezstad</t>
  </si>
  <si>
    <t xml:space="preserve"> ET</t>
  </si>
  <si>
    <t>Meredithview</t>
  </si>
  <si>
    <t xml:space="preserve"> LS</t>
  </si>
  <si>
    <t>South Tylerhaven</t>
  </si>
  <si>
    <t xml:space="preserve"> LC</t>
  </si>
  <si>
    <t>South Karenville</t>
  </si>
  <si>
    <t>Billyfort</t>
  </si>
  <si>
    <t>New Jefferyfort</t>
  </si>
  <si>
    <t>Petersenborough</t>
  </si>
  <si>
    <t xml:space="preserve"> VN</t>
  </si>
  <si>
    <t>Leeberg</t>
  </si>
  <si>
    <t>North Christopherfurt</t>
  </si>
  <si>
    <t>Weberland</t>
  </si>
  <si>
    <t xml:space="preserve"> TL</t>
  </si>
  <si>
    <t>Zamorafurt</t>
  </si>
  <si>
    <t xml:space="preserve"> UA</t>
  </si>
  <si>
    <t>Sharpborough</t>
  </si>
  <si>
    <t xml:space="preserve"> DM</t>
  </si>
  <si>
    <t>North Carriestad</t>
  </si>
  <si>
    <t xml:space="preserve"> IR</t>
  </si>
  <si>
    <t>South Charles</t>
  </si>
  <si>
    <t xml:space="preserve"> CI</t>
  </si>
  <si>
    <t>Lake Kristen</t>
  </si>
  <si>
    <t xml:space="preserve"> AZ</t>
  </si>
  <si>
    <t>Anthonyland</t>
  </si>
  <si>
    <t>Michaelchester</t>
  </si>
  <si>
    <t xml:space="preserve"> MK</t>
  </si>
  <si>
    <t>Lake Debra</t>
  </si>
  <si>
    <t xml:space="preserve"> AM</t>
  </si>
  <si>
    <t>New Danielburgh</t>
  </si>
  <si>
    <t>Lake Melissaville</t>
  </si>
  <si>
    <t>Jeffreyburgh</t>
  </si>
  <si>
    <t xml:space="preserve"> SC</t>
  </si>
  <si>
    <t>Whiteville</t>
  </si>
  <si>
    <t xml:space="preserve"> SE</t>
  </si>
  <si>
    <t>Jacksonmouth</t>
  </si>
  <si>
    <t xml:space="preserve"> UZ</t>
  </si>
  <si>
    <t>Adamton</t>
  </si>
  <si>
    <t xml:space="preserve"> HR</t>
  </si>
  <si>
    <t>Lake Erica</t>
  </si>
  <si>
    <t>South Paige</t>
  </si>
  <si>
    <t xml:space="preserve"> VC</t>
  </si>
  <si>
    <t>Scottberg</t>
  </si>
  <si>
    <t xml:space="preserve"> MG</t>
  </si>
  <si>
    <t>West Jesse</t>
  </si>
  <si>
    <t xml:space="preserve"> NG</t>
  </si>
  <si>
    <t>East Autumn</t>
  </si>
  <si>
    <t>Maldonadoville</t>
  </si>
  <si>
    <t>Richardside</t>
  </si>
  <si>
    <t xml:space="preserve"> PY</t>
  </si>
  <si>
    <t>Port Julieburgh</t>
  </si>
  <si>
    <t xml:space="preserve"> KW</t>
  </si>
  <si>
    <t>South Stephanieville</t>
  </si>
  <si>
    <t xml:space="preserve"> BS</t>
  </si>
  <si>
    <t>Williamsbury</t>
  </si>
  <si>
    <t xml:space="preserve"> DO</t>
  </si>
  <si>
    <t>South Fredview</t>
  </si>
  <si>
    <t>Heatherport</t>
  </si>
  <si>
    <t>Alejandromouth</t>
  </si>
  <si>
    <t>New James</t>
  </si>
  <si>
    <t xml:space="preserve"> CR</t>
  </si>
  <si>
    <t>West Madison</t>
  </si>
  <si>
    <t xml:space="preserve"> QA</t>
  </si>
  <si>
    <t>Tanyachester</t>
  </si>
  <si>
    <t>New David</t>
  </si>
  <si>
    <t xml:space="preserve"> EG</t>
  </si>
  <si>
    <t>South Patricktown</t>
  </si>
  <si>
    <t>Sanfordmouth</t>
  </si>
  <si>
    <t xml:space="preserve"> GW</t>
  </si>
  <si>
    <t>Elainefurt</t>
  </si>
  <si>
    <t>Brownstad</t>
  </si>
  <si>
    <t>Lake Christopher</t>
  </si>
  <si>
    <t>Millermouth</t>
  </si>
  <si>
    <t xml:space="preserve"> GY</t>
  </si>
  <si>
    <t>Nicoleside</t>
  </si>
  <si>
    <t xml:space="preserve"> AD</t>
  </si>
  <si>
    <t>North Patrick</t>
  </si>
  <si>
    <t xml:space="preserve"> KE</t>
  </si>
  <si>
    <t>Dennistown</t>
  </si>
  <si>
    <t xml:space="preserve"> IQ</t>
  </si>
  <si>
    <t>Rodriguezfurt</t>
  </si>
  <si>
    <t xml:space="preserve"> LI</t>
  </si>
  <si>
    <t>Sullivanburgh</t>
  </si>
  <si>
    <t xml:space="preserve"> BJ</t>
  </si>
  <si>
    <t>New Justin</t>
  </si>
  <si>
    <t xml:space="preserve"> ZW</t>
  </si>
  <si>
    <t>West Fredside</t>
  </si>
  <si>
    <t xml:space="preserve"> PW</t>
  </si>
  <si>
    <t>Eriktown</t>
  </si>
  <si>
    <t xml:space="preserve"> GT</t>
  </si>
  <si>
    <t>Port Robert</t>
  </si>
  <si>
    <t>Davidfort</t>
  </si>
  <si>
    <t>Carrollland</t>
  </si>
  <si>
    <t>West Richardborough</t>
  </si>
  <si>
    <t xml:space="preserve"> BE</t>
  </si>
  <si>
    <t>Jasonshire</t>
  </si>
  <si>
    <t xml:space="preserve"> TH</t>
  </si>
  <si>
    <t>East Sheriton</t>
  </si>
  <si>
    <t xml:space="preserve"> SV</t>
  </si>
  <si>
    <t>Sarahview</t>
  </si>
  <si>
    <t>Davechester</t>
  </si>
  <si>
    <t>Allenton</t>
  </si>
  <si>
    <t xml:space="preserve"> UG</t>
  </si>
  <si>
    <t>Westland</t>
  </si>
  <si>
    <t>Shermanshire</t>
  </si>
  <si>
    <t xml:space="preserve"> MM</t>
  </si>
  <si>
    <t>Jamesborough</t>
  </si>
  <si>
    <t>East Edward</t>
  </si>
  <si>
    <t xml:space="preserve"> MV</t>
  </si>
  <si>
    <t>Youngborough</t>
  </si>
  <si>
    <t xml:space="preserve"> CF</t>
  </si>
  <si>
    <t>Morrowview</t>
  </si>
  <si>
    <t>North Sheilamouth</t>
  </si>
  <si>
    <t xml:space="preserve"> JP</t>
  </si>
  <si>
    <t>Randallside</t>
  </si>
  <si>
    <t>Danielfurt</t>
  </si>
  <si>
    <t>Royville</t>
  </si>
  <si>
    <t xml:space="preserve"> BG</t>
  </si>
  <si>
    <t>Port Allisonfurt</t>
  </si>
  <si>
    <t>South Heatherside</t>
  </si>
  <si>
    <t xml:space="preserve"> KZ</t>
  </si>
  <si>
    <t>West Susan</t>
  </si>
  <si>
    <t>Shelbyberg</t>
  </si>
  <si>
    <t xml:space="preserve"> AO</t>
  </si>
  <si>
    <t>Ryanberg</t>
  </si>
  <si>
    <t xml:space="preserve"> MD</t>
  </si>
  <si>
    <t>West Carloston</t>
  </si>
  <si>
    <t xml:space="preserve"> CO</t>
  </si>
  <si>
    <t>Calderonfurt</t>
  </si>
  <si>
    <t>New Crystalport</t>
  </si>
  <si>
    <t>North Melissa</t>
  </si>
  <si>
    <t>East James</t>
  </si>
  <si>
    <t>Cynthiamouth</t>
  </si>
  <si>
    <t>New Christopher</t>
  </si>
  <si>
    <t>West Jamesborough</t>
  </si>
  <si>
    <t xml:space="preserve"> BT</t>
  </si>
  <si>
    <t>Lake Amanda</t>
  </si>
  <si>
    <t xml:space="preserve"> PG</t>
  </si>
  <si>
    <t>New Monicaborough</t>
  </si>
  <si>
    <t xml:space="preserve"> KH</t>
  </si>
  <si>
    <t>New Christinastad</t>
  </si>
  <si>
    <t>Elizabethchester</t>
  </si>
  <si>
    <t>Hayesberg</t>
  </si>
  <si>
    <t xml:space="preserve"> AG</t>
  </si>
  <si>
    <t>Bentonland</t>
  </si>
  <si>
    <t>Michaeltown</t>
  </si>
  <si>
    <t xml:space="preserve"> UY</t>
  </si>
  <si>
    <t>Hernandezfurt</t>
  </si>
  <si>
    <t xml:space="preserve"> PS</t>
  </si>
  <si>
    <t>North Danielfort</t>
  </si>
  <si>
    <t>East Ritaburgh</t>
  </si>
  <si>
    <t>Lake Eriktown</t>
  </si>
  <si>
    <t>Brandonton</t>
  </si>
  <si>
    <t xml:space="preserve"> RO</t>
  </si>
  <si>
    <t>Barryborough</t>
  </si>
  <si>
    <t xml:space="preserve"> JM</t>
  </si>
  <si>
    <t>West Alexanderberg</t>
  </si>
  <si>
    <t>Ericport</t>
  </si>
  <si>
    <t xml:space="preserve"> BR</t>
  </si>
  <si>
    <t>Johnsonmouth</t>
  </si>
  <si>
    <t>South Gary</t>
  </si>
  <si>
    <t xml:space="preserve"> BN</t>
  </si>
  <si>
    <t>West Ralphview</t>
  </si>
  <si>
    <t xml:space="preserve"> SL</t>
  </si>
  <si>
    <t>Debraview</t>
  </si>
  <si>
    <t xml:space="preserve"> HU</t>
  </si>
  <si>
    <t>Joneston</t>
  </si>
  <si>
    <t>Port Ariel</t>
  </si>
  <si>
    <t>Johnathanmouth</t>
  </si>
  <si>
    <t>East Jennifer</t>
  </si>
  <si>
    <t xml:space="preserve"> EE</t>
  </si>
  <si>
    <t>Romerobury</t>
  </si>
  <si>
    <t>West Chelseafurt</t>
  </si>
  <si>
    <t>Lake Thomas</t>
  </si>
  <si>
    <t>North Briannafort</t>
  </si>
  <si>
    <t xml:space="preserve"> PH</t>
  </si>
  <si>
    <t>Davidstad</t>
  </si>
  <si>
    <t xml:space="preserve"> BY</t>
  </si>
  <si>
    <t>West Derek</t>
  </si>
  <si>
    <t>East Christopher</t>
  </si>
  <si>
    <t>Emmafurt</t>
  </si>
  <si>
    <t xml:space="preserve"> GN</t>
  </si>
  <si>
    <t>Andreside</t>
  </si>
  <si>
    <t xml:space="preserve"> GA</t>
  </si>
  <si>
    <t>New Donald</t>
  </si>
  <si>
    <t>New Andrea</t>
  </si>
  <si>
    <t xml:space="preserve"> ST</t>
  </si>
  <si>
    <t>Palmerburgh</t>
  </si>
  <si>
    <t>North Louis</t>
  </si>
  <si>
    <t>North Nataliemouth</t>
  </si>
  <si>
    <t xml:space="preserve"> SR</t>
  </si>
  <si>
    <t>Owenshaven</t>
  </si>
  <si>
    <t xml:space="preserve"> LY</t>
  </si>
  <si>
    <t>Port Ricardo</t>
  </si>
  <si>
    <t>Kaylaland</t>
  </si>
  <si>
    <t xml:space="preserve"> DE</t>
  </si>
  <si>
    <t>North Jamietown</t>
  </si>
  <si>
    <t>East Melindastad</t>
  </si>
  <si>
    <t xml:space="preserve"> TO</t>
  </si>
  <si>
    <t>East Linda</t>
  </si>
  <si>
    <t xml:space="preserve"> KP</t>
  </si>
  <si>
    <t>Port Mckenzie</t>
  </si>
  <si>
    <t xml:space="preserve"> BO</t>
  </si>
  <si>
    <t>New Traceyborough</t>
  </si>
  <si>
    <t>Flowersberg</t>
  </si>
  <si>
    <t>Chandlerville</t>
  </si>
  <si>
    <t>Williamton</t>
  </si>
  <si>
    <t xml:space="preserve"> TM</t>
  </si>
  <si>
    <t>Lake Sarah</t>
  </si>
  <si>
    <t xml:space="preserve"> SY</t>
  </si>
  <si>
    <t>East Johnton</t>
  </si>
  <si>
    <t>Samuelhaven</t>
  </si>
  <si>
    <t>Garciamouth</t>
  </si>
  <si>
    <t>Lake Charlesmouth</t>
  </si>
  <si>
    <t xml:space="preserve"> CL</t>
  </si>
  <si>
    <t>Reyesview</t>
  </si>
  <si>
    <t xml:space="preserve"> NR</t>
  </si>
  <si>
    <t>East William</t>
  </si>
  <si>
    <t xml:space="preserve"> NZ</t>
  </si>
  <si>
    <t>Greeneton</t>
  </si>
  <si>
    <t>South Anthonyfurt</t>
  </si>
  <si>
    <t>Hannahside</t>
  </si>
  <si>
    <t>Lake Erikburgh</t>
  </si>
  <si>
    <t xml:space="preserve"> ZM</t>
  </si>
  <si>
    <t>South Zacharyburgh</t>
  </si>
  <si>
    <t xml:space="preserve"> ES</t>
  </si>
  <si>
    <t>Lake Johnchester</t>
  </si>
  <si>
    <t xml:space="preserve"> CG</t>
  </si>
  <si>
    <t>Melissaton</t>
  </si>
  <si>
    <t xml:space="preserve"> LA</t>
  </si>
  <si>
    <t>New Sydneyton</t>
  </si>
  <si>
    <t>Jasonfurt</t>
  </si>
  <si>
    <t>Barnetthaven</t>
  </si>
  <si>
    <t xml:space="preserve"> IN</t>
  </si>
  <si>
    <t>Abbottmouth</t>
  </si>
  <si>
    <t>Davidmouth</t>
  </si>
  <si>
    <t xml:space="preserve"> IE</t>
  </si>
  <si>
    <t>Mariochester</t>
  </si>
  <si>
    <t>West Sally</t>
  </si>
  <si>
    <t xml:space="preserve"> GR</t>
  </si>
  <si>
    <t>West Ernest</t>
  </si>
  <si>
    <t>Alanside</t>
  </si>
  <si>
    <t xml:space="preserve"> SK</t>
  </si>
  <si>
    <t>Carrollview</t>
  </si>
  <si>
    <t>Changside</t>
  </si>
  <si>
    <t xml:space="preserve"> DJ</t>
  </si>
  <si>
    <t>Thomasland</t>
  </si>
  <si>
    <t xml:space="preserve"> NI</t>
  </si>
  <si>
    <t>Melissaview</t>
  </si>
  <si>
    <t>Gatesburgh</t>
  </si>
  <si>
    <t>Lake Jose</t>
  </si>
  <si>
    <t xml:space="preserve"> ML</t>
  </si>
  <si>
    <t>New Jeffrey</t>
  </si>
  <si>
    <t>East Bryce</t>
  </si>
  <si>
    <t xml:space="preserve"> IS</t>
  </si>
  <si>
    <t>Graceville</t>
  </si>
  <si>
    <t>Williamsside</t>
  </si>
  <si>
    <t>East Mary</t>
  </si>
  <si>
    <t>Garzaside</t>
  </si>
  <si>
    <t xml:space="preserve"> NA</t>
  </si>
  <si>
    <t>Marktown</t>
  </si>
  <si>
    <t>South Staceyport</t>
  </si>
  <si>
    <t>Port Marcusville</t>
  </si>
  <si>
    <t xml:space="preserve"> US</t>
  </si>
  <si>
    <t>Singhfort</t>
  </si>
  <si>
    <t xml:space="preserve"> PA</t>
  </si>
  <si>
    <t>Samuelton</t>
  </si>
  <si>
    <t xml:space="preserve"> DK</t>
  </si>
  <si>
    <t>Port Andrewside</t>
  </si>
  <si>
    <t xml:space="preserve"> MT</t>
  </si>
  <si>
    <t>New Manuelbury</t>
  </si>
  <si>
    <t>Lake Adamfurt</t>
  </si>
  <si>
    <t>Grahamshire</t>
  </si>
  <si>
    <t>Port Denise</t>
  </si>
  <si>
    <t>New Melissa</t>
  </si>
  <si>
    <t>North Samuel</t>
  </si>
  <si>
    <t>Kimberlyfort</t>
  </si>
  <si>
    <t xml:space="preserve"> MN</t>
  </si>
  <si>
    <t>West James</t>
  </si>
  <si>
    <t xml:space="preserve"> SG</t>
  </si>
  <si>
    <t>West Andrew</t>
  </si>
  <si>
    <t>East Bruce</t>
  </si>
  <si>
    <t>Robertfort</t>
  </si>
  <si>
    <t xml:space="preserve"> LK</t>
  </si>
  <si>
    <t>Greggbury</t>
  </si>
  <si>
    <t>South Christopher</t>
  </si>
  <si>
    <t xml:space="preserve"> CN</t>
  </si>
  <si>
    <t>Lake Mark</t>
  </si>
  <si>
    <t>Mariestad</t>
  </si>
  <si>
    <t>Jacobchester</t>
  </si>
  <si>
    <t>Maxwellburgh</t>
  </si>
  <si>
    <t xml:space="preserve"> JO</t>
  </si>
  <si>
    <t>North Dakota</t>
  </si>
  <si>
    <t>Gallegosbury</t>
  </si>
  <si>
    <t>Pruittchester</t>
  </si>
  <si>
    <t>West Ricky</t>
  </si>
  <si>
    <t>Barnettburgh</t>
  </si>
  <si>
    <t>Port Rachel</t>
  </si>
  <si>
    <t xml:space="preserve"> HT</t>
  </si>
  <si>
    <t>Lindastad</t>
  </si>
  <si>
    <t xml:space="preserve"> LB</t>
  </si>
  <si>
    <t>South Aaron</t>
  </si>
  <si>
    <t>Cathyton</t>
  </si>
  <si>
    <t xml:space="preserve"> AL</t>
  </si>
  <si>
    <t>North Thomas</t>
  </si>
  <si>
    <t xml:space="preserve"> GM</t>
  </si>
  <si>
    <t>Maxwellchester</t>
  </si>
  <si>
    <t>Bestview</t>
  </si>
  <si>
    <t>New Douglasburgh</t>
  </si>
  <si>
    <t xml:space="preserve"> TV</t>
  </si>
  <si>
    <t>Daleville</t>
  </si>
  <si>
    <t>East Melissatown</t>
  </si>
  <si>
    <t>Perezfurt</t>
  </si>
  <si>
    <t xml:space="preserve"> SZ</t>
  </si>
  <si>
    <t>Angelafurt</t>
  </si>
  <si>
    <t>Lauraside</t>
  </si>
  <si>
    <t>West Anna</t>
  </si>
  <si>
    <t>Jeffreyport</t>
  </si>
  <si>
    <t>Lake Shelly</t>
  </si>
  <si>
    <t>South Sarah</t>
  </si>
  <si>
    <t>Lake Lisafurt</t>
  </si>
  <si>
    <t xml:space="preserve"> ER</t>
  </si>
  <si>
    <t>Amandamouth</t>
  </si>
  <si>
    <t>Stuartfurt</t>
  </si>
  <si>
    <t>South Amy</t>
  </si>
  <si>
    <t>Leeville</t>
  </si>
  <si>
    <t xml:space="preserve"> GD</t>
  </si>
  <si>
    <t>Susanland</t>
  </si>
  <si>
    <t>Perkinsbury</t>
  </si>
  <si>
    <t>East Tyler</t>
  </si>
  <si>
    <t>New Monique</t>
  </si>
  <si>
    <t>Kathymouth</t>
  </si>
  <si>
    <t>Lake David</t>
  </si>
  <si>
    <t>South Richardshire</t>
  </si>
  <si>
    <t>Melaniestad</t>
  </si>
  <si>
    <t>North Rebeccaton</t>
  </si>
  <si>
    <t>South Angel</t>
  </si>
  <si>
    <t>Wellsport</t>
  </si>
  <si>
    <t>Millerton</t>
  </si>
  <si>
    <t>Michaelview</t>
  </si>
  <si>
    <t>North Johnstad</t>
  </si>
  <si>
    <t>West Savannahbury</t>
  </si>
  <si>
    <t xml:space="preserve"> WS</t>
  </si>
  <si>
    <t>West Dianastad</t>
  </si>
  <si>
    <t>Williamberg</t>
  </si>
  <si>
    <t>Lake Williamton</t>
  </si>
  <si>
    <t>Gateschester</t>
  </si>
  <si>
    <t>Port Michael</t>
  </si>
  <si>
    <t>North Jamesstad</t>
  </si>
  <si>
    <t>Port Alicia</t>
  </si>
  <si>
    <t>North Brittany</t>
  </si>
  <si>
    <t>Padillashire</t>
  </si>
  <si>
    <t>Port John</t>
  </si>
  <si>
    <t>Josebury</t>
  </si>
  <si>
    <t>West Julie</t>
  </si>
  <si>
    <t>South Staceyview</t>
  </si>
  <si>
    <t>Lake Nicole</t>
  </si>
  <si>
    <t>Davisstad</t>
  </si>
  <si>
    <t>Lewisville</t>
  </si>
  <si>
    <t>West Veronica</t>
  </si>
  <si>
    <t>South Brianfurt</t>
  </si>
  <si>
    <t xml:space="preserve"> VE</t>
  </si>
  <si>
    <t>Lake Ricky</t>
  </si>
  <si>
    <t>East Sandra</t>
  </si>
  <si>
    <t>Jonathanland</t>
  </si>
  <si>
    <t>Erikastad</t>
  </si>
  <si>
    <t xml:space="preserve"> TJ</t>
  </si>
  <si>
    <t>Lake Kelseystad</t>
  </si>
  <si>
    <t>Michaelland</t>
  </si>
  <si>
    <t>Port Elizabeth</t>
  </si>
  <si>
    <t>Lake Kathleenstad</t>
  </si>
  <si>
    <t>North Emilymouth</t>
  </si>
  <si>
    <t xml:space="preserve"> FR</t>
  </si>
  <si>
    <t>Port Justinfurt</t>
  </si>
  <si>
    <t>North Shelly</t>
  </si>
  <si>
    <t>East Christiebury</t>
  </si>
  <si>
    <t>Stevenmouth</t>
  </si>
  <si>
    <t>West Sara</t>
  </si>
  <si>
    <t>Erinton</t>
  </si>
  <si>
    <t xml:space="preserve"> MH</t>
  </si>
  <si>
    <t>West Donald</t>
  </si>
  <si>
    <t>Thompsonport</t>
  </si>
  <si>
    <t xml:space="preserve"> BH</t>
  </si>
  <si>
    <t>Sanderston</t>
  </si>
  <si>
    <t>East Ryantown</t>
  </si>
  <si>
    <t xml:space="preserve"> BZ</t>
  </si>
  <si>
    <t>Nunezside</t>
  </si>
  <si>
    <t>Jadeview</t>
  </si>
  <si>
    <t>Leeview</t>
  </si>
  <si>
    <t>East Robert</t>
  </si>
  <si>
    <t xml:space="preserve"> CV</t>
  </si>
  <si>
    <t>Bullockton</t>
  </si>
  <si>
    <t>Knightmouth</t>
  </si>
  <si>
    <t xml:space="preserve"> AF</t>
  </si>
  <si>
    <t>Lake Marcia</t>
  </si>
  <si>
    <t>Mooreville</t>
  </si>
  <si>
    <t xml:space="preserve"> NP</t>
  </si>
  <si>
    <t>Port Matthewhaven</t>
  </si>
  <si>
    <t>New Kenneth</t>
  </si>
  <si>
    <t>Schroederport</t>
  </si>
  <si>
    <t>Taylorstad</t>
  </si>
  <si>
    <t>Bryanburgh</t>
  </si>
  <si>
    <t>New Micheletown</t>
  </si>
  <si>
    <t>Kathleenton</t>
  </si>
  <si>
    <t>South Brianmouth</t>
  </si>
  <si>
    <t>West Stephaniefort</t>
  </si>
  <si>
    <t>Port Rebecca</t>
  </si>
  <si>
    <t>Powellshire</t>
  </si>
  <si>
    <t>North Natalie</t>
  </si>
  <si>
    <t xml:space="preserve"> EC</t>
  </si>
  <si>
    <t>West Denisetown</t>
  </si>
  <si>
    <t>Petersonchester</t>
  </si>
  <si>
    <t>Daughertyborough</t>
  </si>
  <si>
    <t>Lake Linda</t>
  </si>
  <si>
    <t xml:space="preserve"> AT</t>
  </si>
  <si>
    <t>North Jesusfurt</t>
  </si>
  <si>
    <t>West Regina</t>
  </si>
  <si>
    <t>Boydtown</t>
  </si>
  <si>
    <t>Lake Lisamouth</t>
  </si>
  <si>
    <t>Campbellburgh</t>
  </si>
  <si>
    <t>Jacksonberg</t>
  </si>
  <si>
    <t>Geraldville</t>
  </si>
  <si>
    <t>Odommouth</t>
  </si>
  <si>
    <t>New Dawn</t>
  </si>
  <si>
    <t>Proctorbury</t>
  </si>
  <si>
    <t>Gonzalezbury</t>
  </si>
  <si>
    <t>West Benjamin</t>
  </si>
  <si>
    <t>Wheelermouth</t>
  </si>
  <si>
    <t>Brianview</t>
  </si>
  <si>
    <t>New Jeffreyhaven</t>
  </si>
  <si>
    <t xml:space="preserve"> AE</t>
  </si>
  <si>
    <t>West William</t>
  </si>
  <si>
    <t>Port Monicaborough</t>
  </si>
  <si>
    <t>Patrickfurt</t>
  </si>
  <si>
    <t xml:space="preserve"> BD</t>
  </si>
  <si>
    <t>West Melissa</t>
  </si>
  <si>
    <t>New Matthew</t>
  </si>
  <si>
    <t>Christianland</t>
  </si>
  <si>
    <t>Alexiston</t>
  </si>
  <si>
    <t>Shariborough</t>
  </si>
  <si>
    <t>Jasonbury</t>
  </si>
  <si>
    <t xml:space="preserve"> CD</t>
  </si>
  <si>
    <t>Timothyland</t>
  </si>
  <si>
    <t>Georgeport</t>
  </si>
  <si>
    <t>Jacksonfort</t>
  </si>
  <si>
    <t>Murphymouth</t>
  </si>
  <si>
    <t>South Randytown</t>
  </si>
  <si>
    <t>Samanthaborough</t>
  </si>
  <si>
    <t xml:space="preserve"> VA</t>
  </si>
  <si>
    <t>Valenzuelaborough</t>
  </si>
  <si>
    <t>Adamport</t>
  </si>
  <si>
    <t>North Rebecca</t>
  </si>
  <si>
    <t>Bennettland</t>
  </si>
  <si>
    <t>North Kristin</t>
  </si>
  <si>
    <t>Jessicaborough</t>
  </si>
  <si>
    <t>Alexanderfort</t>
  </si>
  <si>
    <t>Jameston</t>
  </si>
  <si>
    <t>Martintown</t>
  </si>
  <si>
    <t>Annastad</t>
  </si>
  <si>
    <t>East Carolport</t>
  </si>
  <si>
    <t>Simmonsside</t>
  </si>
  <si>
    <t>Bellfort</t>
  </si>
  <si>
    <t>Bowersberg</t>
  </si>
  <si>
    <t>South Andreamouth</t>
  </si>
  <si>
    <t>North Amandamouth</t>
  </si>
  <si>
    <t>West Christopherville</t>
  </si>
  <si>
    <t>Suttonland</t>
  </si>
  <si>
    <t>Steveborough</t>
  </si>
  <si>
    <t>East Aaron</t>
  </si>
  <si>
    <t>Melvintown</t>
  </si>
  <si>
    <t>South Jeremyton</t>
  </si>
  <si>
    <t>Jamesfurt</t>
  </si>
  <si>
    <t>Sullivanshire</t>
  </si>
  <si>
    <t>Mariaburgh</t>
  </si>
  <si>
    <t>West Tammie</t>
  </si>
  <si>
    <t>Johnfurt</t>
  </si>
  <si>
    <t>Robertsonbury</t>
  </si>
  <si>
    <t>Port Daleborough</t>
  </si>
  <si>
    <t>East Lynnchester</t>
  </si>
  <si>
    <t>Jackburgh</t>
  </si>
  <si>
    <t>East Samuelfort</t>
  </si>
  <si>
    <t>Lindseymouth</t>
  </si>
  <si>
    <t>New Samanthaport</t>
  </si>
  <si>
    <t>Charlottechester</t>
  </si>
  <si>
    <t>Lake Meganborough</t>
  </si>
  <si>
    <t>South Katherine</t>
  </si>
  <si>
    <t>West Gregorychester</t>
  </si>
  <si>
    <t>Port Carolineside</t>
  </si>
  <si>
    <t>West Bethchester</t>
  </si>
  <si>
    <t>New Frederickstad</t>
  </si>
  <si>
    <t>Lauraland</t>
  </si>
  <si>
    <t>West Bonnieville</t>
  </si>
  <si>
    <t>Coryfurt</t>
  </si>
  <si>
    <t>Smithfurt</t>
  </si>
  <si>
    <t>West Christopherfort</t>
  </si>
  <si>
    <t>Port James</t>
  </si>
  <si>
    <t>South Bryanberg</t>
  </si>
  <si>
    <t>Matthewshire</t>
  </si>
  <si>
    <t>Villanuevaberg</t>
  </si>
  <si>
    <t>South Ginachester</t>
  </si>
  <si>
    <t>South Williamfurt</t>
  </si>
  <si>
    <t>New Daniel</t>
  </si>
  <si>
    <t>Nicholasshire</t>
  </si>
  <si>
    <t>Freemanland</t>
  </si>
  <si>
    <t>Kelseybury</t>
  </si>
  <si>
    <t>East Rhondaview</t>
  </si>
  <si>
    <t xml:space="preserve"> IL</t>
  </si>
  <si>
    <t>Lake Anthony</t>
  </si>
  <si>
    <t>East Deborahshire</t>
  </si>
  <si>
    <t>Kevinton</t>
  </si>
  <si>
    <t>Elijahshire</t>
  </si>
  <si>
    <t>West Shellymouth</t>
  </si>
  <si>
    <t>New Jenniferfort</t>
  </si>
  <si>
    <t>West Julieland</t>
  </si>
  <si>
    <t>New Jacob</t>
  </si>
  <si>
    <t>South Jacobshire</t>
  </si>
  <si>
    <t>Lake Patriciaview</t>
  </si>
  <si>
    <t>Port Charles</t>
  </si>
  <si>
    <t>Lake Joshuastad</t>
  </si>
  <si>
    <t>West Paulshire</t>
  </si>
  <si>
    <t xml:space="preserve"> PE</t>
  </si>
  <si>
    <t>East Jason</t>
  </si>
  <si>
    <t>Peterland</t>
  </si>
  <si>
    <t>Obrienshire</t>
  </si>
  <si>
    <t>Dennischester</t>
  </si>
  <si>
    <t>Jessicaside</t>
  </si>
  <si>
    <t xml:space="preserve"> CH</t>
  </si>
  <si>
    <t>East Bernardfurt</t>
  </si>
  <si>
    <t xml:space="preserve"> CY</t>
  </si>
  <si>
    <t>Santostown</t>
  </si>
  <si>
    <t>Haasview</t>
  </si>
  <si>
    <t>Munozside</t>
  </si>
  <si>
    <t>Lake Jasonville</t>
  </si>
  <si>
    <t>South Jaredview</t>
  </si>
  <si>
    <t>Castrobury</t>
  </si>
  <si>
    <t>Lake Randychester</t>
  </si>
  <si>
    <t>Robertsonfort</t>
  </si>
  <si>
    <t xml:space="preserve"> MU</t>
  </si>
  <si>
    <t>Halefurt</t>
  </si>
  <si>
    <t>Karenville</t>
  </si>
  <si>
    <t>Davidtown</t>
  </si>
  <si>
    <t>East Henryfort</t>
  </si>
  <si>
    <t>Port Biancachester</t>
  </si>
  <si>
    <t>East Kennethfurt</t>
  </si>
  <si>
    <t>East Sandrabury</t>
  </si>
  <si>
    <t>Sarahburgh</t>
  </si>
  <si>
    <t>Robinsonport</t>
  </si>
  <si>
    <t>Lyonsland</t>
  </si>
  <si>
    <t>Gutierrezport</t>
  </si>
  <si>
    <t>New Shawnberg</t>
  </si>
  <si>
    <t>South Crystalshire</t>
  </si>
  <si>
    <t>West Wandaside</t>
  </si>
  <si>
    <t>Ruizton</t>
  </si>
  <si>
    <t>Lisaborough</t>
  </si>
  <si>
    <t>Ericksonport</t>
  </si>
  <si>
    <t>Perryland</t>
  </si>
  <si>
    <t>Brookeport</t>
  </si>
  <si>
    <t>South Dawnfort</t>
  </si>
  <si>
    <t>West Michael</t>
  </si>
  <si>
    <t>Taylorland</t>
  </si>
  <si>
    <t>South Thomasview</t>
  </si>
  <si>
    <t>Kingburgh</t>
  </si>
  <si>
    <t>Jeremytown</t>
  </si>
  <si>
    <t>Michaelbury</t>
  </si>
  <si>
    <t>East Tammy</t>
  </si>
  <si>
    <t>Dannyborough</t>
  </si>
  <si>
    <t>Tracyborough</t>
  </si>
  <si>
    <t>Davidside</t>
  </si>
  <si>
    <t>Hernandezshire</t>
  </si>
  <si>
    <t>Walshstad</t>
  </si>
  <si>
    <t>Nelsonchester</t>
  </si>
  <si>
    <t>Albertport</t>
  </si>
  <si>
    <t xml:space="preserve"> RW</t>
  </si>
  <si>
    <t>East Kathrynchester</t>
  </si>
  <si>
    <t>Lake Patrick</t>
  </si>
  <si>
    <t>Marcusstad</t>
  </si>
  <si>
    <t>Port Thomas</t>
  </si>
  <si>
    <t>Richardfurt</t>
  </si>
  <si>
    <t>New John</t>
  </si>
  <si>
    <t>Lake Matthewhaven</t>
  </si>
  <si>
    <t>Davidton</t>
  </si>
  <si>
    <t>New Ronald</t>
  </si>
  <si>
    <t>West Elizabeth</t>
  </si>
  <si>
    <t>Hillfurt</t>
  </si>
  <si>
    <t>Susanfort</t>
  </si>
  <si>
    <t>Leebury</t>
  </si>
  <si>
    <t>South Briannafort</t>
  </si>
  <si>
    <t xml:space="preserve"> MZ</t>
  </si>
  <si>
    <t>Blakebury</t>
  </si>
  <si>
    <t>New Codystad</t>
  </si>
  <si>
    <t>North Brianhaven</t>
  </si>
  <si>
    <t>North Joannaberg</t>
  </si>
  <si>
    <t>Stevenshire</t>
  </si>
  <si>
    <t>Ginafurt</t>
  </si>
  <si>
    <t>Phillipsmouth</t>
  </si>
  <si>
    <t>South Chelseamouth</t>
  </si>
  <si>
    <t>North Darren</t>
  </si>
  <si>
    <t>Walshmouth</t>
  </si>
  <si>
    <t>East Robertbury</t>
  </si>
  <si>
    <t>Port Briannaview</t>
  </si>
  <si>
    <t>Bradshawport</t>
  </si>
  <si>
    <t>Port Isabellaport</t>
  </si>
  <si>
    <t>South Evan</t>
  </si>
  <si>
    <t>West Adammouth</t>
  </si>
  <si>
    <t>North Cindy</t>
  </si>
  <si>
    <t>Amyside</t>
  </si>
  <si>
    <t>East Mariahberg</t>
  </si>
  <si>
    <t>North Michele</t>
  </si>
  <si>
    <t>Lake Joseph</t>
  </si>
  <si>
    <t>North Tamara</t>
  </si>
  <si>
    <t xml:space="preserve"> SM</t>
  </si>
  <si>
    <t>Jamesview</t>
  </si>
  <si>
    <t>Adamsshire</t>
  </si>
  <si>
    <t>Zacharyfurt</t>
  </si>
  <si>
    <t>New Bettyborough</t>
  </si>
  <si>
    <t>Georgeview</t>
  </si>
  <si>
    <t>Carmenbury</t>
  </si>
  <si>
    <t>New Josemouth</t>
  </si>
  <si>
    <t>Lake Christophershire</t>
  </si>
  <si>
    <t>East Cindy</t>
  </si>
  <si>
    <t>Jamesshire</t>
  </si>
  <si>
    <t>East Jamie</t>
  </si>
  <si>
    <t>Jenniferfurt</t>
  </si>
  <si>
    <t>Jacquelineville</t>
  </si>
  <si>
    <t>Port Shannon</t>
  </si>
  <si>
    <t>Tonyburgh</t>
  </si>
  <si>
    <t>Lake Timothyville</t>
  </si>
  <si>
    <t>Rodriguezfort</t>
  </si>
  <si>
    <t>Lake Andrewbury</t>
  </si>
  <si>
    <t xml:space="preserve"> ZA</t>
  </si>
  <si>
    <t>North Kevin</t>
  </si>
  <si>
    <t>East Lisa</t>
  </si>
  <si>
    <t>Brandonshire</t>
  </si>
  <si>
    <t>East Laurenland</t>
  </si>
  <si>
    <t>East Raymond</t>
  </si>
  <si>
    <t>Port Jenniferhaven</t>
  </si>
  <si>
    <t>Lake Elizabeth</t>
  </si>
  <si>
    <t>Jamesmouth</t>
  </si>
  <si>
    <t>Lake April</t>
  </si>
  <si>
    <t>South Christophermouth</t>
  </si>
  <si>
    <t>West Karen</t>
  </si>
  <si>
    <t>Burnetttown</t>
  </si>
  <si>
    <t>Jacquelineview</t>
  </si>
  <si>
    <t>Raymondville</t>
  </si>
  <si>
    <t>Lake Colleenmouth</t>
  </si>
  <si>
    <t>Jacobland</t>
  </si>
  <si>
    <t>Ryanfort</t>
  </si>
  <si>
    <t>North Elizabeth</t>
  </si>
  <si>
    <t>Aaronview</t>
  </si>
  <si>
    <t>East Laceyville</t>
  </si>
  <si>
    <t>Thomasborough</t>
  </si>
  <si>
    <t>Lake Kaylaport</t>
  </si>
  <si>
    <t>Lake Jamesberg</t>
  </si>
  <si>
    <t>Harrismouth</t>
  </si>
  <si>
    <t>Michaelside</t>
  </si>
  <si>
    <t>Webbmouth</t>
  </si>
  <si>
    <t>Andrewschester</t>
  </si>
  <si>
    <t>Deniseport</t>
  </si>
  <si>
    <t>Aarontown</t>
  </si>
  <si>
    <t>East Erica</t>
  </si>
  <si>
    <t>East Eric</t>
  </si>
  <si>
    <t>Beckerburgh</t>
  </si>
  <si>
    <t>New Jerome</t>
  </si>
  <si>
    <t>Maryton</t>
  </si>
  <si>
    <t>New Natalieview</t>
  </si>
  <si>
    <t>Brooksmouth</t>
  </si>
  <si>
    <t>West Lynnbury</t>
  </si>
  <si>
    <t>South Gregory</t>
  </si>
  <si>
    <t>North Timothy</t>
  </si>
  <si>
    <t>Bryanttown</t>
  </si>
  <si>
    <t>Bonnieview</t>
  </si>
  <si>
    <t>Simmonston</t>
  </si>
  <si>
    <t>South Alyssaview</t>
  </si>
  <si>
    <t>Robinsonland</t>
  </si>
  <si>
    <t>Kevinfurt</t>
  </si>
  <si>
    <t>Woodberg</t>
  </si>
  <si>
    <t>Port Austinport</t>
  </si>
  <si>
    <t>Jessicaland</t>
  </si>
  <si>
    <t>North Ashley</t>
  </si>
  <si>
    <t>Careyland</t>
  </si>
  <si>
    <t>South Keith</t>
  </si>
  <si>
    <t>West Christopher</t>
  </si>
  <si>
    <t>Michelleview</t>
  </si>
  <si>
    <t>South Maryshire</t>
  </si>
  <si>
    <t>Carpenterfurt</t>
  </si>
  <si>
    <t>Millerborough</t>
  </si>
  <si>
    <t>Jacquelineburgh</t>
  </si>
  <si>
    <t>South Jameshaven</t>
  </si>
  <si>
    <t>North John</t>
  </si>
  <si>
    <t>South Omarshire</t>
  </si>
  <si>
    <t>Thomasshire</t>
  </si>
  <si>
    <t>Craigside</t>
  </si>
  <si>
    <t>South Cynthia</t>
  </si>
  <si>
    <t>Garzashire</t>
  </si>
  <si>
    <t>North Dianaland</t>
  </si>
  <si>
    <t>Johnstad</t>
  </si>
  <si>
    <t>Hallport</t>
  </si>
  <si>
    <t xml:space="preserve"> MY</t>
  </si>
  <si>
    <t>Sanchezfurt</t>
  </si>
  <si>
    <t>Jillfort</t>
  </si>
  <si>
    <t>West Joshuabury</t>
  </si>
  <si>
    <t>Lake Melissafort</t>
  </si>
  <si>
    <t>North Kyleborough</t>
  </si>
  <si>
    <t>Mariabury</t>
  </si>
  <si>
    <t>West Michaelview</t>
  </si>
  <si>
    <t>Gilbertbury</t>
  </si>
  <si>
    <t>New Kristenburgh</t>
  </si>
  <si>
    <t>South Daniel</t>
  </si>
  <si>
    <t xml:space="preserve"> OM</t>
  </si>
  <si>
    <t>New Vanessa</t>
  </si>
  <si>
    <t>Whitemouth</t>
  </si>
  <si>
    <t>Jordanside</t>
  </si>
  <si>
    <t xml:space="preserve"> KR</t>
  </si>
  <si>
    <t>Dustinberg</t>
  </si>
  <si>
    <t>Lake Melissahaven</t>
  </si>
  <si>
    <t>Aimeestad</t>
  </si>
  <si>
    <t>West Cassie</t>
  </si>
  <si>
    <t>Stephanieside</t>
  </si>
  <si>
    <t>Mooreside</t>
  </si>
  <si>
    <t>Wangside</t>
  </si>
  <si>
    <t>West Brittanyland</t>
  </si>
  <si>
    <t>Johnsonland</t>
  </si>
  <si>
    <t>Gregorybury</t>
  </si>
  <si>
    <t>Timothytown</t>
  </si>
  <si>
    <t>Kentville</t>
  </si>
  <si>
    <t>South Amanda</t>
  </si>
  <si>
    <t>Saraview</t>
  </si>
  <si>
    <t>Barberfurt</t>
  </si>
  <si>
    <t>Andreaton</t>
  </si>
  <si>
    <t>Samuelside</t>
  </si>
  <si>
    <t>West Madisonchester</t>
  </si>
  <si>
    <t>East Davidbury</t>
  </si>
  <si>
    <t>South Patriciaport</t>
  </si>
  <si>
    <t>New Devinview</t>
  </si>
  <si>
    <t>Angelastad</t>
  </si>
  <si>
    <t>Jordanport</t>
  </si>
  <si>
    <t>Lake Stacey</t>
  </si>
  <si>
    <t>Collinsland</t>
  </si>
  <si>
    <t>Hamiltonport</t>
  </si>
  <si>
    <t>West Manuel</t>
  </si>
  <si>
    <t>North Jessicamouth</t>
  </si>
  <si>
    <t>Montoyabury</t>
  </si>
  <si>
    <t>North Williamside</t>
  </si>
  <si>
    <t>North Davidshire</t>
  </si>
  <si>
    <t>Stephanieville</t>
  </si>
  <si>
    <t>Danielberg</t>
  </si>
  <si>
    <t>Port Austinfort</t>
  </si>
  <si>
    <t>Jaredberg</t>
  </si>
  <si>
    <t>West Rick</t>
  </si>
  <si>
    <t>Wilsonfurt</t>
  </si>
  <si>
    <t>Lisaview</t>
  </si>
  <si>
    <t>Lake Michael</t>
  </si>
  <si>
    <t>North Shaneland</t>
  </si>
  <si>
    <t>East Leonard</t>
  </si>
  <si>
    <t>Jeanettefurt</t>
  </si>
  <si>
    <t>Smithton</t>
  </si>
  <si>
    <t>Alexanderfurt</t>
  </si>
  <si>
    <t>Youngton</t>
  </si>
  <si>
    <t>East Anthony</t>
  </si>
  <si>
    <t>West Anthonyfurt</t>
  </si>
  <si>
    <t>Port Brian</t>
  </si>
  <si>
    <t>Tracyshire</t>
  </si>
  <si>
    <t>Jameshaven</t>
  </si>
  <si>
    <t>Kristinaville</t>
  </si>
  <si>
    <t>Donnaland</t>
  </si>
  <si>
    <t>North Royborough</t>
  </si>
  <si>
    <t>Williamsfort</t>
  </si>
  <si>
    <t>Port Robinchester</t>
  </si>
  <si>
    <t>Joshuamouth</t>
  </si>
  <si>
    <t xml:space="preserve"> TN</t>
  </si>
  <si>
    <t>Michaelville</t>
  </si>
  <si>
    <t>North Justinmouth</t>
  </si>
  <si>
    <t>Cooperport</t>
  </si>
  <si>
    <t>New Susan</t>
  </si>
  <si>
    <t>West Ericshire</t>
  </si>
  <si>
    <t>Port Jessica</t>
  </si>
  <si>
    <t>Curtischester</t>
  </si>
  <si>
    <t>Lake Patricia</t>
  </si>
  <si>
    <t>South Jamesstad</t>
  </si>
  <si>
    <t>Matthewmouth</t>
  </si>
  <si>
    <t>Cruzmouth</t>
  </si>
  <si>
    <t>Smithview</t>
  </si>
  <si>
    <t>Gamblemouth</t>
  </si>
  <si>
    <t>West Mary</t>
  </si>
  <si>
    <t>South Tarabury</t>
  </si>
  <si>
    <t>New Bethburgh</t>
  </si>
  <si>
    <t>Lake Scottfort</t>
  </si>
  <si>
    <t>West Mariaberg</t>
  </si>
  <si>
    <t>Karenborough</t>
  </si>
  <si>
    <t>Michaelstad</t>
  </si>
  <si>
    <t>South Kristymouth</t>
  </si>
  <si>
    <t xml:space="preserve"> SI</t>
  </si>
  <si>
    <t>Brianfort</t>
  </si>
  <si>
    <t>Watkinston</t>
  </si>
  <si>
    <t>West Katherineview</t>
  </si>
  <si>
    <t>Port Connieville</t>
  </si>
  <si>
    <t>South Annafort</t>
  </si>
  <si>
    <t>Wrightton</t>
  </si>
  <si>
    <t>Michaelmouth</t>
  </si>
  <si>
    <t>Yangstad</t>
  </si>
  <si>
    <t>South Jason</t>
  </si>
  <si>
    <t>Armstrongburgh</t>
  </si>
  <si>
    <t>Lake Andrewstad</t>
  </si>
  <si>
    <t>Jonesmouth</t>
  </si>
  <si>
    <t>Port Pamela</t>
  </si>
  <si>
    <t>East Glennville</t>
  </si>
  <si>
    <t>Bishopstad</t>
  </si>
  <si>
    <t>South Nicolasshire</t>
  </si>
  <si>
    <t>Port Kevin</t>
  </si>
  <si>
    <t>West Lori</t>
  </si>
  <si>
    <t>West Whitney</t>
  </si>
  <si>
    <t>West Margaretland</t>
  </si>
  <si>
    <t>Nathanville</t>
  </si>
  <si>
    <t xml:space="preserve"> GH</t>
  </si>
  <si>
    <t>North Sheryltown</t>
  </si>
  <si>
    <t>Shannonfort</t>
  </si>
  <si>
    <t>Lopezville</t>
  </si>
  <si>
    <t>Jamiestad</t>
  </si>
  <si>
    <t>Cruzhaven</t>
  </si>
  <si>
    <t>South Marissa</t>
  </si>
  <si>
    <t>Franciscofort</t>
  </si>
  <si>
    <t>East Brian</t>
  </si>
  <si>
    <t>Port Stacyville</t>
  </si>
  <si>
    <t>North Josephhaven</t>
  </si>
  <si>
    <t>Ramirezville</t>
  </si>
  <si>
    <t>Lake Reneefurt</t>
  </si>
  <si>
    <t>West Robertborough</t>
  </si>
  <si>
    <t>West Austinland</t>
  </si>
  <si>
    <t>Ashleyview</t>
  </si>
  <si>
    <t>North Susanfort</t>
  </si>
  <si>
    <t>East Alyssaland</t>
  </si>
  <si>
    <t>Amandabury</t>
  </si>
  <si>
    <t>Ellisonland</t>
  </si>
  <si>
    <t>North Hollyport</t>
  </si>
  <si>
    <t>South Brooketon</t>
  </si>
  <si>
    <t>New Jonathanview</t>
  </si>
  <si>
    <t>South Marcport</t>
  </si>
  <si>
    <t>Stuartbury</t>
  </si>
  <si>
    <t>Port Christinaburgh</t>
  </si>
  <si>
    <t>Roachchester</t>
  </si>
  <si>
    <t>Nicholasstad</t>
  </si>
  <si>
    <t>Walkerport</t>
  </si>
  <si>
    <t>New Danielville</t>
  </si>
  <si>
    <t>Booneshire</t>
  </si>
  <si>
    <t>Jessemouth</t>
  </si>
  <si>
    <t>Harriston</t>
  </si>
  <si>
    <t>Payneburgh</t>
  </si>
  <si>
    <t>South Kaitlyn</t>
  </si>
  <si>
    <t>South Thomasbury</t>
  </si>
  <si>
    <t>Garciaberg</t>
  </si>
  <si>
    <t>East Nicholas</t>
  </si>
  <si>
    <t>Coxland</t>
  </si>
  <si>
    <t>Connorport</t>
  </si>
  <si>
    <t>Jesseshire</t>
  </si>
  <si>
    <t>Lake Sarabury</t>
  </si>
  <si>
    <t>Lake Vickibury</t>
  </si>
  <si>
    <t>Lake Moniquemouth</t>
  </si>
  <si>
    <t>Bentonhaven</t>
  </si>
  <si>
    <t>Lake Jamestown</t>
  </si>
  <si>
    <t>Pricefurt</t>
  </si>
  <si>
    <t>Smithstad</t>
  </si>
  <si>
    <t>Hortonbury</t>
  </si>
  <si>
    <t>Austinport</t>
  </si>
  <si>
    <t>Lake Laurenville</t>
  </si>
  <si>
    <t>Lake Antonio</t>
  </si>
  <si>
    <t>North Shawnside</t>
  </si>
  <si>
    <t>Bentleyville</t>
  </si>
  <si>
    <t>Mcphersonbury</t>
  </si>
  <si>
    <t>Knightville</t>
  </si>
  <si>
    <t>North Tina</t>
  </si>
  <si>
    <t>South Patriciaburgh</t>
  </si>
  <si>
    <t>West Timothystad</t>
  </si>
  <si>
    <t>Port Ryan</t>
  </si>
  <si>
    <t>Port Rebeccahaven</t>
  </si>
  <si>
    <t>Josephfort</t>
  </si>
  <si>
    <t>South Alexis</t>
  </si>
  <si>
    <t>Port Justinfort</t>
  </si>
  <si>
    <t>South Joelport</t>
  </si>
  <si>
    <t>Charlesside</t>
  </si>
  <si>
    <t>North Jayberg</t>
  </si>
  <si>
    <t>West Bailey</t>
  </si>
  <si>
    <t>Hortonmouth</t>
  </si>
  <si>
    <t>Whitneyport</t>
  </si>
  <si>
    <t>Hamiltonville</t>
  </si>
  <si>
    <t>Port Shane</t>
  </si>
  <si>
    <t>Chavezchester</t>
  </si>
  <si>
    <t>Royborough</t>
  </si>
  <si>
    <t>Port Timothy</t>
  </si>
  <si>
    <t>Richardsonburgh</t>
  </si>
  <si>
    <t>East Ashleychester</t>
  </si>
  <si>
    <t>Lake Sarahfort</t>
  </si>
  <si>
    <t>Brownberg</t>
  </si>
  <si>
    <t>East Wendyville</t>
  </si>
  <si>
    <t>West Kyle</t>
  </si>
  <si>
    <t>Port Bryanview</t>
  </si>
  <si>
    <t>Robertshire</t>
  </si>
  <si>
    <t>Ronaldland</t>
  </si>
  <si>
    <t>East Michaelberg</t>
  </si>
  <si>
    <t>Andersonberg</t>
  </si>
  <si>
    <t>Petersonburgh</t>
  </si>
  <si>
    <t>Rhondafurt</t>
  </si>
  <si>
    <t>Lake Jameston</t>
  </si>
  <si>
    <t>Beckerberg</t>
  </si>
  <si>
    <t>North Kevinshire</t>
  </si>
  <si>
    <t>Jenniferborough</t>
  </si>
  <si>
    <t>West Cathy</t>
  </si>
  <si>
    <t>Lake Jacobport</t>
  </si>
  <si>
    <t>Jasontown</t>
  </si>
  <si>
    <t>Powersfort</t>
  </si>
  <si>
    <t>Mirandatown</t>
  </si>
  <si>
    <t>Whiteton</t>
  </si>
  <si>
    <t>Kaylaport</t>
  </si>
  <si>
    <t>Rileyville</t>
  </si>
  <si>
    <t>New Robyn</t>
  </si>
  <si>
    <t>Brownmouth</t>
  </si>
  <si>
    <t>Wandamouth</t>
  </si>
  <si>
    <t>Kennedymouth</t>
  </si>
  <si>
    <t>Ayalaland</t>
  </si>
  <si>
    <t>Melissaburgh</t>
  </si>
  <si>
    <t>New Anthonyport</t>
  </si>
  <si>
    <t>South Jillside</t>
  </si>
  <si>
    <t>New Jennifer</t>
  </si>
  <si>
    <t>Port Haleyport</t>
  </si>
  <si>
    <t>Davishaven</t>
  </si>
  <si>
    <t>East Katiemouth</t>
  </si>
  <si>
    <t>Sherrimouth</t>
  </si>
  <si>
    <t>Nguyenmouth</t>
  </si>
  <si>
    <t>Lake Davidfort</t>
  </si>
  <si>
    <t>Kylieside</t>
  </si>
  <si>
    <t>West Sonya</t>
  </si>
  <si>
    <t>Wrightville</t>
  </si>
  <si>
    <t>Johnsonside</t>
  </si>
  <si>
    <t>North Virginia</t>
  </si>
  <si>
    <t>East Michael</t>
  </si>
  <si>
    <t>South Mark</t>
  </si>
  <si>
    <t>Kimberlychester</t>
  </si>
  <si>
    <t>North Dennisview</t>
  </si>
  <si>
    <t>Nicolastown</t>
  </si>
  <si>
    <t>Walkerton</t>
  </si>
  <si>
    <t>Lake Davidport</t>
  </si>
  <si>
    <t>Lake Sarahmouth</t>
  </si>
  <si>
    <t>Rosemouth</t>
  </si>
  <si>
    <t>Crystaltown</t>
  </si>
  <si>
    <t>Port Stacyberg</t>
  </si>
  <si>
    <t>Port Katieborough</t>
  </si>
  <si>
    <t>Jasonmouth</t>
  </si>
  <si>
    <t>Phillipsville</t>
  </si>
  <si>
    <t>Craigmouth</t>
  </si>
  <si>
    <t>Andrewborough</t>
  </si>
  <si>
    <t>West Karamouth</t>
  </si>
  <si>
    <t>South Kayla</t>
  </si>
  <si>
    <t>West Stuart</t>
  </si>
  <si>
    <t>Gonzalezville</t>
  </si>
  <si>
    <t>Josefurt</t>
  </si>
  <si>
    <t>West Curtiston</t>
  </si>
  <si>
    <t>Austinville</t>
  </si>
  <si>
    <t>Lake Megan</t>
  </si>
  <si>
    <t>South Samanthabury</t>
  </si>
  <si>
    <t>Maryview</t>
  </si>
  <si>
    <t>Robertsport</t>
  </si>
  <si>
    <t>New Kimberlyland</t>
  </si>
  <si>
    <t>Crawfordtown</t>
  </si>
  <si>
    <t>Silvafort</t>
  </si>
  <si>
    <t>New Stevenfurt</t>
  </si>
  <si>
    <t>Lake Michaelberg</t>
  </si>
  <si>
    <t>Yvettefort</t>
  </si>
  <si>
    <t>East Lorifort</t>
  </si>
  <si>
    <t>Baileyburgh</t>
  </si>
  <si>
    <t>Port Carmen</t>
  </si>
  <si>
    <t>Perkinstown</t>
  </si>
  <si>
    <t>Pattonton</t>
  </si>
  <si>
    <t>South Nathanielville</t>
  </si>
  <si>
    <t>Pearsonberg</t>
  </si>
  <si>
    <t>Sherriside</t>
  </si>
  <si>
    <t>South Ryan</t>
  </si>
  <si>
    <t>Angelamouth</t>
  </si>
  <si>
    <t>Lake Michelle</t>
  </si>
  <si>
    <t>Trevorhaven</t>
  </si>
  <si>
    <t>Lake Andre</t>
  </si>
  <si>
    <t>North Laurenmouth</t>
  </si>
  <si>
    <t>Shortburgh</t>
  </si>
  <si>
    <t>Warrenbury</t>
  </si>
  <si>
    <t>Danielville</t>
  </si>
  <si>
    <t>West Toddmouth</t>
  </si>
  <si>
    <t>Jillport</t>
  </si>
  <si>
    <t>North Paige</t>
  </si>
  <si>
    <t>Lake Aliciaberg</t>
  </si>
  <si>
    <t>Port Richard</t>
  </si>
  <si>
    <t>Johnsonport</t>
  </si>
  <si>
    <t>Port Jonathan</t>
  </si>
  <si>
    <t>Michaelfort</t>
  </si>
  <si>
    <t>Rayport</t>
  </si>
  <si>
    <t>Lake Ryan</t>
  </si>
  <si>
    <t>Ellisport</t>
  </si>
  <si>
    <t>South Katherineton</t>
  </si>
  <si>
    <t>Lake Melissa</t>
  </si>
  <si>
    <t>South Jilltown</t>
  </si>
  <si>
    <t>New Megantown</t>
  </si>
  <si>
    <t>North Dianaton</t>
  </si>
  <si>
    <t>Hollyborough</t>
  </si>
  <si>
    <t>Contreraston</t>
  </si>
  <si>
    <t>Wardbury</t>
  </si>
  <si>
    <t>North Shane</t>
  </si>
  <si>
    <t>West Michaelborough</t>
  </si>
  <si>
    <t>North Grant</t>
  </si>
  <si>
    <t>East Willie</t>
  </si>
  <si>
    <t>Davidhaven</t>
  </si>
  <si>
    <t>Colemanfort</t>
  </si>
  <si>
    <t>North Jacqueline</t>
  </si>
  <si>
    <t>South Caitlynchester</t>
  </si>
  <si>
    <t>Sherrichester</t>
  </si>
  <si>
    <t>Anthonybury</t>
  </si>
  <si>
    <t>South Michellebury</t>
  </si>
  <si>
    <t>Kristiemouth</t>
  </si>
  <si>
    <t>Nicholshaven</t>
  </si>
  <si>
    <t>North Alicia</t>
  </si>
  <si>
    <t>Port Tina</t>
  </si>
  <si>
    <t>New Veronica</t>
  </si>
  <si>
    <t>Port Catherinetown</t>
  </si>
  <si>
    <t>New Alyssa</t>
  </si>
  <si>
    <t>Nobleside</t>
  </si>
  <si>
    <t>West Hayleyton</t>
  </si>
  <si>
    <t>Kathrynfort</t>
  </si>
  <si>
    <t>Danielview</t>
  </si>
  <si>
    <t>Taraborough</t>
  </si>
  <si>
    <t>Littleshire</t>
  </si>
  <si>
    <t>East Patrickfurt</t>
  </si>
  <si>
    <t>Jonesfurt</t>
  </si>
  <si>
    <t>Chasestad</t>
  </si>
  <si>
    <t>Villaport</t>
  </si>
  <si>
    <t>Port Rodney</t>
  </si>
  <si>
    <t>Jessicatown</t>
  </si>
  <si>
    <t>Port Christine</t>
  </si>
  <si>
    <t>Elizabethton</t>
  </si>
  <si>
    <t>New Ryan</t>
  </si>
  <si>
    <t>Pittmanville</t>
  </si>
  <si>
    <t>Port Bernard</t>
  </si>
  <si>
    <t>Robertsmouth</t>
  </si>
  <si>
    <t>South Lisa</t>
  </si>
  <si>
    <t>New Johnnybury</t>
  </si>
  <si>
    <t>New Williambury</t>
  </si>
  <si>
    <t>East Amanda</t>
  </si>
  <si>
    <t>South Benjamin</t>
  </si>
  <si>
    <t>West Lindsayfurt</t>
  </si>
  <si>
    <t>Younghaven</t>
  </si>
  <si>
    <t>Lake Aliciachester</t>
  </si>
  <si>
    <t>Frazierberg</t>
  </si>
  <si>
    <t>West Brandon</t>
  </si>
  <si>
    <t>Ramseyview</t>
  </si>
  <si>
    <t>Oconnorville</t>
  </si>
  <si>
    <t>East Ana</t>
  </si>
  <si>
    <t>Perryside</t>
  </si>
  <si>
    <t>East Rachelland</t>
  </si>
  <si>
    <t>Baldwinland</t>
  </si>
  <si>
    <t>Brewerland</t>
  </si>
  <si>
    <t>Duartebury</t>
  </si>
  <si>
    <t>Andreashire</t>
  </si>
  <si>
    <t>Howellburgh</t>
  </si>
  <si>
    <t>North Kristie</t>
  </si>
  <si>
    <t>West Tylerberg</t>
  </si>
  <si>
    <t>South Chadton</t>
  </si>
  <si>
    <t>Davidfurt</t>
  </si>
  <si>
    <t>Williamview</t>
  </si>
  <si>
    <t>Port Victoriaburgh</t>
  </si>
  <si>
    <t>Smithmouth</t>
  </si>
  <si>
    <t>Harrisonhaven</t>
  </si>
  <si>
    <t>Janicemouth</t>
  </si>
  <si>
    <t>New Melissashire</t>
  </si>
  <si>
    <t>Port Nathan</t>
  </si>
  <si>
    <t>Staffordstad</t>
  </si>
  <si>
    <t>West Kyliechester</t>
  </si>
  <si>
    <t>Lake Erika</t>
  </si>
  <si>
    <t>Johnsonfurt</t>
  </si>
  <si>
    <t>New Darren</t>
  </si>
  <si>
    <t>North Madison</t>
  </si>
  <si>
    <t>Abigailmouth</t>
  </si>
  <si>
    <t>Lake Curtis</t>
  </si>
  <si>
    <t>Josephstad</t>
  </si>
  <si>
    <t>Madisonside</t>
  </si>
  <si>
    <t>Priceborough</t>
  </si>
  <si>
    <t>Rossbury</t>
  </si>
  <si>
    <t>South Meganmouth</t>
  </si>
  <si>
    <t>New Heatherbury</t>
  </si>
  <si>
    <t>South Jamesville</t>
  </si>
  <si>
    <t>West Jasonmouth</t>
  </si>
  <si>
    <t>West Theresashire</t>
  </si>
  <si>
    <t>Lake Markport</t>
  </si>
  <si>
    <t>Allenburgh</t>
  </si>
  <si>
    <t>Hopkinstown</t>
  </si>
  <si>
    <t>North Nicolechester</t>
  </si>
  <si>
    <t>East Joseph</t>
  </si>
  <si>
    <t>Mayerview</t>
  </si>
  <si>
    <t>New Adam</t>
  </si>
  <si>
    <t>Lopezfort</t>
  </si>
  <si>
    <t>Port Franciscoside</t>
  </si>
  <si>
    <t>West Jason</t>
  </si>
  <si>
    <t>West Keithview</t>
  </si>
  <si>
    <t>Juanburgh</t>
  </si>
  <si>
    <t>Andrewmouth</t>
  </si>
  <si>
    <t>North Mistyland</t>
  </si>
  <si>
    <t>Joelland</t>
  </si>
  <si>
    <t>Lake Debbie</t>
  </si>
  <si>
    <t>East Davidchester</t>
  </si>
  <si>
    <t>Gomezchester</t>
  </si>
  <si>
    <t>North Brettfurt</t>
  </si>
  <si>
    <t>Port Yvetteland</t>
  </si>
  <si>
    <t>Mistyfurt</t>
  </si>
  <si>
    <t>North Patricia</t>
  </si>
  <si>
    <t>Gutierreztown</t>
  </si>
  <si>
    <t>Benitezfurt</t>
  </si>
  <si>
    <t>Griffintown</t>
  </si>
  <si>
    <t>Gonzalezstad</t>
  </si>
  <si>
    <t>Port Ianfurt</t>
  </si>
  <si>
    <t>Whitefort</t>
  </si>
  <si>
    <t>Jonesville</t>
  </si>
  <si>
    <t>South Timothystad</t>
  </si>
  <si>
    <t>North Connorfurt</t>
  </si>
  <si>
    <t>Lake Melanie</t>
  </si>
  <si>
    <t>Coryton</t>
  </si>
  <si>
    <t>South Kathleen</t>
  </si>
  <si>
    <t>Markfort</t>
  </si>
  <si>
    <t>Nancyberg</t>
  </si>
  <si>
    <t>Matthewsberg</t>
  </si>
  <si>
    <t>North Jessica</t>
  </si>
  <si>
    <t>New Austin</t>
  </si>
  <si>
    <t>Deborahton</t>
  </si>
  <si>
    <t>Allisonview</t>
  </si>
  <si>
    <t>Eatonmouth</t>
  </si>
  <si>
    <t>Davistown</t>
  </si>
  <si>
    <t>Danielside</t>
  </si>
  <si>
    <t>Hernandezland</t>
  </si>
  <si>
    <t>New Jared</t>
  </si>
  <si>
    <t>Nicholaschester</t>
  </si>
  <si>
    <t>Blairside</t>
  </si>
  <si>
    <t>Bryceport</t>
  </si>
  <si>
    <t>West Christian</t>
  </si>
  <si>
    <t xml:space="preserve"> SO</t>
  </si>
  <si>
    <t>Lake Toddmouth</t>
  </si>
  <si>
    <t>South Erikchester</t>
  </si>
  <si>
    <t>Port Meganstad</t>
  </si>
  <si>
    <t>Port Erikaburgh</t>
  </si>
  <si>
    <t>Philipmouth</t>
  </si>
  <si>
    <t>Lake Misty</t>
  </si>
  <si>
    <t>Campbellmouth</t>
  </si>
  <si>
    <t>Collierchester</t>
  </si>
  <si>
    <t>Port Jeffstad</t>
  </si>
  <si>
    <t>Lawrenceton</t>
  </si>
  <si>
    <t>Zunigaside</t>
  </si>
  <si>
    <t>East Timothy</t>
  </si>
  <si>
    <t>North Kristafort</t>
  </si>
  <si>
    <t>Scottport</t>
  </si>
  <si>
    <t>Andreatown</t>
  </si>
  <si>
    <t>Port Nicholas</t>
  </si>
  <si>
    <t>Lake Jaime</t>
  </si>
  <si>
    <t>Grahambury</t>
  </si>
  <si>
    <t>New Masonton</t>
  </si>
  <si>
    <t>Cabrerafort</t>
  </si>
  <si>
    <t>Christopherton</t>
  </si>
  <si>
    <t>Joneschester</t>
  </si>
  <si>
    <t>Ramostown</t>
  </si>
  <si>
    <t>Port Kelsey</t>
  </si>
  <si>
    <t>Johnberg</t>
  </si>
  <si>
    <t>Port Amandaburgh</t>
  </si>
  <si>
    <t>East Barrybury</t>
  </si>
  <si>
    <t>Roseton</t>
  </si>
  <si>
    <t>Sandrastad</t>
  </si>
  <si>
    <t>Lewisburgh</t>
  </si>
  <si>
    <t>Port Kathyton</t>
  </si>
  <si>
    <t>Williamsville</t>
  </si>
  <si>
    <t>Sylviaport</t>
  </si>
  <si>
    <t>East Kimberlyview</t>
  </si>
  <si>
    <t>West Amber</t>
  </si>
  <si>
    <t>Hannahfort</t>
  </si>
  <si>
    <t>North Cassandraborough</t>
  </si>
  <si>
    <t>Lake Ruthport</t>
  </si>
  <si>
    <t>New Richardburgh</t>
  </si>
  <si>
    <t>North Michellestad</t>
  </si>
  <si>
    <t>Davidshire</t>
  </si>
  <si>
    <t>West Jennifertown</t>
  </si>
  <si>
    <t>New Amber</t>
  </si>
  <si>
    <t>Douglasberg</t>
  </si>
  <si>
    <t>New Sandraland</t>
  </si>
  <si>
    <t>Wrightland</t>
  </si>
  <si>
    <t>Bowmanton</t>
  </si>
  <si>
    <t>Samanthahaven</t>
  </si>
  <si>
    <t>Nicholasville</t>
  </si>
  <si>
    <t>South Richardtown</t>
  </si>
  <si>
    <t>Jeffreystad</t>
  </si>
  <si>
    <t>East Seanview</t>
  </si>
  <si>
    <t>Lake Jessicaside</t>
  </si>
  <si>
    <t>South Danielle</t>
  </si>
  <si>
    <t>West Robin</t>
  </si>
  <si>
    <t>New Sethtown</t>
  </si>
  <si>
    <t>Ambertown</t>
  </si>
  <si>
    <t>South Jasonville</t>
  </si>
  <si>
    <t>Garyville</t>
  </si>
  <si>
    <t>West Justinside</t>
  </si>
  <si>
    <t>Kellyhaven</t>
  </si>
  <si>
    <t>South Meganfort</t>
  </si>
  <si>
    <t>Port Jennifer</t>
  </si>
  <si>
    <t>North Robertberg</t>
  </si>
  <si>
    <t>East Jessica</t>
  </si>
  <si>
    <t>Rachelmouth</t>
  </si>
  <si>
    <t>Port Leahland</t>
  </si>
  <si>
    <t>Melaniemouth</t>
  </si>
  <si>
    <t>Lopezfurt</t>
  </si>
  <si>
    <t>Matthewville</t>
  </si>
  <si>
    <t>New Michaelmouth</t>
  </si>
  <si>
    <t>Ruizbury</t>
  </si>
  <si>
    <t>Gailland</t>
  </si>
  <si>
    <t>East Cheryl</t>
  </si>
  <si>
    <t>New Garytown</t>
  </si>
  <si>
    <t>East Jessicaport</t>
  </si>
  <si>
    <t>Turnerville</t>
  </si>
  <si>
    <t>Rachelview</t>
  </si>
  <si>
    <t>West Monica</t>
  </si>
  <si>
    <t>South Meagan</t>
  </si>
  <si>
    <t>Kellyborough</t>
  </si>
  <si>
    <t>Pooleview</t>
  </si>
  <si>
    <t>West Bethanyshire</t>
  </si>
  <si>
    <t>East Nicholeberg</t>
  </si>
  <si>
    <t>Brooksbury</t>
  </si>
  <si>
    <t>Juliemouth</t>
  </si>
  <si>
    <t>Fishershire</t>
  </si>
  <si>
    <t>Lake Kathleenville</t>
  </si>
  <si>
    <t>East Nicole</t>
  </si>
  <si>
    <t>South Michelebury</t>
  </si>
  <si>
    <t>Port Andrew</t>
  </si>
  <si>
    <t>East Edwardtown</t>
  </si>
  <si>
    <t>Thomasfurt</t>
  </si>
  <si>
    <t>Jessicachester</t>
  </si>
  <si>
    <t>Debraton</t>
  </si>
  <si>
    <t>Cervantesmouth</t>
  </si>
  <si>
    <t>Marcmouth</t>
  </si>
  <si>
    <t>New Andreastad</t>
  </si>
  <si>
    <t>North Jamesside</t>
  </si>
  <si>
    <t>Adamtown</t>
  </si>
  <si>
    <t>West Christina</t>
  </si>
  <si>
    <t>New Robin</t>
  </si>
  <si>
    <t>North Brendaview</t>
  </si>
  <si>
    <t>Dixontown</t>
  </si>
  <si>
    <t>Brandonville</t>
  </si>
  <si>
    <t>East Alexandratown</t>
  </si>
  <si>
    <t>Mcdonaldview</t>
  </si>
  <si>
    <t>Brianshire</t>
  </si>
  <si>
    <t>New Donnaville</t>
  </si>
  <si>
    <t>Sullivanborough</t>
  </si>
  <si>
    <t>Gonzalesland</t>
  </si>
  <si>
    <t>Mosesland</t>
  </si>
  <si>
    <t>New Angelton</t>
  </si>
  <si>
    <t>Willischester</t>
  </si>
  <si>
    <t>Port Amy</t>
  </si>
  <si>
    <t>Hayesport</t>
  </si>
  <si>
    <t>South Devinburgh</t>
  </si>
  <si>
    <t>Port Aprilhaven</t>
  </si>
  <si>
    <t>New Brandonfurt</t>
  </si>
  <si>
    <t>Gillbury</t>
  </si>
  <si>
    <t>Port Ernest</t>
  </si>
  <si>
    <t>New Loriberg</t>
  </si>
  <si>
    <t>Justinmouth</t>
  </si>
  <si>
    <t>South Lauraport</t>
  </si>
  <si>
    <t>Kyliehaven</t>
  </si>
  <si>
    <t>Matthewland</t>
  </si>
  <si>
    <t>West Sierra</t>
  </si>
  <si>
    <t>Lake Rodneyfort</t>
  </si>
  <si>
    <t>Lake Phyllisburgh</t>
  </si>
  <si>
    <t>Lake Gregoryshire</t>
  </si>
  <si>
    <t>Vanessafurt</t>
  </si>
  <si>
    <t>New Donaldmouth</t>
  </si>
  <si>
    <t>East Heather</t>
  </si>
  <si>
    <t>Bairdmouth</t>
  </si>
  <si>
    <t>East Matthew</t>
  </si>
  <si>
    <t>West Carolberg</t>
  </si>
  <si>
    <t>North George</t>
  </si>
  <si>
    <t>Mitchelltown</t>
  </si>
  <si>
    <t>Coxstad</t>
  </si>
  <si>
    <t>Jacksonborough</t>
  </si>
  <si>
    <t>Carlaton</t>
  </si>
  <si>
    <t>Rodriguezchester</t>
  </si>
  <si>
    <t>Brittanymouth</t>
  </si>
  <si>
    <t>Travistown</t>
  </si>
  <si>
    <t>Rochastad</t>
  </si>
  <si>
    <t>East Valerieville</t>
  </si>
  <si>
    <t>Davisville</t>
  </si>
  <si>
    <t>Jodyville</t>
  </si>
  <si>
    <t>North William</t>
  </si>
  <si>
    <t>Haneyview</t>
  </si>
  <si>
    <t>North Daniel</t>
  </si>
  <si>
    <t>West Josebury</t>
  </si>
  <si>
    <t>Lake Marychester</t>
  </si>
  <si>
    <t>South Feliciafurt</t>
  </si>
  <si>
    <t>West Lauren</t>
  </si>
  <si>
    <t>Port Crystal</t>
  </si>
  <si>
    <t>Lake Danielle</t>
  </si>
  <si>
    <t>Sandovalberg</t>
  </si>
  <si>
    <t>Stewartfort</t>
  </si>
  <si>
    <t>North Paulburgh</t>
  </si>
  <si>
    <t>West Eric</t>
  </si>
  <si>
    <t>West Carolynside</t>
  </si>
  <si>
    <t>Wheelerview</t>
  </si>
  <si>
    <t>East Marcus</t>
  </si>
  <si>
    <t>Tylerberg</t>
  </si>
  <si>
    <t>Priceland</t>
  </si>
  <si>
    <t>Parkborough</t>
  </si>
  <si>
    <t>Port Amyberg</t>
  </si>
  <si>
    <t>Port Justin</t>
  </si>
  <si>
    <t>North Nicoleland</t>
  </si>
  <si>
    <t>Williamside</t>
  </si>
  <si>
    <t>Lindabury</t>
  </si>
  <si>
    <t>North Carolfurt</t>
  </si>
  <si>
    <t>Lake Micheal</t>
  </si>
  <si>
    <t>Parrishburgh</t>
  </si>
  <si>
    <t>Zacharyberg</t>
  </si>
  <si>
    <t>East Justin</t>
  </si>
  <si>
    <t>Lake Bryan</t>
  </si>
  <si>
    <t>New Sonya</t>
  </si>
  <si>
    <t>Bradleystad</t>
  </si>
  <si>
    <t>Kimfurt</t>
  </si>
  <si>
    <t>East Jasonfort</t>
  </si>
  <si>
    <t>South Latoya</t>
  </si>
  <si>
    <t>Scottmouth</t>
  </si>
  <si>
    <t>Brittanyborough</t>
  </si>
  <si>
    <t>Port Judyside</t>
  </si>
  <si>
    <t>East Charles</t>
  </si>
  <si>
    <t>New Antoniomouth</t>
  </si>
  <si>
    <t>Martinchester</t>
  </si>
  <si>
    <t>North Debbie</t>
  </si>
  <si>
    <t>Hollowayfort</t>
  </si>
  <si>
    <t>Marissabury</t>
  </si>
  <si>
    <t>Roseland</t>
  </si>
  <si>
    <t>Adrianstad</t>
  </si>
  <si>
    <t>Alexchester</t>
  </si>
  <si>
    <t>Nelsonbury</t>
  </si>
  <si>
    <t>West Laura</t>
  </si>
  <si>
    <t>Fitzgeraldmouth</t>
  </si>
  <si>
    <t>Port Kellieview</t>
  </si>
  <si>
    <t>Fryeside</t>
  </si>
  <si>
    <t>Lake Kevinmouth</t>
  </si>
  <si>
    <t>Claudiaberg</t>
  </si>
  <si>
    <t>Campbellville</t>
  </si>
  <si>
    <t>North Donald</t>
  </si>
  <si>
    <t>Charlesberg</t>
  </si>
  <si>
    <t>East Lauraland</t>
  </si>
  <si>
    <t>North Kelly</t>
  </si>
  <si>
    <t>New Brettburgh</t>
  </si>
  <si>
    <t>Lake Kaitlyn</t>
  </si>
  <si>
    <t>Johnborough</t>
  </si>
  <si>
    <t>Carlsonside</t>
  </si>
  <si>
    <t>East Angelaville</t>
  </si>
  <si>
    <t>East Kimberlystad</t>
  </si>
  <si>
    <t>Lake Pamelafurt</t>
  </si>
  <si>
    <t>Hendrickstown</t>
  </si>
  <si>
    <t>East Alexisbury</t>
  </si>
  <si>
    <t>Murrayton</t>
  </si>
  <si>
    <t>Monroemouth</t>
  </si>
  <si>
    <t>Westville</t>
  </si>
  <si>
    <t>Madisonstad</t>
  </si>
  <si>
    <t>North Donnaside</t>
  </si>
  <si>
    <t>North Shannon</t>
  </si>
  <si>
    <t>Sheltonburgh</t>
  </si>
  <si>
    <t>West Nathan</t>
  </si>
  <si>
    <t>Delgadomouth</t>
  </si>
  <si>
    <t>East Kelli</t>
  </si>
  <si>
    <t>Copelandfort</t>
  </si>
  <si>
    <t>Desireestad</t>
  </si>
  <si>
    <t>Jasonstad</t>
  </si>
  <si>
    <t>West Sarahborough</t>
  </si>
  <si>
    <t>Hodgesborough</t>
  </si>
  <si>
    <t>Gordontown</t>
  </si>
  <si>
    <t>North James</t>
  </si>
  <si>
    <t>Ortizside</t>
  </si>
  <si>
    <t>Leestad</t>
  </si>
  <si>
    <t>Michaelport</t>
  </si>
  <si>
    <t>South Steven</t>
  </si>
  <si>
    <t>Wheelerborough</t>
  </si>
  <si>
    <t>South Veronicaberg</t>
  </si>
  <si>
    <t>Daltontown</t>
  </si>
  <si>
    <t>North Linda</t>
  </si>
  <si>
    <t>South Jeremyborough</t>
  </si>
  <si>
    <t>West Melanie</t>
  </si>
  <si>
    <t>West Rebeccachester</t>
  </si>
  <si>
    <t>East Laurie</t>
  </si>
  <si>
    <t>Waltersfurt</t>
  </si>
  <si>
    <t>South Ravenfurt</t>
  </si>
  <si>
    <t>East Alyssahaven</t>
  </si>
  <si>
    <t>Martinezburgh</t>
  </si>
  <si>
    <t>East Daniel</t>
  </si>
  <si>
    <t>Derekton</t>
  </si>
  <si>
    <t>West Austinbury</t>
  </si>
  <si>
    <t>Lake Meganchester</t>
  </si>
  <si>
    <t>North Stephen</t>
  </si>
  <si>
    <t>Vanessamouth</t>
  </si>
  <si>
    <t>New Stephanieside</t>
  </si>
  <si>
    <t>Paulberg</t>
  </si>
  <si>
    <t>Lake Vanessashire</t>
  </si>
  <si>
    <t>Toddfurt</t>
  </si>
  <si>
    <t>South Jesus</t>
  </si>
  <si>
    <t>North Amanda</t>
  </si>
  <si>
    <t>Lake Jessicamouth</t>
  </si>
  <si>
    <t>West Brian</t>
  </si>
  <si>
    <t>North Richardburgh</t>
  </si>
  <si>
    <t>New Jamesside</t>
  </si>
  <si>
    <t>South Corey</t>
  </si>
  <si>
    <t>Petersonstad</t>
  </si>
  <si>
    <t>Jacksonfurt</t>
  </si>
  <si>
    <t>New Jessicaburgh</t>
  </si>
  <si>
    <t>Lake Ryanville</t>
  </si>
  <si>
    <t>New Lauren</t>
  </si>
  <si>
    <t>Millerburgh</t>
  </si>
  <si>
    <t>Kimberlyfurt</t>
  </si>
  <si>
    <t>New Kristinatown</t>
  </si>
  <si>
    <t>Lake Jacquelineside</t>
  </si>
  <si>
    <t xml:space="preserve"> SD</t>
  </si>
  <si>
    <t>Michealburgh</t>
  </si>
  <si>
    <t>Rogersstad</t>
  </si>
  <si>
    <t>Lake Jonathanhaven</t>
  </si>
  <si>
    <t>West Christophermouth</t>
  </si>
  <si>
    <t>Lake Alice</t>
  </si>
  <si>
    <t>Faulknerfort</t>
  </si>
  <si>
    <t>North Jaclynview</t>
  </si>
  <si>
    <t>South Javierport</t>
  </si>
  <si>
    <t>Port Timothyhaven</t>
  </si>
  <si>
    <t>Zamorafort</t>
  </si>
  <si>
    <t>Landryburgh</t>
  </si>
  <si>
    <t>Bridgesberg</t>
  </si>
  <si>
    <t>South Derrick</t>
  </si>
  <si>
    <t>Alishire</t>
  </si>
  <si>
    <t>Susanville</t>
  </si>
  <si>
    <t>Williefort</t>
  </si>
  <si>
    <t>Hubbardville</t>
  </si>
  <si>
    <t>Lake Melissaburgh</t>
  </si>
  <si>
    <t>North Cody</t>
  </si>
  <si>
    <t>Kimberlyland</t>
  </si>
  <si>
    <t>New Chrisport</t>
  </si>
  <si>
    <t>Carolport</t>
  </si>
  <si>
    <t>Carrollbury</t>
  </si>
  <si>
    <t>East Austinchester</t>
  </si>
  <si>
    <t>South Rachel</t>
  </si>
  <si>
    <t>Stevehaven</t>
  </si>
  <si>
    <t>Port Breannastad</t>
  </si>
  <si>
    <t>Virginiaside</t>
  </si>
  <si>
    <t>Jenniferland</t>
  </si>
  <si>
    <t>Suzanneton</t>
  </si>
  <si>
    <t>South Alexton</t>
  </si>
  <si>
    <t>West Larrybury</t>
  </si>
  <si>
    <t>West Gerald</t>
  </si>
  <si>
    <t>Marcustown</t>
  </si>
  <si>
    <t>East Jonathanville</t>
  </si>
  <si>
    <t>Lake Patrickmouth</t>
  </si>
  <si>
    <t>Robersonport</t>
  </si>
  <si>
    <t>Lake William</t>
  </si>
  <si>
    <t>Loweland</t>
  </si>
  <si>
    <t>Catherineshire</t>
  </si>
  <si>
    <t>West Ruth</t>
  </si>
  <si>
    <t>North Jay</t>
  </si>
  <si>
    <t>West Robertfort</t>
  </si>
  <si>
    <t>Adamfort</t>
  </si>
  <si>
    <t>New Christophermouth</t>
  </si>
  <si>
    <t>North Jamiestad</t>
  </si>
  <si>
    <t>Taylorchester</t>
  </si>
  <si>
    <t>West Chad</t>
  </si>
  <si>
    <t>Jeremyshire</t>
  </si>
  <si>
    <t>Christopherfort</t>
  </si>
  <si>
    <t>Amberchester</t>
  </si>
  <si>
    <t>Porterland</t>
  </si>
  <si>
    <t>West Drew</t>
  </si>
  <si>
    <t>North Lauren</t>
  </si>
  <si>
    <t>New Benjamin</t>
  </si>
  <si>
    <t>Stacyview</t>
  </si>
  <si>
    <t>Bushport</t>
  </si>
  <si>
    <t>Jennifershire</t>
  </si>
  <si>
    <t>West Samanthamouth</t>
  </si>
  <si>
    <t>East Jocelynfort</t>
  </si>
  <si>
    <t>Johnbury</t>
  </si>
  <si>
    <t>Ronaldbury</t>
  </si>
  <si>
    <t>Ericfurt</t>
  </si>
  <si>
    <t>Jenniferbury</t>
  </si>
  <si>
    <t>Nicholaston</t>
  </si>
  <si>
    <t>North Melanie</t>
  </si>
  <si>
    <t>West Denise</t>
  </si>
  <si>
    <t>Mitchellview</t>
  </si>
  <si>
    <t>Torresport</t>
  </si>
  <si>
    <t>North Cassandraville</t>
  </si>
  <si>
    <t>Bryanshire</t>
  </si>
  <si>
    <t>Carterton</t>
  </si>
  <si>
    <t>Port Krista</t>
  </si>
  <si>
    <t>Brianfurt</t>
  </si>
  <si>
    <t>West Jeffreyburgh</t>
  </si>
  <si>
    <t>Simmonsfurt</t>
  </si>
  <si>
    <t>Mccoyfort</t>
  </si>
  <si>
    <t>Markside</t>
  </si>
  <si>
    <t>New Julie</t>
  </si>
  <si>
    <t>Zacharyside</t>
  </si>
  <si>
    <t>Haroldside</t>
  </si>
  <si>
    <t>Lake Grace</t>
  </si>
  <si>
    <t>South Stacymouth</t>
  </si>
  <si>
    <t>Garyfurt</t>
  </si>
  <si>
    <t>Julieton</t>
  </si>
  <si>
    <t>East Nancy</t>
  </si>
  <si>
    <t>North Mikayla</t>
  </si>
  <si>
    <t>North Emilyton</t>
  </si>
  <si>
    <t>Billyton</t>
  </si>
  <si>
    <t>Rachelside</t>
  </si>
  <si>
    <t>East Robertmouth</t>
  </si>
  <si>
    <t>Elizabethbury</t>
  </si>
  <si>
    <t>Phyllisburgh</t>
  </si>
  <si>
    <t>Greenmouth</t>
  </si>
  <si>
    <t>East Nathan</t>
  </si>
  <si>
    <t>Peterville</t>
  </si>
  <si>
    <t>Spearshaven</t>
  </si>
  <si>
    <t>Parkerfort</t>
  </si>
  <si>
    <t>New Brian</t>
  </si>
  <si>
    <t>Lake Michele</t>
  </si>
  <si>
    <t>South Jonathanhaven</t>
  </si>
  <si>
    <t>Olivermouth</t>
  </si>
  <si>
    <t>Stewartborough</t>
  </si>
  <si>
    <t>Robinview</t>
  </si>
  <si>
    <t>Ryanshire</t>
  </si>
  <si>
    <t>Kristenside</t>
  </si>
  <si>
    <t>Jessicafort</t>
  </si>
  <si>
    <t>Katelynstad</t>
  </si>
  <si>
    <t>Williamburgh</t>
  </si>
  <si>
    <t>New Miranda</t>
  </si>
  <si>
    <t>East Debraport</t>
  </si>
  <si>
    <t>East Josephland</t>
  </si>
  <si>
    <t>Michelleborough</t>
  </si>
  <si>
    <t>North Amber</t>
  </si>
  <si>
    <t>South Kelly</t>
  </si>
  <si>
    <t>West Gregory</t>
  </si>
  <si>
    <t>South Kurtberg</t>
  </si>
  <si>
    <t>Meganmouth</t>
  </si>
  <si>
    <t>Ralphbury</t>
  </si>
  <si>
    <t>East Elizabeth</t>
  </si>
  <si>
    <t>New Nicholas</t>
  </si>
  <si>
    <t>Gregorytown</t>
  </si>
  <si>
    <t>Espinozaside</t>
  </si>
  <si>
    <t>West Alicia</t>
  </si>
  <si>
    <t>Marshallfort</t>
  </si>
  <si>
    <t>Dennisland</t>
  </si>
  <si>
    <t>Port Jeremiahshire</t>
  </si>
  <si>
    <t>Taylorfort</t>
  </si>
  <si>
    <t>Adkinshaven</t>
  </si>
  <si>
    <t>East Carolinehaven</t>
  </si>
  <si>
    <t>Mooreland</t>
  </si>
  <si>
    <t>Lake Andrewchester</t>
  </si>
  <si>
    <t>North Joshuahaven</t>
  </si>
  <si>
    <t>Barajaston</t>
  </si>
  <si>
    <t>Bennettfurt</t>
  </si>
  <si>
    <t>Williamshire</t>
  </si>
  <si>
    <t>Jenniferburgh</t>
  </si>
  <si>
    <t>Gonzaleshaven</t>
  </si>
  <si>
    <t>North Alexandra</t>
  </si>
  <si>
    <t>Rodriguezmouth</t>
  </si>
  <si>
    <t>Sarahton</t>
  </si>
  <si>
    <t>New Samanthaberg</t>
  </si>
  <si>
    <t>Lake Brianna</t>
  </si>
  <si>
    <t>New Nicole</t>
  </si>
  <si>
    <t>Larsenport</t>
  </si>
  <si>
    <t>Lewiston</t>
  </si>
  <si>
    <t>Sanchezland</t>
  </si>
  <si>
    <t>Jamesburgh</t>
  </si>
  <si>
    <t>Bendershire</t>
  </si>
  <si>
    <t>Higginsview</t>
  </si>
  <si>
    <t>New Henryshire</t>
  </si>
  <si>
    <t>Jessicaport</t>
  </si>
  <si>
    <t>Marquezchester</t>
  </si>
  <si>
    <t>North Sheilaville</t>
  </si>
  <si>
    <t>West Morgan</t>
  </si>
  <si>
    <t>Lake Charles</t>
  </si>
  <si>
    <t>Rosston</t>
  </si>
  <si>
    <t>North Jennifer</t>
  </si>
  <si>
    <t>North Martin</t>
  </si>
  <si>
    <t>Reesebury</t>
  </si>
  <si>
    <t>South Roystad</t>
  </si>
  <si>
    <t>Lake Eric</t>
  </si>
  <si>
    <t>Ericburgh</t>
  </si>
  <si>
    <t>South Christopherchester</t>
  </si>
  <si>
    <t>New Shane</t>
  </si>
  <si>
    <t>East Monicastad</t>
  </si>
  <si>
    <t>South Brett</t>
  </si>
  <si>
    <t>Browntown</t>
  </si>
  <si>
    <t>Lauriehaven</t>
  </si>
  <si>
    <t>East Keithview</t>
  </si>
  <si>
    <t>West Kennethton</t>
  </si>
  <si>
    <t>Jonesburgh</t>
  </si>
  <si>
    <t>East John</t>
  </si>
  <si>
    <t>East Alexis</t>
  </si>
  <si>
    <t>North Adamburgh</t>
  </si>
  <si>
    <t>New Allisonshire</t>
  </si>
  <si>
    <t>Jacktown</t>
  </si>
  <si>
    <t>West Maria</t>
  </si>
  <si>
    <t>Smithbury</t>
  </si>
  <si>
    <t>Breannahaven</t>
  </si>
  <si>
    <t>Vazquezton</t>
  </si>
  <si>
    <t>Williamland</t>
  </si>
  <si>
    <t>Wilsonmouth</t>
  </si>
  <si>
    <t>Knightstad</t>
  </si>
  <si>
    <t>Maciasfort</t>
  </si>
  <si>
    <t>Santiagoshire</t>
  </si>
  <si>
    <t>West Cynthiaburgh</t>
  </si>
  <si>
    <t>Kyleside</t>
  </si>
  <si>
    <t>West Cynthiaton</t>
  </si>
  <si>
    <t>East Priscilla</t>
  </si>
  <si>
    <t>Dillonville</t>
  </si>
  <si>
    <t>East Bobbymouth</t>
  </si>
  <si>
    <t>Changview</t>
  </si>
  <si>
    <t>New Cameron</t>
  </si>
  <si>
    <t>Wendytown</t>
  </si>
  <si>
    <t>Robertstown</t>
  </si>
  <si>
    <t>Kristenberg</t>
  </si>
  <si>
    <t>West Justin</t>
  </si>
  <si>
    <t>Lindachester</t>
  </si>
  <si>
    <t>Barnesfurt</t>
  </si>
  <si>
    <t>North Mark</t>
  </si>
  <si>
    <t>Castilloborough</t>
  </si>
  <si>
    <t>South Dylanmouth</t>
  </si>
  <si>
    <t>North Joel</t>
  </si>
  <si>
    <t>East Hollyfurt</t>
  </si>
  <si>
    <t>North Susan</t>
  </si>
  <si>
    <t>Jordanshire</t>
  </si>
  <si>
    <t>Lake Valerie</t>
  </si>
  <si>
    <t>Jonesbury</t>
  </si>
  <si>
    <t>North Brian</t>
  </si>
  <si>
    <t>Cobbtown</t>
  </si>
  <si>
    <t>Port Tiffanystad</t>
  </si>
  <si>
    <t>Gabriellaborough</t>
  </si>
  <si>
    <t>West Richard</t>
  </si>
  <si>
    <t>Jayton</t>
  </si>
  <si>
    <t>Fosterville</t>
  </si>
  <si>
    <t>Lake Donaldstad</t>
  </si>
  <si>
    <t>Lake Chris</t>
  </si>
  <si>
    <t>Bryantton</t>
  </si>
  <si>
    <t>Anthonyberg</t>
  </si>
  <si>
    <t>Meyermouth</t>
  </si>
  <si>
    <t>South Dustinbury</t>
  </si>
  <si>
    <t>New Jose</t>
  </si>
  <si>
    <t>South Ronaldfurt</t>
  </si>
  <si>
    <t>East David</t>
  </si>
  <si>
    <t>Esparzaberg</t>
  </si>
  <si>
    <t>New Emily</t>
  </si>
  <si>
    <t>Matthewburgh</t>
  </si>
  <si>
    <t>Dustinborough</t>
  </si>
  <si>
    <t>Lake Austin</t>
  </si>
  <si>
    <t>Valenciafort</t>
  </si>
  <si>
    <t>Shawnfurt</t>
  </si>
  <si>
    <t>Josephville</t>
  </si>
  <si>
    <t>Shannonhaven</t>
  </si>
  <si>
    <t>Charlesville</t>
  </si>
  <si>
    <t>Wilsonberg</t>
  </si>
  <si>
    <t>West Aliceberg</t>
  </si>
  <si>
    <t>Rioston</t>
  </si>
  <si>
    <t>Port Joanne</t>
  </si>
  <si>
    <t>Port Samuel</t>
  </si>
  <si>
    <t>Port Mindyborough</t>
  </si>
  <si>
    <t>Cartershire</t>
  </si>
  <si>
    <t>Olsontown</t>
  </si>
  <si>
    <t>Edgarhaven</t>
  </si>
  <si>
    <t>Gabrielport</t>
  </si>
  <si>
    <t>South Brandon</t>
  </si>
  <si>
    <t>East Bryanton</t>
  </si>
  <si>
    <t>Cynthialand</t>
  </si>
  <si>
    <t>Stevenberg</t>
  </si>
  <si>
    <t>Amytown</t>
  </si>
  <si>
    <t>South Anthonymouth</t>
  </si>
  <si>
    <t>East Andrew</t>
  </si>
  <si>
    <t>Port Matthew</t>
  </si>
  <si>
    <t>Cassidybury</t>
  </si>
  <si>
    <t>Arnoldmouth</t>
  </si>
  <si>
    <t>Huntville</t>
  </si>
  <si>
    <t>Georgemouth</t>
  </si>
  <si>
    <t>Lake Bradley</t>
  </si>
  <si>
    <t>Andrewview</t>
  </si>
  <si>
    <t>Port Ashlee</t>
  </si>
  <si>
    <t>South Ruthview</t>
  </si>
  <si>
    <t>East Martin</t>
  </si>
  <si>
    <t>Port Anna</t>
  </si>
  <si>
    <t>Clarkefort</t>
  </si>
  <si>
    <t>Karenland</t>
  </si>
  <si>
    <t>Sosaview</t>
  </si>
  <si>
    <t>South Marymouth</t>
  </si>
  <si>
    <t>New Williamshire</t>
  </si>
  <si>
    <t>Gregoryborough</t>
  </si>
  <si>
    <t>Thomasberg</t>
  </si>
  <si>
    <t>West Vernon</t>
  </si>
  <si>
    <t>Johnsonburgh</t>
  </si>
  <si>
    <t>South James</t>
  </si>
  <si>
    <t>West Nicolefurt</t>
  </si>
  <si>
    <t>Garrettville</t>
  </si>
  <si>
    <t>North Mary</t>
  </si>
  <si>
    <t>Lake Paulside</t>
  </si>
  <si>
    <t>Williamchester</t>
  </si>
  <si>
    <t>New Timothy</t>
  </si>
  <si>
    <t>Duncanhaven</t>
  </si>
  <si>
    <t>Perezstad</t>
  </si>
  <si>
    <t>New Abigail</t>
  </si>
  <si>
    <t>Flemingmouth</t>
  </si>
  <si>
    <t>New Nicoleview</t>
  </si>
  <si>
    <t>New Michaelland</t>
  </si>
  <si>
    <t>New Chaseberg</t>
  </si>
  <si>
    <t>Stuartchester</t>
  </si>
  <si>
    <t>Ericside</t>
  </si>
  <si>
    <t>Owensborough</t>
  </si>
  <si>
    <t>West Coreyton</t>
  </si>
  <si>
    <t>Cantrellmouth</t>
  </si>
  <si>
    <t>Lauramouth</t>
  </si>
  <si>
    <t>West Tyler</t>
  </si>
  <si>
    <t>West Raymondshire</t>
  </si>
  <si>
    <t>Jacobschester</t>
  </si>
  <si>
    <t>West Scott</t>
  </si>
  <si>
    <t>West Amandafort</t>
  </si>
  <si>
    <t>Donnaton</t>
  </si>
  <si>
    <t>Stevenstad</t>
  </si>
  <si>
    <t>Lake Keith</t>
  </si>
  <si>
    <t>Lake Kathy</t>
  </si>
  <si>
    <t>Allenchester</t>
  </si>
  <si>
    <t>East Kevinfurt</t>
  </si>
  <si>
    <t>South Bethhaven</t>
  </si>
  <si>
    <t>Lake Nicoleberg</t>
  </si>
  <si>
    <t>East Christine</t>
  </si>
  <si>
    <t>Nunezmouth</t>
  </si>
  <si>
    <t>Williamsmouth</t>
  </si>
  <si>
    <t>Bradleyport</t>
  </si>
  <si>
    <t>Kathyside</t>
  </si>
  <si>
    <t>West Angelastad</t>
  </si>
  <si>
    <t>New Stacybury</t>
  </si>
  <si>
    <t>Lake Jordan</t>
  </si>
  <si>
    <t>Comptonstad</t>
  </si>
  <si>
    <t>Lake Joshuabury</t>
  </si>
  <si>
    <t>Lake Brian</t>
  </si>
  <si>
    <t>Jasminville</t>
  </si>
  <si>
    <t>Lake Edward</t>
  </si>
  <si>
    <t>New Alanville</t>
  </si>
  <si>
    <t>Port Alisonville</t>
  </si>
  <si>
    <t>Maryville</t>
  </si>
  <si>
    <t>Port Melissa</t>
  </si>
  <si>
    <t>Port Sabrinaburgh</t>
  </si>
  <si>
    <t>West Rhondabury</t>
  </si>
  <si>
    <t>Trevinobury</t>
  </si>
  <si>
    <t>North Dominicmouth</t>
  </si>
  <si>
    <t>Davidberg</t>
  </si>
  <si>
    <t>Johnmouth</t>
  </si>
  <si>
    <t>Danieltown</t>
  </si>
  <si>
    <t>East Timothybury</t>
  </si>
  <si>
    <t>East Martha</t>
  </si>
  <si>
    <t>New Christopherville</t>
  </si>
  <si>
    <t>East Joanna</t>
  </si>
  <si>
    <t>Schwartzport</t>
  </si>
  <si>
    <t>South Deborahfurt</t>
  </si>
  <si>
    <t>Kellychester</t>
  </si>
  <si>
    <t>Tiffanyville</t>
  </si>
  <si>
    <t>Lake Ann</t>
  </si>
  <si>
    <t>Hollyside</t>
  </si>
  <si>
    <t>Lake Jeffreymouth</t>
  </si>
  <si>
    <t>South Nathan</t>
  </si>
  <si>
    <t>Susanshire</t>
  </si>
  <si>
    <t>West Coryburgh</t>
  </si>
  <si>
    <t>East Rodney</t>
  </si>
  <si>
    <t>Jessicabury</t>
  </si>
  <si>
    <t>Dennisstad</t>
  </si>
  <si>
    <t>Mahoneyshire</t>
  </si>
  <si>
    <t>Jadefort</t>
  </si>
  <si>
    <t>Reidfurt</t>
  </si>
  <si>
    <t>Atkinsstad</t>
  </si>
  <si>
    <t>Kennethshire</t>
  </si>
  <si>
    <t>Rileyside</t>
  </si>
  <si>
    <t>North Lindsey</t>
  </si>
  <si>
    <t>Jerrychester</t>
  </si>
  <si>
    <t>Allenfurt</t>
  </si>
  <si>
    <t>Andrewhaven</t>
  </si>
  <si>
    <t>Collinsside</t>
  </si>
  <si>
    <t>Lake Melindabury</t>
  </si>
  <si>
    <t>Cliffordview</t>
  </si>
  <si>
    <t>Port Carrie</t>
  </si>
  <si>
    <t>Cooperstad</t>
  </si>
  <si>
    <t>Jasonborough</t>
  </si>
  <si>
    <t>Caseychester</t>
  </si>
  <si>
    <t>Robertbury</t>
  </si>
  <si>
    <t>Katherinebury</t>
  </si>
  <si>
    <t>Lake Daisyfurt</t>
  </si>
  <si>
    <t>Silvastad</t>
  </si>
  <si>
    <t>Perrymouth</t>
  </si>
  <si>
    <t>Port Kristin</t>
  </si>
  <si>
    <t>South Jenniferton</t>
  </si>
  <si>
    <t>Janetmouth</t>
  </si>
  <si>
    <t>South Debra</t>
  </si>
  <si>
    <t>Jeremyland</t>
  </si>
  <si>
    <t>Evelynhaven</t>
  </si>
  <si>
    <t>Susantown</t>
  </si>
  <si>
    <t>New Shaun</t>
  </si>
  <si>
    <t>East Christinachester</t>
  </si>
  <si>
    <t>East Christopherberg</t>
  </si>
  <si>
    <t>Jefferymouth</t>
  </si>
  <si>
    <t>Downsland</t>
  </si>
  <si>
    <t>Daymouth</t>
  </si>
  <si>
    <t>Taylorport</t>
  </si>
  <si>
    <t>Danielletown</t>
  </si>
  <si>
    <t>Lake Robert</t>
  </si>
  <si>
    <t>North Aaronberg</t>
  </si>
  <si>
    <t>Lake Scottbury</t>
  </si>
  <si>
    <t>Lake Jamesside</t>
  </si>
  <si>
    <t>Cathyport</t>
  </si>
  <si>
    <t>New Ericafurt</t>
  </si>
  <si>
    <t>Howardview</t>
  </si>
  <si>
    <t>Rileyborough</t>
  </si>
  <si>
    <t>North Haileyville</t>
  </si>
  <si>
    <t>Laneberg</t>
  </si>
  <si>
    <t>Dawnmouth</t>
  </si>
  <si>
    <t>North Brooke</t>
  </si>
  <si>
    <t>South Elizabeth</t>
  </si>
  <si>
    <t>Beckerstad</t>
  </si>
  <si>
    <t>Macdonaldfort</t>
  </si>
  <si>
    <t>South Ralphfort</t>
  </si>
  <si>
    <t>New Brianborough</t>
  </si>
  <si>
    <t>Pearsonmouth</t>
  </si>
  <si>
    <t>Thompsonborough</t>
  </si>
  <si>
    <t>Parkerchester</t>
  </si>
  <si>
    <t>Bakerland</t>
  </si>
  <si>
    <t>Swansonburgh</t>
  </si>
  <si>
    <t>Davidbury</t>
  </si>
  <si>
    <t>Wuland</t>
  </si>
  <si>
    <t>Lake Patrickville</t>
  </si>
  <si>
    <t>South Peggyton</t>
  </si>
  <si>
    <t>Helenport</t>
  </si>
  <si>
    <t>Port Mitchell</t>
  </si>
  <si>
    <t>Port Caroline</t>
  </si>
  <si>
    <t>Lake Joshua</t>
  </si>
  <si>
    <t>New Michael</t>
  </si>
  <si>
    <t>Mariaton</t>
  </si>
  <si>
    <t>Wallacetown</t>
  </si>
  <si>
    <t>West Ryanport</t>
  </si>
  <si>
    <t>Shepherdport</t>
  </si>
  <si>
    <t>West Mark</t>
  </si>
  <si>
    <t>Kristyton</t>
  </si>
  <si>
    <t>Hollyberg</t>
  </si>
  <si>
    <t>Amandahaven</t>
  </si>
  <si>
    <t>Brendashire</t>
  </si>
  <si>
    <t>New Marthaview</t>
  </si>
  <si>
    <t>Rhodestown</t>
  </si>
  <si>
    <t>Martinbury</t>
  </si>
  <si>
    <t>Debbieburgh</t>
  </si>
  <si>
    <t>Humphreyfort</t>
  </si>
  <si>
    <t>Morrisburgh</t>
  </si>
  <si>
    <t>Kellyton</t>
  </si>
  <si>
    <t>Rebeccamouth</t>
  </si>
  <si>
    <t>Saraberg</t>
  </si>
  <si>
    <t>Markview</t>
  </si>
  <si>
    <t>Palmershire</t>
  </si>
  <si>
    <t>North Angelaside</t>
  </si>
  <si>
    <t>Buchananfort</t>
  </si>
  <si>
    <t>East Laura</t>
  </si>
  <si>
    <t>Port Jacqueline</t>
  </si>
  <si>
    <t>Stephaniefurt</t>
  </si>
  <si>
    <t>Mollyside</t>
  </si>
  <si>
    <t>Morganshire</t>
  </si>
  <si>
    <t>Bennettshire</t>
  </si>
  <si>
    <t>Brownfurt</t>
  </si>
  <si>
    <t>Goodwinshire</t>
  </si>
  <si>
    <t>Craigport</t>
  </si>
  <si>
    <t>Nicoletown</t>
  </si>
  <si>
    <t>Lake Andrea</t>
  </si>
  <si>
    <t>Atkinschester</t>
  </si>
  <si>
    <t>Lucaschester</t>
  </si>
  <si>
    <t>Stevenside</t>
  </si>
  <si>
    <t>South Devintown</t>
  </si>
  <si>
    <t>Port Kaylatown</t>
  </si>
  <si>
    <t>North Kimberly</t>
  </si>
  <si>
    <t>Port Stevenburgh</t>
  </si>
  <si>
    <t>South Paulstad</t>
  </si>
  <si>
    <t>Jaredport</t>
  </si>
  <si>
    <t>Hernandeztown</t>
  </si>
  <si>
    <t>East Samuelburgh</t>
  </si>
  <si>
    <t>North Paigemouth</t>
  </si>
  <si>
    <t>North Albert</t>
  </si>
  <si>
    <t>Natashaberg</t>
  </si>
  <si>
    <t>North Maryborough</t>
  </si>
  <si>
    <t>North Oscar</t>
  </si>
  <si>
    <t>Tarahaven</t>
  </si>
  <si>
    <t>West Claudia</t>
  </si>
  <si>
    <t>Timothyfort</t>
  </si>
  <si>
    <t>Roberttown</t>
  </si>
  <si>
    <t>Cassandraport</t>
  </si>
  <si>
    <t>Lake Alisonhaven</t>
  </si>
  <si>
    <t>Staciechester</t>
  </si>
  <si>
    <t>Taylorview</t>
  </si>
  <si>
    <t>North Sheryl</t>
  </si>
  <si>
    <t>New Kimberlyhaven</t>
  </si>
  <si>
    <t>New Roberto</t>
  </si>
  <si>
    <t>Harperfort</t>
  </si>
  <si>
    <t>Stevenborough</t>
  </si>
  <si>
    <t>Port Meganshire</t>
  </si>
  <si>
    <t>Mallorymouth</t>
  </si>
  <si>
    <t>Williamstad</t>
  </si>
  <si>
    <t>Emilyberg</t>
  </si>
  <si>
    <t>East Casey</t>
  </si>
  <si>
    <t>Lake Janicehaven</t>
  </si>
  <si>
    <t>West Justinfort</t>
  </si>
  <si>
    <t>West Danielle</t>
  </si>
  <si>
    <t>New Mistyland</t>
  </si>
  <si>
    <t>Gutierrezmouth</t>
  </si>
  <si>
    <t>West Natalieville</t>
  </si>
  <si>
    <t>East Markville</t>
  </si>
  <si>
    <t>Wrightburgh</t>
  </si>
  <si>
    <t>Lindashire</t>
  </si>
  <si>
    <t>Carterport</t>
  </si>
  <si>
    <t>Lovemouth</t>
  </si>
  <si>
    <t>East Randy</t>
  </si>
  <si>
    <t>East Sylviaborough</t>
  </si>
  <si>
    <t>Lake Alexanderfurt</t>
  </si>
  <si>
    <t>West Loganburgh</t>
  </si>
  <si>
    <t>Nicholasmouth</t>
  </si>
  <si>
    <t>East Shelley</t>
  </si>
  <si>
    <t>Harrischester</t>
  </si>
  <si>
    <t>Kevinborough</t>
  </si>
  <si>
    <t>East Michelleborough</t>
  </si>
  <si>
    <t>South Craigchester</t>
  </si>
  <si>
    <t>Tylerland</t>
  </si>
  <si>
    <t>North Melissashire</t>
  </si>
  <si>
    <t>Melissamouth</t>
  </si>
  <si>
    <t>Gailmouth</t>
  </si>
  <si>
    <t>Jennifermouth</t>
  </si>
  <si>
    <t>Port Camerontown</t>
  </si>
  <si>
    <t>Williamshaven</t>
  </si>
  <si>
    <t>Brownton</t>
  </si>
  <si>
    <t>East Brianborough</t>
  </si>
  <si>
    <t>Lesliefort</t>
  </si>
  <si>
    <t>Brownburgh</t>
  </si>
  <si>
    <t>Melissaside</t>
  </si>
  <si>
    <t>Washingtonmouth</t>
  </si>
  <si>
    <t>Joshuafort</t>
  </si>
  <si>
    <t>West Brittanyburgh</t>
  </si>
  <si>
    <t>Anthonyshire</t>
  </si>
  <si>
    <t>Benjaminview</t>
  </si>
  <si>
    <t>min_salary</t>
  </si>
  <si>
    <t>max_salary</t>
  </si>
  <si>
    <t>avg_salary</t>
  </si>
  <si>
    <t>Average of avg_salary</t>
  </si>
  <si>
    <t>Count of company_size</t>
  </si>
  <si>
    <t>Count of job_title</t>
  </si>
  <si>
    <t>% of Industry</t>
  </si>
  <si>
    <t>INDUSTRY</t>
  </si>
  <si>
    <t>Experience Level</t>
  </si>
  <si>
    <t>skills_required.1</t>
  </si>
  <si>
    <t>Count</t>
  </si>
  <si>
    <t>NumPy</t>
  </si>
  <si>
    <t>Excel</t>
  </si>
  <si>
    <t>GCP</t>
  </si>
  <si>
    <t>Python</t>
  </si>
  <si>
    <t>Pandas</t>
  </si>
  <si>
    <t>Keras</t>
  </si>
  <si>
    <t>C++</t>
  </si>
  <si>
    <t>Hugging Face</t>
  </si>
  <si>
    <t>AWS</t>
  </si>
  <si>
    <t>R</t>
  </si>
  <si>
    <t>CUDA</t>
  </si>
  <si>
    <t>Azure</t>
  </si>
  <si>
    <t>Flask</t>
  </si>
  <si>
    <t>SQL</t>
  </si>
  <si>
    <t>Power BI</t>
  </si>
  <si>
    <t>Reinforcement Learning</t>
  </si>
  <si>
    <t>tools_preferred.1</t>
  </si>
  <si>
    <t>Sum of Count</t>
  </si>
  <si>
    <t>Tools Preferred</t>
  </si>
  <si>
    <t>skills_required.2</t>
  </si>
  <si>
    <t>skills_required.3</t>
  </si>
  <si>
    <t>skills_required.4</t>
  </si>
  <si>
    <t>skills_required.5</t>
  </si>
  <si>
    <t>skills_required.6</t>
  </si>
  <si>
    <t>tools_preferred.2</t>
  </si>
  <si>
    <t>tools_preferred.3</t>
  </si>
  <si>
    <t>ai_job_market (2).skills_required.1</t>
  </si>
  <si>
    <t>ai_job_market (2).Count</t>
  </si>
  <si>
    <t>ai_job_market (3).tools_preferred.1</t>
  </si>
  <si>
    <t>ai_job_market (3).Count</t>
  </si>
  <si>
    <t xml:space="preserve"> Reinforcement Learning</t>
  </si>
  <si>
    <t xml:space="preserve"> PyTorch</t>
  </si>
  <si>
    <t xml:space="preserve"> Scikit-learn</t>
  </si>
  <si>
    <t xml:space="preserve"> GCP</t>
  </si>
  <si>
    <t xml:space="preserve"> FastAPI</t>
  </si>
  <si>
    <t xml:space="preserve"> LangChain</t>
  </si>
  <si>
    <t xml:space="preserve"> CUDA</t>
  </si>
  <si>
    <t xml:space="preserve"> SQL</t>
  </si>
  <si>
    <t xml:space="preserve"> Pandas</t>
  </si>
  <si>
    <t xml:space="preserve"> KDB+</t>
  </si>
  <si>
    <t xml:space="preserve"> TensorFlow</t>
  </si>
  <si>
    <t xml:space="preserve"> C++</t>
  </si>
  <si>
    <t xml:space="preserve"> AWS</t>
  </si>
  <si>
    <t xml:space="preserve"> R</t>
  </si>
  <si>
    <t xml:space="preserve"> BigQuery</t>
  </si>
  <si>
    <t xml:space="preserve"> MLflow</t>
  </si>
  <si>
    <t xml:space="preserve"> Keras</t>
  </si>
  <si>
    <t xml:space="preserve"> Azure</t>
  </si>
  <si>
    <t xml:space="preserve"> Flask</t>
  </si>
  <si>
    <t xml:space="preserve"> Hugging Face</t>
  </si>
  <si>
    <t xml:space="preserve"> NumPy</t>
  </si>
  <si>
    <t xml:space="preserve"> Power BI</t>
  </si>
  <si>
    <t xml:space="preserve"> Excel</t>
  </si>
  <si>
    <t xml:space="preserve"> Python</t>
  </si>
  <si>
    <t>Count of ai_job_market (3).tools_preferred.1</t>
  </si>
  <si>
    <t>Count of ai_job_market (2).skills_required.1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</si>
</sst>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_-[$$-409]* #,##0.00_ ;_-[$$-409]* \-#,##0.00\ ;_-[$$-409]* &quot;-&quot;??_ ;_-@_ "/>
    <numFmt numFmtId="165" formatCode="&quot;₹&quot;\ #,##0.00"/>
  </numFmts>
  <fonts count="8" x14ac:knownFonts="1">
    <font>
      <sz val="11"/>
      <color theme="1"/>
      <name val="Calibri"/>
      <family val="2"/>
      <scheme val="minor"/>
    </font>
    <font>
      <sz val="8"/>
      <name val="Calibri"/>
      <family val="2"/>
      <scheme val="minor"/>
    </font>
    <font>
      <sz val="11"/>
      <color theme="1"/>
      <name val="Calibri"/>
      <family val="2"/>
      <scheme val="minor"/>
    </font>
    <font>
      <sz val="11"/>
      <color theme="0"/>
      <name val="Calibri"/>
      <family val="2"/>
      <scheme val="minor"/>
    </font>
    <font>
      <sz val="11"/>
      <color theme="0"/>
      <name val="Arial"/>
      <family val="2"/>
    </font>
    <font>
      <sz val="10.5"/>
      <color theme="0"/>
      <name val="Arial"/>
      <family val="2"/>
    </font>
    <font>
      <sz val="11"/>
      <color theme="0"/>
      <name val="Arial"/>
    </font>
    <font>
      <sz val="15"/>
      <color theme="0"/>
      <name val="Arial"/>
    </font>
  </fonts>
  <fills count="3">
    <fill>
      <patternFill patternType="none"/>
    </fill>
    <fill>
      <patternFill patternType="gray125"/>
    </fill>
    <fill>
      <patternFill patternType="solid">
        <fgColor theme="1"/>
        <bgColor indexed="64"/>
      </patternFill>
    </fill>
  </fills>
  <borders count="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21">
    <xf numFmtId="0" fontId="0" fillId="0" borderId="0" xfId="0"/>
    <xf numFmtId="0" fontId="0" fillId="2" borderId="0" xfId="0" applyFill="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4" fontId="0" fillId="0" borderId="0" xfId="1" applyNumberFormat="1" applyFont="1"/>
    <xf numFmtId="0" fontId="3" fillId="2" borderId="0" xfId="0" applyFont="1" applyFill="1"/>
    <xf numFmtId="0" fontId="4" fillId="2" borderId="0" xfId="0" applyFont="1" applyFill="1"/>
    <xf numFmtId="10" fontId="5" fillId="2" borderId="0" xfId="2" applyNumberFormat="1" applyFont="1" applyFill="1"/>
    <xf numFmtId="165" fontId="3" fillId="2" borderId="0" xfId="0" applyNumberFormat="1" applyFont="1" applyFill="1"/>
    <xf numFmtId="165" fontId="3" fillId="2" borderId="4" xfId="0" applyNumberFormat="1" applyFont="1" applyFill="1" applyBorder="1"/>
    <xf numFmtId="0" fontId="3" fillId="2" borderId="3" xfId="0" applyFont="1" applyFill="1" applyBorder="1"/>
    <xf numFmtId="0" fontId="3" fillId="2" borderId="5" xfId="0" applyFont="1" applyFill="1" applyBorder="1"/>
    <xf numFmtId="0" fontId="3" fillId="2" borderId="6" xfId="0" applyFont="1" applyFill="1" applyBorder="1"/>
    <xf numFmtId="0" fontId="3" fillId="2" borderId="2" xfId="0" applyFont="1" applyFill="1" applyBorder="1"/>
    <xf numFmtId="0" fontId="3" fillId="2" borderId="1" xfId="0" applyFont="1" applyFill="1" applyBorder="1"/>
    <xf numFmtId="0" fontId="6" fillId="2" borderId="0" xfId="0" applyFont="1" applyFill="1"/>
    <xf numFmtId="0" fontId="6" fillId="2" borderId="0" xfId="0" applyFont="1" applyFill="1" applyAlignment="1">
      <alignment horizontal="left"/>
    </xf>
    <xf numFmtId="0" fontId="7" fillId="2" borderId="0" xfId="0" applyFont="1" applyFill="1" applyAlignment="1">
      <alignment horizontal="left"/>
    </xf>
  </cellXfs>
  <cellStyles count="3">
    <cellStyle name="Comma" xfId="1" builtinId="3"/>
    <cellStyle name="Normal" xfId="0" builtinId="0"/>
    <cellStyle name="Percent" xfId="2" builtinId="5"/>
  </cellStyles>
  <dxfs count="54">
    <dxf>
      <numFmt numFmtId="164" formatCode="_-[$$-409]* #,##0.00_ ;_-[$$-409]* \-#,##0.00\ ;_-[$$-409]* &quot;-&quot;??_ ;_-@_ "/>
    </dxf>
    <dxf>
      <numFmt numFmtId="164" formatCode="_-[$$-409]* #,##0.00_ ;_-[$$-409]* \-#,##0.00\ ;_-[$$-409]* &quot;-&quot;??_ ;_-@_ "/>
    </dxf>
    <dxf>
      <numFmt numFmtId="164" formatCode="_-[$$-409]* #,##0.00_ ;_-[$$-409]* \-#,##0.00\ ;_-[$$-409]* &quot;-&quot;??_ ;_-@_ "/>
    </dxf>
    <dxf>
      <font>
        <sz val="15"/>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color theme="0"/>
      </font>
    </dxf>
    <dxf>
      <font>
        <color theme="0"/>
      </font>
    </dxf>
    <dxf>
      <font>
        <color theme="0"/>
      </font>
    </dxf>
    <dxf>
      <font>
        <color theme="0"/>
      </font>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strike val="0"/>
        <outline val="0"/>
        <shadow val="0"/>
        <u val="none"/>
        <vertAlign val="baseline"/>
        <sz val="11"/>
        <color theme="0"/>
        <name val="Calibri"/>
        <family val="2"/>
        <scheme val="minor"/>
      </font>
      <fill>
        <patternFill patternType="solid">
          <fgColor indexed="64"/>
          <bgColor theme="1"/>
        </patternFill>
      </fill>
    </dxf>
    <dxf>
      <font>
        <strike val="0"/>
        <outline val="0"/>
        <shadow val="0"/>
        <u val="none"/>
        <vertAlign val="baseline"/>
        <sz val="11"/>
        <color theme="0"/>
        <name val="Calibri"/>
        <family val="2"/>
        <scheme val="minor"/>
      </font>
      <numFmt numFmtId="0" formatCode="General"/>
      <fill>
        <patternFill patternType="solid">
          <fgColor indexed="64"/>
          <bgColor theme="1"/>
        </patternFill>
      </fill>
    </dxf>
    <dxf>
      <font>
        <strike val="0"/>
        <outline val="0"/>
        <shadow val="0"/>
        <u val="none"/>
        <vertAlign val="baseline"/>
        <sz val="11"/>
        <color theme="0"/>
        <name val="Calibri"/>
        <family val="2"/>
        <scheme val="minor"/>
      </font>
      <fill>
        <patternFill>
          <fgColor indexed="64"/>
          <bgColor theme="1"/>
        </patternFill>
      </fill>
    </dxf>
    <dxf>
      <font>
        <strike val="0"/>
        <outline val="0"/>
        <shadow val="0"/>
        <u val="none"/>
        <vertAlign val="baseline"/>
        <sz val="11"/>
        <color theme="0"/>
        <name val="Calibri"/>
        <family val="2"/>
        <scheme val="minor"/>
      </font>
      <fill>
        <patternFill>
          <fgColor indexed="64"/>
          <bgColor theme="1"/>
        </patternFill>
      </fill>
    </dxf>
    <dxf>
      <font>
        <strike val="0"/>
        <outline val="0"/>
        <shadow val="0"/>
        <u val="none"/>
        <vertAlign val="baseline"/>
        <sz val="11"/>
        <color theme="0"/>
        <name val="Calibri"/>
        <family val="2"/>
        <scheme val="minor"/>
      </font>
      <fill>
        <patternFill patternType="solid">
          <fgColor indexed="64"/>
          <bgColor theme="1"/>
        </patternFill>
      </fill>
      <border diagonalUp="0" diagonalDown="0">
        <left style="thin">
          <color indexed="64"/>
        </left>
        <right/>
        <top style="thin">
          <color indexed="64"/>
        </top>
        <bottom style="thin">
          <color indexed="64"/>
        </bottom>
        <vertical/>
        <horizontal/>
      </border>
    </dxf>
    <dxf>
      <font>
        <strike val="0"/>
        <outline val="0"/>
        <shadow val="0"/>
        <u val="none"/>
        <vertAlign val="baseline"/>
        <sz val="11"/>
        <color theme="0"/>
        <name val="Calibri"/>
        <family val="2"/>
        <scheme val="minor"/>
      </font>
      <numFmt numFmtId="0" formatCode="General"/>
      <fill>
        <patternFill patternType="solid">
          <fgColor indexed="64"/>
          <bgColor theme="1"/>
        </patternFill>
      </fill>
      <border diagonalUp="0" diagonalDown="0">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0"/>
        <name val="Calibri"/>
        <family val="2"/>
        <scheme val="minor"/>
      </font>
      <fill>
        <patternFill>
          <fgColor indexed="64"/>
          <bgColor theme="1"/>
        </patternFill>
      </fill>
    </dxf>
    <dxf>
      <border>
        <bottom style="thin">
          <color indexed="64"/>
        </bottom>
      </border>
    </dxf>
    <dxf>
      <font>
        <strike val="0"/>
        <outline val="0"/>
        <shadow val="0"/>
        <u val="none"/>
        <vertAlign val="baseline"/>
        <sz val="11"/>
        <color theme="0"/>
        <name val="Calibri"/>
        <family val="2"/>
        <scheme val="minor"/>
      </font>
      <fill>
        <patternFill>
          <fgColor indexed="64"/>
          <bgColor theme="1"/>
        </patternFill>
      </fill>
      <border diagonalUp="0" diagonalDown="0">
        <left style="thin">
          <color indexed="64"/>
        </left>
        <right style="thin">
          <color indexed="64"/>
        </right>
        <top/>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4.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[AI_Market Dashboard.xlsx]Pivot Tables!PivotTable29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Tables'!$K$13</c:f>
              <c:strCache>
                <c:ptCount val="1"/>
                <c:pt idx="0">
                  <c:v>Total</c:v>
                </c:pt>
              </c:strCache>
            </c:strRef>
          </c:tx>
          <c:spPr>
            <a:solidFill>
              <a:schemeClr val="accent1"/>
            </a:solidFill>
            <a:ln>
              <a:noFill/>
            </a:ln>
            <a:effectLst/>
          </c:spPr>
          <c:invertIfNegative val="0"/>
          <c:cat>
            <c:strRef>
              <c:f>'Pivot Tables'!$J$14:$J$21</c:f>
              <c:strCache>
                <c:ptCount val="7"/>
                <c:pt idx="0">
                  <c:v>Automotive</c:v>
                </c:pt>
                <c:pt idx="1">
                  <c:v>E-commerce</c:v>
                </c:pt>
                <c:pt idx="2">
                  <c:v>Education</c:v>
                </c:pt>
                <c:pt idx="3">
                  <c:v>Finance</c:v>
                </c:pt>
                <c:pt idx="4">
                  <c:v>Healthcare</c:v>
                </c:pt>
                <c:pt idx="5">
                  <c:v>Retail</c:v>
                </c:pt>
                <c:pt idx="6">
                  <c:v>Tech</c:v>
                </c:pt>
              </c:strCache>
            </c:strRef>
          </c:cat>
          <c:val>
            <c:numRef>
              <c:f>'Pivot Tables'!$K$14:$K$21</c:f>
              <c:numCache>
                <c:formatCode>General</c:formatCode>
                <c:ptCount val="7"/>
                <c:pt idx="0">
                  <c:v>300</c:v>
                </c:pt>
                <c:pt idx="1">
                  <c:v>291</c:v>
                </c:pt>
                <c:pt idx="2">
                  <c:v>294</c:v>
                </c:pt>
                <c:pt idx="3">
                  <c:v>279</c:v>
                </c:pt>
                <c:pt idx="4">
                  <c:v>269</c:v>
                </c:pt>
                <c:pt idx="5">
                  <c:v>293</c:v>
                </c:pt>
                <c:pt idx="6">
                  <c:v>274</c:v>
                </c:pt>
              </c:numCache>
            </c:numRef>
          </c:val>
          <c:extLst>
            <c:ext xmlns:c16="http://schemas.microsoft.com/office/drawing/2014/chart" uri="{C3380CC4-5D6E-409C-BE32-E72D297353CC}">
              <c16:uniqueId val="{00000002-1BA0-4E2F-9C1D-F3454AE3C8DA}"/>
            </c:ext>
          </c:extLst>
        </c:ser>
        <c:dLbls>
          <c:showLegendKey val="0"/>
          <c:showVal val="0"/>
          <c:showCatName val="0"/>
          <c:showSerName val="0"/>
          <c:showPercent val="0"/>
          <c:showBubbleSize val="0"/>
        </c:dLbls>
        <c:gapWidth val="219"/>
        <c:overlap val="-27"/>
        <c:axId val="945521456"/>
        <c:axId val="1747677808"/>
      </c:barChart>
      <c:catAx>
        <c:axId val="94552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677808"/>
        <c:crosses val="autoZero"/>
        <c:auto val="1"/>
        <c:lblAlgn val="ctr"/>
        <c:lblOffset val="100"/>
        <c:noMultiLvlLbl val="0"/>
      </c:catAx>
      <c:valAx>
        <c:axId val="1747677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521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[AI_Market Dashboard.xlsx]Pivot Tables!PivotTable30</c:name>
    <c:fmtId val="5"/>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Tables'!$R$2:$R$3</c:f>
              <c:strCache>
                <c:ptCount val="1"/>
                <c:pt idx="0">
                  <c:v>Entry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Tables'!$Q$4:$Q$11</c:f>
              <c:strCache>
                <c:ptCount val="7"/>
                <c:pt idx="0">
                  <c:v>Automotive</c:v>
                </c:pt>
                <c:pt idx="1">
                  <c:v>E-commerce</c:v>
                </c:pt>
                <c:pt idx="2">
                  <c:v>Education</c:v>
                </c:pt>
                <c:pt idx="3">
                  <c:v>Finance</c:v>
                </c:pt>
                <c:pt idx="4">
                  <c:v>Healthcare</c:v>
                </c:pt>
                <c:pt idx="5">
                  <c:v>Retail</c:v>
                </c:pt>
                <c:pt idx="6">
                  <c:v>Tech</c:v>
                </c:pt>
              </c:strCache>
            </c:strRef>
          </c:cat>
          <c:val>
            <c:numRef>
              <c:f>'Pivot Tables'!$R$4:$R$11</c:f>
              <c:numCache>
                <c:formatCode>General</c:formatCode>
                <c:ptCount val="7"/>
                <c:pt idx="0">
                  <c:v>109</c:v>
                </c:pt>
                <c:pt idx="1">
                  <c:v>116</c:v>
                </c:pt>
                <c:pt idx="2">
                  <c:v>94</c:v>
                </c:pt>
                <c:pt idx="3">
                  <c:v>99</c:v>
                </c:pt>
                <c:pt idx="4">
                  <c:v>89</c:v>
                </c:pt>
                <c:pt idx="5">
                  <c:v>109</c:v>
                </c:pt>
                <c:pt idx="6">
                  <c:v>86</c:v>
                </c:pt>
              </c:numCache>
            </c:numRef>
          </c:val>
          <c:smooth val="0"/>
          <c:extLst>
            <c:ext xmlns:c16="http://schemas.microsoft.com/office/drawing/2014/chart" uri="{C3380CC4-5D6E-409C-BE32-E72D297353CC}">
              <c16:uniqueId val="{0000000D-928A-4238-A551-C132A004BDEF}"/>
            </c:ext>
          </c:extLst>
        </c:ser>
        <c:ser>
          <c:idx val="1"/>
          <c:order val="1"/>
          <c:tx>
            <c:strRef>
              <c:f>'Pivot Tables'!$S$2:$S$3</c:f>
              <c:strCache>
                <c:ptCount val="1"/>
                <c:pt idx="0">
                  <c:v>Mid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Tables'!$Q$4:$Q$11</c:f>
              <c:strCache>
                <c:ptCount val="7"/>
                <c:pt idx="0">
                  <c:v>Automotive</c:v>
                </c:pt>
                <c:pt idx="1">
                  <c:v>E-commerce</c:v>
                </c:pt>
                <c:pt idx="2">
                  <c:v>Education</c:v>
                </c:pt>
                <c:pt idx="3">
                  <c:v>Finance</c:v>
                </c:pt>
                <c:pt idx="4">
                  <c:v>Healthcare</c:v>
                </c:pt>
                <c:pt idx="5">
                  <c:v>Retail</c:v>
                </c:pt>
                <c:pt idx="6">
                  <c:v>Tech</c:v>
                </c:pt>
              </c:strCache>
            </c:strRef>
          </c:cat>
          <c:val>
            <c:numRef>
              <c:f>'Pivot Tables'!$S$4:$S$11</c:f>
              <c:numCache>
                <c:formatCode>General</c:formatCode>
                <c:ptCount val="7"/>
                <c:pt idx="0">
                  <c:v>93</c:v>
                </c:pt>
                <c:pt idx="1">
                  <c:v>79</c:v>
                </c:pt>
                <c:pt idx="2">
                  <c:v>105</c:v>
                </c:pt>
                <c:pt idx="3">
                  <c:v>98</c:v>
                </c:pt>
                <c:pt idx="4">
                  <c:v>90</c:v>
                </c:pt>
                <c:pt idx="5">
                  <c:v>95</c:v>
                </c:pt>
                <c:pt idx="6">
                  <c:v>108</c:v>
                </c:pt>
              </c:numCache>
            </c:numRef>
          </c:val>
          <c:smooth val="0"/>
          <c:extLst>
            <c:ext xmlns:c16="http://schemas.microsoft.com/office/drawing/2014/chart" uri="{C3380CC4-5D6E-409C-BE32-E72D297353CC}">
              <c16:uniqueId val="{0000000E-928A-4238-A551-C132A004BDEF}"/>
            </c:ext>
          </c:extLst>
        </c:ser>
        <c:ser>
          <c:idx val="2"/>
          <c:order val="2"/>
          <c:tx>
            <c:strRef>
              <c:f>'Pivot Tables'!$T$2:$T$3</c:f>
              <c:strCache>
                <c:ptCount val="1"/>
                <c:pt idx="0">
                  <c:v>Senior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Tables'!$Q$4:$Q$11</c:f>
              <c:strCache>
                <c:ptCount val="7"/>
                <c:pt idx="0">
                  <c:v>Automotive</c:v>
                </c:pt>
                <c:pt idx="1">
                  <c:v>E-commerce</c:v>
                </c:pt>
                <c:pt idx="2">
                  <c:v>Education</c:v>
                </c:pt>
                <c:pt idx="3">
                  <c:v>Finance</c:v>
                </c:pt>
                <c:pt idx="4">
                  <c:v>Healthcare</c:v>
                </c:pt>
                <c:pt idx="5">
                  <c:v>Retail</c:v>
                </c:pt>
                <c:pt idx="6">
                  <c:v>Tech</c:v>
                </c:pt>
              </c:strCache>
            </c:strRef>
          </c:cat>
          <c:val>
            <c:numRef>
              <c:f>'Pivot Tables'!$T$4:$T$11</c:f>
              <c:numCache>
                <c:formatCode>General</c:formatCode>
                <c:ptCount val="7"/>
                <c:pt idx="0">
                  <c:v>98</c:v>
                </c:pt>
                <c:pt idx="1">
                  <c:v>96</c:v>
                </c:pt>
                <c:pt idx="2">
                  <c:v>95</c:v>
                </c:pt>
                <c:pt idx="3">
                  <c:v>82</c:v>
                </c:pt>
                <c:pt idx="4">
                  <c:v>90</c:v>
                </c:pt>
                <c:pt idx="5">
                  <c:v>89</c:v>
                </c:pt>
                <c:pt idx="6">
                  <c:v>80</c:v>
                </c:pt>
              </c:numCache>
            </c:numRef>
          </c:val>
          <c:smooth val="0"/>
          <c:extLst>
            <c:ext xmlns:c16="http://schemas.microsoft.com/office/drawing/2014/chart" uri="{C3380CC4-5D6E-409C-BE32-E72D297353CC}">
              <c16:uniqueId val="{0000000F-928A-4238-A551-C132A004BDEF}"/>
            </c:ext>
          </c:extLst>
        </c:ser>
        <c:dLbls>
          <c:showLegendKey val="0"/>
          <c:showVal val="0"/>
          <c:showCatName val="0"/>
          <c:showSerName val="0"/>
          <c:showPercent val="0"/>
          <c:showBubbleSize val="0"/>
        </c:dLbls>
        <c:marker val="1"/>
        <c:smooth val="0"/>
        <c:axId val="464970896"/>
        <c:axId val="861790656"/>
      </c:lineChart>
      <c:catAx>
        <c:axId val="464970896"/>
        <c:scaling>
          <c:orientation val="minMax"/>
        </c:scaling>
        <c:delete val="1"/>
        <c:axPos val="b"/>
        <c:numFmt formatCode="General" sourceLinked="1"/>
        <c:majorTickMark val="none"/>
        <c:minorTickMark val="none"/>
        <c:tickLblPos val="nextTo"/>
        <c:crossAx val="861790656"/>
        <c:crosses val="autoZero"/>
        <c:auto val="1"/>
        <c:lblAlgn val="ctr"/>
        <c:lblOffset val="100"/>
        <c:noMultiLvlLbl val="0"/>
      </c:catAx>
      <c:valAx>
        <c:axId val="861790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97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[AI_Market Dashboard.xlsx]Pivot Tables!PivotTable31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Tables'!$Y$2</c:f>
              <c:strCache>
                <c:ptCount val="1"/>
                <c:pt idx="0">
                  <c:v>Total</c:v>
                </c:pt>
              </c:strCache>
            </c:strRef>
          </c:tx>
          <c:spPr>
            <a:solidFill>
              <a:schemeClr val="accent1"/>
            </a:solidFill>
            <a:ln>
              <a:noFill/>
            </a:ln>
            <a:effectLst/>
          </c:spPr>
          <c:invertIfNegative val="0"/>
          <c:cat>
            <c:strRef>
              <c:f>'Pivot Tables'!$X$3:$X$10</c:f>
              <c:strCache>
                <c:ptCount val="7"/>
                <c:pt idx="0">
                  <c:v>Automotive</c:v>
                </c:pt>
                <c:pt idx="1">
                  <c:v>E-commerce</c:v>
                </c:pt>
                <c:pt idx="2">
                  <c:v>Education</c:v>
                </c:pt>
                <c:pt idx="3">
                  <c:v>Finance</c:v>
                </c:pt>
                <c:pt idx="4">
                  <c:v>Healthcare</c:v>
                </c:pt>
                <c:pt idx="5">
                  <c:v>Retail</c:v>
                </c:pt>
                <c:pt idx="6">
                  <c:v>Tech</c:v>
                </c:pt>
              </c:strCache>
            </c:strRef>
          </c:cat>
          <c:val>
            <c:numRef>
              <c:f>'Pivot Tables'!$Y$3:$Y$10</c:f>
              <c:numCache>
                <c:formatCode>_-[$$-409]* #,##0.00_ ;_-[$$-409]* \-#,##0.00\ ;_-[$$-409]* "-"??_ ;_-@_ </c:formatCode>
                <c:ptCount val="7"/>
                <c:pt idx="0">
                  <c:v>124546.02166666667</c:v>
                </c:pt>
                <c:pt idx="1">
                  <c:v>124745.30240549828</c:v>
                </c:pt>
                <c:pt idx="2">
                  <c:v>121796.69047619047</c:v>
                </c:pt>
                <c:pt idx="3">
                  <c:v>123040.45161290323</c:v>
                </c:pt>
                <c:pt idx="4">
                  <c:v>120964.23977695167</c:v>
                </c:pt>
                <c:pt idx="5">
                  <c:v>122791.28327645051</c:v>
                </c:pt>
                <c:pt idx="6">
                  <c:v>123217.42335766423</c:v>
                </c:pt>
              </c:numCache>
            </c:numRef>
          </c:val>
          <c:extLst>
            <c:ext xmlns:c16="http://schemas.microsoft.com/office/drawing/2014/chart" uri="{C3380CC4-5D6E-409C-BE32-E72D297353CC}">
              <c16:uniqueId val="{00000000-45AC-4FE7-A65F-2C199F76B738}"/>
            </c:ext>
          </c:extLst>
        </c:ser>
        <c:dLbls>
          <c:showLegendKey val="0"/>
          <c:showVal val="0"/>
          <c:showCatName val="0"/>
          <c:showSerName val="0"/>
          <c:showPercent val="0"/>
          <c:showBubbleSize val="0"/>
        </c:dLbls>
        <c:gapWidth val="219"/>
        <c:overlap val="-27"/>
        <c:axId val="555403791"/>
        <c:axId val="555410031"/>
      </c:barChart>
      <c:catAx>
        <c:axId val="555403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410031"/>
        <c:crosses val="autoZero"/>
        <c:auto val="1"/>
        <c:lblAlgn val="ctr"/>
        <c:lblOffset val="100"/>
        <c:noMultiLvlLbl val="0"/>
      </c:catAx>
      <c:valAx>
        <c:axId val="555410031"/>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403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[AI_Market Dashboard.xlsx]Pivot Tables!PivotTable32</c:name>
    <c:fmtId val="1"/>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Tables'!$AD$2:$AD$3</c:f>
              <c:strCache>
                <c:ptCount val="1"/>
                <c:pt idx="0">
                  <c:v>Entry</c:v>
                </c:pt>
              </c:strCache>
            </c:strRef>
          </c:tx>
          <c:spPr>
            <a:solidFill>
              <a:schemeClr val="accent1"/>
            </a:solidFill>
            <a:ln>
              <a:noFill/>
            </a:ln>
            <a:effectLst/>
            <a:sp3d/>
          </c:spPr>
          <c:invertIfNegative val="0"/>
          <c:cat>
            <c:strRef>
              <c:f>'Pivot Tables'!$AC$4:$AC$7</c:f>
              <c:strCache>
                <c:ptCount val="3"/>
                <c:pt idx="0">
                  <c:v>Large</c:v>
                </c:pt>
                <c:pt idx="1">
                  <c:v>Mid</c:v>
                </c:pt>
                <c:pt idx="2">
                  <c:v>Startup</c:v>
                </c:pt>
              </c:strCache>
            </c:strRef>
          </c:cat>
          <c:val>
            <c:numRef>
              <c:f>'Pivot Tables'!$AD$4:$AD$7</c:f>
              <c:numCache>
                <c:formatCode>General</c:formatCode>
                <c:ptCount val="3"/>
                <c:pt idx="0">
                  <c:v>232</c:v>
                </c:pt>
                <c:pt idx="1">
                  <c:v>250</c:v>
                </c:pt>
                <c:pt idx="2">
                  <c:v>220</c:v>
                </c:pt>
              </c:numCache>
            </c:numRef>
          </c:val>
          <c:extLst>
            <c:ext xmlns:c16="http://schemas.microsoft.com/office/drawing/2014/chart" uri="{C3380CC4-5D6E-409C-BE32-E72D297353CC}">
              <c16:uniqueId val="{00000000-2CE1-4C86-9D03-F43852413E8A}"/>
            </c:ext>
          </c:extLst>
        </c:ser>
        <c:ser>
          <c:idx val="1"/>
          <c:order val="1"/>
          <c:tx>
            <c:strRef>
              <c:f>'Pivot Tables'!$AE$2:$AE$3</c:f>
              <c:strCache>
                <c:ptCount val="1"/>
                <c:pt idx="0">
                  <c:v>Mid</c:v>
                </c:pt>
              </c:strCache>
            </c:strRef>
          </c:tx>
          <c:spPr>
            <a:solidFill>
              <a:schemeClr val="accent2"/>
            </a:solidFill>
            <a:ln>
              <a:noFill/>
            </a:ln>
            <a:effectLst/>
            <a:sp3d/>
          </c:spPr>
          <c:invertIfNegative val="0"/>
          <c:cat>
            <c:strRef>
              <c:f>'Pivot Tables'!$AC$4:$AC$7</c:f>
              <c:strCache>
                <c:ptCount val="3"/>
                <c:pt idx="0">
                  <c:v>Large</c:v>
                </c:pt>
                <c:pt idx="1">
                  <c:v>Mid</c:v>
                </c:pt>
                <c:pt idx="2">
                  <c:v>Startup</c:v>
                </c:pt>
              </c:strCache>
            </c:strRef>
          </c:cat>
          <c:val>
            <c:numRef>
              <c:f>'Pivot Tables'!$AE$4:$AE$7</c:f>
              <c:numCache>
                <c:formatCode>General</c:formatCode>
                <c:ptCount val="3"/>
                <c:pt idx="0">
                  <c:v>244</c:v>
                </c:pt>
                <c:pt idx="1">
                  <c:v>217</c:v>
                </c:pt>
                <c:pt idx="2">
                  <c:v>207</c:v>
                </c:pt>
              </c:numCache>
            </c:numRef>
          </c:val>
          <c:extLst>
            <c:ext xmlns:c16="http://schemas.microsoft.com/office/drawing/2014/chart" uri="{C3380CC4-5D6E-409C-BE32-E72D297353CC}">
              <c16:uniqueId val="{00000001-9F0C-438C-9ADF-C9710F387433}"/>
            </c:ext>
          </c:extLst>
        </c:ser>
        <c:ser>
          <c:idx val="2"/>
          <c:order val="2"/>
          <c:tx>
            <c:strRef>
              <c:f>'Pivot Tables'!$AF$2:$AF$3</c:f>
              <c:strCache>
                <c:ptCount val="1"/>
                <c:pt idx="0">
                  <c:v>Senior</c:v>
                </c:pt>
              </c:strCache>
            </c:strRef>
          </c:tx>
          <c:spPr>
            <a:solidFill>
              <a:schemeClr val="accent3"/>
            </a:solidFill>
            <a:ln>
              <a:noFill/>
            </a:ln>
            <a:effectLst/>
            <a:sp3d/>
          </c:spPr>
          <c:invertIfNegative val="0"/>
          <c:cat>
            <c:strRef>
              <c:f>'Pivot Tables'!$AC$4:$AC$7</c:f>
              <c:strCache>
                <c:ptCount val="3"/>
                <c:pt idx="0">
                  <c:v>Large</c:v>
                </c:pt>
                <c:pt idx="1">
                  <c:v>Mid</c:v>
                </c:pt>
                <c:pt idx="2">
                  <c:v>Startup</c:v>
                </c:pt>
              </c:strCache>
            </c:strRef>
          </c:cat>
          <c:val>
            <c:numRef>
              <c:f>'Pivot Tables'!$AF$4:$AF$7</c:f>
              <c:numCache>
                <c:formatCode>General</c:formatCode>
                <c:ptCount val="3"/>
                <c:pt idx="0">
                  <c:v>181</c:v>
                </c:pt>
                <c:pt idx="1">
                  <c:v>204</c:v>
                </c:pt>
                <c:pt idx="2">
                  <c:v>245</c:v>
                </c:pt>
              </c:numCache>
            </c:numRef>
          </c:val>
          <c:extLst>
            <c:ext xmlns:c16="http://schemas.microsoft.com/office/drawing/2014/chart" uri="{C3380CC4-5D6E-409C-BE32-E72D297353CC}">
              <c16:uniqueId val="{00000002-9F0C-438C-9ADF-C9710F387433}"/>
            </c:ext>
          </c:extLst>
        </c:ser>
        <c:dLbls>
          <c:showLegendKey val="0"/>
          <c:showVal val="0"/>
          <c:showCatName val="0"/>
          <c:showSerName val="0"/>
          <c:showPercent val="0"/>
          <c:showBubbleSize val="0"/>
        </c:dLbls>
        <c:gapWidth val="219"/>
        <c:shape val="box"/>
        <c:axId val="440362751"/>
        <c:axId val="440363231"/>
        <c:axId val="112157967"/>
      </c:bar3DChart>
      <c:catAx>
        <c:axId val="44036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363231"/>
        <c:crosses val="autoZero"/>
        <c:auto val="1"/>
        <c:lblAlgn val="ctr"/>
        <c:lblOffset val="100"/>
        <c:noMultiLvlLbl val="0"/>
      </c:catAx>
      <c:valAx>
        <c:axId val="440363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362751"/>
        <c:crosses val="autoZero"/>
        <c:crossBetween val="between"/>
      </c:valAx>
      <c:serAx>
        <c:axId val="112157967"/>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36323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[AI_Market Dashboard.xlsx]Pivot Tables!PivotTable33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Tables'!$AJ$2:$AJ$3</c:f>
              <c:strCache>
                <c:ptCount val="1"/>
                <c:pt idx="0">
                  <c:v>Contract</c:v>
                </c:pt>
              </c:strCache>
            </c:strRef>
          </c:tx>
          <c:spPr>
            <a:solidFill>
              <a:schemeClr val="accent1"/>
            </a:solidFill>
            <a:ln>
              <a:noFill/>
            </a:ln>
            <a:effectLst/>
          </c:spPr>
          <c:invertIfNegative val="0"/>
          <c:cat>
            <c:strRef>
              <c:f>'Pivot Tables'!$AI$4:$AI$11</c:f>
              <c:strCache>
                <c:ptCount val="7"/>
                <c:pt idx="0">
                  <c:v>Automotive</c:v>
                </c:pt>
                <c:pt idx="1">
                  <c:v>E-commerce</c:v>
                </c:pt>
                <c:pt idx="2">
                  <c:v>Education</c:v>
                </c:pt>
                <c:pt idx="3">
                  <c:v>Finance</c:v>
                </c:pt>
                <c:pt idx="4">
                  <c:v>Healthcare</c:v>
                </c:pt>
                <c:pt idx="5">
                  <c:v>Retail</c:v>
                </c:pt>
                <c:pt idx="6">
                  <c:v>Tech</c:v>
                </c:pt>
              </c:strCache>
            </c:strRef>
          </c:cat>
          <c:val>
            <c:numRef>
              <c:f>'Pivot Tables'!$AJ$4:$AJ$11</c:f>
              <c:numCache>
                <c:formatCode>General</c:formatCode>
                <c:ptCount val="7"/>
                <c:pt idx="0">
                  <c:v>72</c:v>
                </c:pt>
                <c:pt idx="1">
                  <c:v>73</c:v>
                </c:pt>
                <c:pt idx="2">
                  <c:v>69</c:v>
                </c:pt>
                <c:pt idx="3">
                  <c:v>71</c:v>
                </c:pt>
                <c:pt idx="4">
                  <c:v>56</c:v>
                </c:pt>
                <c:pt idx="5">
                  <c:v>59</c:v>
                </c:pt>
                <c:pt idx="6">
                  <c:v>65</c:v>
                </c:pt>
              </c:numCache>
            </c:numRef>
          </c:val>
          <c:extLst>
            <c:ext xmlns:c16="http://schemas.microsoft.com/office/drawing/2014/chart" uri="{C3380CC4-5D6E-409C-BE32-E72D297353CC}">
              <c16:uniqueId val="{00000000-29D6-4E1D-9518-3B8734FE094D}"/>
            </c:ext>
          </c:extLst>
        </c:ser>
        <c:ser>
          <c:idx val="1"/>
          <c:order val="1"/>
          <c:tx>
            <c:strRef>
              <c:f>'Pivot Tables'!$AK$2:$AK$3</c:f>
              <c:strCache>
                <c:ptCount val="1"/>
                <c:pt idx="0">
                  <c:v>Full-time</c:v>
                </c:pt>
              </c:strCache>
            </c:strRef>
          </c:tx>
          <c:spPr>
            <a:solidFill>
              <a:schemeClr val="accent2"/>
            </a:solidFill>
            <a:ln>
              <a:noFill/>
            </a:ln>
            <a:effectLst/>
          </c:spPr>
          <c:invertIfNegative val="0"/>
          <c:cat>
            <c:strRef>
              <c:f>'Pivot Tables'!$AI$4:$AI$11</c:f>
              <c:strCache>
                <c:ptCount val="7"/>
                <c:pt idx="0">
                  <c:v>Automotive</c:v>
                </c:pt>
                <c:pt idx="1">
                  <c:v>E-commerce</c:v>
                </c:pt>
                <c:pt idx="2">
                  <c:v>Education</c:v>
                </c:pt>
                <c:pt idx="3">
                  <c:v>Finance</c:v>
                </c:pt>
                <c:pt idx="4">
                  <c:v>Healthcare</c:v>
                </c:pt>
                <c:pt idx="5">
                  <c:v>Retail</c:v>
                </c:pt>
                <c:pt idx="6">
                  <c:v>Tech</c:v>
                </c:pt>
              </c:strCache>
            </c:strRef>
          </c:cat>
          <c:val>
            <c:numRef>
              <c:f>'Pivot Tables'!$AK$4:$AK$11</c:f>
              <c:numCache>
                <c:formatCode>General</c:formatCode>
                <c:ptCount val="7"/>
                <c:pt idx="0">
                  <c:v>72</c:v>
                </c:pt>
                <c:pt idx="1">
                  <c:v>59</c:v>
                </c:pt>
                <c:pt idx="2">
                  <c:v>70</c:v>
                </c:pt>
                <c:pt idx="3">
                  <c:v>67</c:v>
                </c:pt>
                <c:pt idx="4">
                  <c:v>84</c:v>
                </c:pt>
                <c:pt idx="5">
                  <c:v>84</c:v>
                </c:pt>
                <c:pt idx="6">
                  <c:v>73</c:v>
                </c:pt>
              </c:numCache>
            </c:numRef>
          </c:val>
          <c:extLst>
            <c:ext xmlns:c16="http://schemas.microsoft.com/office/drawing/2014/chart" uri="{C3380CC4-5D6E-409C-BE32-E72D297353CC}">
              <c16:uniqueId val="{00000001-29D6-4E1D-9518-3B8734FE094D}"/>
            </c:ext>
          </c:extLst>
        </c:ser>
        <c:ser>
          <c:idx val="2"/>
          <c:order val="2"/>
          <c:tx>
            <c:strRef>
              <c:f>'Pivot Tables'!$AL$2:$AL$3</c:f>
              <c:strCache>
                <c:ptCount val="1"/>
                <c:pt idx="0">
                  <c:v>Internship</c:v>
                </c:pt>
              </c:strCache>
            </c:strRef>
          </c:tx>
          <c:spPr>
            <a:solidFill>
              <a:schemeClr val="accent3"/>
            </a:solidFill>
            <a:ln>
              <a:noFill/>
            </a:ln>
            <a:effectLst/>
          </c:spPr>
          <c:invertIfNegative val="0"/>
          <c:cat>
            <c:strRef>
              <c:f>'Pivot Tables'!$AI$4:$AI$11</c:f>
              <c:strCache>
                <c:ptCount val="7"/>
                <c:pt idx="0">
                  <c:v>Automotive</c:v>
                </c:pt>
                <c:pt idx="1">
                  <c:v>E-commerce</c:v>
                </c:pt>
                <c:pt idx="2">
                  <c:v>Education</c:v>
                </c:pt>
                <c:pt idx="3">
                  <c:v>Finance</c:v>
                </c:pt>
                <c:pt idx="4">
                  <c:v>Healthcare</c:v>
                </c:pt>
                <c:pt idx="5">
                  <c:v>Retail</c:v>
                </c:pt>
                <c:pt idx="6">
                  <c:v>Tech</c:v>
                </c:pt>
              </c:strCache>
            </c:strRef>
          </c:cat>
          <c:val>
            <c:numRef>
              <c:f>'Pivot Tables'!$AL$4:$AL$11</c:f>
              <c:numCache>
                <c:formatCode>General</c:formatCode>
                <c:ptCount val="7"/>
                <c:pt idx="0">
                  <c:v>90</c:v>
                </c:pt>
                <c:pt idx="1">
                  <c:v>81</c:v>
                </c:pt>
                <c:pt idx="2">
                  <c:v>91</c:v>
                </c:pt>
                <c:pt idx="3">
                  <c:v>66</c:v>
                </c:pt>
                <c:pt idx="4">
                  <c:v>75</c:v>
                </c:pt>
                <c:pt idx="5">
                  <c:v>82</c:v>
                </c:pt>
                <c:pt idx="6">
                  <c:v>89</c:v>
                </c:pt>
              </c:numCache>
            </c:numRef>
          </c:val>
          <c:extLst>
            <c:ext xmlns:c16="http://schemas.microsoft.com/office/drawing/2014/chart" uri="{C3380CC4-5D6E-409C-BE32-E72D297353CC}">
              <c16:uniqueId val="{00000002-29D6-4E1D-9518-3B8734FE094D}"/>
            </c:ext>
          </c:extLst>
        </c:ser>
        <c:ser>
          <c:idx val="3"/>
          <c:order val="3"/>
          <c:tx>
            <c:strRef>
              <c:f>'Pivot Tables'!$AM$2:$AM$3</c:f>
              <c:strCache>
                <c:ptCount val="1"/>
                <c:pt idx="0">
                  <c:v>Remote</c:v>
                </c:pt>
              </c:strCache>
            </c:strRef>
          </c:tx>
          <c:spPr>
            <a:solidFill>
              <a:schemeClr val="accent4"/>
            </a:solidFill>
            <a:ln>
              <a:noFill/>
            </a:ln>
            <a:effectLst/>
          </c:spPr>
          <c:invertIfNegative val="0"/>
          <c:cat>
            <c:strRef>
              <c:f>'Pivot Tables'!$AI$4:$AI$11</c:f>
              <c:strCache>
                <c:ptCount val="7"/>
                <c:pt idx="0">
                  <c:v>Automotive</c:v>
                </c:pt>
                <c:pt idx="1">
                  <c:v>E-commerce</c:v>
                </c:pt>
                <c:pt idx="2">
                  <c:v>Education</c:v>
                </c:pt>
                <c:pt idx="3">
                  <c:v>Finance</c:v>
                </c:pt>
                <c:pt idx="4">
                  <c:v>Healthcare</c:v>
                </c:pt>
                <c:pt idx="5">
                  <c:v>Retail</c:v>
                </c:pt>
                <c:pt idx="6">
                  <c:v>Tech</c:v>
                </c:pt>
              </c:strCache>
            </c:strRef>
          </c:cat>
          <c:val>
            <c:numRef>
              <c:f>'Pivot Tables'!$AM$4:$AM$11</c:f>
              <c:numCache>
                <c:formatCode>General</c:formatCode>
                <c:ptCount val="7"/>
                <c:pt idx="0">
                  <c:v>66</c:v>
                </c:pt>
                <c:pt idx="1">
                  <c:v>78</c:v>
                </c:pt>
                <c:pt idx="2">
                  <c:v>64</c:v>
                </c:pt>
                <c:pt idx="3">
                  <c:v>75</c:v>
                </c:pt>
                <c:pt idx="4">
                  <c:v>54</c:v>
                </c:pt>
                <c:pt idx="5">
                  <c:v>68</c:v>
                </c:pt>
                <c:pt idx="6">
                  <c:v>47</c:v>
                </c:pt>
              </c:numCache>
            </c:numRef>
          </c:val>
          <c:extLst>
            <c:ext xmlns:c16="http://schemas.microsoft.com/office/drawing/2014/chart" uri="{C3380CC4-5D6E-409C-BE32-E72D297353CC}">
              <c16:uniqueId val="{00000003-29D6-4E1D-9518-3B8734FE094D}"/>
            </c:ext>
          </c:extLst>
        </c:ser>
        <c:dLbls>
          <c:showLegendKey val="0"/>
          <c:showVal val="0"/>
          <c:showCatName val="0"/>
          <c:showSerName val="0"/>
          <c:showPercent val="0"/>
          <c:showBubbleSize val="0"/>
        </c:dLbls>
        <c:gapWidth val="219"/>
        <c:overlap val="-27"/>
        <c:axId val="122072447"/>
        <c:axId val="122073407"/>
      </c:barChart>
      <c:catAx>
        <c:axId val="12207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73407"/>
        <c:crosses val="autoZero"/>
        <c:auto val="1"/>
        <c:lblAlgn val="ctr"/>
        <c:lblOffset val="100"/>
        <c:noMultiLvlLbl val="0"/>
      </c:catAx>
      <c:valAx>
        <c:axId val="122073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72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[AI_Market Dashboard.xlsx]Pivot Tables!PivotTable34</c:name>
    <c:fmtId val="3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Tables'!$AQ$2:$AQ$3</c:f>
              <c:strCache>
                <c:ptCount val="1"/>
                <c:pt idx="0">
                  <c:v>AI Product Manager</c:v>
                </c:pt>
              </c:strCache>
            </c:strRef>
          </c:tx>
          <c:spPr>
            <a:solidFill>
              <a:schemeClr val="accent1"/>
            </a:solidFill>
            <a:ln>
              <a:noFill/>
            </a:ln>
            <a:effectLst/>
          </c:spPr>
          <c:invertIfNegative val="0"/>
          <c:cat>
            <c:strRef>
              <c:f>'Pivot Tables'!$AP$4:$AP$11</c:f>
              <c:strCache>
                <c:ptCount val="7"/>
                <c:pt idx="0">
                  <c:v>Automotive</c:v>
                </c:pt>
                <c:pt idx="1">
                  <c:v>E-commerce</c:v>
                </c:pt>
                <c:pt idx="2">
                  <c:v>Education</c:v>
                </c:pt>
                <c:pt idx="3">
                  <c:v>Finance</c:v>
                </c:pt>
                <c:pt idx="4">
                  <c:v>Healthcare</c:v>
                </c:pt>
                <c:pt idx="5">
                  <c:v>Retail</c:v>
                </c:pt>
                <c:pt idx="6">
                  <c:v>Tech</c:v>
                </c:pt>
              </c:strCache>
            </c:strRef>
          </c:cat>
          <c:val>
            <c:numRef>
              <c:f>'Pivot Tables'!$AQ$4:$AQ$11</c:f>
              <c:numCache>
                <c:formatCode>General</c:formatCode>
                <c:ptCount val="7"/>
                <c:pt idx="0">
                  <c:v>33</c:v>
                </c:pt>
                <c:pt idx="1">
                  <c:v>43</c:v>
                </c:pt>
                <c:pt idx="2">
                  <c:v>36</c:v>
                </c:pt>
                <c:pt idx="3">
                  <c:v>34</c:v>
                </c:pt>
                <c:pt idx="4">
                  <c:v>35</c:v>
                </c:pt>
                <c:pt idx="5">
                  <c:v>33</c:v>
                </c:pt>
                <c:pt idx="6">
                  <c:v>44</c:v>
                </c:pt>
              </c:numCache>
            </c:numRef>
          </c:val>
          <c:extLst>
            <c:ext xmlns:c16="http://schemas.microsoft.com/office/drawing/2014/chart" uri="{C3380CC4-5D6E-409C-BE32-E72D297353CC}">
              <c16:uniqueId val="{00000000-9AD2-4EFB-8CE8-4BC70718A866}"/>
            </c:ext>
          </c:extLst>
        </c:ser>
        <c:ser>
          <c:idx val="1"/>
          <c:order val="1"/>
          <c:tx>
            <c:strRef>
              <c:f>'Pivot Tables'!$AR$2:$AR$3</c:f>
              <c:strCache>
                <c:ptCount val="1"/>
                <c:pt idx="0">
                  <c:v>AI Researcher</c:v>
                </c:pt>
              </c:strCache>
            </c:strRef>
          </c:tx>
          <c:spPr>
            <a:solidFill>
              <a:schemeClr val="accent2"/>
            </a:solidFill>
            <a:ln>
              <a:noFill/>
            </a:ln>
            <a:effectLst/>
          </c:spPr>
          <c:invertIfNegative val="0"/>
          <c:cat>
            <c:strRef>
              <c:f>'Pivot Tables'!$AP$4:$AP$11</c:f>
              <c:strCache>
                <c:ptCount val="7"/>
                <c:pt idx="0">
                  <c:v>Automotive</c:v>
                </c:pt>
                <c:pt idx="1">
                  <c:v>E-commerce</c:v>
                </c:pt>
                <c:pt idx="2">
                  <c:v>Education</c:v>
                </c:pt>
                <c:pt idx="3">
                  <c:v>Finance</c:v>
                </c:pt>
                <c:pt idx="4">
                  <c:v>Healthcare</c:v>
                </c:pt>
                <c:pt idx="5">
                  <c:v>Retail</c:v>
                </c:pt>
                <c:pt idx="6">
                  <c:v>Tech</c:v>
                </c:pt>
              </c:strCache>
            </c:strRef>
          </c:cat>
          <c:val>
            <c:numRef>
              <c:f>'Pivot Tables'!$AR$4:$AR$11</c:f>
              <c:numCache>
                <c:formatCode>General</c:formatCode>
                <c:ptCount val="7"/>
                <c:pt idx="0">
                  <c:v>43</c:v>
                </c:pt>
                <c:pt idx="1">
                  <c:v>27</c:v>
                </c:pt>
                <c:pt idx="2">
                  <c:v>36</c:v>
                </c:pt>
                <c:pt idx="3">
                  <c:v>33</c:v>
                </c:pt>
                <c:pt idx="4">
                  <c:v>36</c:v>
                </c:pt>
                <c:pt idx="5">
                  <c:v>33</c:v>
                </c:pt>
                <c:pt idx="6">
                  <c:v>29</c:v>
                </c:pt>
              </c:numCache>
            </c:numRef>
          </c:val>
          <c:extLst>
            <c:ext xmlns:c16="http://schemas.microsoft.com/office/drawing/2014/chart" uri="{C3380CC4-5D6E-409C-BE32-E72D297353CC}">
              <c16:uniqueId val="{00000001-9AD2-4EFB-8CE8-4BC70718A866}"/>
            </c:ext>
          </c:extLst>
        </c:ser>
        <c:ser>
          <c:idx val="2"/>
          <c:order val="2"/>
          <c:tx>
            <c:strRef>
              <c:f>'Pivot Tables'!$AS$2:$AS$3</c:f>
              <c:strCache>
                <c:ptCount val="1"/>
                <c:pt idx="0">
                  <c:v>Computer Vision Engineer</c:v>
                </c:pt>
              </c:strCache>
            </c:strRef>
          </c:tx>
          <c:spPr>
            <a:solidFill>
              <a:schemeClr val="accent3"/>
            </a:solidFill>
            <a:ln>
              <a:noFill/>
            </a:ln>
            <a:effectLst/>
          </c:spPr>
          <c:invertIfNegative val="0"/>
          <c:cat>
            <c:strRef>
              <c:f>'Pivot Tables'!$AP$4:$AP$11</c:f>
              <c:strCache>
                <c:ptCount val="7"/>
                <c:pt idx="0">
                  <c:v>Automotive</c:v>
                </c:pt>
                <c:pt idx="1">
                  <c:v>E-commerce</c:v>
                </c:pt>
                <c:pt idx="2">
                  <c:v>Education</c:v>
                </c:pt>
                <c:pt idx="3">
                  <c:v>Finance</c:v>
                </c:pt>
                <c:pt idx="4">
                  <c:v>Healthcare</c:v>
                </c:pt>
                <c:pt idx="5">
                  <c:v>Retail</c:v>
                </c:pt>
                <c:pt idx="6">
                  <c:v>Tech</c:v>
                </c:pt>
              </c:strCache>
            </c:strRef>
          </c:cat>
          <c:val>
            <c:numRef>
              <c:f>'Pivot Tables'!$AS$4:$AS$11</c:f>
              <c:numCache>
                <c:formatCode>General</c:formatCode>
                <c:ptCount val="7"/>
                <c:pt idx="0">
                  <c:v>43</c:v>
                </c:pt>
                <c:pt idx="1">
                  <c:v>34</c:v>
                </c:pt>
                <c:pt idx="2">
                  <c:v>23</c:v>
                </c:pt>
                <c:pt idx="3">
                  <c:v>32</c:v>
                </c:pt>
                <c:pt idx="4">
                  <c:v>27</c:v>
                </c:pt>
                <c:pt idx="5">
                  <c:v>43</c:v>
                </c:pt>
                <c:pt idx="6">
                  <c:v>28</c:v>
                </c:pt>
              </c:numCache>
            </c:numRef>
          </c:val>
          <c:extLst>
            <c:ext xmlns:c16="http://schemas.microsoft.com/office/drawing/2014/chart" uri="{C3380CC4-5D6E-409C-BE32-E72D297353CC}">
              <c16:uniqueId val="{00000002-9AD2-4EFB-8CE8-4BC70718A866}"/>
            </c:ext>
          </c:extLst>
        </c:ser>
        <c:ser>
          <c:idx val="3"/>
          <c:order val="3"/>
          <c:tx>
            <c:strRef>
              <c:f>'Pivot Tables'!$AT$2:$AT$3</c:f>
              <c:strCache>
                <c:ptCount val="1"/>
                <c:pt idx="0">
                  <c:v>Data Analyst</c:v>
                </c:pt>
              </c:strCache>
            </c:strRef>
          </c:tx>
          <c:spPr>
            <a:solidFill>
              <a:schemeClr val="accent4"/>
            </a:solidFill>
            <a:ln>
              <a:noFill/>
            </a:ln>
            <a:effectLst/>
          </c:spPr>
          <c:invertIfNegative val="0"/>
          <c:cat>
            <c:strRef>
              <c:f>'Pivot Tables'!$AP$4:$AP$11</c:f>
              <c:strCache>
                <c:ptCount val="7"/>
                <c:pt idx="0">
                  <c:v>Automotive</c:v>
                </c:pt>
                <c:pt idx="1">
                  <c:v>E-commerce</c:v>
                </c:pt>
                <c:pt idx="2">
                  <c:v>Education</c:v>
                </c:pt>
                <c:pt idx="3">
                  <c:v>Finance</c:v>
                </c:pt>
                <c:pt idx="4">
                  <c:v>Healthcare</c:v>
                </c:pt>
                <c:pt idx="5">
                  <c:v>Retail</c:v>
                </c:pt>
                <c:pt idx="6">
                  <c:v>Tech</c:v>
                </c:pt>
              </c:strCache>
            </c:strRef>
          </c:cat>
          <c:val>
            <c:numRef>
              <c:f>'Pivot Tables'!$AT$4:$AT$11</c:f>
              <c:numCache>
                <c:formatCode>General</c:formatCode>
                <c:ptCount val="7"/>
                <c:pt idx="0">
                  <c:v>49</c:v>
                </c:pt>
                <c:pt idx="1">
                  <c:v>41</c:v>
                </c:pt>
                <c:pt idx="2">
                  <c:v>42</c:v>
                </c:pt>
                <c:pt idx="3">
                  <c:v>31</c:v>
                </c:pt>
                <c:pt idx="4">
                  <c:v>39</c:v>
                </c:pt>
                <c:pt idx="5">
                  <c:v>34</c:v>
                </c:pt>
                <c:pt idx="6">
                  <c:v>35</c:v>
                </c:pt>
              </c:numCache>
            </c:numRef>
          </c:val>
          <c:extLst>
            <c:ext xmlns:c16="http://schemas.microsoft.com/office/drawing/2014/chart" uri="{C3380CC4-5D6E-409C-BE32-E72D297353CC}">
              <c16:uniqueId val="{00000003-9AD2-4EFB-8CE8-4BC70718A866}"/>
            </c:ext>
          </c:extLst>
        </c:ser>
        <c:ser>
          <c:idx val="4"/>
          <c:order val="4"/>
          <c:tx>
            <c:strRef>
              <c:f>'Pivot Tables'!$AU$2:$AU$3</c:f>
              <c:strCache>
                <c:ptCount val="1"/>
                <c:pt idx="0">
                  <c:v>Data Scientist</c:v>
                </c:pt>
              </c:strCache>
            </c:strRef>
          </c:tx>
          <c:spPr>
            <a:solidFill>
              <a:schemeClr val="accent5"/>
            </a:solidFill>
            <a:ln>
              <a:noFill/>
            </a:ln>
            <a:effectLst/>
          </c:spPr>
          <c:invertIfNegative val="0"/>
          <c:cat>
            <c:strRef>
              <c:f>'Pivot Tables'!$AP$4:$AP$11</c:f>
              <c:strCache>
                <c:ptCount val="7"/>
                <c:pt idx="0">
                  <c:v>Automotive</c:v>
                </c:pt>
                <c:pt idx="1">
                  <c:v>E-commerce</c:v>
                </c:pt>
                <c:pt idx="2">
                  <c:v>Education</c:v>
                </c:pt>
                <c:pt idx="3">
                  <c:v>Finance</c:v>
                </c:pt>
                <c:pt idx="4">
                  <c:v>Healthcare</c:v>
                </c:pt>
                <c:pt idx="5">
                  <c:v>Retail</c:v>
                </c:pt>
                <c:pt idx="6">
                  <c:v>Tech</c:v>
                </c:pt>
              </c:strCache>
            </c:strRef>
          </c:cat>
          <c:val>
            <c:numRef>
              <c:f>'Pivot Tables'!$AU$4:$AU$11</c:f>
              <c:numCache>
                <c:formatCode>General</c:formatCode>
                <c:ptCount val="7"/>
                <c:pt idx="0">
                  <c:v>29</c:v>
                </c:pt>
                <c:pt idx="1">
                  <c:v>38</c:v>
                </c:pt>
                <c:pt idx="2">
                  <c:v>38</c:v>
                </c:pt>
                <c:pt idx="3">
                  <c:v>37</c:v>
                </c:pt>
                <c:pt idx="4">
                  <c:v>28</c:v>
                </c:pt>
                <c:pt idx="5">
                  <c:v>38</c:v>
                </c:pt>
                <c:pt idx="6">
                  <c:v>30</c:v>
                </c:pt>
              </c:numCache>
            </c:numRef>
          </c:val>
          <c:extLst>
            <c:ext xmlns:c16="http://schemas.microsoft.com/office/drawing/2014/chart" uri="{C3380CC4-5D6E-409C-BE32-E72D297353CC}">
              <c16:uniqueId val="{00000004-9AD2-4EFB-8CE8-4BC70718A866}"/>
            </c:ext>
          </c:extLst>
        </c:ser>
        <c:ser>
          <c:idx val="5"/>
          <c:order val="5"/>
          <c:tx>
            <c:strRef>
              <c:f>'Pivot Tables'!$AV$2:$AV$3</c:f>
              <c:strCache>
                <c:ptCount val="1"/>
                <c:pt idx="0">
                  <c:v>ML Engineer</c:v>
                </c:pt>
              </c:strCache>
            </c:strRef>
          </c:tx>
          <c:spPr>
            <a:solidFill>
              <a:schemeClr val="accent6"/>
            </a:solidFill>
            <a:ln>
              <a:noFill/>
            </a:ln>
            <a:effectLst/>
          </c:spPr>
          <c:invertIfNegative val="0"/>
          <c:cat>
            <c:strRef>
              <c:f>'Pivot Tables'!$AP$4:$AP$11</c:f>
              <c:strCache>
                <c:ptCount val="7"/>
                <c:pt idx="0">
                  <c:v>Automotive</c:v>
                </c:pt>
                <c:pt idx="1">
                  <c:v>E-commerce</c:v>
                </c:pt>
                <c:pt idx="2">
                  <c:v>Education</c:v>
                </c:pt>
                <c:pt idx="3">
                  <c:v>Finance</c:v>
                </c:pt>
                <c:pt idx="4">
                  <c:v>Healthcare</c:v>
                </c:pt>
                <c:pt idx="5">
                  <c:v>Retail</c:v>
                </c:pt>
                <c:pt idx="6">
                  <c:v>Tech</c:v>
                </c:pt>
              </c:strCache>
            </c:strRef>
          </c:cat>
          <c:val>
            <c:numRef>
              <c:f>'Pivot Tables'!$AV$4:$AV$11</c:f>
              <c:numCache>
                <c:formatCode>General</c:formatCode>
                <c:ptCount val="7"/>
                <c:pt idx="0">
                  <c:v>30</c:v>
                </c:pt>
                <c:pt idx="1">
                  <c:v>37</c:v>
                </c:pt>
                <c:pt idx="2">
                  <c:v>33</c:v>
                </c:pt>
                <c:pt idx="3">
                  <c:v>34</c:v>
                </c:pt>
                <c:pt idx="4">
                  <c:v>40</c:v>
                </c:pt>
                <c:pt idx="5">
                  <c:v>38</c:v>
                </c:pt>
                <c:pt idx="6">
                  <c:v>38</c:v>
                </c:pt>
              </c:numCache>
            </c:numRef>
          </c:val>
          <c:extLst>
            <c:ext xmlns:c16="http://schemas.microsoft.com/office/drawing/2014/chart" uri="{C3380CC4-5D6E-409C-BE32-E72D297353CC}">
              <c16:uniqueId val="{00000005-9AD2-4EFB-8CE8-4BC70718A866}"/>
            </c:ext>
          </c:extLst>
        </c:ser>
        <c:ser>
          <c:idx val="6"/>
          <c:order val="6"/>
          <c:tx>
            <c:strRef>
              <c:f>'Pivot Tables'!$AW$2:$AW$3</c:f>
              <c:strCache>
                <c:ptCount val="1"/>
                <c:pt idx="0">
                  <c:v>NLP Engineer</c:v>
                </c:pt>
              </c:strCache>
            </c:strRef>
          </c:tx>
          <c:spPr>
            <a:solidFill>
              <a:schemeClr val="accent1">
                <a:lumMod val="60000"/>
              </a:schemeClr>
            </a:solidFill>
            <a:ln>
              <a:noFill/>
            </a:ln>
            <a:effectLst/>
          </c:spPr>
          <c:invertIfNegative val="0"/>
          <c:cat>
            <c:strRef>
              <c:f>'Pivot Tables'!$AP$4:$AP$11</c:f>
              <c:strCache>
                <c:ptCount val="7"/>
                <c:pt idx="0">
                  <c:v>Automotive</c:v>
                </c:pt>
                <c:pt idx="1">
                  <c:v>E-commerce</c:v>
                </c:pt>
                <c:pt idx="2">
                  <c:v>Education</c:v>
                </c:pt>
                <c:pt idx="3">
                  <c:v>Finance</c:v>
                </c:pt>
                <c:pt idx="4">
                  <c:v>Healthcare</c:v>
                </c:pt>
                <c:pt idx="5">
                  <c:v>Retail</c:v>
                </c:pt>
                <c:pt idx="6">
                  <c:v>Tech</c:v>
                </c:pt>
              </c:strCache>
            </c:strRef>
          </c:cat>
          <c:val>
            <c:numRef>
              <c:f>'Pivot Tables'!$AW$4:$AW$11</c:f>
              <c:numCache>
                <c:formatCode>General</c:formatCode>
                <c:ptCount val="7"/>
                <c:pt idx="0">
                  <c:v>40</c:v>
                </c:pt>
                <c:pt idx="1">
                  <c:v>41</c:v>
                </c:pt>
                <c:pt idx="2">
                  <c:v>41</c:v>
                </c:pt>
                <c:pt idx="3">
                  <c:v>39</c:v>
                </c:pt>
                <c:pt idx="4">
                  <c:v>30</c:v>
                </c:pt>
                <c:pt idx="5">
                  <c:v>40</c:v>
                </c:pt>
                <c:pt idx="6">
                  <c:v>34</c:v>
                </c:pt>
              </c:numCache>
            </c:numRef>
          </c:val>
          <c:extLst>
            <c:ext xmlns:c16="http://schemas.microsoft.com/office/drawing/2014/chart" uri="{C3380CC4-5D6E-409C-BE32-E72D297353CC}">
              <c16:uniqueId val="{00000006-9AD2-4EFB-8CE8-4BC70718A866}"/>
            </c:ext>
          </c:extLst>
        </c:ser>
        <c:ser>
          <c:idx val="7"/>
          <c:order val="7"/>
          <c:tx>
            <c:strRef>
              <c:f>'Pivot Tables'!$AX$2:$AX$3</c:f>
              <c:strCache>
                <c:ptCount val="1"/>
                <c:pt idx="0">
                  <c:v>Quant Researcher</c:v>
                </c:pt>
              </c:strCache>
            </c:strRef>
          </c:tx>
          <c:spPr>
            <a:solidFill>
              <a:schemeClr val="accent2">
                <a:lumMod val="60000"/>
              </a:schemeClr>
            </a:solidFill>
            <a:ln>
              <a:noFill/>
            </a:ln>
            <a:effectLst/>
          </c:spPr>
          <c:invertIfNegative val="0"/>
          <c:cat>
            <c:strRef>
              <c:f>'Pivot Tables'!$AP$4:$AP$11</c:f>
              <c:strCache>
                <c:ptCount val="7"/>
                <c:pt idx="0">
                  <c:v>Automotive</c:v>
                </c:pt>
                <c:pt idx="1">
                  <c:v>E-commerce</c:v>
                </c:pt>
                <c:pt idx="2">
                  <c:v>Education</c:v>
                </c:pt>
                <c:pt idx="3">
                  <c:v>Finance</c:v>
                </c:pt>
                <c:pt idx="4">
                  <c:v>Healthcare</c:v>
                </c:pt>
                <c:pt idx="5">
                  <c:v>Retail</c:v>
                </c:pt>
                <c:pt idx="6">
                  <c:v>Tech</c:v>
                </c:pt>
              </c:strCache>
            </c:strRef>
          </c:cat>
          <c:val>
            <c:numRef>
              <c:f>'Pivot Tables'!$AX$4:$AX$11</c:f>
              <c:numCache>
                <c:formatCode>General</c:formatCode>
                <c:ptCount val="7"/>
                <c:pt idx="0">
                  <c:v>33</c:v>
                </c:pt>
                <c:pt idx="1">
                  <c:v>30</c:v>
                </c:pt>
                <c:pt idx="2">
                  <c:v>45</c:v>
                </c:pt>
                <c:pt idx="3">
                  <c:v>39</c:v>
                </c:pt>
                <c:pt idx="4">
                  <c:v>34</c:v>
                </c:pt>
                <c:pt idx="5">
                  <c:v>34</c:v>
                </c:pt>
                <c:pt idx="6">
                  <c:v>36</c:v>
                </c:pt>
              </c:numCache>
            </c:numRef>
          </c:val>
          <c:extLst>
            <c:ext xmlns:c16="http://schemas.microsoft.com/office/drawing/2014/chart" uri="{C3380CC4-5D6E-409C-BE32-E72D297353CC}">
              <c16:uniqueId val="{00000007-9AD2-4EFB-8CE8-4BC70718A866}"/>
            </c:ext>
          </c:extLst>
        </c:ser>
        <c:dLbls>
          <c:showLegendKey val="0"/>
          <c:showVal val="0"/>
          <c:showCatName val="0"/>
          <c:showSerName val="0"/>
          <c:showPercent val="0"/>
          <c:showBubbleSize val="0"/>
        </c:dLbls>
        <c:gapWidth val="150"/>
        <c:overlap val="100"/>
        <c:axId val="849464656"/>
        <c:axId val="849465616"/>
      </c:barChart>
      <c:catAx>
        <c:axId val="84946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465616"/>
        <c:crosses val="autoZero"/>
        <c:auto val="1"/>
        <c:lblAlgn val="ctr"/>
        <c:lblOffset val="100"/>
        <c:noMultiLvlLbl val="0"/>
      </c:catAx>
      <c:valAx>
        <c:axId val="8494656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464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[AI_Market Dashboard.xlsx]Pivot Tables!PivotTable35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Tables'!$BA$2</c:f>
              <c:strCache>
                <c:ptCount val="1"/>
                <c:pt idx="0">
                  <c:v>Total</c:v>
                </c:pt>
              </c:strCache>
            </c:strRef>
          </c:tx>
          <c:spPr>
            <a:solidFill>
              <a:schemeClr val="accent1"/>
            </a:solidFill>
            <a:ln>
              <a:noFill/>
            </a:ln>
            <a:effectLst/>
          </c:spPr>
          <c:invertIfNegative val="0"/>
          <c:cat>
            <c:strRef>
              <c:f>'Pivot Tables'!$BA$3</c:f>
              <c:strCache>
                <c:ptCount val="1"/>
                <c:pt idx="0">
                  <c:v>Total</c:v>
                </c:pt>
              </c:strCache>
            </c:strRef>
          </c:cat>
          <c:val>
            <c:numRef>
              <c:f>'Pivot Tables'!$BA$3</c:f>
              <c:numCache>
                <c:formatCode>General</c:formatCode>
                <c:ptCount val="1"/>
                <c:pt idx="0">
                  <c:v>2000</c:v>
                </c:pt>
              </c:numCache>
            </c:numRef>
          </c:val>
          <c:extLst>
            <c:ext xmlns:c16="http://schemas.microsoft.com/office/drawing/2014/chart" uri="{C3380CC4-5D6E-409C-BE32-E72D297353CC}">
              <c16:uniqueId val="{00000000-E102-4279-B0F2-5A0D5ECE31E3}"/>
            </c:ext>
          </c:extLst>
        </c:ser>
        <c:dLbls>
          <c:showLegendKey val="0"/>
          <c:showVal val="0"/>
          <c:showCatName val="0"/>
          <c:showSerName val="0"/>
          <c:showPercent val="0"/>
          <c:showBubbleSize val="0"/>
        </c:dLbls>
        <c:gapWidth val="219"/>
        <c:overlap val="-27"/>
        <c:axId val="106170575"/>
        <c:axId val="106161455"/>
      </c:barChart>
      <c:catAx>
        <c:axId val="10617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61455"/>
        <c:crosses val="autoZero"/>
        <c:auto val="1"/>
        <c:lblAlgn val="ctr"/>
        <c:lblOffset val="100"/>
        <c:noMultiLvlLbl val="0"/>
      </c:catAx>
      <c:valAx>
        <c:axId val="106161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70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[AI_Market Dashboard.xlsx]Pivot Tables!PivotTable40</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Tables'!$BK$2:$BK$3</c:f>
              <c:strCache>
                <c:ptCount val="1"/>
                <c:pt idx="0">
                  <c:v>Large</c:v>
                </c:pt>
              </c:strCache>
            </c:strRef>
          </c:tx>
          <c:spPr>
            <a:solidFill>
              <a:schemeClr val="accent1"/>
            </a:solidFill>
            <a:ln>
              <a:noFill/>
            </a:ln>
            <a:effectLst/>
          </c:spPr>
          <c:invertIfNegative val="0"/>
          <c:cat>
            <c:strRef>
              <c:f>'Pivot Tables'!$BJ$4:$BJ$26</c:f>
              <c:strCache>
                <c:ptCount val="22"/>
                <c:pt idx="0">
                  <c:v>AWS</c:v>
                </c:pt>
                <c:pt idx="1">
                  <c:v>Azure</c:v>
                </c:pt>
                <c:pt idx="2">
                  <c:v>C++</c:v>
                </c:pt>
                <c:pt idx="3">
                  <c:v>CUDA</c:v>
                </c:pt>
                <c:pt idx="4">
                  <c:v>Excel</c:v>
                </c:pt>
                <c:pt idx="5">
                  <c:v>FastAPI</c:v>
                </c:pt>
                <c:pt idx="6">
                  <c:v>Flask</c:v>
                </c:pt>
                <c:pt idx="7">
                  <c:v>GCP</c:v>
                </c:pt>
                <c:pt idx="8">
                  <c:v>Hugging Face</c:v>
                </c:pt>
                <c:pt idx="9">
                  <c:v>Keras</c:v>
                </c:pt>
                <c:pt idx="10">
                  <c:v>LangChain</c:v>
                </c:pt>
                <c:pt idx="11">
                  <c:v>MLflow</c:v>
                </c:pt>
                <c:pt idx="12">
                  <c:v>NumPy</c:v>
                </c:pt>
                <c:pt idx="13">
                  <c:v>Pandas</c:v>
                </c:pt>
                <c:pt idx="14">
                  <c:v>Power BI</c:v>
                </c:pt>
                <c:pt idx="15">
                  <c:v>Python</c:v>
                </c:pt>
                <c:pt idx="16">
                  <c:v>PyTorch</c:v>
                </c:pt>
                <c:pt idx="17">
                  <c:v>R</c:v>
                </c:pt>
                <c:pt idx="18">
                  <c:v>Reinforcement Learning</c:v>
                </c:pt>
                <c:pt idx="19">
                  <c:v>Scikit-learn</c:v>
                </c:pt>
                <c:pt idx="20">
                  <c:v>SQL</c:v>
                </c:pt>
                <c:pt idx="21">
                  <c:v>TensorFlow</c:v>
                </c:pt>
              </c:strCache>
            </c:strRef>
          </c:cat>
          <c:val>
            <c:numRef>
              <c:f>'Pivot Tables'!$BK$4:$BK$26</c:f>
              <c:numCache>
                <c:formatCode>General</c:formatCode>
                <c:ptCount val="22"/>
                <c:pt idx="0">
                  <c:v>32</c:v>
                </c:pt>
                <c:pt idx="1">
                  <c:v>36</c:v>
                </c:pt>
                <c:pt idx="2">
                  <c:v>30</c:v>
                </c:pt>
                <c:pt idx="3">
                  <c:v>21</c:v>
                </c:pt>
                <c:pt idx="4">
                  <c:v>27</c:v>
                </c:pt>
                <c:pt idx="5">
                  <c:v>32</c:v>
                </c:pt>
                <c:pt idx="6">
                  <c:v>26</c:v>
                </c:pt>
                <c:pt idx="7">
                  <c:v>28</c:v>
                </c:pt>
                <c:pt idx="8">
                  <c:v>35</c:v>
                </c:pt>
                <c:pt idx="9">
                  <c:v>36</c:v>
                </c:pt>
                <c:pt idx="10">
                  <c:v>28</c:v>
                </c:pt>
                <c:pt idx="11">
                  <c:v>26</c:v>
                </c:pt>
                <c:pt idx="12">
                  <c:v>35</c:v>
                </c:pt>
                <c:pt idx="13">
                  <c:v>17</c:v>
                </c:pt>
                <c:pt idx="14">
                  <c:v>36</c:v>
                </c:pt>
                <c:pt idx="15">
                  <c:v>33</c:v>
                </c:pt>
                <c:pt idx="16">
                  <c:v>28</c:v>
                </c:pt>
                <c:pt idx="17">
                  <c:v>35</c:v>
                </c:pt>
                <c:pt idx="18">
                  <c:v>36</c:v>
                </c:pt>
                <c:pt idx="19">
                  <c:v>22</c:v>
                </c:pt>
                <c:pt idx="20">
                  <c:v>26</c:v>
                </c:pt>
                <c:pt idx="21">
                  <c:v>32</c:v>
                </c:pt>
              </c:numCache>
            </c:numRef>
          </c:val>
          <c:extLst>
            <c:ext xmlns:c16="http://schemas.microsoft.com/office/drawing/2014/chart" uri="{C3380CC4-5D6E-409C-BE32-E72D297353CC}">
              <c16:uniqueId val="{00000008-F686-464C-9ACD-315A07195287}"/>
            </c:ext>
          </c:extLst>
        </c:ser>
        <c:ser>
          <c:idx val="1"/>
          <c:order val="1"/>
          <c:tx>
            <c:strRef>
              <c:f>'Pivot Tables'!$BL$2:$BL$3</c:f>
              <c:strCache>
                <c:ptCount val="1"/>
                <c:pt idx="0">
                  <c:v>Mid</c:v>
                </c:pt>
              </c:strCache>
            </c:strRef>
          </c:tx>
          <c:spPr>
            <a:solidFill>
              <a:schemeClr val="accent2"/>
            </a:solidFill>
            <a:ln>
              <a:noFill/>
            </a:ln>
            <a:effectLst/>
          </c:spPr>
          <c:invertIfNegative val="0"/>
          <c:cat>
            <c:strRef>
              <c:f>'Pivot Tables'!$BJ$4:$BJ$26</c:f>
              <c:strCache>
                <c:ptCount val="22"/>
                <c:pt idx="0">
                  <c:v>AWS</c:v>
                </c:pt>
                <c:pt idx="1">
                  <c:v>Azure</c:v>
                </c:pt>
                <c:pt idx="2">
                  <c:v>C++</c:v>
                </c:pt>
                <c:pt idx="3">
                  <c:v>CUDA</c:v>
                </c:pt>
                <c:pt idx="4">
                  <c:v>Excel</c:v>
                </c:pt>
                <c:pt idx="5">
                  <c:v>FastAPI</c:v>
                </c:pt>
                <c:pt idx="6">
                  <c:v>Flask</c:v>
                </c:pt>
                <c:pt idx="7">
                  <c:v>GCP</c:v>
                </c:pt>
                <c:pt idx="8">
                  <c:v>Hugging Face</c:v>
                </c:pt>
                <c:pt idx="9">
                  <c:v>Keras</c:v>
                </c:pt>
                <c:pt idx="10">
                  <c:v>LangChain</c:v>
                </c:pt>
                <c:pt idx="11">
                  <c:v>MLflow</c:v>
                </c:pt>
                <c:pt idx="12">
                  <c:v>NumPy</c:v>
                </c:pt>
                <c:pt idx="13">
                  <c:v>Pandas</c:v>
                </c:pt>
                <c:pt idx="14">
                  <c:v>Power BI</c:v>
                </c:pt>
                <c:pt idx="15">
                  <c:v>Python</c:v>
                </c:pt>
                <c:pt idx="16">
                  <c:v>PyTorch</c:v>
                </c:pt>
                <c:pt idx="17">
                  <c:v>R</c:v>
                </c:pt>
                <c:pt idx="18">
                  <c:v>Reinforcement Learning</c:v>
                </c:pt>
                <c:pt idx="19">
                  <c:v>Scikit-learn</c:v>
                </c:pt>
                <c:pt idx="20">
                  <c:v>SQL</c:v>
                </c:pt>
                <c:pt idx="21">
                  <c:v>TensorFlow</c:v>
                </c:pt>
              </c:strCache>
            </c:strRef>
          </c:cat>
          <c:val>
            <c:numRef>
              <c:f>'Pivot Tables'!$BL$4:$BL$26</c:f>
              <c:numCache>
                <c:formatCode>General</c:formatCode>
                <c:ptCount val="22"/>
                <c:pt idx="0">
                  <c:v>34</c:v>
                </c:pt>
                <c:pt idx="1">
                  <c:v>31</c:v>
                </c:pt>
                <c:pt idx="2">
                  <c:v>31</c:v>
                </c:pt>
                <c:pt idx="3">
                  <c:v>28</c:v>
                </c:pt>
                <c:pt idx="4">
                  <c:v>39</c:v>
                </c:pt>
                <c:pt idx="5">
                  <c:v>42</c:v>
                </c:pt>
                <c:pt idx="6">
                  <c:v>33</c:v>
                </c:pt>
                <c:pt idx="7">
                  <c:v>23</c:v>
                </c:pt>
                <c:pt idx="8">
                  <c:v>24</c:v>
                </c:pt>
                <c:pt idx="9">
                  <c:v>31</c:v>
                </c:pt>
                <c:pt idx="10">
                  <c:v>29</c:v>
                </c:pt>
                <c:pt idx="11">
                  <c:v>22</c:v>
                </c:pt>
                <c:pt idx="12">
                  <c:v>40</c:v>
                </c:pt>
                <c:pt idx="13">
                  <c:v>24</c:v>
                </c:pt>
                <c:pt idx="14">
                  <c:v>35</c:v>
                </c:pt>
                <c:pt idx="15">
                  <c:v>31</c:v>
                </c:pt>
                <c:pt idx="16">
                  <c:v>32</c:v>
                </c:pt>
                <c:pt idx="17">
                  <c:v>26</c:v>
                </c:pt>
                <c:pt idx="18">
                  <c:v>26</c:v>
                </c:pt>
                <c:pt idx="19">
                  <c:v>28</c:v>
                </c:pt>
                <c:pt idx="20">
                  <c:v>25</c:v>
                </c:pt>
                <c:pt idx="21">
                  <c:v>37</c:v>
                </c:pt>
              </c:numCache>
            </c:numRef>
          </c:val>
          <c:extLst>
            <c:ext xmlns:c16="http://schemas.microsoft.com/office/drawing/2014/chart" uri="{C3380CC4-5D6E-409C-BE32-E72D297353CC}">
              <c16:uniqueId val="{00000014-F686-464C-9ACD-315A07195287}"/>
            </c:ext>
          </c:extLst>
        </c:ser>
        <c:ser>
          <c:idx val="2"/>
          <c:order val="2"/>
          <c:tx>
            <c:strRef>
              <c:f>'Pivot Tables'!$BM$2:$BM$3</c:f>
              <c:strCache>
                <c:ptCount val="1"/>
                <c:pt idx="0">
                  <c:v>Startup</c:v>
                </c:pt>
              </c:strCache>
            </c:strRef>
          </c:tx>
          <c:spPr>
            <a:solidFill>
              <a:schemeClr val="accent3"/>
            </a:solidFill>
            <a:ln>
              <a:noFill/>
            </a:ln>
            <a:effectLst/>
          </c:spPr>
          <c:invertIfNegative val="0"/>
          <c:cat>
            <c:strRef>
              <c:f>'Pivot Tables'!$BJ$4:$BJ$26</c:f>
              <c:strCache>
                <c:ptCount val="22"/>
                <c:pt idx="0">
                  <c:v>AWS</c:v>
                </c:pt>
                <c:pt idx="1">
                  <c:v>Azure</c:v>
                </c:pt>
                <c:pt idx="2">
                  <c:v>C++</c:v>
                </c:pt>
                <c:pt idx="3">
                  <c:v>CUDA</c:v>
                </c:pt>
                <c:pt idx="4">
                  <c:v>Excel</c:v>
                </c:pt>
                <c:pt idx="5">
                  <c:v>FastAPI</c:v>
                </c:pt>
                <c:pt idx="6">
                  <c:v>Flask</c:v>
                </c:pt>
                <c:pt idx="7">
                  <c:v>GCP</c:v>
                </c:pt>
                <c:pt idx="8">
                  <c:v>Hugging Face</c:v>
                </c:pt>
                <c:pt idx="9">
                  <c:v>Keras</c:v>
                </c:pt>
                <c:pt idx="10">
                  <c:v>LangChain</c:v>
                </c:pt>
                <c:pt idx="11">
                  <c:v>MLflow</c:v>
                </c:pt>
                <c:pt idx="12">
                  <c:v>NumPy</c:v>
                </c:pt>
                <c:pt idx="13">
                  <c:v>Pandas</c:v>
                </c:pt>
                <c:pt idx="14">
                  <c:v>Power BI</c:v>
                </c:pt>
                <c:pt idx="15">
                  <c:v>Python</c:v>
                </c:pt>
                <c:pt idx="16">
                  <c:v>PyTorch</c:v>
                </c:pt>
                <c:pt idx="17">
                  <c:v>R</c:v>
                </c:pt>
                <c:pt idx="18">
                  <c:v>Reinforcement Learning</c:v>
                </c:pt>
                <c:pt idx="19">
                  <c:v>Scikit-learn</c:v>
                </c:pt>
                <c:pt idx="20">
                  <c:v>SQL</c:v>
                </c:pt>
                <c:pt idx="21">
                  <c:v>TensorFlow</c:v>
                </c:pt>
              </c:strCache>
            </c:strRef>
          </c:cat>
          <c:val>
            <c:numRef>
              <c:f>'Pivot Tables'!$BM$4:$BM$26</c:f>
              <c:numCache>
                <c:formatCode>General</c:formatCode>
                <c:ptCount val="22"/>
                <c:pt idx="0">
                  <c:v>31</c:v>
                </c:pt>
                <c:pt idx="1">
                  <c:v>23</c:v>
                </c:pt>
                <c:pt idx="2">
                  <c:v>23</c:v>
                </c:pt>
                <c:pt idx="3">
                  <c:v>26</c:v>
                </c:pt>
                <c:pt idx="4">
                  <c:v>35</c:v>
                </c:pt>
                <c:pt idx="5">
                  <c:v>37</c:v>
                </c:pt>
                <c:pt idx="6">
                  <c:v>27</c:v>
                </c:pt>
                <c:pt idx="7">
                  <c:v>27</c:v>
                </c:pt>
                <c:pt idx="8">
                  <c:v>30</c:v>
                </c:pt>
                <c:pt idx="9">
                  <c:v>29</c:v>
                </c:pt>
                <c:pt idx="10">
                  <c:v>43</c:v>
                </c:pt>
                <c:pt idx="11">
                  <c:v>32</c:v>
                </c:pt>
                <c:pt idx="12">
                  <c:v>29</c:v>
                </c:pt>
                <c:pt idx="13">
                  <c:v>37</c:v>
                </c:pt>
                <c:pt idx="14">
                  <c:v>25</c:v>
                </c:pt>
                <c:pt idx="15">
                  <c:v>30</c:v>
                </c:pt>
                <c:pt idx="16">
                  <c:v>32</c:v>
                </c:pt>
                <c:pt idx="17">
                  <c:v>25</c:v>
                </c:pt>
                <c:pt idx="18">
                  <c:v>42</c:v>
                </c:pt>
                <c:pt idx="19">
                  <c:v>26</c:v>
                </c:pt>
                <c:pt idx="20">
                  <c:v>37</c:v>
                </c:pt>
                <c:pt idx="21">
                  <c:v>26</c:v>
                </c:pt>
              </c:numCache>
            </c:numRef>
          </c:val>
          <c:extLst>
            <c:ext xmlns:c16="http://schemas.microsoft.com/office/drawing/2014/chart" uri="{C3380CC4-5D6E-409C-BE32-E72D297353CC}">
              <c16:uniqueId val="{00000015-F686-464C-9ACD-315A07195287}"/>
            </c:ext>
          </c:extLst>
        </c:ser>
        <c:dLbls>
          <c:showLegendKey val="0"/>
          <c:showVal val="0"/>
          <c:showCatName val="0"/>
          <c:showSerName val="0"/>
          <c:showPercent val="0"/>
          <c:showBubbleSize val="0"/>
        </c:dLbls>
        <c:gapWidth val="219"/>
        <c:overlap val="-27"/>
        <c:axId val="391001264"/>
        <c:axId val="390988304"/>
      </c:barChart>
      <c:catAx>
        <c:axId val="39100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988304"/>
        <c:crosses val="autoZero"/>
        <c:auto val="1"/>
        <c:lblAlgn val="ctr"/>
        <c:lblOffset val="100"/>
        <c:noMultiLvlLbl val="0"/>
      </c:catAx>
      <c:valAx>
        <c:axId val="390988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001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[AI_Market Dashboard.xlsx]Pivot Tables!PivotTable41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Tables'!$AI$40:$AI$41</c:f>
              <c:strCache>
                <c:ptCount val="1"/>
                <c:pt idx="0">
                  <c:v>AWS</c:v>
                </c:pt>
              </c:strCache>
            </c:strRef>
          </c:tx>
          <c:spPr>
            <a:solidFill>
              <a:schemeClr val="accent1"/>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Tables'!$AI$42:$AI$49</c:f>
              <c:numCache>
                <c:formatCode>General</c:formatCode>
                <c:ptCount val="7"/>
                <c:pt idx="0">
                  <c:v>16</c:v>
                </c:pt>
                <c:pt idx="1">
                  <c:v>13</c:v>
                </c:pt>
                <c:pt idx="2">
                  <c:v>14</c:v>
                </c:pt>
                <c:pt idx="3">
                  <c:v>14</c:v>
                </c:pt>
                <c:pt idx="4">
                  <c:v>10</c:v>
                </c:pt>
                <c:pt idx="5">
                  <c:v>15</c:v>
                </c:pt>
                <c:pt idx="6">
                  <c:v>15</c:v>
                </c:pt>
              </c:numCache>
            </c:numRef>
          </c:val>
          <c:extLst>
            <c:ext xmlns:c16="http://schemas.microsoft.com/office/drawing/2014/chart" uri="{C3380CC4-5D6E-409C-BE32-E72D297353CC}">
              <c16:uniqueId val="{00000010-59FC-4ED4-8743-8FA2D1BC4E64}"/>
            </c:ext>
          </c:extLst>
        </c:ser>
        <c:ser>
          <c:idx val="1"/>
          <c:order val="1"/>
          <c:tx>
            <c:strRef>
              <c:f>'Pivot Tables'!$AJ$40:$AJ$41</c:f>
              <c:strCache>
                <c:ptCount val="1"/>
                <c:pt idx="0">
                  <c:v>Azure</c:v>
                </c:pt>
              </c:strCache>
            </c:strRef>
          </c:tx>
          <c:spPr>
            <a:solidFill>
              <a:schemeClr val="accent2"/>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Tables'!$AJ$42:$AJ$49</c:f>
              <c:numCache>
                <c:formatCode>General</c:formatCode>
                <c:ptCount val="7"/>
                <c:pt idx="0">
                  <c:v>13</c:v>
                </c:pt>
                <c:pt idx="1">
                  <c:v>15</c:v>
                </c:pt>
                <c:pt idx="2">
                  <c:v>19</c:v>
                </c:pt>
                <c:pt idx="3">
                  <c:v>9</c:v>
                </c:pt>
                <c:pt idx="4">
                  <c:v>12</c:v>
                </c:pt>
                <c:pt idx="5">
                  <c:v>12</c:v>
                </c:pt>
                <c:pt idx="6">
                  <c:v>10</c:v>
                </c:pt>
              </c:numCache>
            </c:numRef>
          </c:val>
          <c:extLst>
            <c:ext xmlns:c16="http://schemas.microsoft.com/office/drawing/2014/chart" uri="{C3380CC4-5D6E-409C-BE32-E72D297353CC}">
              <c16:uniqueId val="{0000002E-59FC-4ED4-8743-8FA2D1BC4E64}"/>
            </c:ext>
          </c:extLst>
        </c:ser>
        <c:ser>
          <c:idx val="2"/>
          <c:order val="2"/>
          <c:tx>
            <c:strRef>
              <c:f>'Pivot Tables'!$AK$40:$AK$41</c:f>
              <c:strCache>
                <c:ptCount val="1"/>
                <c:pt idx="0">
                  <c:v>C++</c:v>
                </c:pt>
              </c:strCache>
            </c:strRef>
          </c:tx>
          <c:spPr>
            <a:solidFill>
              <a:schemeClr val="accent3"/>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Tables'!$AK$42:$AK$49</c:f>
              <c:numCache>
                <c:formatCode>General</c:formatCode>
                <c:ptCount val="7"/>
                <c:pt idx="0">
                  <c:v>13</c:v>
                </c:pt>
                <c:pt idx="1">
                  <c:v>9</c:v>
                </c:pt>
                <c:pt idx="2">
                  <c:v>15</c:v>
                </c:pt>
                <c:pt idx="3">
                  <c:v>9</c:v>
                </c:pt>
                <c:pt idx="4">
                  <c:v>13</c:v>
                </c:pt>
                <c:pt idx="5">
                  <c:v>15</c:v>
                </c:pt>
                <c:pt idx="6">
                  <c:v>10</c:v>
                </c:pt>
              </c:numCache>
            </c:numRef>
          </c:val>
          <c:extLst>
            <c:ext xmlns:c16="http://schemas.microsoft.com/office/drawing/2014/chart" uri="{C3380CC4-5D6E-409C-BE32-E72D297353CC}">
              <c16:uniqueId val="{0000002F-59FC-4ED4-8743-8FA2D1BC4E64}"/>
            </c:ext>
          </c:extLst>
        </c:ser>
        <c:ser>
          <c:idx val="3"/>
          <c:order val="3"/>
          <c:tx>
            <c:strRef>
              <c:f>'Pivot Tables'!$AL$40:$AL$41</c:f>
              <c:strCache>
                <c:ptCount val="1"/>
                <c:pt idx="0">
                  <c:v>CUDA</c:v>
                </c:pt>
              </c:strCache>
            </c:strRef>
          </c:tx>
          <c:spPr>
            <a:solidFill>
              <a:schemeClr val="accent4"/>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Tables'!$AL$42:$AL$49</c:f>
              <c:numCache>
                <c:formatCode>General</c:formatCode>
                <c:ptCount val="7"/>
                <c:pt idx="0">
                  <c:v>16</c:v>
                </c:pt>
                <c:pt idx="1">
                  <c:v>8</c:v>
                </c:pt>
                <c:pt idx="2">
                  <c:v>7</c:v>
                </c:pt>
                <c:pt idx="3">
                  <c:v>11</c:v>
                </c:pt>
                <c:pt idx="4">
                  <c:v>10</c:v>
                </c:pt>
                <c:pt idx="5">
                  <c:v>12</c:v>
                </c:pt>
                <c:pt idx="6">
                  <c:v>11</c:v>
                </c:pt>
              </c:numCache>
            </c:numRef>
          </c:val>
          <c:extLst>
            <c:ext xmlns:c16="http://schemas.microsoft.com/office/drawing/2014/chart" uri="{C3380CC4-5D6E-409C-BE32-E72D297353CC}">
              <c16:uniqueId val="{00000030-59FC-4ED4-8743-8FA2D1BC4E64}"/>
            </c:ext>
          </c:extLst>
        </c:ser>
        <c:ser>
          <c:idx val="4"/>
          <c:order val="4"/>
          <c:tx>
            <c:strRef>
              <c:f>'Pivot Tables'!$AM$40:$AM$41</c:f>
              <c:strCache>
                <c:ptCount val="1"/>
                <c:pt idx="0">
                  <c:v>Excel</c:v>
                </c:pt>
              </c:strCache>
            </c:strRef>
          </c:tx>
          <c:spPr>
            <a:solidFill>
              <a:schemeClr val="accent5"/>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Tables'!$AM$42:$AM$49</c:f>
              <c:numCache>
                <c:formatCode>General</c:formatCode>
                <c:ptCount val="7"/>
                <c:pt idx="0">
                  <c:v>14</c:v>
                </c:pt>
                <c:pt idx="1">
                  <c:v>19</c:v>
                </c:pt>
                <c:pt idx="2">
                  <c:v>10</c:v>
                </c:pt>
                <c:pt idx="3">
                  <c:v>15</c:v>
                </c:pt>
                <c:pt idx="4">
                  <c:v>13</c:v>
                </c:pt>
                <c:pt idx="5">
                  <c:v>14</c:v>
                </c:pt>
                <c:pt idx="6">
                  <c:v>16</c:v>
                </c:pt>
              </c:numCache>
            </c:numRef>
          </c:val>
          <c:extLst>
            <c:ext xmlns:c16="http://schemas.microsoft.com/office/drawing/2014/chart" uri="{C3380CC4-5D6E-409C-BE32-E72D297353CC}">
              <c16:uniqueId val="{00000031-59FC-4ED4-8743-8FA2D1BC4E64}"/>
            </c:ext>
          </c:extLst>
        </c:ser>
        <c:ser>
          <c:idx val="5"/>
          <c:order val="5"/>
          <c:tx>
            <c:strRef>
              <c:f>'Pivot Tables'!$AN$40:$AN$41</c:f>
              <c:strCache>
                <c:ptCount val="1"/>
                <c:pt idx="0">
                  <c:v>FastAPI</c:v>
                </c:pt>
              </c:strCache>
            </c:strRef>
          </c:tx>
          <c:spPr>
            <a:solidFill>
              <a:schemeClr val="accent6"/>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Tables'!$AN$42:$AN$49</c:f>
              <c:numCache>
                <c:formatCode>General</c:formatCode>
                <c:ptCount val="7"/>
                <c:pt idx="0">
                  <c:v>11</c:v>
                </c:pt>
                <c:pt idx="1">
                  <c:v>23</c:v>
                </c:pt>
                <c:pt idx="2">
                  <c:v>22</c:v>
                </c:pt>
                <c:pt idx="3">
                  <c:v>16</c:v>
                </c:pt>
                <c:pt idx="4">
                  <c:v>13</c:v>
                </c:pt>
                <c:pt idx="5">
                  <c:v>15</c:v>
                </c:pt>
                <c:pt idx="6">
                  <c:v>11</c:v>
                </c:pt>
              </c:numCache>
            </c:numRef>
          </c:val>
          <c:extLst>
            <c:ext xmlns:c16="http://schemas.microsoft.com/office/drawing/2014/chart" uri="{C3380CC4-5D6E-409C-BE32-E72D297353CC}">
              <c16:uniqueId val="{00000032-59FC-4ED4-8743-8FA2D1BC4E64}"/>
            </c:ext>
          </c:extLst>
        </c:ser>
        <c:ser>
          <c:idx val="6"/>
          <c:order val="6"/>
          <c:tx>
            <c:strRef>
              <c:f>'Pivot Tables'!$AO$40:$AO$41</c:f>
              <c:strCache>
                <c:ptCount val="1"/>
                <c:pt idx="0">
                  <c:v>Flask</c:v>
                </c:pt>
              </c:strCache>
            </c:strRef>
          </c:tx>
          <c:spPr>
            <a:solidFill>
              <a:schemeClr val="accent1">
                <a:lumMod val="60000"/>
              </a:schemeClr>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Tables'!$AO$42:$AO$49</c:f>
              <c:numCache>
                <c:formatCode>General</c:formatCode>
                <c:ptCount val="7"/>
                <c:pt idx="0">
                  <c:v>7</c:v>
                </c:pt>
                <c:pt idx="1">
                  <c:v>15</c:v>
                </c:pt>
                <c:pt idx="2">
                  <c:v>13</c:v>
                </c:pt>
                <c:pt idx="3">
                  <c:v>16</c:v>
                </c:pt>
                <c:pt idx="4">
                  <c:v>10</c:v>
                </c:pt>
                <c:pt idx="5">
                  <c:v>11</c:v>
                </c:pt>
                <c:pt idx="6">
                  <c:v>14</c:v>
                </c:pt>
              </c:numCache>
            </c:numRef>
          </c:val>
          <c:extLst>
            <c:ext xmlns:c16="http://schemas.microsoft.com/office/drawing/2014/chart" uri="{C3380CC4-5D6E-409C-BE32-E72D297353CC}">
              <c16:uniqueId val="{00000033-59FC-4ED4-8743-8FA2D1BC4E64}"/>
            </c:ext>
          </c:extLst>
        </c:ser>
        <c:ser>
          <c:idx val="7"/>
          <c:order val="7"/>
          <c:tx>
            <c:strRef>
              <c:f>'Pivot Tables'!$AP$40:$AP$41</c:f>
              <c:strCache>
                <c:ptCount val="1"/>
                <c:pt idx="0">
                  <c:v>GCP</c:v>
                </c:pt>
              </c:strCache>
            </c:strRef>
          </c:tx>
          <c:spPr>
            <a:solidFill>
              <a:schemeClr val="accent2">
                <a:lumMod val="60000"/>
              </a:schemeClr>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Tables'!$AP$42:$AP$49</c:f>
              <c:numCache>
                <c:formatCode>General</c:formatCode>
                <c:ptCount val="7"/>
                <c:pt idx="0">
                  <c:v>15</c:v>
                </c:pt>
                <c:pt idx="1">
                  <c:v>12</c:v>
                </c:pt>
                <c:pt idx="2">
                  <c:v>8</c:v>
                </c:pt>
                <c:pt idx="3">
                  <c:v>10</c:v>
                </c:pt>
                <c:pt idx="4">
                  <c:v>11</c:v>
                </c:pt>
                <c:pt idx="5">
                  <c:v>13</c:v>
                </c:pt>
                <c:pt idx="6">
                  <c:v>9</c:v>
                </c:pt>
              </c:numCache>
            </c:numRef>
          </c:val>
          <c:extLst>
            <c:ext xmlns:c16="http://schemas.microsoft.com/office/drawing/2014/chart" uri="{C3380CC4-5D6E-409C-BE32-E72D297353CC}">
              <c16:uniqueId val="{00000034-59FC-4ED4-8743-8FA2D1BC4E64}"/>
            </c:ext>
          </c:extLst>
        </c:ser>
        <c:ser>
          <c:idx val="8"/>
          <c:order val="8"/>
          <c:tx>
            <c:strRef>
              <c:f>'Pivot Tables'!$AQ$40:$AQ$41</c:f>
              <c:strCache>
                <c:ptCount val="1"/>
                <c:pt idx="0">
                  <c:v>Hugging Face</c:v>
                </c:pt>
              </c:strCache>
            </c:strRef>
          </c:tx>
          <c:spPr>
            <a:solidFill>
              <a:schemeClr val="accent3">
                <a:lumMod val="60000"/>
              </a:schemeClr>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Tables'!$AQ$42:$AQ$49</c:f>
              <c:numCache>
                <c:formatCode>General</c:formatCode>
                <c:ptCount val="7"/>
                <c:pt idx="0">
                  <c:v>17</c:v>
                </c:pt>
                <c:pt idx="1">
                  <c:v>9</c:v>
                </c:pt>
                <c:pt idx="2">
                  <c:v>15</c:v>
                </c:pt>
                <c:pt idx="3">
                  <c:v>14</c:v>
                </c:pt>
                <c:pt idx="4">
                  <c:v>14</c:v>
                </c:pt>
                <c:pt idx="5">
                  <c:v>13</c:v>
                </c:pt>
                <c:pt idx="6">
                  <c:v>7</c:v>
                </c:pt>
              </c:numCache>
            </c:numRef>
          </c:val>
          <c:extLst>
            <c:ext xmlns:c16="http://schemas.microsoft.com/office/drawing/2014/chart" uri="{C3380CC4-5D6E-409C-BE32-E72D297353CC}">
              <c16:uniqueId val="{00000035-59FC-4ED4-8743-8FA2D1BC4E64}"/>
            </c:ext>
          </c:extLst>
        </c:ser>
        <c:ser>
          <c:idx val="9"/>
          <c:order val="9"/>
          <c:tx>
            <c:strRef>
              <c:f>'Pivot Tables'!$AR$40:$AR$41</c:f>
              <c:strCache>
                <c:ptCount val="1"/>
                <c:pt idx="0">
                  <c:v>Keras</c:v>
                </c:pt>
              </c:strCache>
            </c:strRef>
          </c:tx>
          <c:spPr>
            <a:solidFill>
              <a:schemeClr val="accent4">
                <a:lumMod val="60000"/>
              </a:schemeClr>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Tables'!$AR$42:$AR$49</c:f>
              <c:numCache>
                <c:formatCode>General</c:formatCode>
                <c:ptCount val="7"/>
                <c:pt idx="0">
                  <c:v>16</c:v>
                </c:pt>
                <c:pt idx="1">
                  <c:v>15</c:v>
                </c:pt>
                <c:pt idx="2">
                  <c:v>9</c:v>
                </c:pt>
                <c:pt idx="3">
                  <c:v>11</c:v>
                </c:pt>
                <c:pt idx="4">
                  <c:v>15</c:v>
                </c:pt>
                <c:pt idx="5">
                  <c:v>14</c:v>
                </c:pt>
                <c:pt idx="6">
                  <c:v>16</c:v>
                </c:pt>
              </c:numCache>
            </c:numRef>
          </c:val>
          <c:extLst>
            <c:ext xmlns:c16="http://schemas.microsoft.com/office/drawing/2014/chart" uri="{C3380CC4-5D6E-409C-BE32-E72D297353CC}">
              <c16:uniqueId val="{00000036-59FC-4ED4-8743-8FA2D1BC4E64}"/>
            </c:ext>
          </c:extLst>
        </c:ser>
        <c:ser>
          <c:idx val="10"/>
          <c:order val="10"/>
          <c:tx>
            <c:strRef>
              <c:f>'Pivot Tables'!$AS$40:$AS$41</c:f>
              <c:strCache>
                <c:ptCount val="1"/>
                <c:pt idx="0">
                  <c:v>LangChain</c:v>
                </c:pt>
              </c:strCache>
            </c:strRef>
          </c:tx>
          <c:spPr>
            <a:solidFill>
              <a:schemeClr val="accent5">
                <a:lumMod val="60000"/>
              </a:schemeClr>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Tables'!$AS$42:$AS$49</c:f>
              <c:numCache>
                <c:formatCode>General</c:formatCode>
                <c:ptCount val="7"/>
                <c:pt idx="0">
                  <c:v>14</c:v>
                </c:pt>
                <c:pt idx="1">
                  <c:v>21</c:v>
                </c:pt>
                <c:pt idx="2">
                  <c:v>13</c:v>
                </c:pt>
                <c:pt idx="3">
                  <c:v>12</c:v>
                </c:pt>
                <c:pt idx="4">
                  <c:v>14</c:v>
                </c:pt>
                <c:pt idx="5">
                  <c:v>12</c:v>
                </c:pt>
                <c:pt idx="6">
                  <c:v>14</c:v>
                </c:pt>
              </c:numCache>
            </c:numRef>
          </c:val>
          <c:extLst>
            <c:ext xmlns:c16="http://schemas.microsoft.com/office/drawing/2014/chart" uri="{C3380CC4-5D6E-409C-BE32-E72D297353CC}">
              <c16:uniqueId val="{00000037-59FC-4ED4-8743-8FA2D1BC4E64}"/>
            </c:ext>
          </c:extLst>
        </c:ser>
        <c:ser>
          <c:idx val="11"/>
          <c:order val="11"/>
          <c:tx>
            <c:strRef>
              <c:f>'Pivot Tables'!$AT$40:$AT$41</c:f>
              <c:strCache>
                <c:ptCount val="1"/>
                <c:pt idx="0">
                  <c:v>MLflow</c:v>
                </c:pt>
              </c:strCache>
            </c:strRef>
          </c:tx>
          <c:spPr>
            <a:solidFill>
              <a:schemeClr val="accent6">
                <a:lumMod val="60000"/>
              </a:schemeClr>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Tables'!$AT$42:$AT$49</c:f>
              <c:numCache>
                <c:formatCode>General</c:formatCode>
                <c:ptCount val="7"/>
                <c:pt idx="0">
                  <c:v>13</c:v>
                </c:pt>
                <c:pt idx="1">
                  <c:v>8</c:v>
                </c:pt>
                <c:pt idx="2">
                  <c:v>16</c:v>
                </c:pt>
                <c:pt idx="3">
                  <c:v>11</c:v>
                </c:pt>
                <c:pt idx="4">
                  <c:v>12</c:v>
                </c:pt>
                <c:pt idx="5">
                  <c:v>9</c:v>
                </c:pt>
                <c:pt idx="6">
                  <c:v>11</c:v>
                </c:pt>
              </c:numCache>
            </c:numRef>
          </c:val>
          <c:extLst>
            <c:ext xmlns:c16="http://schemas.microsoft.com/office/drawing/2014/chart" uri="{C3380CC4-5D6E-409C-BE32-E72D297353CC}">
              <c16:uniqueId val="{00000038-59FC-4ED4-8743-8FA2D1BC4E64}"/>
            </c:ext>
          </c:extLst>
        </c:ser>
        <c:ser>
          <c:idx val="12"/>
          <c:order val="12"/>
          <c:tx>
            <c:strRef>
              <c:f>'Pivot Tables'!$AU$40:$AU$41</c:f>
              <c:strCache>
                <c:ptCount val="1"/>
                <c:pt idx="0">
                  <c:v>NumPy</c:v>
                </c:pt>
              </c:strCache>
            </c:strRef>
          </c:tx>
          <c:spPr>
            <a:solidFill>
              <a:schemeClr val="accent1">
                <a:lumMod val="80000"/>
                <a:lumOff val="20000"/>
              </a:schemeClr>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Tables'!$AU$42:$AU$49</c:f>
              <c:numCache>
                <c:formatCode>General</c:formatCode>
                <c:ptCount val="7"/>
                <c:pt idx="0">
                  <c:v>17</c:v>
                </c:pt>
                <c:pt idx="1">
                  <c:v>16</c:v>
                </c:pt>
                <c:pt idx="2">
                  <c:v>16</c:v>
                </c:pt>
                <c:pt idx="3">
                  <c:v>17</c:v>
                </c:pt>
                <c:pt idx="4">
                  <c:v>15</c:v>
                </c:pt>
                <c:pt idx="5">
                  <c:v>8</c:v>
                </c:pt>
                <c:pt idx="6">
                  <c:v>15</c:v>
                </c:pt>
              </c:numCache>
            </c:numRef>
          </c:val>
          <c:extLst>
            <c:ext xmlns:c16="http://schemas.microsoft.com/office/drawing/2014/chart" uri="{C3380CC4-5D6E-409C-BE32-E72D297353CC}">
              <c16:uniqueId val="{00000039-59FC-4ED4-8743-8FA2D1BC4E64}"/>
            </c:ext>
          </c:extLst>
        </c:ser>
        <c:ser>
          <c:idx val="13"/>
          <c:order val="13"/>
          <c:tx>
            <c:strRef>
              <c:f>'Pivot Tables'!$AV$40:$AV$41</c:f>
              <c:strCache>
                <c:ptCount val="1"/>
                <c:pt idx="0">
                  <c:v>Pandas</c:v>
                </c:pt>
              </c:strCache>
            </c:strRef>
          </c:tx>
          <c:spPr>
            <a:solidFill>
              <a:schemeClr val="accent2">
                <a:lumMod val="80000"/>
                <a:lumOff val="20000"/>
              </a:schemeClr>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Tables'!$AV$42:$AV$49</c:f>
              <c:numCache>
                <c:formatCode>General</c:formatCode>
                <c:ptCount val="7"/>
                <c:pt idx="0">
                  <c:v>12</c:v>
                </c:pt>
                <c:pt idx="1">
                  <c:v>14</c:v>
                </c:pt>
                <c:pt idx="2">
                  <c:v>13</c:v>
                </c:pt>
                <c:pt idx="3">
                  <c:v>12</c:v>
                </c:pt>
                <c:pt idx="4">
                  <c:v>17</c:v>
                </c:pt>
                <c:pt idx="5">
                  <c:v>5</c:v>
                </c:pt>
                <c:pt idx="6">
                  <c:v>5</c:v>
                </c:pt>
              </c:numCache>
            </c:numRef>
          </c:val>
          <c:extLst>
            <c:ext xmlns:c16="http://schemas.microsoft.com/office/drawing/2014/chart" uri="{C3380CC4-5D6E-409C-BE32-E72D297353CC}">
              <c16:uniqueId val="{0000003A-59FC-4ED4-8743-8FA2D1BC4E64}"/>
            </c:ext>
          </c:extLst>
        </c:ser>
        <c:ser>
          <c:idx val="14"/>
          <c:order val="14"/>
          <c:tx>
            <c:strRef>
              <c:f>'Pivot Tables'!$AW$40:$AW$41</c:f>
              <c:strCache>
                <c:ptCount val="1"/>
                <c:pt idx="0">
                  <c:v>Power BI</c:v>
                </c:pt>
              </c:strCache>
            </c:strRef>
          </c:tx>
          <c:spPr>
            <a:solidFill>
              <a:schemeClr val="accent3">
                <a:lumMod val="80000"/>
                <a:lumOff val="20000"/>
              </a:schemeClr>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Tables'!$AW$42:$AW$49</c:f>
              <c:numCache>
                <c:formatCode>General</c:formatCode>
                <c:ptCount val="7"/>
                <c:pt idx="0">
                  <c:v>11</c:v>
                </c:pt>
                <c:pt idx="1">
                  <c:v>11</c:v>
                </c:pt>
                <c:pt idx="2">
                  <c:v>18</c:v>
                </c:pt>
                <c:pt idx="3">
                  <c:v>17</c:v>
                </c:pt>
                <c:pt idx="4">
                  <c:v>14</c:v>
                </c:pt>
                <c:pt idx="5">
                  <c:v>9</c:v>
                </c:pt>
                <c:pt idx="6">
                  <c:v>16</c:v>
                </c:pt>
              </c:numCache>
            </c:numRef>
          </c:val>
          <c:extLst>
            <c:ext xmlns:c16="http://schemas.microsoft.com/office/drawing/2014/chart" uri="{C3380CC4-5D6E-409C-BE32-E72D297353CC}">
              <c16:uniqueId val="{0000003B-59FC-4ED4-8743-8FA2D1BC4E64}"/>
            </c:ext>
          </c:extLst>
        </c:ser>
        <c:ser>
          <c:idx val="15"/>
          <c:order val="15"/>
          <c:tx>
            <c:strRef>
              <c:f>'Pivot Tables'!$AX$40:$AX$41</c:f>
              <c:strCache>
                <c:ptCount val="1"/>
                <c:pt idx="0">
                  <c:v>Python</c:v>
                </c:pt>
              </c:strCache>
            </c:strRef>
          </c:tx>
          <c:spPr>
            <a:solidFill>
              <a:schemeClr val="accent4">
                <a:lumMod val="80000"/>
                <a:lumOff val="20000"/>
              </a:schemeClr>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Tables'!$AX$42:$AX$49</c:f>
              <c:numCache>
                <c:formatCode>General</c:formatCode>
                <c:ptCount val="7"/>
                <c:pt idx="0">
                  <c:v>15</c:v>
                </c:pt>
                <c:pt idx="1">
                  <c:v>13</c:v>
                </c:pt>
                <c:pt idx="2">
                  <c:v>14</c:v>
                </c:pt>
                <c:pt idx="3">
                  <c:v>15</c:v>
                </c:pt>
                <c:pt idx="4">
                  <c:v>14</c:v>
                </c:pt>
                <c:pt idx="5">
                  <c:v>14</c:v>
                </c:pt>
                <c:pt idx="6">
                  <c:v>9</c:v>
                </c:pt>
              </c:numCache>
            </c:numRef>
          </c:val>
          <c:extLst>
            <c:ext xmlns:c16="http://schemas.microsoft.com/office/drawing/2014/chart" uri="{C3380CC4-5D6E-409C-BE32-E72D297353CC}">
              <c16:uniqueId val="{0000003C-59FC-4ED4-8743-8FA2D1BC4E64}"/>
            </c:ext>
          </c:extLst>
        </c:ser>
        <c:ser>
          <c:idx val="16"/>
          <c:order val="16"/>
          <c:tx>
            <c:strRef>
              <c:f>'Pivot Tables'!$AY$40:$AY$41</c:f>
              <c:strCache>
                <c:ptCount val="1"/>
                <c:pt idx="0">
                  <c:v>PyTorch</c:v>
                </c:pt>
              </c:strCache>
            </c:strRef>
          </c:tx>
          <c:spPr>
            <a:solidFill>
              <a:schemeClr val="accent5">
                <a:lumMod val="80000"/>
                <a:lumOff val="20000"/>
              </a:schemeClr>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Tables'!$AY$42:$AY$49</c:f>
              <c:numCache>
                <c:formatCode>General</c:formatCode>
                <c:ptCount val="7"/>
                <c:pt idx="0">
                  <c:v>19</c:v>
                </c:pt>
                <c:pt idx="1">
                  <c:v>11</c:v>
                </c:pt>
                <c:pt idx="2">
                  <c:v>11</c:v>
                </c:pt>
                <c:pt idx="3">
                  <c:v>12</c:v>
                </c:pt>
                <c:pt idx="4">
                  <c:v>9</c:v>
                </c:pt>
                <c:pt idx="5">
                  <c:v>12</c:v>
                </c:pt>
                <c:pt idx="6">
                  <c:v>18</c:v>
                </c:pt>
              </c:numCache>
            </c:numRef>
          </c:val>
          <c:extLst>
            <c:ext xmlns:c16="http://schemas.microsoft.com/office/drawing/2014/chart" uri="{C3380CC4-5D6E-409C-BE32-E72D297353CC}">
              <c16:uniqueId val="{0000003D-59FC-4ED4-8743-8FA2D1BC4E64}"/>
            </c:ext>
          </c:extLst>
        </c:ser>
        <c:ser>
          <c:idx val="17"/>
          <c:order val="17"/>
          <c:tx>
            <c:strRef>
              <c:f>'Pivot Tables'!$AZ$40:$AZ$41</c:f>
              <c:strCache>
                <c:ptCount val="1"/>
                <c:pt idx="0">
                  <c:v>R</c:v>
                </c:pt>
              </c:strCache>
            </c:strRef>
          </c:tx>
          <c:spPr>
            <a:solidFill>
              <a:schemeClr val="accent6">
                <a:lumMod val="80000"/>
                <a:lumOff val="20000"/>
              </a:schemeClr>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Tables'!$AZ$42:$AZ$49</c:f>
              <c:numCache>
                <c:formatCode>General</c:formatCode>
                <c:ptCount val="7"/>
                <c:pt idx="0">
                  <c:v>10</c:v>
                </c:pt>
                <c:pt idx="1">
                  <c:v>19</c:v>
                </c:pt>
                <c:pt idx="2">
                  <c:v>11</c:v>
                </c:pt>
                <c:pt idx="3">
                  <c:v>12</c:v>
                </c:pt>
                <c:pt idx="4">
                  <c:v>7</c:v>
                </c:pt>
                <c:pt idx="5">
                  <c:v>16</c:v>
                </c:pt>
                <c:pt idx="6">
                  <c:v>11</c:v>
                </c:pt>
              </c:numCache>
            </c:numRef>
          </c:val>
          <c:extLst>
            <c:ext xmlns:c16="http://schemas.microsoft.com/office/drawing/2014/chart" uri="{C3380CC4-5D6E-409C-BE32-E72D297353CC}">
              <c16:uniqueId val="{0000003E-59FC-4ED4-8743-8FA2D1BC4E64}"/>
            </c:ext>
          </c:extLst>
        </c:ser>
        <c:ser>
          <c:idx val="18"/>
          <c:order val="18"/>
          <c:tx>
            <c:strRef>
              <c:f>'Pivot Tables'!$BA$40:$BA$41</c:f>
              <c:strCache>
                <c:ptCount val="1"/>
                <c:pt idx="0">
                  <c:v>Reinforcement Learning</c:v>
                </c:pt>
              </c:strCache>
            </c:strRef>
          </c:tx>
          <c:spPr>
            <a:solidFill>
              <a:schemeClr val="accent1">
                <a:lumMod val="80000"/>
              </a:schemeClr>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Tables'!$BA$42:$BA$49</c:f>
              <c:numCache>
                <c:formatCode>General</c:formatCode>
                <c:ptCount val="7"/>
                <c:pt idx="0">
                  <c:v>15</c:v>
                </c:pt>
                <c:pt idx="1">
                  <c:v>14</c:v>
                </c:pt>
                <c:pt idx="2">
                  <c:v>14</c:v>
                </c:pt>
                <c:pt idx="3">
                  <c:v>13</c:v>
                </c:pt>
                <c:pt idx="4">
                  <c:v>13</c:v>
                </c:pt>
                <c:pt idx="5">
                  <c:v>20</c:v>
                </c:pt>
                <c:pt idx="6">
                  <c:v>15</c:v>
                </c:pt>
              </c:numCache>
            </c:numRef>
          </c:val>
          <c:extLst>
            <c:ext xmlns:c16="http://schemas.microsoft.com/office/drawing/2014/chart" uri="{C3380CC4-5D6E-409C-BE32-E72D297353CC}">
              <c16:uniqueId val="{0000003F-59FC-4ED4-8743-8FA2D1BC4E64}"/>
            </c:ext>
          </c:extLst>
        </c:ser>
        <c:ser>
          <c:idx val="19"/>
          <c:order val="19"/>
          <c:tx>
            <c:strRef>
              <c:f>'Pivot Tables'!$BB$40:$BB$41</c:f>
              <c:strCache>
                <c:ptCount val="1"/>
                <c:pt idx="0">
                  <c:v>Scikit-learn</c:v>
                </c:pt>
              </c:strCache>
            </c:strRef>
          </c:tx>
          <c:spPr>
            <a:solidFill>
              <a:schemeClr val="accent2">
                <a:lumMod val="80000"/>
              </a:schemeClr>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Tables'!$BB$42:$BB$49</c:f>
              <c:numCache>
                <c:formatCode>General</c:formatCode>
                <c:ptCount val="7"/>
                <c:pt idx="0">
                  <c:v>7</c:v>
                </c:pt>
                <c:pt idx="1">
                  <c:v>7</c:v>
                </c:pt>
                <c:pt idx="2">
                  <c:v>9</c:v>
                </c:pt>
                <c:pt idx="3">
                  <c:v>11</c:v>
                </c:pt>
                <c:pt idx="4">
                  <c:v>11</c:v>
                </c:pt>
                <c:pt idx="5">
                  <c:v>21</c:v>
                </c:pt>
                <c:pt idx="6">
                  <c:v>10</c:v>
                </c:pt>
              </c:numCache>
            </c:numRef>
          </c:val>
          <c:extLst>
            <c:ext xmlns:c16="http://schemas.microsoft.com/office/drawing/2014/chart" uri="{C3380CC4-5D6E-409C-BE32-E72D297353CC}">
              <c16:uniqueId val="{00000040-59FC-4ED4-8743-8FA2D1BC4E64}"/>
            </c:ext>
          </c:extLst>
        </c:ser>
        <c:ser>
          <c:idx val="20"/>
          <c:order val="20"/>
          <c:tx>
            <c:strRef>
              <c:f>'Pivot Tables'!$BC$40:$BC$41</c:f>
              <c:strCache>
                <c:ptCount val="1"/>
                <c:pt idx="0">
                  <c:v>SQL</c:v>
                </c:pt>
              </c:strCache>
            </c:strRef>
          </c:tx>
          <c:spPr>
            <a:solidFill>
              <a:schemeClr val="accent3">
                <a:lumMod val="80000"/>
              </a:schemeClr>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Tables'!$BC$42:$BC$49</c:f>
              <c:numCache>
                <c:formatCode>General</c:formatCode>
                <c:ptCount val="7"/>
                <c:pt idx="0">
                  <c:v>20</c:v>
                </c:pt>
                <c:pt idx="1">
                  <c:v>5</c:v>
                </c:pt>
                <c:pt idx="2">
                  <c:v>14</c:v>
                </c:pt>
                <c:pt idx="3">
                  <c:v>13</c:v>
                </c:pt>
                <c:pt idx="4">
                  <c:v>8</c:v>
                </c:pt>
                <c:pt idx="5">
                  <c:v>15</c:v>
                </c:pt>
                <c:pt idx="6">
                  <c:v>13</c:v>
                </c:pt>
              </c:numCache>
            </c:numRef>
          </c:val>
          <c:extLst>
            <c:ext xmlns:c16="http://schemas.microsoft.com/office/drawing/2014/chart" uri="{C3380CC4-5D6E-409C-BE32-E72D297353CC}">
              <c16:uniqueId val="{00000041-59FC-4ED4-8743-8FA2D1BC4E64}"/>
            </c:ext>
          </c:extLst>
        </c:ser>
        <c:ser>
          <c:idx val="21"/>
          <c:order val="21"/>
          <c:tx>
            <c:strRef>
              <c:f>'Pivot Tables'!$BD$40:$BD$41</c:f>
              <c:strCache>
                <c:ptCount val="1"/>
                <c:pt idx="0">
                  <c:v>TensorFlow</c:v>
                </c:pt>
              </c:strCache>
            </c:strRef>
          </c:tx>
          <c:spPr>
            <a:solidFill>
              <a:schemeClr val="accent4">
                <a:lumMod val="80000"/>
              </a:schemeClr>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Tables'!$BD$42:$BD$49</c:f>
              <c:numCache>
                <c:formatCode>General</c:formatCode>
                <c:ptCount val="7"/>
                <c:pt idx="0">
                  <c:v>9</c:v>
                </c:pt>
                <c:pt idx="1">
                  <c:v>14</c:v>
                </c:pt>
                <c:pt idx="2">
                  <c:v>13</c:v>
                </c:pt>
                <c:pt idx="3">
                  <c:v>9</c:v>
                </c:pt>
                <c:pt idx="4">
                  <c:v>14</c:v>
                </c:pt>
                <c:pt idx="5">
                  <c:v>18</c:v>
                </c:pt>
                <c:pt idx="6">
                  <c:v>18</c:v>
                </c:pt>
              </c:numCache>
            </c:numRef>
          </c:val>
          <c:extLst>
            <c:ext xmlns:c16="http://schemas.microsoft.com/office/drawing/2014/chart" uri="{C3380CC4-5D6E-409C-BE32-E72D297353CC}">
              <c16:uniqueId val="{00000042-59FC-4ED4-8743-8FA2D1BC4E64}"/>
            </c:ext>
          </c:extLst>
        </c:ser>
        <c:dLbls>
          <c:showLegendKey val="0"/>
          <c:showVal val="0"/>
          <c:showCatName val="0"/>
          <c:showSerName val="0"/>
          <c:showPercent val="0"/>
          <c:showBubbleSize val="0"/>
        </c:dLbls>
        <c:gapWidth val="219"/>
        <c:overlap val="-27"/>
        <c:axId val="1746728272"/>
        <c:axId val="1746714832"/>
      </c:barChart>
      <c:catAx>
        <c:axId val="174672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714832"/>
        <c:crosses val="autoZero"/>
        <c:auto val="1"/>
        <c:lblAlgn val="ctr"/>
        <c:lblOffset val="100"/>
        <c:noMultiLvlLbl val="0"/>
      </c:catAx>
      <c:valAx>
        <c:axId val="1746714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72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[AI_Market Dashboard.xlsx]Pivot Tables!PivotTable39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Tables'!$AI$69:$AI$70</c:f>
              <c:strCache>
                <c:ptCount val="1"/>
                <c:pt idx="0">
                  <c:v>BigQuery</c:v>
                </c:pt>
              </c:strCache>
            </c:strRef>
          </c:tx>
          <c:spPr>
            <a:solidFill>
              <a:schemeClr val="accent1"/>
            </a:solidFill>
            <a:ln>
              <a:noFill/>
            </a:ln>
            <a:effectLst/>
          </c:spPr>
          <c:invertIfNegative val="0"/>
          <c:cat>
            <c:strRef>
              <c:f>'Pivot Tables'!$AH$71:$AH$79</c:f>
              <c:strCache>
                <c:ptCount val="8"/>
                <c:pt idx="0">
                  <c:v>AI Product Manager</c:v>
                </c:pt>
                <c:pt idx="1">
                  <c:v>AI Researcher</c:v>
                </c:pt>
                <c:pt idx="2">
                  <c:v>Computer Vision Engineer</c:v>
                </c:pt>
                <c:pt idx="3">
                  <c:v>Data Analyst</c:v>
                </c:pt>
                <c:pt idx="4">
                  <c:v>Data Scientist</c:v>
                </c:pt>
                <c:pt idx="5">
                  <c:v>ML Engineer</c:v>
                </c:pt>
                <c:pt idx="6">
                  <c:v>NLP Engineer</c:v>
                </c:pt>
                <c:pt idx="7">
                  <c:v>Quant Researcher</c:v>
                </c:pt>
              </c:strCache>
            </c:strRef>
          </c:cat>
          <c:val>
            <c:numRef>
              <c:f>'Pivot Tables'!$AI$71:$AI$79</c:f>
              <c:numCache>
                <c:formatCode>General</c:formatCode>
                <c:ptCount val="8"/>
                <c:pt idx="0">
                  <c:v>25</c:v>
                </c:pt>
                <c:pt idx="1">
                  <c:v>31</c:v>
                </c:pt>
                <c:pt idx="2">
                  <c:v>27</c:v>
                </c:pt>
                <c:pt idx="3">
                  <c:v>39</c:v>
                </c:pt>
                <c:pt idx="4">
                  <c:v>32</c:v>
                </c:pt>
                <c:pt idx="5">
                  <c:v>34</c:v>
                </c:pt>
                <c:pt idx="6">
                  <c:v>27</c:v>
                </c:pt>
                <c:pt idx="7">
                  <c:v>23</c:v>
                </c:pt>
              </c:numCache>
            </c:numRef>
          </c:val>
          <c:extLst>
            <c:ext xmlns:c16="http://schemas.microsoft.com/office/drawing/2014/chart" uri="{C3380CC4-5D6E-409C-BE32-E72D297353CC}">
              <c16:uniqueId val="{00000000-EB7E-42EF-A1A1-E90E845F0155}"/>
            </c:ext>
          </c:extLst>
        </c:ser>
        <c:ser>
          <c:idx val="1"/>
          <c:order val="1"/>
          <c:tx>
            <c:strRef>
              <c:f>'Pivot Tables'!$AJ$69:$AJ$70</c:f>
              <c:strCache>
                <c:ptCount val="1"/>
                <c:pt idx="0">
                  <c:v>FastAPI</c:v>
                </c:pt>
              </c:strCache>
            </c:strRef>
          </c:tx>
          <c:spPr>
            <a:solidFill>
              <a:schemeClr val="accent2"/>
            </a:solidFill>
            <a:ln>
              <a:noFill/>
            </a:ln>
            <a:effectLst/>
          </c:spPr>
          <c:invertIfNegative val="0"/>
          <c:cat>
            <c:strRef>
              <c:f>'Pivot Tables'!$AH$71:$AH$79</c:f>
              <c:strCache>
                <c:ptCount val="8"/>
                <c:pt idx="0">
                  <c:v>AI Product Manager</c:v>
                </c:pt>
                <c:pt idx="1">
                  <c:v>AI Researcher</c:v>
                </c:pt>
                <c:pt idx="2">
                  <c:v>Computer Vision Engineer</c:v>
                </c:pt>
                <c:pt idx="3">
                  <c:v>Data Analyst</c:v>
                </c:pt>
                <c:pt idx="4">
                  <c:v>Data Scientist</c:v>
                </c:pt>
                <c:pt idx="5">
                  <c:v>ML Engineer</c:v>
                </c:pt>
                <c:pt idx="6">
                  <c:v>NLP Engineer</c:v>
                </c:pt>
                <c:pt idx="7">
                  <c:v>Quant Researcher</c:v>
                </c:pt>
              </c:strCache>
            </c:strRef>
          </c:cat>
          <c:val>
            <c:numRef>
              <c:f>'Pivot Tables'!$AJ$71:$AJ$79</c:f>
              <c:numCache>
                <c:formatCode>General</c:formatCode>
                <c:ptCount val="8"/>
                <c:pt idx="0">
                  <c:v>32</c:v>
                </c:pt>
                <c:pt idx="1">
                  <c:v>28</c:v>
                </c:pt>
                <c:pt idx="2">
                  <c:v>26</c:v>
                </c:pt>
                <c:pt idx="3">
                  <c:v>31</c:v>
                </c:pt>
                <c:pt idx="4">
                  <c:v>30</c:v>
                </c:pt>
                <c:pt idx="5">
                  <c:v>32</c:v>
                </c:pt>
                <c:pt idx="6">
                  <c:v>45</c:v>
                </c:pt>
                <c:pt idx="7">
                  <c:v>27</c:v>
                </c:pt>
              </c:numCache>
            </c:numRef>
          </c:val>
          <c:extLst>
            <c:ext xmlns:c16="http://schemas.microsoft.com/office/drawing/2014/chart" uri="{C3380CC4-5D6E-409C-BE32-E72D297353CC}">
              <c16:uniqueId val="{00000009-EB7E-42EF-A1A1-E90E845F0155}"/>
            </c:ext>
          </c:extLst>
        </c:ser>
        <c:ser>
          <c:idx val="2"/>
          <c:order val="2"/>
          <c:tx>
            <c:strRef>
              <c:f>'Pivot Tables'!$AK$69:$AK$70</c:f>
              <c:strCache>
                <c:ptCount val="1"/>
                <c:pt idx="0">
                  <c:v>KDB+</c:v>
                </c:pt>
              </c:strCache>
            </c:strRef>
          </c:tx>
          <c:spPr>
            <a:solidFill>
              <a:schemeClr val="accent3"/>
            </a:solidFill>
            <a:ln>
              <a:noFill/>
            </a:ln>
            <a:effectLst/>
          </c:spPr>
          <c:invertIfNegative val="0"/>
          <c:cat>
            <c:strRef>
              <c:f>'Pivot Tables'!$AH$71:$AH$79</c:f>
              <c:strCache>
                <c:ptCount val="8"/>
                <c:pt idx="0">
                  <c:v>AI Product Manager</c:v>
                </c:pt>
                <c:pt idx="1">
                  <c:v>AI Researcher</c:v>
                </c:pt>
                <c:pt idx="2">
                  <c:v>Computer Vision Engineer</c:v>
                </c:pt>
                <c:pt idx="3">
                  <c:v>Data Analyst</c:v>
                </c:pt>
                <c:pt idx="4">
                  <c:v>Data Scientist</c:v>
                </c:pt>
                <c:pt idx="5">
                  <c:v>ML Engineer</c:v>
                </c:pt>
                <c:pt idx="6">
                  <c:v>NLP Engineer</c:v>
                </c:pt>
                <c:pt idx="7">
                  <c:v>Quant Researcher</c:v>
                </c:pt>
              </c:strCache>
            </c:strRef>
          </c:cat>
          <c:val>
            <c:numRef>
              <c:f>'Pivot Tables'!$AK$71:$AK$79</c:f>
              <c:numCache>
                <c:formatCode>General</c:formatCode>
                <c:ptCount val="8"/>
                <c:pt idx="0">
                  <c:v>38</c:v>
                </c:pt>
                <c:pt idx="1">
                  <c:v>24</c:v>
                </c:pt>
                <c:pt idx="2">
                  <c:v>25</c:v>
                </c:pt>
                <c:pt idx="3">
                  <c:v>38</c:v>
                </c:pt>
                <c:pt idx="4">
                  <c:v>29</c:v>
                </c:pt>
                <c:pt idx="5">
                  <c:v>31</c:v>
                </c:pt>
                <c:pt idx="6">
                  <c:v>25</c:v>
                </c:pt>
                <c:pt idx="7">
                  <c:v>37</c:v>
                </c:pt>
              </c:numCache>
            </c:numRef>
          </c:val>
          <c:extLst>
            <c:ext xmlns:c16="http://schemas.microsoft.com/office/drawing/2014/chart" uri="{C3380CC4-5D6E-409C-BE32-E72D297353CC}">
              <c16:uniqueId val="{0000000A-EB7E-42EF-A1A1-E90E845F0155}"/>
            </c:ext>
          </c:extLst>
        </c:ser>
        <c:ser>
          <c:idx val="3"/>
          <c:order val="3"/>
          <c:tx>
            <c:strRef>
              <c:f>'Pivot Tables'!$AL$69:$AL$70</c:f>
              <c:strCache>
                <c:ptCount val="1"/>
                <c:pt idx="0">
                  <c:v>LangChain</c:v>
                </c:pt>
              </c:strCache>
            </c:strRef>
          </c:tx>
          <c:spPr>
            <a:solidFill>
              <a:schemeClr val="accent4"/>
            </a:solidFill>
            <a:ln>
              <a:noFill/>
            </a:ln>
            <a:effectLst/>
          </c:spPr>
          <c:invertIfNegative val="0"/>
          <c:cat>
            <c:strRef>
              <c:f>'Pivot Tables'!$AH$71:$AH$79</c:f>
              <c:strCache>
                <c:ptCount val="8"/>
                <c:pt idx="0">
                  <c:v>AI Product Manager</c:v>
                </c:pt>
                <c:pt idx="1">
                  <c:v>AI Researcher</c:v>
                </c:pt>
                <c:pt idx="2">
                  <c:v>Computer Vision Engineer</c:v>
                </c:pt>
                <c:pt idx="3">
                  <c:v>Data Analyst</c:v>
                </c:pt>
                <c:pt idx="4">
                  <c:v>Data Scientist</c:v>
                </c:pt>
                <c:pt idx="5">
                  <c:v>ML Engineer</c:v>
                </c:pt>
                <c:pt idx="6">
                  <c:v>NLP Engineer</c:v>
                </c:pt>
                <c:pt idx="7">
                  <c:v>Quant Researcher</c:v>
                </c:pt>
              </c:strCache>
            </c:strRef>
          </c:cat>
          <c:val>
            <c:numRef>
              <c:f>'Pivot Tables'!$AL$71:$AL$79</c:f>
              <c:numCache>
                <c:formatCode>General</c:formatCode>
                <c:ptCount val="8"/>
                <c:pt idx="0">
                  <c:v>30</c:v>
                </c:pt>
                <c:pt idx="1">
                  <c:v>35</c:v>
                </c:pt>
                <c:pt idx="2">
                  <c:v>32</c:v>
                </c:pt>
                <c:pt idx="3">
                  <c:v>41</c:v>
                </c:pt>
                <c:pt idx="4">
                  <c:v>32</c:v>
                </c:pt>
                <c:pt idx="5">
                  <c:v>35</c:v>
                </c:pt>
                <c:pt idx="6">
                  <c:v>27</c:v>
                </c:pt>
                <c:pt idx="7">
                  <c:v>36</c:v>
                </c:pt>
              </c:numCache>
            </c:numRef>
          </c:val>
          <c:extLst>
            <c:ext xmlns:c16="http://schemas.microsoft.com/office/drawing/2014/chart" uri="{C3380CC4-5D6E-409C-BE32-E72D297353CC}">
              <c16:uniqueId val="{0000000B-EB7E-42EF-A1A1-E90E845F0155}"/>
            </c:ext>
          </c:extLst>
        </c:ser>
        <c:ser>
          <c:idx val="4"/>
          <c:order val="4"/>
          <c:tx>
            <c:strRef>
              <c:f>'Pivot Tables'!$AM$69:$AM$70</c:f>
              <c:strCache>
                <c:ptCount val="1"/>
                <c:pt idx="0">
                  <c:v>MLflow</c:v>
                </c:pt>
              </c:strCache>
            </c:strRef>
          </c:tx>
          <c:spPr>
            <a:solidFill>
              <a:schemeClr val="accent5"/>
            </a:solidFill>
            <a:ln>
              <a:noFill/>
            </a:ln>
            <a:effectLst/>
          </c:spPr>
          <c:invertIfNegative val="0"/>
          <c:cat>
            <c:strRef>
              <c:f>'Pivot Tables'!$AH$71:$AH$79</c:f>
              <c:strCache>
                <c:ptCount val="8"/>
                <c:pt idx="0">
                  <c:v>AI Product Manager</c:v>
                </c:pt>
                <c:pt idx="1">
                  <c:v>AI Researcher</c:v>
                </c:pt>
                <c:pt idx="2">
                  <c:v>Computer Vision Engineer</c:v>
                </c:pt>
                <c:pt idx="3">
                  <c:v>Data Analyst</c:v>
                </c:pt>
                <c:pt idx="4">
                  <c:v>Data Scientist</c:v>
                </c:pt>
                <c:pt idx="5">
                  <c:v>ML Engineer</c:v>
                </c:pt>
                <c:pt idx="6">
                  <c:v>NLP Engineer</c:v>
                </c:pt>
                <c:pt idx="7">
                  <c:v>Quant Researcher</c:v>
                </c:pt>
              </c:strCache>
            </c:strRef>
          </c:cat>
          <c:val>
            <c:numRef>
              <c:f>'Pivot Tables'!$AM$71:$AM$79</c:f>
              <c:numCache>
                <c:formatCode>General</c:formatCode>
                <c:ptCount val="8"/>
                <c:pt idx="0">
                  <c:v>33</c:v>
                </c:pt>
                <c:pt idx="1">
                  <c:v>32</c:v>
                </c:pt>
                <c:pt idx="2">
                  <c:v>30</c:v>
                </c:pt>
                <c:pt idx="3">
                  <c:v>31</c:v>
                </c:pt>
                <c:pt idx="4">
                  <c:v>30</c:v>
                </c:pt>
                <c:pt idx="5">
                  <c:v>28</c:v>
                </c:pt>
                <c:pt idx="6">
                  <c:v>46</c:v>
                </c:pt>
                <c:pt idx="7">
                  <c:v>29</c:v>
                </c:pt>
              </c:numCache>
            </c:numRef>
          </c:val>
          <c:extLst>
            <c:ext xmlns:c16="http://schemas.microsoft.com/office/drawing/2014/chart" uri="{C3380CC4-5D6E-409C-BE32-E72D297353CC}">
              <c16:uniqueId val="{0000000C-EB7E-42EF-A1A1-E90E845F0155}"/>
            </c:ext>
          </c:extLst>
        </c:ser>
        <c:ser>
          <c:idx val="5"/>
          <c:order val="5"/>
          <c:tx>
            <c:strRef>
              <c:f>'Pivot Tables'!$AN$69:$AN$70</c:f>
              <c:strCache>
                <c:ptCount val="1"/>
                <c:pt idx="0">
                  <c:v>PyTorch</c:v>
                </c:pt>
              </c:strCache>
            </c:strRef>
          </c:tx>
          <c:spPr>
            <a:solidFill>
              <a:schemeClr val="accent6"/>
            </a:solidFill>
            <a:ln>
              <a:noFill/>
            </a:ln>
            <a:effectLst/>
          </c:spPr>
          <c:invertIfNegative val="0"/>
          <c:cat>
            <c:strRef>
              <c:f>'Pivot Tables'!$AH$71:$AH$79</c:f>
              <c:strCache>
                <c:ptCount val="8"/>
                <c:pt idx="0">
                  <c:v>AI Product Manager</c:v>
                </c:pt>
                <c:pt idx="1">
                  <c:v>AI Researcher</c:v>
                </c:pt>
                <c:pt idx="2">
                  <c:v>Computer Vision Engineer</c:v>
                </c:pt>
                <c:pt idx="3">
                  <c:v>Data Analyst</c:v>
                </c:pt>
                <c:pt idx="4">
                  <c:v>Data Scientist</c:v>
                </c:pt>
                <c:pt idx="5">
                  <c:v>ML Engineer</c:v>
                </c:pt>
                <c:pt idx="6">
                  <c:v>NLP Engineer</c:v>
                </c:pt>
                <c:pt idx="7">
                  <c:v>Quant Researcher</c:v>
                </c:pt>
              </c:strCache>
            </c:strRef>
          </c:cat>
          <c:val>
            <c:numRef>
              <c:f>'Pivot Tables'!$AN$71:$AN$79</c:f>
              <c:numCache>
                <c:formatCode>General</c:formatCode>
                <c:ptCount val="8"/>
                <c:pt idx="0">
                  <c:v>34</c:v>
                </c:pt>
                <c:pt idx="1">
                  <c:v>28</c:v>
                </c:pt>
                <c:pt idx="2">
                  <c:v>26</c:v>
                </c:pt>
                <c:pt idx="3">
                  <c:v>30</c:v>
                </c:pt>
                <c:pt idx="4">
                  <c:v>23</c:v>
                </c:pt>
                <c:pt idx="5">
                  <c:v>22</c:v>
                </c:pt>
                <c:pt idx="6">
                  <c:v>40</c:v>
                </c:pt>
                <c:pt idx="7">
                  <c:v>30</c:v>
                </c:pt>
              </c:numCache>
            </c:numRef>
          </c:val>
          <c:extLst>
            <c:ext xmlns:c16="http://schemas.microsoft.com/office/drawing/2014/chart" uri="{C3380CC4-5D6E-409C-BE32-E72D297353CC}">
              <c16:uniqueId val="{0000000D-EB7E-42EF-A1A1-E90E845F0155}"/>
            </c:ext>
          </c:extLst>
        </c:ser>
        <c:ser>
          <c:idx val="6"/>
          <c:order val="6"/>
          <c:tx>
            <c:strRef>
              <c:f>'Pivot Tables'!$AO$69:$AO$70</c:f>
              <c:strCache>
                <c:ptCount val="1"/>
                <c:pt idx="0">
                  <c:v>Scikit-learn</c:v>
                </c:pt>
              </c:strCache>
            </c:strRef>
          </c:tx>
          <c:spPr>
            <a:solidFill>
              <a:schemeClr val="accent1">
                <a:lumMod val="60000"/>
              </a:schemeClr>
            </a:solidFill>
            <a:ln>
              <a:noFill/>
            </a:ln>
            <a:effectLst/>
          </c:spPr>
          <c:invertIfNegative val="0"/>
          <c:cat>
            <c:strRef>
              <c:f>'Pivot Tables'!$AH$71:$AH$79</c:f>
              <c:strCache>
                <c:ptCount val="8"/>
                <c:pt idx="0">
                  <c:v>AI Product Manager</c:v>
                </c:pt>
                <c:pt idx="1">
                  <c:v>AI Researcher</c:v>
                </c:pt>
                <c:pt idx="2">
                  <c:v>Computer Vision Engineer</c:v>
                </c:pt>
                <c:pt idx="3">
                  <c:v>Data Analyst</c:v>
                </c:pt>
                <c:pt idx="4">
                  <c:v>Data Scientist</c:v>
                </c:pt>
                <c:pt idx="5">
                  <c:v>ML Engineer</c:v>
                </c:pt>
                <c:pt idx="6">
                  <c:v>NLP Engineer</c:v>
                </c:pt>
                <c:pt idx="7">
                  <c:v>Quant Researcher</c:v>
                </c:pt>
              </c:strCache>
            </c:strRef>
          </c:cat>
          <c:val>
            <c:numRef>
              <c:f>'Pivot Tables'!$AO$71:$AO$79</c:f>
              <c:numCache>
                <c:formatCode>General</c:formatCode>
                <c:ptCount val="8"/>
                <c:pt idx="0">
                  <c:v>34</c:v>
                </c:pt>
                <c:pt idx="1">
                  <c:v>30</c:v>
                </c:pt>
                <c:pt idx="2">
                  <c:v>29</c:v>
                </c:pt>
                <c:pt idx="3">
                  <c:v>32</c:v>
                </c:pt>
                <c:pt idx="4">
                  <c:v>31</c:v>
                </c:pt>
                <c:pt idx="5">
                  <c:v>36</c:v>
                </c:pt>
                <c:pt idx="6">
                  <c:v>27</c:v>
                </c:pt>
                <c:pt idx="7">
                  <c:v>36</c:v>
                </c:pt>
              </c:numCache>
            </c:numRef>
          </c:val>
          <c:extLst>
            <c:ext xmlns:c16="http://schemas.microsoft.com/office/drawing/2014/chart" uri="{C3380CC4-5D6E-409C-BE32-E72D297353CC}">
              <c16:uniqueId val="{0000000E-EB7E-42EF-A1A1-E90E845F0155}"/>
            </c:ext>
          </c:extLst>
        </c:ser>
        <c:ser>
          <c:idx val="7"/>
          <c:order val="7"/>
          <c:tx>
            <c:strRef>
              <c:f>'Pivot Tables'!$AP$69:$AP$70</c:f>
              <c:strCache>
                <c:ptCount val="1"/>
                <c:pt idx="0">
                  <c:v>TensorFlow</c:v>
                </c:pt>
              </c:strCache>
            </c:strRef>
          </c:tx>
          <c:spPr>
            <a:solidFill>
              <a:schemeClr val="accent2">
                <a:lumMod val="60000"/>
              </a:schemeClr>
            </a:solidFill>
            <a:ln>
              <a:noFill/>
            </a:ln>
            <a:effectLst/>
          </c:spPr>
          <c:invertIfNegative val="0"/>
          <c:cat>
            <c:strRef>
              <c:f>'Pivot Tables'!$AH$71:$AH$79</c:f>
              <c:strCache>
                <c:ptCount val="8"/>
                <c:pt idx="0">
                  <c:v>AI Product Manager</c:v>
                </c:pt>
                <c:pt idx="1">
                  <c:v>AI Researcher</c:v>
                </c:pt>
                <c:pt idx="2">
                  <c:v>Computer Vision Engineer</c:v>
                </c:pt>
                <c:pt idx="3">
                  <c:v>Data Analyst</c:v>
                </c:pt>
                <c:pt idx="4">
                  <c:v>Data Scientist</c:v>
                </c:pt>
                <c:pt idx="5">
                  <c:v>ML Engineer</c:v>
                </c:pt>
                <c:pt idx="6">
                  <c:v>NLP Engineer</c:v>
                </c:pt>
                <c:pt idx="7">
                  <c:v>Quant Researcher</c:v>
                </c:pt>
              </c:strCache>
            </c:strRef>
          </c:cat>
          <c:val>
            <c:numRef>
              <c:f>'Pivot Tables'!$AP$71:$AP$79</c:f>
              <c:numCache>
                <c:formatCode>General</c:formatCode>
                <c:ptCount val="8"/>
                <c:pt idx="0">
                  <c:v>32</c:v>
                </c:pt>
                <c:pt idx="1">
                  <c:v>29</c:v>
                </c:pt>
                <c:pt idx="2">
                  <c:v>35</c:v>
                </c:pt>
                <c:pt idx="3">
                  <c:v>29</c:v>
                </c:pt>
                <c:pt idx="4">
                  <c:v>31</c:v>
                </c:pt>
                <c:pt idx="5">
                  <c:v>32</c:v>
                </c:pt>
                <c:pt idx="6">
                  <c:v>28</c:v>
                </c:pt>
                <c:pt idx="7">
                  <c:v>33</c:v>
                </c:pt>
              </c:numCache>
            </c:numRef>
          </c:val>
          <c:extLst>
            <c:ext xmlns:c16="http://schemas.microsoft.com/office/drawing/2014/chart" uri="{C3380CC4-5D6E-409C-BE32-E72D297353CC}">
              <c16:uniqueId val="{0000000F-EB7E-42EF-A1A1-E90E845F0155}"/>
            </c:ext>
          </c:extLst>
        </c:ser>
        <c:dLbls>
          <c:showLegendKey val="0"/>
          <c:showVal val="0"/>
          <c:showCatName val="0"/>
          <c:showSerName val="0"/>
          <c:showPercent val="0"/>
          <c:showBubbleSize val="0"/>
        </c:dLbls>
        <c:gapWidth val="219"/>
        <c:overlap val="-27"/>
        <c:axId val="1549410112"/>
        <c:axId val="1549401952"/>
      </c:barChart>
      <c:catAx>
        <c:axId val="1549410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401952"/>
        <c:crosses val="autoZero"/>
        <c:auto val="1"/>
        <c:lblAlgn val="ctr"/>
        <c:lblOffset val="100"/>
        <c:noMultiLvlLbl val="0"/>
      </c:catAx>
      <c:valAx>
        <c:axId val="1549401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41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[AI_Market Dashboard.xlsx]Pivot Tables!PivotTable1</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Tables'!$BS$2:$BS$3</c:f>
              <c:strCache>
                <c:ptCount val="1"/>
                <c:pt idx="0">
                  <c:v>Entry</c:v>
                </c:pt>
              </c:strCache>
            </c:strRef>
          </c:tx>
          <c:spPr>
            <a:solidFill>
              <a:schemeClr val="accent1"/>
            </a:solidFill>
            <a:ln>
              <a:noFill/>
            </a:ln>
            <a:effectLst/>
            <a:sp3d/>
          </c:spPr>
          <c:invertIfNegative val="0"/>
          <c:cat>
            <c:strRef>
              <c:f>'Pivot Tables'!$BR$4:$BR$7</c:f>
              <c:strCache>
                <c:ptCount val="3"/>
                <c:pt idx="0">
                  <c:v>Large</c:v>
                </c:pt>
                <c:pt idx="1">
                  <c:v>Mid</c:v>
                </c:pt>
                <c:pt idx="2">
                  <c:v>Startup</c:v>
                </c:pt>
              </c:strCache>
            </c:strRef>
          </c:cat>
          <c:val>
            <c:numRef>
              <c:f>'Pivot Tables'!$BS$4:$BS$7</c:f>
              <c:numCache>
                <c:formatCode>General</c:formatCode>
                <c:ptCount val="3"/>
                <c:pt idx="0">
                  <c:v>232</c:v>
                </c:pt>
                <c:pt idx="1">
                  <c:v>250</c:v>
                </c:pt>
                <c:pt idx="2">
                  <c:v>220</c:v>
                </c:pt>
              </c:numCache>
            </c:numRef>
          </c:val>
          <c:extLst>
            <c:ext xmlns:c16="http://schemas.microsoft.com/office/drawing/2014/chart" uri="{C3380CC4-5D6E-409C-BE32-E72D297353CC}">
              <c16:uniqueId val="{00000000-56ED-4848-84AB-061702B4F7B5}"/>
            </c:ext>
          </c:extLst>
        </c:ser>
        <c:ser>
          <c:idx val="1"/>
          <c:order val="1"/>
          <c:tx>
            <c:strRef>
              <c:f>'Pivot Tables'!$BT$2:$BT$3</c:f>
              <c:strCache>
                <c:ptCount val="1"/>
                <c:pt idx="0">
                  <c:v>Mid</c:v>
                </c:pt>
              </c:strCache>
            </c:strRef>
          </c:tx>
          <c:spPr>
            <a:solidFill>
              <a:schemeClr val="accent2"/>
            </a:solidFill>
            <a:ln>
              <a:noFill/>
            </a:ln>
            <a:effectLst/>
            <a:sp3d/>
          </c:spPr>
          <c:invertIfNegative val="0"/>
          <c:cat>
            <c:strRef>
              <c:f>'Pivot Tables'!$BR$4:$BR$7</c:f>
              <c:strCache>
                <c:ptCount val="3"/>
                <c:pt idx="0">
                  <c:v>Large</c:v>
                </c:pt>
                <c:pt idx="1">
                  <c:v>Mid</c:v>
                </c:pt>
                <c:pt idx="2">
                  <c:v>Startup</c:v>
                </c:pt>
              </c:strCache>
            </c:strRef>
          </c:cat>
          <c:val>
            <c:numRef>
              <c:f>'Pivot Tables'!$BT$4:$BT$7</c:f>
              <c:numCache>
                <c:formatCode>General</c:formatCode>
                <c:ptCount val="3"/>
                <c:pt idx="0">
                  <c:v>244</c:v>
                </c:pt>
                <c:pt idx="1">
                  <c:v>217</c:v>
                </c:pt>
                <c:pt idx="2">
                  <c:v>207</c:v>
                </c:pt>
              </c:numCache>
            </c:numRef>
          </c:val>
          <c:extLst>
            <c:ext xmlns:c16="http://schemas.microsoft.com/office/drawing/2014/chart" uri="{C3380CC4-5D6E-409C-BE32-E72D297353CC}">
              <c16:uniqueId val="{00000004-56ED-4848-84AB-061702B4F7B5}"/>
            </c:ext>
          </c:extLst>
        </c:ser>
        <c:ser>
          <c:idx val="2"/>
          <c:order val="2"/>
          <c:tx>
            <c:strRef>
              <c:f>'Pivot Tables'!$BU$2:$BU$3</c:f>
              <c:strCache>
                <c:ptCount val="1"/>
                <c:pt idx="0">
                  <c:v>Senior</c:v>
                </c:pt>
              </c:strCache>
            </c:strRef>
          </c:tx>
          <c:spPr>
            <a:solidFill>
              <a:schemeClr val="accent3"/>
            </a:solidFill>
            <a:ln>
              <a:noFill/>
            </a:ln>
            <a:effectLst/>
            <a:sp3d/>
          </c:spPr>
          <c:invertIfNegative val="0"/>
          <c:cat>
            <c:strRef>
              <c:f>'Pivot Tables'!$BR$4:$BR$7</c:f>
              <c:strCache>
                <c:ptCount val="3"/>
                <c:pt idx="0">
                  <c:v>Large</c:v>
                </c:pt>
                <c:pt idx="1">
                  <c:v>Mid</c:v>
                </c:pt>
                <c:pt idx="2">
                  <c:v>Startup</c:v>
                </c:pt>
              </c:strCache>
            </c:strRef>
          </c:cat>
          <c:val>
            <c:numRef>
              <c:f>'Pivot Tables'!$BU$4:$BU$7</c:f>
              <c:numCache>
                <c:formatCode>General</c:formatCode>
                <c:ptCount val="3"/>
                <c:pt idx="0">
                  <c:v>181</c:v>
                </c:pt>
                <c:pt idx="1">
                  <c:v>204</c:v>
                </c:pt>
                <c:pt idx="2">
                  <c:v>245</c:v>
                </c:pt>
              </c:numCache>
            </c:numRef>
          </c:val>
          <c:extLst>
            <c:ext xmlns:c16="http://schemas.microsoft.com/office/drawing/2014/chart" uri="{C3380CC4-5D6E-409C-BE32-E72D297353CC}">
              <c16:uniqueId val="{00000005-56ED-4848-84AB-061702B4F7B5}"/>
            </c:ext>
          </c:extLst>
        </c:ser>
        <c:dLbls>
          <c:showLegendKey val="0"/>
          <c:showVal val="0"/>
          <c:showCatName val="0"/>
          <c:showSerName val="0"/>
          <c:showPercent val="0"/>
          <c:showBubbleSize val="0"/>
        </c:dLbls>
        <c:gapWidth val="150"/>
        <c:shape val="box"/>
        <c:axId val="1194146255"/>
        <c:axId val="1194132815"/>
        <c:axId val="1087349103"/>
      </c:bar3DChart>
      <c:catAx>
        <c:axId val="1194146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132815"/>
        <c:crosses val="autoZero"/>
        <c:auto val="1"/>
        <c:lblAlgn val="ctr"/>
        <c:lblOffset val="100"/>
        <c:noMultiLvlLbl val="0"/>
      </c:catAx>
      <c:valAx>
        <c:axId val="1194132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146255"/>
        <c:crosses val="autoZero"/>
        <c:crossBetween val="between"/>
      </c:valAx>
      <c:serAx>
        <c:axId val="108734910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13281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[AI_Market Dashboard.xlsx]Pivot Tables!PivotTable31</c:name>
    <c:fmtId val="3"/>
  </c:pivotSource>
  <c:chart>
    <c:title>
      <c:tx>
        <c:rich>
          <a:bodyPr rot="0" spcFirstLastPara="1" vertOverflow="ellipsis" vert="horz" wrap="square" anchor="ctr" anchorCtr="1"/>
          <a:lstStyle/>
          <a:p>
            <a:pPr>
              <a:defRPr lang="en-US" sz="1200" b="0" i="0" u="none" strike="noStrike" kern="1200" spc="0" baseline="0">
                <a:solidFill>
                  <a:schemeClr val="bg1"/>
                </a:solidFill>
                <a:latin typeface="Arial" panose="020B0604020202020204" pitchFamily="34" charset="0"/>
                <a:ea typeface="+mn-ea"/>
                <a:cs typeface="Arial" panose="020B0604020202020204" pitchFamily="34" charset="0"/>
              </a:defRPr>
            </a:pPr>
            <a:r>
              <a:rPr lang="en-US">
                <a:solidFill>
                  <a:schemeClr val="bg1"/>
                </a:solidFill>
                <a:latin typeface="Arial" panose="020B0604020202020204" pitchFamily="34" charset="0"/>
                <a:cs typeface="Arial" panose="020B0604020202020204" pitchFamily="34" charset="0"/>
              </a:rPr>
              <a:t>Average</a:t>
            </a:r>
            <a:r>
              <a:rPr lang="en-US" baseline="0">
                <a:solidFill>
                  <a:schemeClr val="bg1"/>
                </a:solidFill>
                <a:latin typeface="Arial" panose="020B0604020202020204" pitchFamily="34" charset="0"/>
                <a:cs typeface="Arial" panose="020B0604020202020204" pitchFamily="34" charset="0"/>
              </a:rPr>
              <a:t> Salary by Industry</a:t>
            </a:r>
            <a:endParaRPr lang="en-US">
              <a:solidFill>
                <a:schemeClr val="bg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80000">
                <a:srgbClr val="FFFF00"/>
              </a:gs>
              <a:gs pos="32000">
                <a:srgbClr val="7030A0"/>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Tables'!$Y$2</c:f>
              <c:strCache>
                <c:ptCount val="1"/>
                <c:pt idx="0">
                  <c:v>Total</c:v>
                </c:pt>
              </c:strCache>
            </c:strRef>
          </c:tx>
          <c:spPr>
            <a:gradFill flip="none" rotWithShape="1">
              <a:gsLst>
                <a:gs pos="80000">
                  <a:srgbClr val="FFFF00"/>
                </a:gs>
                <a:gs pos="32000">
                  <a:srgbClr val="7030A0"/>
                </a:gs>
              </a:gsLst>
              <a:lin ang="16200000" scaled="1"/>
              <a:tileRect/>
            </a:gradFill>
            <a:ln>
              <a:noFill/>
            </a:ln>
            <a:effectLst/>
          </c:spPr>
          <c:invertIfNegative val="0"/>
          <c:cat>
            <c:strRef>
              <c:f>'Pivot Tables'!$X$3:$X$10</c:f>
              <c:strCache>
                <c:ptCount val="7"/>
                <c:pt idx="0">
                  <c:v>Automotive</c:v>
                </c:pt>
                <c:pt idx="1">
                  <c:v>E-commerce</c:v>
                </c:pt>
                <c:pt idx="2">
                  <c:v>Education</c:v>
                </c:pt>
                <c:pt idx="3">
                  <c:v>Finance</c:v>
                </c:pt>
                <c:pt idx="4">
                  <c:v>Healthcare</c:v>
                </c:pt>
                <c:pt idx="5">
                  <c:v>Retail</c:v>
                </c:pt>
                <c:pt idx="6">
                  <c:v>Tech</c:v>
                </c:pt>
              </c:strCache>
            </c:strRef>
          </c:cat>
          <c:val>
            <c:numRef>
              <c:f>'Pivot Tables'!$Y$3:$Y$10</c:f>
              <c:numCache>
                <c:formatCode>_-[$$-409]* #,##0.00_ ;_-[$$-409]* \-#,##0.00\ ;_-[$$-409]* "-"??_ ;_-@_ </c:formatCode>
                <c:ptCount val="7"/>
                <c:pt idx="0">
                  <c:v>124546.02166666667</c:v>
                </c:pt>
                <c:pt idx="1">
                  <c:v>124745.30240549828</c:v>
                </c:pt>
                <c:pt idx="2">
                  <c:v>121796.69047619047</c:v>
                </c:pt>
                <c:pt idx="3">
                  <c:v>123040.45161290323</c:v>
                </c:pt>
                <c:pt idx="4">
                  <c:v>120964.23977695167</c:v>
                </c:pt>
                <c:pt idx="5">
                  <c:v>122791.28327645051</c:v>
                </c:pt>
                <c:pt idx="6">
                  <c:v>123217.42335766423</c:v>
                </c:pt>
              </c:numCache>
            </c:numRef>
          </c:val>
          <c:extLst>
            <c:ext xmlns:c16="http://schemas.microsoft.com/office/drawing/2014/chart" uri="{C3380CC4-5D6E-409C-BE32-E72D297353CC}">
              <c16:uniqueId val="{00000000-835C-4430-88F3-CAD555AA8966}"/>
            </c:ext>
          </c:extLst>
        </c:ser>
        <c:dLbls>
          <c:showLegendKey val="0"/>
          <c:showVal val="0"/>
          <c:showCatName val="0"/>
          <c:showSerName val="0"/>
          <c:showPercent val="0"/>
          <c:showBubbleSize val="0"/>
        </c:dLbls>
        <c:gapWidth val="110"/>
        <c:overlap val="100"/>
        <c:axId val="555403791"/>
        <c:axId val="555410031"/>
      </c:barChart>
      <c:catAx>
        <c:axId val="555403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555410031"/>
        <c:crosses val="autoZero"/>
        <c:auto val="1"/>
        <c:lblAlgn val="ctr"/>
        <c:lblOffset val="100"/>
        <c:noMultiLvlLbl val="0"/>
      </c:catAx>
      <c:valAx>
        <c:axId val="555410031"/>
        <c:scaling>
          <c:orientation val="minMax"/>
          <c:max val="125000"/>
          <c:min val="120000"/>
        </c:scaling>
        <c:delete val="0"/>
        <c:axPos val="l"/>
        <c:title>
          <c:tx>
            <c:rich>
              <a:bodyPr rot="-5400000" spcFirstLastPara="1" vertOverflow="ellipsis" vert="horz" wrap="square" anchor="ctr" anchorCtr="1"/>
              <a:lstStyle/>
              <a:p>
                <a:pPr>
                  <a:defRPr lang="en-US" sz="1000" b="0" i="0" u="none" strike="noStrike" kern="1200" baseline="0">
                    <a:solidFill>
                      <a:schemeClr val="bg1"/>
                    </a:solidFill>
                    <a:latin typeface="Arial" panose="020B0604020202020204" pitchFamily="34" charset="0"/>
                    <a:ea typeface="+mn-ea"/>
                    <a:cs typeface="Arial" panose="020B0604020202020204" pitchFamily="34" charset="0"/>
                  </a:defRPr>
                </a:pPr>
                <a:r>
                  <a:rPr lang="en-IN">
                    <a:solidFill>
                      <a:schemeClr val="bg1"/>
                    </a:solidFill>
                    <a:latin typeface="Arial" panose="020B0604020202020204" pitchFamily="34" charset="0"/>
                    <a:cs typeface="Arial" panose="020B0604020202020204" pitchFamily="34" charset="0"/>
                  </a:rPr>
                  <a:t>Average Salary</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555403791"/>
        <c:crosses val="autoZero"/>
        <c:crossBetween val="between"/>
        <c:majorUnit val="1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[AI_Market Dashboard.xlsx]Pivot Tables!PivotTable30</c:name>
    <c:fmtId val="13"/>
  </c:pivotSource>
  <c:chart>
    <c:title>
      <c:tx>
        <c:rich>
          <a:bodyPr rot="0" spcFirstLastPara="1" vertOverflow="ellipsis" vert="horz" wrap="square" anchor="ctr" anchorCtr="1"/>
          <a:lstStyle/>
          <a:p>
            <a:pPr>
              <a:defRPr sz="1100" b="0" i="0" u="none" strike="noStrike" kern="1200" spc="0" baseline="0">
                <a:solidFill>
                  <a:schemeClr val="bg1"/>
                </a:solidFill>
                <a:latin typeface="Arial" panose="020B0604020202020204" pitchFamily="34" charset="0"/>
                <a:ea typeface="+mn-ea"/>
                <a:cs typeface="Arial" panose="020B0604020202020204" pitchFamily="34" charset="0"/>
              </a:defRPr>
            </a:pPr>
            <a:r>
              <a:rPr lang="en-IN" sz="1100">
                <a:solidFill>
                  <a:schemeClr val="bg1"/>
                </a:solidFill>
                <a:latin typeface="Arial" panose="020B0604020202020204" pitchFamily="34" charset="0"/>
                <a:cs typeface="Arial" panose="020B0604020202020204" pitchFamily="34" charset="0"/>
              </a:rPr>
              <a:t>Jobs</a:t>
            </a:r>
            <a:r>
              <a:rPr lang="en-IN" sz="1100" baseline="0">
                <a:solidFill>
                  <a:schemeClr val="bg1"/>
                </a:solidFill>
                <a:latin typeface="Arial" panose="020B0604020202020204" pitchFamily="34" charset="0"/>
                <a:cs typeface="Arial" panose="020B0604020202020204" pitchFamily="34" charset="0"/>
              </a:rPr>
              <a:t> by Experience Level</a:t>
            </a:r>
            <a:endParaRPr lang="en-IN" sz="1100">
              <a:solidFill>
                <a:schemeClr val="bg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bg1"/>
              </a:solidFill>
              <a:latin typeface="Arial" panose="020B0604020202020204" pitchFamily="34" charset="0"/>
              <a:ea typeface="+mn-ea"/>
              <a:cs typeface="Arial" panose="020B0604020202020204" pitchFamily="34" charset="0"/>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Tables'!$R$2:$R$3</c:f>
              <c:strCache>
                <c:ptCount val="1"/>
                <c:pt idx="0">
                  <c:v>Entry</c:v>
                </c:pt>
              </c:strCache>
            </c:strRef>
          </c:tx>
          <c:spPr>
            <a:solidFill>
              <a:schemeClr val="accent1"/>
            </a:solidFill>
            <a:ln>
              <a:noFill/>
            </a:ln>
            <a:effectLst/>
          </c:spPr>
          <c:invertIfNegative val="0"/>
          <c:cat>
            <c:strRef>
              <c:f>'Pivot Tables'!$Q$4:$Q$11</c:f>
              <c:strCache>
                <c:ptCount val="7"/>
                <c:pt idx="0">
                  <c:v>Automotive</c:v>
                </c:pt>
                <c:pt idx="1">
                  <c:v>E-commerce</c:v>
                </c:pt>
                <c:pt idx="2">
                  <c:v>Education</c:v>
                </c:pt>
                <c:pt idx="3">
                  <c:v>Finance</c:v>
                </c:pt>
                <c:pt idx="4">
                  <c:v>Healthcare</c:v>
                </c:pt>
                <c:pt idx="5">
                  <c:v>Retail</c:v>
                </c:pt>
                <c:pt idx="6">
                  <c:v>Tech</c:v>
                </c:pt>
              </c:strCache>
            </c:strRef>
          </c:cat>
          <c:val>
            <c:numRef>
              <c:f>'Pivot Tables'!$R$4:$R$11</c:f>
              <c:numCache>
                <c:formatCode>General</c:formatCode>
                <c:ptCount val="7"/>
                <c:pt idx="0">
                  <c:v>109</c:v>
                </c:pt>
                <c:pt idx="1">
                  <c:v>116</c:v>
                </c:pt>
                <c:pt idx="2">
                  <c:v>94</c:v>
                </c:pt>
                <c:pt idx="3">
                  <c:v>99</c:v>
                </c:pt>
                <c:pt idx="4">
                  <c:v>89</c:v>
                </c:pt>
                <c:pt idx="5">
                  <c:v>109</c:v>
                </c:pt>
                <c:pt idx="6">
                  <c:v>86</c:v>
                </c:pt>
              </c:numCache>
            </c:numRef>
          </c:val>
          <c:extLst>
            <c:ext xmlns:c16="http://schemas.microsoft.com/office/drawing/2014/chart" uri="{C3380CC4-5D6E-409C-BE32-E72D297353CC}">
              <c16:uniqueId val="{00000005-DA31-4AEC-B2AA-9E2F5ED4AD45}"/>
            </c:ext>
          </c:extLst>
        </c:ser>
        <c:ser>
          <c:idx val="1"/>
          <c:order val="1"/>
          <c:tx>
            <c:strRef>
              <c:f>'Pivot Tables'!$S$2:$S$3</c:f>
              <c:strCache>
                <c:ptCount val="1"/>
                <c:pt idx="0">
                  <c:v>Mid</c:v>
                </c:pt>
              </c:strCache>
            </c:strRef>
          </c:tx>
          <c:spPr>
            <a:solidFill>
              <a:schemeClr val="accent2"/>
            </a:solidFill>
            <a:ln>
              <a:noFill/>
            </a:ln>
            <a:effectLst/>
          </c:spPr>
          <c:invertIfNegative val="0"/>
          <c:cat>
            <c:strRef>
              <c:f>'Pivot Tables'!$Q$4:$Q$11</c:f>
              <c:strCache>
                <c:ptCount val="7"/>
                <c:pt idx="0">
                  <c:v>Automotive</c:v>
                </c:pt>
                <c:pt idx="1">
                  <c:v>E-commerce</c:v>
                </c:pt>
                <c:pt idx="2">
                  <c:v>Education</c:v>
                </c:pt>
                <c:pt idx="3">
                  <c:v>Finance</c:v>
                </c:pt>
                <c:pt idx="4">
                  <c:v>Healthcare</c:v>
                </c:pt>
                <c:pt idx="5">
                  <c:v>Retail</c:v>
                </c:pt>
                <c:pt idx="6">
                  <c:v>Tech</c:v>
                </c:pt>
              </c:strCache>
            </c:strRef>
          </c:cat>
          <c:val>
            <c:numRef>
              <c:f>'Pivot Tables'!$S$4:$S$11</c:f>
              <c:numCache>
                <c:formatCode>General</c:formatCode>
                <c:ptCount val="7"/>
                <c:pt idx="0">
                  <c:v>93</c:v>
                </c:pt>
                <c:pt idx="1">
                  <c:v>79</c:v>
                </c:pt>
                <c:pt idx="2">
                  <c:v>105</c:v>
                </c:pt>
                <c:pt idx="3">
                  <c:v>98</c:v>
                </c:pt>
                <c:pt idx="4">
                  <c:v>90</c:v>
                </c:pt>
                <c:pt idx="5">
                  <c:v>95</c:v>
                </c:pt>
                <c:pt idx="6">
                  <c:v>108</c:v>
                </c:pt>
              </c:numCache>
            </c:numRef>
          </c:val>
          <c:extLst>
            <c:ext xmlns:c16="http://schemas.microsoft.com/office/drawing/2014/chart" uri="{C3380CC4-5D6E-409C-BE32-E72D297353CC}">
              <c16:uniqueId val="{00000006-DA31-4AEC-B2AA-9E2F5ED4AD45}"/>
            </c:ext>
          </c:extLst>
        </c:ser>
        <c:ser>
          <c:idx val="2"/>
          <c:order val="2"/>
          <c:tx>
            <c:strRef>
              <c:f>'Pivot Tables'!$T$2:$T$3</c:f>
              <c:strCache>
                <c:ptCount val="1"/>
                <c:pt idx="0">
                  <c:v>Senior</c:v>
                </c:pt>
              </c:strCache>
            </c:strRef>
          </c:tx>
          <c:spPr>
            <a:solidFill>
              <a:schemeClr val="accent3"/>
            </a:solidFill>
            <a:ln>
              <a:noFill/>
            </a:ln>
            <a:effectLst/>
          </c:spPr>
          <c:invertIfNegative val="0"/>
          <c:cat>
            <c:strRef>
              <c:f>'Pivot Tables'!$Q$4:$Q$11</c:f>
              <c:strCache>
                <c:ptCount val="7"/>
                <c:pt idx="0">
                  <c:v>Automotive</c:v>
                </c:pt>
                <c:pt idx="1">
                  <c:v>E-commerce</c:v>
                </c:pt>
                <c:pt idx="2">
                  <c:v>Education</c:v>
                </c:pt>
                <c:pt idx="3">
                  <c:v>Finance</c:v>
                </c:pt>
                <c:pt idx="4">
                  <c:v>Healthcare</c:v>
                </c:pt>
                <c:pt idx="5">
                  <c:v>Retail</c:v>
                </c:pt>
                <c:pt idx="6">
                  <c:v>Tech</c:v>
                </c:pt>
              </c:strCache>
            </c:strRef>
          </c:cat>
          <c:val>
            <c:numRef>
              <c:f>'Pivot Tables'!$T$4:$T$11</c:f>
              <c:numCache>
                <c:formatCode>General</c:formatCode>
                <c:ptCount val="7"/>
                <c:pt idx="0">
                  <c:v>98</c:v>
                </c:pt>
                <c:pt idx="1">
                  <c:v>96</c:v>
                </c:pt>
                <c:pt idx="2">
                  <c:v>95</c:v>
                </c:pt>
                <c:pt idx="3">
                  <c:v>82</c:v>
                </c:pt>
                <c:pt idx="4">
                  <c:v>90</c:v>
                </c:pt>
                <c:pt idx="5">
                  <c:v>89</c:v>
                </c:pt>
                <c:pt idx="6">
                  <c:v>80</c:v>
                </c:pt>
              </c:numCache>
            </c:numRef>
          </c:val>
          <c:extLst>
            <c:ext xmlns:c16="http://schemas.microsoft.com/office/drawing/2014/chart" uri="{C3380CC4-5D6E-409C-BE32-E72D297353CC}">
              <c16:uniqueId val="{00000007-DA31-4AEC-B2AA-9E2F5ED4AD45}"/>
            </c:ext>
          </c:extLst>
        </c:ser>
        <c:dLbls>
          <c:showLegendKey val="0"/>
          <c:showVal val="0"/>
          <c:showCatName val="0"/>
          <c:showSerName val="0"/>
          <c:showPercent val="0"/>
          <c:showBubbleSize val="0"/>
        </c:dLbls>
        <c:gapWidth val="150"/>
        <c:axId val="464970896"/>
        <c:axId val="861790656"/>
      </c:barChart>
      <c:catAx>
        <c:axId val="464970896"/>
        <c:scaling>
          <c:orientation val="minMax"/>
        </c:scaling>
        <c:delete val="1"/>
        <c:axPos val="b"/>
        <c:numFmt formatCode="General" sourceLinked="1"/>
        <c:majorTickMark val="none"/>
        <c:minorTickMark val="none"/>
        <c:tickLblPos val="nextTo"/>
        <c:crossAx val="861790656"/>
        <c:crosses val="autoZero"/>
        <c:auto val="1"/>
        <c:lblAlgn val="ctr"/>
        <c:lblOffset val="100"/>
        <c:noMultiLvlLbl val="0"/>
      </c:catAx>
      <c:valAx>
        <c:axId val="8617906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N">
                    <a:solidFill>
                      <a:schemeClr val="bg1"/>
                    </a:solidFill>
                    <a:latin typeface="Arial" panose="020B0604020202020204" pitchFamily="34" charset="0"/>
                    <a:cs typeface="Arial" panose="020B0604020202020204" pitchFamily="34" charset="0"/>
                  </a:rPr>
                  <a:t>Number of Jobs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46497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[AI_Market Dashboard.xlsx]Pivot Tables!PivotTable33</c:name>
    <c:fmtId val="3"/>
  </c:pivotSource>
  <c:chart>
    <c:title>
      <c:tx>
        <c:rich>
          <a:bodyPr rot="0" spcFirstLastPara="1" vertOverflow="ellipsis" vert="horz" wrap="square" anchor="ctr" anchorCtr="1"/>
          <a:lstStyle/>
          <a:p>
            <a:pPr>
              <a:defRPr sz="1100" b="0" i="0" u="none" strike="noStrike" kern="1200" spc="0" baseline="0">
                <a:solidFill>
                  <a:schemeClr val="bg1"/>
                </a:solidFill>
                <a:latin typeface="Arial" panose="020B0604020202020204" pitchFamily="34" charset="0"/>
                <a:ea typeface="+mn-ea"/>
                <a:cs typeface="Arial" panose="020B0604020202020204" pitchFamily="34" charset="0"/>
              </a:defRPr>
            </a:pPr>
            <a:r>
              <a:rPr lang="en-IN" sz="1100">
                <a:solidFill>
                  <a:schemeClr val="bg1"/>
                </a:solidFill>
                <a:latin typeface="Arial" panose="020B0604020202020204" pitchFamily="34" charset="0"/>
                <a:cs typeface="Arial" panose="020B0604020202020204" pitchFamily="34" charset="0"/>
              </a:rPr>
              <a:t>Jobs by Employment Type</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Tables'!$AJ$2:$AJ$3</c:f>
              <c:strCache>
                <c:ptCount val="1"/>
                <c:pt idx="0">
                  <c:v>Contract</c:v>
                </c:pt>
              </c:strCache>
            </c:strRef>
          </c:tx>
          <c:spPr>
            <a:solidFill>
              <a:srgbClr val="FFFF00"/>
            </a:solidFill>
            <a:ln>
              <a:noFill/>
            </a:ln>
            <a:effectLst/>
          </c:spPr>
          <c:invertIfNegative val="0"/>
          <c:cat>
            <c:strRef>
              <c:f>'Pivot Tables'!$AI$4:$AI$11</c:f>
              <c:strCache>
                <c:ptCount val="7"/>
                <c:pt idx="0">
                  <c:v>Automotive</c:v>
                </c:pt>
                <c:pt idx="1">
                  <c:v>E-commerce</c:v>
                </c:pt>
                <c:pt idx="2">
                  <c:v>Education</c:v>
                </c:pt>
                <c:pt idx="3">
                  <c:v>Finance</c:v>
                </c:pt>
                <c:pt idx="4">
                  <c:v>Healthcare</c:v>
                </c:pt>
                <c:pt idx="5">
                  <c:v>Retail</c:v>
                </c:pt>
                <c:pt idx="6">
                  <c:v>Tech</c:v>
                </c:pt>
              </c:strCache>
            </c:strRef>
          </c:cat>
          <c:val>
            <c:numRef>
              <c:f>'Pivot Tables'!$AJ$4:$AJ$11</c:f>
              <c:numCache>
                <c:formatCode>General</c:formatCode>
                <c:ptCount val="7"/>
                <c:pt idx="0">
                  <c:v>72</c:v>
                </c:pt>
                <c:pt idx="1">
                  <c:v>73</c:v>
                </c:pt>
                <c:pt idx="2">
                  <c:v>69</c:v>
                </c:pt>
                <c:pt idx="3">
                  <c:v>71</c:v>
                </c:pt>
                <c:pt idx="4">
                  <c:v>56</c:v>
                </c:pt>
                <c:pt idx="5">
                  <c:v>59</c:v>
                </c:pt>
                <c:pt idx="6">
                  <c:v>65</c:v>
                </c:pt>
              </c:numCache>
            </c:numRef>
          </c:val>
          <c:extLst>
            <c:ext xmlns:c16="http://schemas.microsoft.com/office/drawing/2014/chart" uri="{C3380CC4-5D6E-409C-BE32-E72D297353CC}">
              <c16:uniqueId val="{00000000-5B0A-4879-A3BA-670645D619BA}"/>
            </c:ext>
          </c:extLst>
        </c:ser>
        <c:ser>
          <c:idx val="1"/>
          <c:order val="1"/>
          <c:tx>
            <c:strRef>
              <c:f>'Pivot Tables'!$AK$2:$AK$3</c:f>
              <c:strCache>
                <c:ptCount val="1"/>
                <c:pt idx="0">
                  <c:v>Full-time</c:v>
                </c:pt>
              </c:strCache>
            </c:strRef>
          </c:tx>
          <c:spPr>
            <a:solidFill>
              <a:schemeClr val="accent2"/>
            </a:solidFill>
            <a:ln>
              <a:noFill/>
            </a:ln>
            <a:effectLst/>
          </c:spPr>
          <c:invertIfNegative val="0"/>
          <c:cat>
            <c:strRef>
              <c:f>'Pivot Tables'!$AI$4:$AI$11</c:f>
              <c:strCache>
                <c:ptCount val="7"/>
                <c:pt idx="0">
                  <c:v>Automotive</c:v>
                </c:pt>
                <c:pt idx="1">
                  <c:v>E-commerce</c:v>
                </c:pt>
                <c:pt idx="2">
                  <c:v>Education</c:v>
                </c:pt>
                <c:pt idx="3">
                  <c:v>Finance</c:v>
                </c:pt>
                <c:pt idx="4">
                  <c:v>Healthcare</c:v>
                </c:pt>
                <c:pt idx="5">
                  <c:v>Retail</c:v>
                </c:pt>
                <c:pt idx="6">
                  <c:v>Tech</c:v>
                </c:pt>
              </c:strCache>
            </c:strRef>
          </c:cat>
          <c:val>
            <c:numRef>
              <c:f>'Pivot Tables'!$AK$4:$AK$11</c:f>
              <c:numCache>
                <c:formatCode>General</c:formatCode>
                <c:ptCount val="7"/>
                <c:pt idx="0">
                  <c:v>72</c:v>
                </c:pt>
                <c:pt idx="1">
                  <c:v>59</c:v>
                </c:pt>
                <c:pt idx="2">
                  <c:v>70</c:v>
                </c:pt>
                <c:pt idx="3">
                  <c:v>67</c:v>
                </c:pt>
                <c:pt idx="4">
                  <c:v>84</c:v>
                </c:pt>
                <c:pt idx="5">
                  <c:v>84</c:v>
                </c:pt>
                <c:pt idx="6">
                  <c:v>73</c:v>
                </c:pt>
              </c:numCache>
            </c:numRef>
          </c:val>
          <c:extLst>
            <c:ext xmlns:c16="http://schemas.microsoft.com/office/drawing/2014/chart" uri="{C3380CC4-5D6E-409C-BE32-E72D297353CC}">
              <c16:uniqueId val="{00000001-5B0A-4879-A3BA-670645D619BA}"/>
            </c:ext>
          </c:extLst>
        </c:ser>
        <c:ser>
          <c:idx val="2"/>
          <c:order val="2"/>
          <c:tx>
            <c:strRef>
              <c:f>'Pivot Tables'!$AL$2:$AL$3</c:f>
              <c:strCache>
                <c:ptCount val="1"/>
                <c:pt idx="0">
                  <c:v>Internship</c:v>
                </c:pt>
              </c:strCache>
            </c:strRef>
          </c:tx>
          <c:spPr>
            <a:solidFill>
              <a:srgbClr val="00B050"/>
            </a:solidFill>
            <a:ln>
              <a:noFill/>
            </a:ln>
            <a:effectLst/>
          </c:spPr>
          <c:invertIfNegative val="0"/>
          <c:cat>
            <c:strRef>
              <c:f>'Pivot Tables'!$AI$4:$AI$11</c:f>
              <c:strCache>
                <c:ptCount val="7"/>
                <c:pt idx="0">
                  <c:v>Automotive</c:v>
                </c:pt>
                <c:pt idx="1">
                  <c:v>E-commerce</c:v>
                </c:pt>
                <c:pt idx="2">
                  <c:v>Education</c:v>
                </c:pt>
                <c:pt idx="3">
                  <c:v>Finance</c:v>
                </c:pt>
                <c:pt idx="4">
                  <c:v>Healthcare</c:v>
                </c:pt>
                <c:pt idx="5">
                  <c:v>Retail</c:v>
                </c:pt>
                <c:pt idx="6">
                  <c:v>Tech</c:v>
                </c:pt>
              </c:strCache>
            </c:strRef>
          </c:cat>
          <c:val>
            <c:numRef>
              <c:f>'Pivot Tables'!$AL$4:$AL$11</c:f>
              <c:numCache>
                <c:formatCode>General</c:formatCode>
                <c:ptCount val="7"/>
                <c:pt idx="0">
                  <c:v>90</c:v>
                </c:pt>
                <c:pt idx="1">
                  <c:v>81</c:v>
                </c:pt>
                <c:pt idx="2">
                  <c:v>91</c:v>
                </c:pt>
                <c:pt idx="3">
                  <c:v>66</c:v>
                </c:pt>
                <c:pt idx="4">
                  <c:v>75</c:v>
                </c:pt>
                <c:pt idx="5">
                  <c:v>82</c:v>
                </c:pt>
                <c:pt idx="6">
                  <c:v>89</c:v>
                </c:pt>
              </c:numCache>
            </c:numRef>
          </c:val>
          <c:extLst>
            <c:ext xmlns:c16="http://schemas.microsoft.com/office/drawing/2014/chart" uri="{C3380CC4-5D6E-409C-BE32-E72D297353CC}">
              <c16:uniqueId val="{00000002-5B0A-4879-A3BA-670645D619BA}"/>
            </c:ext>
          </c:extLst>
        </c:ser>
        <c:ser>
          <c:idx val="3"/>
          <c:order val="3"/>
          <c:tx>
            <c:strRef>
              <c:f>'Pivot Tables'!$AM$2:$AM$3</c:f>
              <c:strCache>
                <c:ptCount val="1"/>
                <c:pt idx="0">
                  <c:v>Remote</c:v>
                </c:pt>
              </c:strCache>
            </c:strRef>
          </c:tx>
          <c:spPr>
            <a:solidFill>
              <a:schemeClr val="accent1"/>
            </a:solidFill>
            <a:ln>
              <a:noFill/>
            </a:ln>
            <a:effectLst/>
          </c:spPr>
          <c:invertIfNegative val="0"/>
          <c:cat>
            <c:strRef>
              <c:f>'Pivot Tables'!$AI$4:$AI$11</c:f>
              <c:strCache>
                <c:ptCount val="7"/>
                <c:pt idx="0">
                  <c:v>Automotive</c:v>
                </c:pt>
                <c:pt idx="1">
                  <c:v>E-commerce</c:v>
                </c:pt>
                <c:pt idx="2">
                  <c:v>Education</c:v>
                </c:pt>
                <c:pt idx="3">
                  <c:v>Finance</c:v>
                </c:pt>
                <c:pt idx="4">
                  <c:v>Healthcare</c:v>
                </c:pt>
                <c:pt idx="5">
                  <c:v>Retail</c:v>
                </c:pt>
                <c:pt idx="6">
                  <c:v>Tech</c:v>
                </c:pt>
              </c:strCache>
            </c:strRef>
          </c:cat>
          <c:val>
            <c:numRef>
              <c:f>'Pivot Tables'!$AM$4:$AM$11</c:f>
              <c:numCache>
                <c:formatCode>General</c:formatCode>
                <c:ptCount val="7"/>
                <c:pt idx="0">
                  <c:v>66</c:v>
                </c:pt>
                <c:pt idx="1">
                  <c:v>78</c:v>
                </c:pt>
                <c:pt idx="2">
                  <c:v>64</c:v>
                </c:pt>
                <c:pt idx="3">
                  <c:v>75</c:v>
                </c:pt>
                <c:pt idx="4">
                  <c:v>54</c:v>
                </c:pt>
                <c:pt idx="5">
                  <c:v>68</c:v>
                </c:pt>
                <c:pt idx="6">
                  <c:v>47</c:v>
                </c:pt>
              </c:numCache>
            </c:numRef>
          </c:val>
          <c:extLst>
            <c:ext xmlns:c16="http://schemas.microsoft.com/office/drawing/2014/chart" uri="{C3380CC4-5D6E-409C-BE32-E72D297353CC}">
              <c16:uniqueId val="{00000003-5B0A-4879-A3BA-670645D619BA}"/>
            </c:ext>
          </c:extLst>
        </c:ser>
        <c:dLbls>
          <c:showLegendKey val="0"/>
          <c:showVal val="0"/>
          <c:showCatName val="0"/>
          <c:showSerName val="0"/>
          <c:showPercent val="0"/>
          <c:showBubbleSize val="0"/>
        </c:dLbls>
        <c:gapWidth val="219"/>
        <c:overlap val="-27"/>
        <c:axId val="122072447"/>
        <c:axId val="122073407"/>
      </c:barChart>
      <c:catAx>
        <c:axId val="12207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22073407"/>
        <c:crosses val="autoZero"/>
        <c:auto val="1"/>
        <c:lblAlgn val="ctr"/>
        <c:lblOffset val="100"/>
        <c:noMultiLvlLbl val="0"/>
      </c:catAx>
      <c:valAx>
        <c:axId val="122073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r>
                  <a:rPr lang="en-IN">
                    <a:solidFill>
                      <a:schemeClr val="bg1"/>
                    </a:solidFill>
                    <a:latin typeface="Arial" panose="020B0604020202020204" pitchFamily="34" charset="0"/>
                    <a:cs typeface="Arial" panose="020B0604020202020204" pitchFamily="34" charset="0"/>
                  </a:rPr>
                  <a:t>Number of Jobs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2072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lt1">
          <a:shade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[AI_Market Dashboard.xlsx]Pivot Tables!PivotTable34</c:name>
    <c:fmtId val="42"/>
  </c:pivotSource>
  <c:chart>
    <c:title>
      <c:tx>
        <c:rich>
          <a:bodyPr rot="0" spcFirstLastPara="1" vertOverflow="ellipsis" vert="horz" wrap="square" anchor="ctr" anchorCtr="1"/>
          <a:lstStyle/>
          <a:p>
            <a:pPr>
              <a:defRPr sz="1200" b="0" i="0" u="none" strike="noStrike" kern="1200" spc="0" baseline="0">
                <a:solidFill>
                  <a:schemeClr val="bg1"/>
                </a:solidFill>
                <a:latin typeface="Arial" panose="020B0604020202020204" pitchFamily="34" charset="0"/>
                <a:ea typeface="+mn-ea"/>
                <a:cs typeface="Arial" panose="020B0604020202020204" pitchFamily="34" charset="0"/>
              </a:defRPr>
            </a:pPr>
            <a:r>
              <a:rPr lang="en-IN" sz="1200">
                <a:solidFill>
                  <a:schemeClr val="bg1"/>
                </a:solidFill>
                <a:latin typeface="Arial" panose="020B0604020202020204" pitchFamily="34" charset="0"/>
                <a:cs typeface="Arial" panose="020B0604020202020204" pitchFamily="34" charset="0"/>
              </a:rPr>
              <a:t>Job Positions by Industry</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Tables'!$AQ$2:$AQ$3</c:f>
              <c:strCache>
                <c:ptCount val="1"/>
                <c:pt idx="0">
                  <c:v>AI Product Manager</c:v>
                </c:pt>
              </c:strCache>
            </c:strRef>
          </c:tx>
          <c:spPr>
            <a:solidFill>
              <a:schemeClr val="accent1"/>
            </a:solidFill>
            <a:ln>
              <a:noFill/>
            </a:ln>
            <a:effectLst/>
          </c:spPr>
          <c:invertIfNegative val="0"/>
          <c:cat>
            <c:strRef>
              <c:f>'Pivot Tables'!$AP$4:$AP$11</c:f>
              <c:strCache>
                <c:ptCount val="7"/>
                <c:pt idx="0">
                  <c:v>Automotive</c:v>
                </c:pt>
                <c:pt idx="1">
                  <c:v>E-commerce</c:v>
                </c:pt>
                <c:pt idx="2">
                  <c:v>Education</c:v>
                </c:pt>
                <c:pt idx="3">
                  <c:v>Finance</c:v>
                </c:pt>
                <c:pt idx="4">
                  <c:v>Healthcare</c:v>
                </c:pt>
                <c:pt idx="5">
                  <c:v>Retail</c:v>
                </c:pt>
                <c:pt idx="6">
                  <c:v>Tech</c:v>
                </c:pt>
              </c:strCache>
            </c:strRef>
          </c:cat>
          <c:val>
            <c:numRef>
              <c:f>'Pivot Tables'!$AQ$4:$AQ$11</c:f>
              <c:numCache>
                <c:formatCode>General</c:formatCode>
                <c:ptCount val="7"/>
                <c:pt idx="0">
                  <c:v>33</c:v>
                </c:pt>
                <c:pt idx="1">
                  <c:v>43</c:v>
                </c:pt>
                <c:pt idx="2">
                  <c:v>36</c:v>
                </c:pt>
                <c:pt idx="3">
                  <c:v>34</c:v>
                </c:pt>
                <c:pt idx="4">
                  <c:v>35</c:v>
                </c:pt>
                <c:pt idx="5">
                  <c:v>33</c:v>
                </c:pt>
                <c:pt idx="6">
                  <c:v>44</c:v>
                </c:pt>
              </c:numCache>
            </c:numRef>
          </c:val>
          <c:extLst>
            <c:ext xmlns:c16="http://schemas.microsoft.com/office/drawing/2014/chart" uri="{C3380CC4-5D6E-409C-BE32-E72D297353CC}">
              <c16:uniqueId val="{00000000-6C5D-4543-AF01-D9FB053EFDF2}"/>
            </c:ext>
          </c:extLst>
        </c:ser>
        <c:ser>
          <c:idx val="1"/>
          <c:order val="1"/>
          <c:tx>
            <c:strRef>
              <c:f>'Pivot Tables'!$AR$2:$AR$3</c:f>
              <c:strCache>
                <c:ptCount val="1"/>
                <c:pt idx="0">
                  <c:v>AI Researcher</c:v>
                </c:pt>
              </c:strCache>
            </c:strRef>
          </c:tx>
          <c:spPr>
            <a:solidFill>
              <a:schemeClr val="accent2"/>
            </a:solidFill>
            <a:ln>
              <a:noFill/>
            </a:ln>
            <a:effectLst/>
          </c:spPr>
          <c:invertIfNegative val="0"/>
          <c:cat>
            <c:strRef>
              <c:f>'Pivot Tables'!$AP$4:$AP$11</c:f>
              <c:strCache>
                <c:ptCount val="7"/>
                <c:pt idx="0">
                  <c:v>Automotive</c:v>
                </c:pt>
                <c:pt idx="1">
                  <c:v>E-commerce</c:v>
                </c:pt>
                <c:pt idx="2">
                  <c:v>Education</c:v>
                </c:pt>
                <c:pt idx="3">
                  <c:v>Finance</c:v>
                </c:pt>
                <c:pt idx="4">
                  <c:v>Healthcare</c:v>
                </c:pt>
                <c:pt idx="5">
                  <c:v>Retail</c:v>
                </c:pt>
                <c:pt idx="6">
                  <c:v>Tech</c:v>
                </c:pt>
              </c:strCache>
            </c:strRef>
          </c:cat>
          <c:val>
            <c:numRef>
              <c:f>'Pivot Tables'!$AR$4:$AR$11</c:f>
              <c:numCache>
                <c:formatCode>General</c:formatCode>
                <c:ptCount val="7"/>
                <c:pt idx="0">
                  <c:v>43</c:v>
                </c:pt>
                <c:pt idx="1">
                  <c:v>27</c:v>
                </c:pt>
                <c:pt idx="2">
                  <c:v>36</c:v>
                </c:pt>
                <c:pt idx="3">
                  <c:v>33</c:v>
                </c:pt>
                <c:pt idx="4">
                  <c:v>36</c:v>
                </c:pt>
                <c:pt idx="5">
                  <c:v>33</c:v>
                </c:pt>
                <c:pt idx="6">
                  <c:v>29</c:v>
                </c:pt>
              </c:numCache>
            </c:numRef>
          </c:val>
          <c:extLst>
            <c:ext xmlns:c16="http://schemas.microsoft.com/office/drawing/2014/chart" uri="{C3380CC4-5D6E-409C-BE32-E72D297353CC}">
              <c16:uniqueId val="{00000001-6C5D-4543-AF01-D9FB053EFDF2}"/>
            </c:ext>
          </c:extLst>
        </c:ser>
        <c:ser>
          <c:idx val="2"/>
          <c:order val="2"/>
          <c:tx>
            <c:strRef>
              <c:f>'Pivot Tables'!$AS$2:$AS$3</c:f>
              <c:strCache>
                <c:ptCount val="1"/>
                <c:pt idx="0">
                  <c:v>Computer Vision Engineer</c:v>
                </c:pt>
              </c:strCache>
            </c:strRef>
          </c:tx>
          <c:spPr>
            <a:solidFill>
              <a:schemeClr val="accent3"/>
            </a:solidFill>
            <a:ln>
              <a:noFill/>
            </a:ln>
            <a:effectLst/>
          </c:spPr>
          <c:invertIfNegative val="0"/>
          <c:cat>
            <c:strRef>
              <c:f>'Pivot Tables'!$AP$4:$AP$11</c:f>
              <c:strCache>
                <c:ptCount val="7"/>
                <c:pt idx="0">
                  <c:v>Automotive</c:v>
                </c:pt>
                <c:pt idx="1">
                  <c:v>E-commerce</c:v>
                </c:pt>
                <c:pt idx="2">
                  <c:v>Education</c:v>
                </c:pt>
                <c:pt idx="3">
                  <c:v>Finance</c:v>
                </c:pt>
                <c:pt idx="4">
                  <c:v>Healthcare</c:v>
                </c:pt>
                <c:pt idx="5">
                  <c:v>Retail</c:v>
                </c:pt>
                <c:pt idx="6">
                  <c:v>Tech</c:v>
                </c:pt>
              </c:strCache>
            </c:strRef>
          </c:cat>
          <c:val>
            <c:numRef>
              <c:f>'Pivot Tables'!$AS$4:$AS$11</c:f>
              <c:numCache>
                <c:formatCode>General</c:formatCode>
                <c:ptCount val="7"/>
                <c:pt idx="0">
                  <c:v>43</c:v>
                </c:pt>
                <c:pt idx="1">
                  <c:v>34</c:v>
                </c:pt>
                <c:pt idx="2">
                  <c:v>23</c:v>
                </c:pt>
                <c:pt idx="3">
                  <c:v>32</c:v>
                </c:pt>
                <c:pt idx="4">
                  <c:v>27</c:v>
                </c:pt>
                <c:pt idx="5">
                  <c:v>43</c:v>
                </c:pt>
                <c:pt idx="6">
                  <c:v>28</c:v>
                </c:pt>
              </c:numCache>
            </c:numRef>
          </c:val>
          <c:extLst>
            <c:ext xmlns:c16="http://schemas.microsoft.com/office/drawing/2014/chart" uri="{C3380CC4-5D6E-409C-BE32-E72D297353CC}">
              <c16:uniqueId val="{00000002-6C5D-4543-AF01-D9FB053EFDF2}"/>
            </c:ext>
          </c:extLst>
        </c:ser>
        <c:ser>
          <c:idx val="3"/>
          <c:order val="3"/>
          <c:tx>
            <c:strRef>
              <c:f>'Pivot Tables'!$AT$2:$AT$3</c:f>
              <c:strCache>
                <c:ptCount val="1"/>
                <c:pt idx="0">
                  <c:v>Data Analyst</c:v>
                </c:pt>
              </c:strCache>
            </c:strRef>
          </c:tx>
          <c:spPr>
            <a:solidFill>
              <a:schemeClr val="accent4"/>
            </a:solidFill>
            <a:ln>
              <a:noFill/>
            </a:ln>
            <a:effectLst/>
          </c:spPr>
          <c:invertIfNegative val="0"/>
          <c:cat>
            <c:strRef>
              <c:f>'Pivot Tables'!$AP$4:$AP$11</c:f>
              <c:strCache>
                <c:ptCount val="7"/>
                <c:pt idx="0">
                  <c:v>Automotive</c:v>
                </c:pt>
                <c:pt idx="1">
                  <c:v>E-commerce</c:v>
                </c:pt>
                <c:pt idx="2">
                  <c:v>Education</c:v>
                </c:pt>
                <c:pt idx="3">
                  <c:v>Finance</c:v>
                </c:pt>
                <c:pt idx="4">
                  <c:v>Healthcare</c:v>
                </c:pt>
                <c:pt idx="5">
                  <c:v>Retail</c:v>
                </c:pt>
                <c:pt idx="6">
                  <c:v>Tech</c:v>
                </c:pt>
              </c:strCache>
            </c:strRef>
          </c:cat>
          <c:val>
            <c:numRef>
              <c:f>'Pivot Tables'!$AT$4:$AT$11</c:f>
              <c:numCache>
                <c:formatCode>General</c:formatCode>
                <c:ptCount val="7"/>
                <c:pt idx="0">
                  <c:v>49</c:v>
                </c:pt>
                <c:pt idx="1">
                  <c:v>41</c:v>
                </c:pt>
                <c:pt idx="2">
                  <c:v>42</c:v>
                </c:pt>
                <c:pt idx="3">
                  <c:v>31</c:v>
                </c:pt>
                <c:pt idx="4">
                  <c:v>39</c:v>
                </c:pt>
                <c:pt idx="5">
                  <c:v>34</c:v>
                </c:pt>
                <c:pt idx="6">
                  <c:v>35</c:v>
                </c:pt>
              </c:numCache>
            </c:numRef>
          </c:val>
          <c:extLst>
            <c:ext xmlns:c16="http://schemas.microsoft.com/office/drawing/2014/chart" uri="{C3380CC4-5D6E-409C-BE32-E72D297353CC}">
              <c16:uniqueId val="{00000003-6C5D-4543-AF01-D9FB053EFDF2}"/>
            </c:ext>
          </c:extLst>
        </c:ser>
        <c:ser>
          <c:idx val="4"/>
          <c:order val="4"/>
          <c:tx>
            <c:strRef>
              <c:f>'Pivot Tables'!$AU$2:$AU$3</c:f>
              <c:strCache>
                <c:ptCount val="1"/>
                <c:pt idx="0">
                  <c:v>Data Scientist</c:v>
                </c:pt>
              </c:strCache>
            </c:strRef>
          </c:tx>
          <c:spPr>
            <a:solidFill>
              <a:schemeClr val="accent5"/>
            </a:solidFill>
            <a:ln>
              <a:noFill/>
            </a:ln>
            <a:effectLst/>
          </c:spPr>
          <c:invertIfNegative val="0"/>
          <c:cat>
            <c:strRef>
              <c:f>'Pivot Tables'!$AP$4:$AP$11</c:f>
              <c:strCache>
                <c:ptCount val="7"/>
                <c:pt idx="0">
                  <c:v>Automotive</c:v>
                </c:pt>
                <c:pt idx="1">
                  <c:v>E-commerce</c:v>
                </c:pt>
                <c:pt idx="2">
                  <c:v>Education</c:v>
                </c:pt>
                <c:pt idx="3">
                  <c:v>Finance</c:v>
                </c:pt>
                <c:pt idx="4">
                  <c:v>Healthcare</c:v>
                </c:pt>
                <c:pt idx="5">
                  <c:v>Retail</c:v>
                </c:pt>
                <c:pt idx="6">
                  <c:v>Tech</c:v>
                </c:pt>
              </c:strCache>
            </c:strRef>
          </c:cat>
          <c:val>
            <c:numRef>
              <c:f>'Pivot Tables'!$AU$4:$AU$11</c:f>
              <c:numCache>
                <c:formatCode>General</c:formatCode>
                <c:ptCount val="7"/>
                <c:pt idx="0">
                  <c:v>29</c:v>
                </c:pt>
                <c:pt idx="1">
                  <c:v>38</c:v>
                </c:pt>
                <c:pt idx="2">
                  <c:v>38</c:v>
                </c:pt>
                <c:pt idx="3">
                  <c:v>37</c:v>
                </c:pt>
                <c:pt idx="4">
                  <c:v>28</c:v>
                </c:pt>
                <c:pt idx="5">
                  <c:v>38</c:v>
                </c:pt>
                <c:pt idx="6">
                  <c:v>30</c:v>
                </c:pt>
              </c:numCache>
            </c:numRef>
          </c:val>
          <c:extLst>
            <c:ext xmlns:c16="http://schemas.microsoft.com/office/drawing/2014/chart" uri="{C3380CC4-5D6E-409C-BE32-E72D297353CC}">
              <c16:uniqueId val="{00000004-6C5D-4543-AF01-D9FB053EFDF2}"/>
            </c:ext>
          </c:extLst>
        </c:ser>
        <c:ser>
          <c:idx val="5"/>
          <c:order val="5"/>
          <c:tx>
            <c:strRef>
              <c:f>'Pivot Tables'!$AV$2:$AV$3</c:f>
              <c:strCache>
                <c:ptCount val="1"/>
                <c:pt idx="0">
                  <c:v>ML Engineer</c:v>
                </c:pt>
              </c:strCache>
            </c:strRef>
          </c:tx>
          <c:spPr>
            <a:solidFill>
              <a:schemeClr val="accent6"/>
            </a:solidFill>
            <a:ln>
              <a:noFill/>
            </a:ln>
            <a:effectLst/>
          </c:spPr>
          <c:invertIfNegative val="0"/>
          <c:cat>
            <c:strRef>
              <c:f>'Pivot Tables'!$AP$4:$AP$11</c:f>
              <c:strCache>
                <c:ptCount val="7"/>
                <c:pt idx="0">
                  <c:v>Automotive</c:v>
                </c:pt>
                <c:pt idx="1">
                  <c:v>E-commerce</c:v>
                </c:pt>
                <c:pt idx="2">
                  <c:v>Education</c:v>
                </c:pt>
                <c:pt idx="3">
                  <c:v>Finance</c:v>
                </c:pt>
                <c:pt idx="4">
                  <c:v>Healthcare</c:v>
                </c:pt>
                <c:pt idx="5">
                  <c:v>Retail</c:v>
                </c:pt>
                <c:pt idx="6">
                  <c:v>Tech</c:v>
                </c:pt>
              </c:strCache>
            </c:strRef>
          </c:cat>
          <c:val>
            <c:numRef>
              <c:f>'Pivot Tables'!$AV$4:$AV$11</c:f>
              <c:numCache>
                <c:formatCode>General</c:formatCode>
                <c:ptCount val="7"/>
                <c:pt idx="0">
                  <c:v>30</c:v>
                </c:pt>
                <c:pt idx="1">
                  <c:v>37</c:v>
                </c:pt>
                <c:pt idx="2">
                  <c:v>33</c:v>
                </c:pt>
                <c:pt idx="3">
                  <c:v>34</c:v>
                </c:pt>
                <c:pt idx="4">
                  <c:v>40</c:v>
                </c:pt>
                <c:pt idx="5">
                  <c:v>38</c:v>
                </c:pt>
                <c:pt idx="6">
                  <c:v>38</c:v>
                </c:pt>
              </c:numCache>
            </c:numRef>
          </c:val>
          <c:extLst>
            <c:ext xmlns:c16="http://schemas.microsoft.com/office/drawing/2014/chart" uri="{C3380CC4-5D6E-409C-BE32-E72D297353CC}">
              <c16:uniqueId val="{00000005-6C5D-4543-AF01-D9FB053EFDF2}"/>
            </c:ext>
          </c:extLst>
        </c:ser>
        <c:ser>
          <c:idx val="6"/>
          <c:order val="6"/>
          <c:tx>
            <c:strRef>
              <c:f>'Pivot Tables'!$AW$2:$AW$3</c:f>
              <c:strCache>
                <c:ptCount val="1"/>
                <c:pt idx="0">
                  <c:v>NLP Engineer</c:v>
                </c:pt>
              </c:strCache>
            </c:strRef>
          </c:tx>
          <c:spPr>
            <a:solidFill>
              <a:schemeClr val="accent1">
                <a:lumMod val="60000"/>
              </a:schemeClr>
            </a:solidFill>
            <a:ln>
              <a:noFill/>
            </a:ln>
            <a:effectLst/>
          </c:spPr>
          <c:invertIfNegative val="0"/>
          <c:cat>
            <c:strRef>
              <c:f>'Pivot Tables'!$AP$4:$AP$11</c:f>
              <c:strCache>
                <c:ptCount val="7"/>
                <c:pt idx="0">
                  <c:v>Automotive</c:v>
                </c:pt>
                <c:pt idx="1">
                  <c:v>E-commerce</c:v>
                </c:pt>
                <c:pt idx="2">
                  <c:v>Education</c:v>
                </c:pt>
                <c:pt idx="3">
                  <c:v>Finance</c:v>
                </c:pt>
                <c:pt idx="4">
                  <c:v>Healthcare</c:v>
                </c:pt>
                <c:pt idx="5">
                  <c:v>Retail</c:v>
                </c:pt>
                <c:pt idx="6">
                  <c:v>Tech</c:v>
                </c:pt>
              </c:strCache>
            </c:strRef>
          </c:cat>
          <c:val>
            <c:numRef>
              <c:f>'Pivot Tables'!$AW$4:$AW$11</c:f>
              <c:numCache>
                <c:formatCode>General</c:formatCode>
                <c:ptCount val="7"/>
                <c:pt idx="0">
                  <c:v>40</c:v>
                </c:pt>
                <c:pt idx="1">
                  <c:v>41</c:v>
                </c:pt>
                <c:pt idx="2">
                  <c:v>41</c:v>
                </c:pt>
                <c:pt idx="3">
                  <c:v>39</c:v>
                </c:pt>
                <c:pt idx="4">
                  <c:v>30</c:v>
                </c:pt>
                <c:pt idx="5">
                  <c:v>40</c:v>
                </c:pt>
                <c:pt idx="6">
                  <c:v>34</c:v>
                </c:pt>
              </c:numCache>
            </c:numRef>
          </c:val>
          <c:extLst>
            <c:ext xmlns:c16="http://schemas.microsoft.com/office/drawing/2014/chart" uri="{C3380CC4-5D6E-409C-BE32-E72D297353CC}">
              <c16:uniqueId val="{00000006-6C5D-4543-AF01-D9FB053EFDF2}"/>
            </c:ext>
          </c:extLst>
        </c:ser>
        <c:ser>
          <c:idx val="7"/>
          <c:order val="7"/>
          <c:tx>
            <c:strRef>
              <c:f>'Pivot Tables'!$AX$2:$AX$3</c:f>
              <c:strCache>
                <c:ptCount val="1"/>
                <c:pt idx="0">
                  <c:v>Quant Researcher</c:v>
                </c:pt>
              </c:strCache>
            </c:strRef>
          </c:tx>
          <c:spPr>
            <a:solidFill>
              <a:schemeClr val="accent2">
                <a:lumMod val="60000"/>
              </a:schemeClr>
            </a:solidFill>
            <a:ln>
              <a:noFill/>
            </a:ln>
            <a:effectLst/>
          </c:spPr>
          <c:invertIfNegative val="0"/>
          <c:cat>
            <c:strRef>
              <c:f>'Pivot Tables'!$AP$4:$AP$11</c:f>
              <c:strCache>
                <c:ptCount val="7"/>
                <c:pt idx="0">
                  <c:v>Automotive</c:v>
                </c:pt>
                <c:pt idx="1">
                  <c:v>E-commerce</c:v>
                </c:pt>
                <c:pt idx="2">
                  <c:v>Education</c:v>
                </c:pt>
                <c:pt idx="3">
                  <c:v>Finance</c:v>
                </c:pt>
                <c:pt idx="4">
                  <c:v>Healthcare</c:v>
                </c:pt>
                <c:pt idx="5">
                  <c:v>Retail</c:v>
                </c:pt>
                <c:pt idx="6">
                  <c:v>Tech</c:v>
                </c:pt>
              </c:strCache>
            </c:strRef>
          </c:cat>
          <c:val>
            <c:numRef>
              <c:f>'Pivot Tables'!$AX$4:$AX$11</c:f>
              <c:numCache>
                <c:formatCode>General</c:formatCode>
                <c:ptCount val="7"/>
                <c:pt idx="0">
                  <c:v>33</c:v>
                </c:pt>
                <c:pt idx="1">
                  <c:v>30</c:v>
                </c:pt>
                <c:pt idx="2">
                  <c:v>45</c:v>
                </c:pt>
                <c:pt idx="3">
                  <c:v>39</c:v>
                </c:pt>
                <c:pt idx="4">
                  <c:v>34</c:v>
                </c:pt>
                <c:pt idx="5">
                  <c:v>34</c:v>
                </c:pt>
                <c:pt idx="6">
                  <c:v>36</c:v>
                </c:pt>
              </c:numCache>
            </c:numRef>
          </c:val>
          <c:extLst>
            <c:ext xmlns:c16="http://schemas.microsoft.com/office/drawing/2014/chart" uri="{C3380CC4-5D6E-409C-BE32-E72D297353CC}">
              <c16:uniqueId val="{00000007-6C5D-4543-AF01-D9FB053EFDF2}"/>
            </c:ext>
          </c:extLst>
        </c:ser>
        <c:dLbls>
          <c:showLegendKey val="0"/>
          <c:showVal val="0"/>
          <c:showCatName val="0"/>
          <c:showSerName val="0"/>
          <c:showPercent val="0"/>
          <c:showBubbleSize val="0"/>
        </c:dLbls>
        <c:gapWidth val="150"/>
        <c:overlap val="100"/>
        <c:axId val="849464656"/>
        <c:axId val="849465616"/>
      </c:barChart>
      <c:catAx>
        <c:axId val="84946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849465616"/>
        <c:crosses val="autoZero"/>
        <c:auto val="1"/>
        <c:lblAlgn val="ctr"/>
        <c:lblOffset val="100"/>
        <c:noMultiLvlLbl val="0"/>
      </c:catAx>
      <c:valAx>
        <c:axId val="8494656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849464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[AI_Market Dashboard.xlsx]Pivot Tables!PivotTable32</c:name>
    <c:fmtId val="9"/>
  </c:pivotSource>
  <c:chart>
    <c:title>
      <c:tx>
        <c:rich>
          <a:bodyPr rot="0" spcFirstLastPara="1" vertOverflow="ellipsis" vert="horz" wrap="square" anchor="ctr" anchorCtr="1"/>
          <a:lstStyle/>
          <a:p>
            <a:pPr>
              <a:defRPr sz="1100" b="0" i="0" u="none" strike="noStrike" kern="1200" spc="0" baseline="0">
                <a:solidFill>
                  <a:schemeClr val="bg1"/>
                </a:solidFill>
                <a:latin typeface="Arial" panose="020B0604020202020204" pitchFamily="34" charset="0"/>
                <a:ea typeface="+mn-ea"/>
                <a:cs typeface="Arial" panose="020B0604020202020204" pitchFamily="34" charset="0"/>
              </a:defRPr>
            </a:pPr>
            <a:r>
              <a:rPr lang="en-IN" sz="1100">
                <a:solidFill>
                  <a:schemeClr val="bg1"/>
                </a:solidFill>
                <a:latin typeface="Arial" panose="020B0604020202020204" pitchFamily="34" charset="0"/>
                <a:cs typeface="Arial" panose="020B0604020202020204" pitchFamily="34" charset="0"/>
              </a:rPr>
              <a:t>Experience Level by Company Size</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Tables'!$AD$2:$AD$3</c:f>
              <c:strCache>
                <c:ptCount val="1"/>
                <c:pt idx="0">
                  <c:v>Entry</c:v>
                </c:pt>
              </c:strCache>
            </c:strRef>
          </c:tx>
          <c:spPr>
            <a:solidFill>
              <a:schemeClr val="accent4"/>
            </a:solidFill>
            <a:ln>
              <a:noFill/>
            </a:ln>
            <a:effectLst/>
            <a:sp3d/>
          </c:spPr>
          <c:invertIfNegative val="0"/>
          <c:cat>
            <c:strRef>
              <c:f>'Pivot Tables'!$AC$4:$AC$7</c:f>
              <c:strCache>
                <c:ptCount val="3"/>
                <c:pt idx="0">
                  <c:v>Large</c:v>
                </c:pt>
                <c:pt idx="1">
                  <c:v>Mid</c:v>
                </c:pt>
                <c:pt idx="2">
                  <c:v>Startup</c:v>
                </c:pt>
              </c:strCache>
            </c:strRef>
          </c:cat>
          <c:val>
            <c:numRef>
              <c:f>'Pivot Tables'!$AD$4:$AD$7</c:f>
              <c:numCache>
                <c:formatCode>General</c:formatCode>
                <c:ptCount val="3"/>
                <c:pt idx="0">
                  <c:v>232</c:v>
                </c:pt>
                <c:pt idx="1">
                  <c:v>250</c:v>
                </c:pt>
                <c:pt idx="2">
                  <c:v>220</c:v>
                </c:pt>
              </c:numCache>
            </c:numRef>
          </c:val>
          <c:extLst>
            <c:ext xmlns:c16="http://schemas.microsoft.com/office/drawing/2014/chart" uri="{C3380CC4-5D6E-409C-BE32-E72D297353CC}">
              <c16:uniqueId val="{00000000-E35A-42FC-9D4A-94170F012E2F}"/>
            </c:ext>
          </c:extLst>
        </c:ser>
        <c:ser>
          <c:idx val="1"/>
          <c:order val="1"/>
          <c:tx>
            <c:strRef>
              <c:f>'Pivot Tables'!$AE$2:$AE$3</c:f>
              <c:strCache>
                <c:ptCount val="1"/>
                <c:pt idx="0">
                  <c:v>Mid</c:v>
                </c:pt>
              </c:strCache>
            </c:strRef>
          </c:tx>
          <c:spPr>
            <a:solidFill>
              <a:schemeClr val="accent1"/>
            </a:solidFill>
            <a:ln>
              <a:noFill/>
            </a:ln>
            <a:effectLst/>
            <a:sp3d/>
          </c:spPr>
          <c:invertIfNegative val="0"/>
          <c:cat>
            <c:strRef>
              <c:f>'Pivot Tables'!$AC$4:$AC$7</c:f>
              <c:strCache>
                <c:ptCount val="3"/>
                <c:pt idx="0">
                  <c:v>Large</c:v>
                </c:pt>
                <c:pt idx="1">
                  <c:v>Mid</c:v>
                </c:pt>
                <c:pt idx="2">
                  <c:v>Startup</c:v>
                </c:pt>
              </c:strCache>
            </c:strRef>
          </c:cat>
          <c:val>
            <c:numRef>
              <c:f>'Pivot Tables'!$AE$4:$AE$7</c:f>
              <c:numCache>
                <c:formatCode>General</c:formatCode>
                <c:ptCount val="3"/>
                <c:pt idx="0">
                  <c:v>244</c:v>
                </c:pt>
                <c:pt idx="1">
                  <c:v>217</c:v>
                </c:pt>
                <c:pt idx="2">
                  <c:v>207</c:v>
                </c:pt>
              </c:numCache>
            </c:numRef>
          </c:val>
          <c:extLst>
            <c:ext xmlns:c16="http://schemas.microsoft.com/office/drawing/2014/chart" uri="{C3380CC4-5D6E-409C-BE32-E72D297353CC}">
              <c16:uniqueId val="{00000000-0B47-4AA7-BC36-4ED80AE7DF45}"/>
            </c:ext>
          </c:extLst>
        </c:ser>
        <c:ser>
          <c:idx val="2"/>
          <c:order val="2"/>
          <c:tx>
            <c:strRef>
              <c:f>'Pivot Tables'!$AF$2:$AF$3</c:f>
              <c:strCache>
                <c:ptCount val="1"/>
                <c:pt idx="0">
                  <c:v>Senior</c:v>
                </c:pt>
              </c:strCache>
            </c:strRef>
          </c:tx>
          <c:spPr>
            <a:solidFill>
              <a:srgbClr val="00B050"/>
            </a:solidFill>
            <a:ln>
              <a:noFill/>
            </a:ln>
            <a:effectLst/>
            <a:sp3d/>
          </c:spPr>
          <c:invertIfNegative val="0"/>
          <c:cat>
            <c:strRef>
              <c:f>'Pivot Tables'!$AC$4:$AC$7</c:f>
              <c:strCache>
                <c:ptCount val="3"/>
                <c:pt idx="0">
                  <c:v>Large</c:v>
                </c:pt>
                <c:pt idx="1">
                  <c:v>Mid</c:v>
                </c:pt>
                <c:pt idx="2">
                  <c:v>Startup</c:v>
                </c:pt>
              </c:strCache>
            </c:strRef>
          </c:cat>
          <c:val>
            <c:numRef>
              <c:f>'Pivot Tables'!$AF$4:$AF$7</c:f>
              <c:numCache>
                <c:formatCode>General</c:formatCode>
                <c:ptCount val="3"/>
                <c:pt idx="0">
                  <c:v>181</c:v>
                </c:pt>
                <c:pt idx="1">
                  <c:v>204</c:v>
                </c:pt>
                <c:pt idx="2">
                  <c:v>245</c:v>
                </c:pt>
              </c:numCache>
            </c:numRef>
          </c:val>
          <c:extLst>
            <c:ext xmlns:c16="http://schemas.microsoft.com/office/drawing/2014/chart" uri="{C3380CC4-5D6E-409C-BE32-E72D297353CC}">
              <c16:uniqueId val="{00000001-0B47-4AA7-BC36-4ED80AE7DF45}"/>
            </c:ext>
          </c:extLst>
        </c:ser>
        <c:dLbls>
          <c:showLegendKey val="0"/>
          <c:showVal val="0"/>
          <c:showCatName val="0"/>
          <c:showSerName val="0"/>
          <c:showPercent val="0"/>
          <c:showBubbleSize val="0"/>
        </c:dLbls>
        <c:gapWidth val="219"/>
        <c:shape val="box"/>
        <c:axId val="440362751"/>
        <c:axId val="440363231"/>
        <c:axId val="112157967"/>
      </c:bar3DChart>
      <c:catAx>
        <c:axId val="4403627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r>
                  <a:rPr lang="en-IN">
                    <a:solidFill>
                      <a:schemeClr val="bg1"/>
                    </a:solidFill>
                    <a:latin typeface="Arial" panose="020B0604020202020204" pitchFamily="34" charset="0"/>
                    <a:cs typeface="Arial" panose="020B0604020202020204" pitchFamily="34" charset="0"/>
                  </a:rPr>
                  <a:t>Company Size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440363231"/>
        <c:crosses val="autoZero"/>
        <c:auto val="1"/>
        <c:lblAlgn val="ctr"/>
        <c:lblOffset val="100"/>
        <c:noMultiLvlLbl val="0"/>
      </c:catAx>
      <c:valAx>
        <c:axId val="4403632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r>
                  <a:rPr lang="en-IN">
                    <a:solidFill>
                      <a:schemeClr val="bg1"/>
                    </a:solidFill>
                    <a:latin typeface="Arial" panose="020B0604020202020204" pitchFamily="34" charset="0"/>
                    <a:cs typeface="Arial" panose="020B0604020202020204" pitchFamily="34" charset="0"/>
                  </a:rPr>
                  <a:t>Number of Jobs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440362751"/>
        <c:crosses val="autoZero"/>
        <c:crossBetween val="between"/>
      </c:valAx>
      <c:serAx>
        <c:axId val="112157967"/>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44036323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[AI_Market Dashboard.xlsx]Pivot Tables!PivotTable41</c:name>
    <c:fmtId val="2"/>
  </c:pivotSource>
  <c:chart>
    <c:title>
      <c:tx>
        <c:rich>
          <a:bodyPr rot="0" spcFirstLastPara="1" vertOverflow="ellipsis" vert="horz" wrap="square" anchor="ctr" anchorCtr="1"/>
          <a:lstStyle/>
          <a:p>
            <a:pPr>
              <a:defRPr sz="1100" b="0" i="0" u="none" strike="noStrike" kern="1200" spc="0" baseline="0">
                <a:solidFill>
                  <a:schemeClr val="bg1"/>
                </a:solidFill>
                <a:latin typeface="Arial" panose="020B0604020202020204" pitchFamily="34" charset="0"/>
                <a:ea typeface="+mn-ea"/>
                <a:cs typeface="Arial" panose="020B0604020202020204" pitchFamily="34" charset="0"/>
              </a:defRPr>
            </a:pPr>
            <a:r>
              <a:rPr lang="en-IN" sz="1100">
                <a:solidFill>
                  <a:schemeClr val="bg1"/>
                </a:solidFill>
                <a:latin typeface="Arial" panose="020B0604020202020204" pitchFamily="34" charset="0"/>
                <a:cs typeface="Arial" panose="020B0604020202020204" pitchFamily="34" charset="0"/>
              </a:rPr>
              <a:t>Top</a:t>
            </a:r>
            <a:r>
              <a:rPr lang="en-IN" sz="1100" baseline="0">
                <a:solidFill>
                  <a:schemeClr val="bg1"/>
                </a:solidFill>
                <a:latin typeface="Arial" panose="020B0604020202020204" pitchFamily="34" charset="0"/>
                <a:cs typeface="Arial" panose="020B0604020202020204" pitchFamily="34" charset="0"/>
              </a:rPr>
              <a:t> </a:t>
            </a:r>
            <a:r>
              <a:rPr lang="en-IN" sz="1100">
                <a:solidFill>
                  <a:schemeClr val="bg1"/>
                </a:solidFill>
                <a:latin typeface="Arial" panose="020B0604020202020204" pitchFamily="34" charset="0"/>
                <a:cs typeface="Arial" panose="020B0604020202020204" pitchFamily="34" charset="0"/>
              </a:rPr>
              <a:t>Skills Required by Industry</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Tables'!$AI$40:$AI$41</c:f>
              <c:strCache>
                <c:ptCount val="1"/>
                <c:pt idx="0">
                  <c:v>AWS</c:v>
                </c:pt>
              </c:strCache>
            </c:strRef>
          </c:tx>
          <c:spPr>
            <a:solidFill>
              <a:schemeClr val="accent1"/>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Tables'!$AI$42:$AI$49</c:f>
              <c:numCache>
                <c:formatCode>General</c:formatCode>
                <c:ptCount val="7"/>
                <c:pt idx="0">
                  <c:v>16</c:v>
                </c:pt>
                <c:pt idx="1">
                  <c:v>13</c:v>
                </c:pt>
                <c:pt idx="2">
                  <c:v>14</c:v>
                </c:pt>
                <c:pt idx="3">
                  <c:v>14</c:v>
                </c:pt>
                <c:pt idx="4">
                  <c:v>10</c:v>
                </c:pt>
                <c:pt idx="5">
                  <c:v>15</c:v>
                </c:pt>
                <c:pt idx="6">
                  <c:v>15</c:v>
                </c:pt>
              </c:numCache>
            </c:numRef>
          </c:val>
          <c:extLst>
            <c:ext xmlns:c16="http://schemas.microsoft.com/office/drawing/2014/chart" uri="{C3380CC4-5D6E-409C-BE32-E72D297353CC}">
              <c16:uniqueId val="{00000000-3A54-4470-A10B-9DDD08832EDA}"/>
            </c:ext>
          </c:extLst>
        </c:ser>
        <c:ser>
          <c:idx val="1"/>
          <c:order val="1"/>
          <c:tx>
            <c:strRef>
              <c:f>'Pivot Tables'!$AJ$40:$AJ$41</c:f>
              <c:strCache>
                <c:ptCount val="1"/>
                <c:pt idx="0">
                  <c:v>Azure</c:v>
                </c:pt>
              </c:strCache>
            </c:strRef>
          </c:tx>
          <c:spPr>
            <a:solidFill>
              <a:schemeClr val="accent2"/>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Tables'!$AJ$42:$AJ$49</c:f>
              <c:numCache>
                <c:formatCode>General</c:formatCode>
                <c:ptCount val="7"/>
                <c:pt idx="0">
                  <c:v>13</c:v>
                </c:pt>
                <c:pt idx="1">
                  <c:v>15</c:v>
                </c:pt>
                <c:pt idx="2">
                  <c:v>19</c:v>
                </c:pt>
                <c:pt idx="3">
                  <c:v>9</c:v>
                </c:pt>
                <c:pt idx="4">
                  <c:v>12</c:v>
                </c:pt>
                <c:pt idx="5">
                  <c:v>12</c:v>
                </c:pt>
                <c:pt idx="6">
                  <c:v>10</c:v>
                </c:pt>
              </c:numCache>
            </c:numRef>
          </c:val>
          <c:extLst>
            <c:ext xmlns:c16="http://schemas.microsoft.com/office/drawing/2014/chart" uri="{C3380CC4-5D6E-409C-BE32-E72D297353CC}">
              <c16:uniqueId val="{0000000E-3A54-4470-A10B-9DDD08832EDA}"/>
            </c:ext>
          </c:extLst>
        </c:ser>
        <c:ser>
          <c:idx val="2"/>
          <c:order val="2"/>
          <c:tx>
            <c:strRef>
              <c:f>'Pivot Tables'!$AK$40:$AK$41</c:f>
              <c:strCache>
                <c:ptCount val="1"/>
                <c:pt idx="0">
                  <c:v>C++</c:v>
                </c:pt>
              </c:strCache>
            </c:strRef>
          </c:tx>
          <c:spPr>
            <a:solidFill>
              <a:schemeClr val="accent3"/>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Tables'!$AK$42:$AK$49</c:f>
              <c:numCache>
                <c:formatCode>General</c:formatCode>
                <c:ptCount val="7"/>
                <c:pt idx="0">
                  <c:v>13</c:v>
                </c:pt>
                <c:pt idx="1">
                  <c:v>9</c:v>
                </c:pt>
                <c:pt idx="2">
                  <c:v>15</c:v>
                </c:pt>
                <c:pt idx="3">
                  <c:v>9</c:v>
                </c:pt>
                <c:pt idx="4">
                  <c:v>13</c:v>
                </c:pt>
                <c:pt idx="5">
                  <c:v>15</c:v>
                </c:pt>
                <c:pt idx="6">
                  <c:v>10</c:v>
                </c:pt>
              </c:numCache>
            </c:numRef>
          </c:val>
          <c:extLst>
            <c:ext xmlns:c16="http://schemas.microsoft.com/office/drawing/2014/chart" uri="{C3380CC4-5D6E-409C-BE32-E72D297353CC}">
              <c16:uniqueId val="{0000000F-3A54-4470-A10B-9DDD08832EDA}"/>
            </c:ext>
          </c:extLst>
        </c:ser>
        <c:ser>
          <c:idx val="3"/>
          <c:order val="3"/>
          <c:tx>
            <c:strRef>
              <c:f>'Pivot Tables'!$AL$40:$AL$41</c:f>
              <c:strCache>
                <c:ptCount val="1"/>
                <c:pt idx="0">
                  <c:v>CUDA</c:v>
                </c:pt>
              </c:strCache>
            </c:strRef>
          </c:tx>
          <c:spPr>
            <a:solidFill>
              <a:schemeClr val="accent4"/>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Tables'!$AL$42:$AL$49</c:f>
              <c:numCache>
                <c:formatCode>General</c:formatCode>
                <c:ptCount val="7"/>
                <c:pt idx="0">
                  <c:v>16</c:v>
                </c:pt>
                <c:pt idx="1">
                  <c:v>8</c:v>
                </c:pt>
                <c:pt idx="2">
                  <c:v>7</c:v>
                </c:pt>
                <c:pt idx="3">
                  <c:v>11</c:v>
                </c:pt>
                <c:pt idx="4">
                  <c:v>10</c:v>
                </c:pt>
                <c:pt idx="5">
                  <c:v>12</c:v>
                </c:pt>
                <c:pt idx="6">
                  <c:v>11</c:v>
                </c:pt>
              </c:numCache>
            </c:numRef>
          </c:val>
          <c:extLst>
            <c:ext xmlns:c16="http://schemas.microsoft.com/office/drawing/2014/chart" uri="{C3380CC4-5D6E-409C-BE32-E72D297353CC}">
              <c16:uniqueId val="{00000010-3A54-4470-A10B-9DDD08832EDA}"/>
            </c:ext>
          </c:extLst>
        </c:ser>
        <c:ser>
          <c:idx val="4"/>
          <c:order val="4"/>
          <c:tx>
            <c:strRef>
              <c:f>'Pivot Tables'!$AM$40:$AM$41</c:f>
              <c:strCache>
                <c:ptCount val="1"/>
                <c:pt idx="0">
                  <c:v>Excel</c:v>
                </c:pt>
              </c:strCache>
            </c:strRef>
          </c:tx>
          <c:spPr>
            <a:solidFill>
              <a:srgbClr val="FFFF00"/>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Tables'!$AM$42:$AM$49</c:f>
              <c:numCache>
                <c:formatCode>General</c:formatCode>
                <c:ptCount val="7"/>
                <c:pt idx="0">
                  <c:v>14</c:v>
                </c:pt>
                <c:pt idx="1">
                  <c:v>19</c:v>
                </c:pt>
                <c:pt idx="2">
                  <c:v>10</c:v>
                </c:pt>
                <c:pt idx="3">
                  <c:v>15</c:v>
                </c:pt>
                <c:pt idx="4">
                  <c:v>13</c:v>
                </c:pt>
                <c:pt idx="5">
                  <c:v>14</c:v>
                </c:pt>
                <c:pt idx="6">
                  <c:v>16</c:v>
                </c:pt>
              </c:numCache>
            </c:numRef>
          </c:val>
          <c:extLst>
            <c:ext xmlns:c16="http://schemas.microsoft.com/office/drawing/2014/chart" uri="{C3380CC4-5D6E-409C-BE32-E72D297353CC}">
              <c16:uniqueId val="{00000011-3A54-4470-A10B-9DDD08832EDA}"/>
            </c:ext>
          </c:extLst>
        </c:ser>
        <c:ser>
          <c:idx val="5"/>
          <c:order val="5"/>
          <c:tx>
            <c:strRef>
              <c:f>'Pivot Tables'!$AN$40:$AN$41</c:f>
              <c:strCache>
                <c:ptCount val="1"/>
                <c:pt idx="0">
                  <c:v>FastAPI</c:v>
                </c:pt>
              </c:strCache>
            </c:strRef>
          </c:tx>
          <c:spPr>
            <a:solidFill>
              <a:schemeClr val="accent2"/>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Tables'!$AN$42:$AN$49</c:f>
              <c:numCache>
                <c:formatCode>General</c:formatCode>
                <c:ptCount val="7"/>
                <c:pt idx="0">
                  <c:v>11</c:v>
                </c:pt>
                <c:pt idx="1">
                  <c:v>23</c:v>
                </c:pt>
                <c:pt idx="2">
                  <c:v>22</c:v>
                </c:pt>
                <c:pt idx="3">
                  <c:v>16</c:v>
                </c:pt>
                <c:pt idx="4">
                  <c:v>13</c:v>
                </c:pt>
                <c:pt idx="5">
                  <c:v>15</c:v>
                </c:pt>
                <c:pt idx="6">
                  <c:v>11</c:v>
                </c:pt>
              </c:numCache>
            </c:numRef>
          </c:val>
          <c:extLst>
            <c:ext xmlns:c16="http://schemas.microsoft.com/office/drawing/2014/chart" uri="{C3380CC4-5D6E-409C-BE32-E72D297353CC}">
              <c16:uniqueId val="{00000012-3A54-4470-A10B-9DDD08832EDA}"/>
            </c:ext>
          </c:extLst>
        </c:ser>
        <c:ser>
          <c:idx val="6"/>
          <c:order val="6"/>
          <c:tx>
            <c:strRef>
              <c:f>'Pivot Tables'!$AO$40:$AO$41</c:f>
              <c:strCache>
                <c:ptCount val="1"/>
                <c:pt idx="0">
                  <c:v>Flask</c:v>
                </c:pt>
              </c:strCache>
            </c:strRef>
          </c:tx>
          <c:spPr>
            <a:solidFill>
              <a:schemeClr val="accent1">
                <a:lumMod val="60000"/>
              </a:schemeClr>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Tables'!$AO$42:$AO$49</c:f>
              <c:numCache>
                <c:formatCode>General</c:formatCode>
                <c:ptCount val="7"/>
                <c:pt idx="0">
                  <c:v>7</c:v>
                </c:pt>
                <c:pt idx="1">
                  <c:v>15</c:v>
                </c:pt>
                <c:pt idx="2">
                  <c:v>13</c:v>
                </c:pt>
                <c:pt idx="3">
                  <c:v>16</c:v>
                </c:pt>
                <c:pt idx="4">
                  <c:v>10</c:v>
                </c:pt>
                <c:pt idx="5">
                  <c:v>11</c:v>
                </c:pt>
                <c:pt idx="6">
                  <c:v>14</c:v>
                </c:pt>
              </c:numCache>
            </c:numRef>
          </c:val>
          <c:extLst>
            <c:ext xmlns:c16="http://schemas.microsoft.com/office/drawing/2014/chart" uri="{C3380CC4-5D6E-409C-BE32-E72D297353CC}">
              <c16:uniqueId val="{00000013-3A54-4470-A10B-9DDD08832EDA}"/>
            </c:ext>
          </c:extLst>
        </c:ser>
        <c:ser>
          <c:idx val="7"/>
          <c:order val="7"/>
          <c:tx>
            <c:strRef>
              <c:f>'Pivot Tables'!$AP$40:$AP$41</c:f>
              <c:strCache>
                <c:ptCount val="1"/>
                <c:pt idx="0">
                  <c:v>GCP</c:v>
                </c:pt>
              </c:strCache>
            </c:strRef>
          </c:tx>
          <c:spPr>
            <a:solidFill>
              <a:schemeClr val="accent2">
                <a:lumMod val="60000"/>
              </a:schemeClr>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Tables'!$AP$42:$AP$49</c:f>
              <c:numCache>
                <c:formatCode>General</c:formatCode>
                <c:ptCount val="7"/>
                <c:pt idx="0">
                  <c:v>15</c:v>
                </c:pt>
                <c:pt idx="1">
                  <c:v>12</c:v>
                </c:pt>
                <c:pt idx="2">
                  <c:v>8</c:v>
                </c:pt>
                <c:pt idx="3">
                  <c:v>10</c:v>
                </c:pt>
                <c:pt idx="4">
                  <c:v>11</c:v>
                </c:pt>
                <c:pt idx="5">
                  <c:v>13</c:v>
                </c:pt>
                <c:pt idx="6">
                  <c:v>9</c:v>
                </c:pt>
              </c:numCache>
            </c:numRef>
          </c:val>
          <c:extLst>
            <c:ext xmlns:c16="http://schemas.microsoft.com/office/drawing/2014/chart" uri="{C3380CC4-5D6E-409C-BE32-E72D297353CC}">
              <c16:uniqueId val="{00000014-3A54-4470-A10B-9DDD08832EDA}"/>
            </c:ext>
          </c:extLst>
        </c:ser>
        <c:ser>
          <c:idx val="8"/>
          <c:order val="8"/>
          <c:tx>
            <c:strRef>
              <c:f>'Pivot Tables'!$AQ$40:$AQ$41</c:f>
              <c:strCache>
                <c:ptCount val="1"/>
                <c:pt idx="0">
                  <c:v>Hugging Face</c:v>
                </c:pt>
              </c:strCache>
            </c:strRef>
          </c:tx>
          <c:spPr>
            <a:solidFill>
              <a:schemeClr val="accent3">
                <a:lumMod val="60000"/>
              </a:schemeClr>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Tables'!$AQ$42:$AQ$49</c:f>
              <c:numCache>
                <c:formatCode>General</c:formatCode>
                <c:ptCount val="7"/>
                <c:pt idx="0">
                  <c:v>17</c:v>
                </c:pt>
                <c:pt idx="1">
                  <c:v>9</c:v>
                </c:pt>
                <c:pt idx="2">
                  <c:v>15</c:v>
                </c:pt>
                <c:pt idx="3">
                  <c:v>14</c:v>
                </c:pt>
                <c:pt idx="4">
                  <c:v>14</c:v>
                </c:pt>
                <c:pt idx="5">
                  <c:v>13</c:v>
                </c:pt>
                <c:pt idx="6">
                  <c:v>7</c:v>
                </c:pt>
              </c:numCache>
            </c:numRef>
          </c:val>
          <c:extLst>
            <c:ext xmlns:c16="http://schemas.microsoft.com/office/drawing/2014/chart" uri="{C3380CC4-5D6E-409C-BE32-E72D297353CC}">
              <c16:uniqueId val="{00000015-3A54-4470-A10B-9DDD08832EDA}"/>
            </c:ext>
          </c:extLst>
        </c:ser>
        <c:ser>
          <c:idx val="9"/>
          <c:order val="9"/>
          <c:tx>
            <c:strRef>
              <c:f>'Pivot Tables'!$AR$40:$AR$41</c:f>
              <c:strCache>
                <c:ptCount val="1"/>
                <c:pt idx="0">
                  <c:v>Keras</c:v>
                </c:pt>
              </c:strCache>
            </c:strRef>
          </c:tx>
          <c:spPr>
            <a:solidFill>
              <a:schemeClr val="accent4">
                <a:lumMod val="60000"/>
              </a:schemeClr>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Tables'!$AR$42:$AR$49</c:f>
              <c:numCache>
                <c:formatCode>General</c:formatCode>
                <c:ptCount val="7"/>
                <c:pt idx="0">
                  <c:v>16</c:v>
                </c:pt>
                <c:pt idx="1">
                  <c:v>15</c:v>
                </c:pt>
                <c:pt idx="2">
                  <c:v>9</c:v>
                </c:pt>
                <c:pt idx="3">
                  <c:v>11</c:v>
                </c:pt>
                <c:pt idx="4">
                  <c:v>15</c:v>
                </c:pt>
                <c:pt idx="5">
                  <c:v>14</c:v>
                </c:pt>
                <c:pt idx="6">
                  <c:v>16</c:v>
                </c:pt>
              </c:numCache>
            </c:numRef>
          </c:val>
          <c:extLst>
            <c:ext xmlns:c16="http://schemas.microsoft.com/office/drawing/2014/chart" uri="{C3380CC4-5D6E-409C-BE32-E72D297353CC}">
              <c16:uniqueId val="{00000016-3A54-4470-A10B-9DDD08832EDA}"/>
            </c:ext>
          </c:extLst>
        </c:ser>
        <c:ser>
          <c:idx val="10"/>
          <c:order val="10"/>
          <c:tx>
            <c:strRef>
              <c:f>'Pivot Tables'!$AS$40:$AS$41</c:f>
              <c:strCache>
                <c:ptCount val="1"/>
                <c:pt idx="0">
                  <c:v>LangChain</c:v>
                </c:pt>
              </c:strCache>
            </c:strRef>
          </c:tx>
          <c:spPr>
            <a:solidFill>
              <a:srgbClr val="00B050"/>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Tables'!$AS$42:$AS$49</c:f>
              <c:numCache>
                <c:formatCode>General</c:formatCode>
                <c:ptCount val="7"/>
                <c:pt idx="0">
                  <c:v>14</c:v>
                </c:pt>
                <c:pt idx="1">
                  <c:v>21</c:v>
                </c:pt>
                <c:pt idx="2">
                  <c:v>13</c:v>
                </c:pt>
                <c:pt idx="3">
                  <c:v>12</c:v>
                </c:pt>
                <c:pt idx="4">
                  <c:v>14</c:v>
                </c:pt>
                <c:pt idx="5">
                  <c:v>12</c:v>
                </c:pt>
                <c:pt idx="6">
                  <c:v>14</c:v>
                </c:pt>
              </c:numCache>
            </c:numRef>
          </c:val>
          <c:extLst>
            <c:ext xmlns:c16="http://schemas.microsoft.com/office/drawing/2014/chart" uri="{C3380CC4-5D6E-409C-BE32-E72D297353CC}">
              <c16:uniqueId val="{00000017-3A54-4470-A10B-9DDD08832EDA}"/>
            </c:ext>
          </c:extLst>
        </c:ser>
        <c:ser>
          <c:idx val="11"/>
          <c:order val="11"/>
          <c:tx>
            <c:strRef>
              <c:f>'Pivot Tables'!$AT$40:$AT$41</c:f>
              <c:strCache>
                <c:ptCount val="1"/>
                <c:pt idx="0">
                  <c:v>MLflow</c:v>
                </c:pt>
              </c:strCache>
            </c:strRef>
          </c:tx>
          <c:spPr>
            <a:solidFill>
              <a:schemeClr val="accent6">
                <a:lumMod val="60000"/>
              </a:schemeClr>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Tables'!$AT$42:$AT$49</c:f>
              <c:numCache>
                <c:formatCode>General</c:formatCode>
                <c:ptCount val="7"/>
                <c:pt idx="0">
                  <c:v>13</c:v>
                </c:pt>
                <c:pt idx="1">
                  <c:v>8</c:v>
                </c:pt>
                <c:pt idx="2">
                  <c:v>16</c:v>
                </c:pt>
                <c:pt idx="3">
                  <c:v>11</c:v>
                </c:pt>
                <c:pt idx="4">
                  <c:v>12</c:v>
                </c:pt>
                <c:pt idx="5">
                  <c:v>9</c:v>
                </c:pt>
                <c:pt idx="6">
                  <c:v>11</c:v>
                </c:pt>
              </c:numCache>
            </c:numRef>
          </c:val>
          <c:extLst>
            <c:ext xmlns:c16="http://schemas.microsoft.com/office/drawing/2014/chart" uri="{C3380CC4-5D6E-409C-BE32-E72D297353CC}">
              <c16:uniqueId val="{00000018-3A54-4470-A10B-9DDD08832EDA}"/>
            </c:ext>
          </c:extLst>
        </c:ser>
        <c:ser>
          <c:idx val="12"/>
          <c:order val="12"/>
          <c:tx>
            <c:strRef>
              <c:f>'Pivot Tables'!$AU$40:$AU$41</c:f>
              <c:strCache>
                <c:ptCount val="1"/>
                <c:pt idx="0">
                  <c:v>NumPy</c:v>
                </c:pt>
              </c:strCache>
            </c:strRef>
          </c:tx>
          <c:spPr>
            <a:solidFill>
              <a:srgbClr val="FF0000"/>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Tables'!$AU$42:$AU$49</c:f>
              <c:numCache>
                <c:formatCode>General</c:formatCode>
                <c:ptCount val="7"/>
                <c:pt idx="0">
                  <c:v>17</c:v>
                </c:pt>
                <c:pt idx="1">
                  <c:v>16</c:v>
                </c:pt>
                <c:pt idx="2">
                  <c:v>16</c:v>
                </c:pt>
                <c:pt idx="3">
                  <c:v>17</c:v>
                </c:pt>
                <c:pt idx="4">
                  <c:v>15</c:v>
                </c:pt>
                <c:pt idx="5">
                  <c:v>8</c:v>
                </c:pt>
                <c:pt idx="6">
                  <c:v>15</c:v>
                </c:pt>
              </c:numCache>
            </c:numRef>
          </c:val>
          <c:extLst>
            <c:ext xmlns:c16="http://schemas.microsoft.com/office/drawing/2014/chart" uri="{C3380CC4-5D6E-409C-BE32-E72D297353CC}">
              <c16:uniqueId val="{00000019-3A54-4470-A10B-9DDD08832EDA}"/>
            </c:ext>
          </c:extLst>
        </c:ser>
        <c:ser>
          <c:idx val="13"/>
          <c:order val="13"/>
          <c:tx>
            <c:strRef>
              <c:f>'Pivot Tables'!$AV$40:$AV$41</c:f>
              <c:strCache>
                <c:ptCount val="1"/>
                <c:pt idx="0">
                  <c:v>Pandas</c:v>
                </c:pt>
              </c:strCache>
            </c:strRef>
          </c:tx>
          <c:spPr>
            <a:solidFill>
              <a:schemeClr val="accent2">
                <a:lumMod val="80000"/>
                <a:lumOff val="20000"/>
              </a:schemeClr>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Tables'!$AV$42:$AV$49</c:f>
              <c:numCache>
                <c:formatCode>General</c:formatCode>
                <c:ptCount val="7"/>
                <c:pt idx="0">
                  <c:v>12</c:v>
                </c:pt>
                <c:pt idx="1">
                  <c:v>14</c:v>
                </c:pt>
                <c:pt idx="2">
                  <c:v>13</c:v>
                </c:pt>
                <c:pt idx="3">
                  <c:v>12</c:v>
                </c:pt>
                <c:pt idx="4">
                  <c:v>17</c:v>
                </c:pt>
                <c:pt idx="5">
                  <c:v>5</c:v>
                </c:pt>
                <c:pt idx="6">
                  <c:v>5</c:v>
                </c:pt>
              </c:numCache>
            </c:numRef>
          </c:val>
          <c:extLst>
            <c:ext xmlns:c16="http://schemas.microsoft.com/office/drawing/2014/chart" uri="{C3380CC4-5D6E-409C-BE32-E72D297353CC}">
              <c16:uniqueId val="{0000001A-3A54-4470-A10B-9DDD08832EDA}"/>
            </c:ext>
          </c:extLst>
        </c:ser>
        <c:ser>
          <c:idx val="14"/>
          <c:order val="14"/>
          <c:tx>
            <c:strRef>
              <c:f>'Pivot Tables'!$AW$40:$AW$41</c:f>
              <c:strCache>
                <c:ptCount val="1"/>
                <c:pt idx="0">
                  <c:v>Power BI</c:v>
                </c:pt>
              </c:strCache>
            </c:strRef>
          </c:tx>
          <c:spPr>
            <a:solidFill>
              <a:schemeClr val="accent3">
                <a:lumMod val="80000"/>
                <a:lumOff val="20000"/>
              </a:schemeClr>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Tables'!$AW$42:$AW$49</c:f>
              <c:numCache>
                <c:formatCode>General</c:formatCode>
                <c:ptCount val="7"/>
                <c:pt idx="0">
                  <c:v>11</c:v>
                </c:pt>
                <c:pt idx="1">
                  <c:v>11</c:v>
                </c:pt>
                <c:pt idx="2">
                  <c:v>18</c:v>
                </c:pt>
                <c:pt idx="3">
                  <c:v>17</c:v>
                </c:pt>
                <c:pt idx="4">
                  <c:v>14</c:v>
                </c:pt>
                <c:pt idx="5">
                  <c:v>9</c:v>
                </c:pt>
                <c:pt idx="6">
                  <c:v>16</c:v>
                </c:pt>
              </c:numCache>
            </c:numRef>
          </c:val>
          <c:extLst>
            <c:ext xmlns:c16="http://schemas.microsoft.com/office/drawing/2014/chart" uri="{C3380CC4-5D6E-409C-BE32-E72D297353CC}">
              <c16:uniqueId val="{0000001B-3A54-4470-A10B-9DDD08832EDA}"/>
            </c:ext>
          </c:extLst>
        </c:ser>
        <c:ser>
          <c:idx val="15"/>
          <c:order val="15"/>
          <c:tx>
            <c:strRef>
              <c:f>'Pivot Tables'!$AX$40:$AX$41</c:f>
              <c:strCache>
                <c:ptCount val="1"/>
                <c:pt idx="0">
                  <c:v>Python</c:v>
                </c:pt>
              </c:strCache>
            </c:strRef>
          </c:tx>
          <c:spPr>
            <a:solidFill>
              <a:schemeClr val="accent4">
                <a:lumMod val="80000"/>
                <a:lumOff val="20000"/>
              </a:schemeClr>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Tables'!$AX$42:$AX$49</c:f>
              <c:numCache>
                <c:formatCode>General</c:formatCode>
                <c:ptCount val="7"/>
                <c:pt idx="0">
                  <c:v>15</c:v>
                </c:pt>
                <c:pt idx="1">
                  <c:v>13</c:v>
                </c:pt>
                <c:pt idx="2">
                  <c:v>14</c:v>
                </c:pt>
                <c:pt idx="3">
                  <c:v>15</c:v>
                </c:pt>
                <c:pt idx="4">
                  <c:v>14</c:v>
                </c:pt>
                <c:pt idx="5">
                  <c:v>14</c:v>
                </c:pt>
                <c:pt idx="6">
                  <c:v>9</c:v>
                </c:pt>
              </c:numCache>
            </c:numRef>
          </c:val>
          <c:extLst>
            <c:ext xmlns:c16="http://schemas.microsoft.com/office/drawing/2014/chart" uri="{C3380CC4-5D6E-409C-BE32-E72D297353CC}">
              <c16:uniqueId val="{0000001C-3A54-4470-A10B-9DDD08832EDA}"/>
            </c:ext>
          </c:extLst>
        </c:ser>
        <c:ser>
          <c:idx val="16"/>
          <c:order val="16"/>
          <c:tx>
            <c:strRef>
              <c:f>'Pivot Tables'!$AY$40:$AY$41</c:f>
              <c:strCache>
                <c:ptCount val="1"/>
                <c:pt idx="0">
                  <c:v>PyTorch</c:v>
                </c:pt>
              </c:strCache>
            </c:strRef>
          </c:tx>
          <c:spPr>
            <a:solidFill>
              <a:schemeClr val="accent5">
                <a:lumMod val="80000"/>
                <a:lumOff val="20000"/>
              </a:schemeClr>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Tables'!$AY$42:$AY$49</c:f>
              <c:numCache>
                <c:formatCode>General</c:formatCode>
                <c:ptCount val="7"/>
                <c:pt idx="0">
                  <c:v>19</c:v>
                </c:pt>
                <c:pt idx="1">
                  <c:v>11</c:v>
                </c:pt>
                <c:pt idx="2">
                  <c:v>11</c:v>
                </c:pt>
                <c:pt idx="3">
                  <c:v>12</c:v>
                </c:pt>
                <c:pt idx="4">
                  <c:v>9</c:v>
                </c:pt>
                <c:pt idx="5">
                  <c:v>12</c:v>
                </c:pt>
                <c:pt idx="6">
                  <c:v>18</c:v>
                </c:pt>
              </c:numCache>
            </c:numRef>
          </c:val>
          <c:extLst>
            <c:ext xmlns:c16="http://schemas.microsoft.com/office/drawing/2014/chart" uri="{C3380CC4-5D6E-409C-BE32-E72D297353CC}">
              <c16:uniqueId val="{0000001D-3A54-4470-A10B-9DDD08832EDA}"/>
            </c:ext>
          </c:extLst>
        </c:ser>
        <c:ser>
          <c:idx val="17"/>
          <c:order val="17"/>
          <c:tx>
            <c:strRef>
              <c:f>'Pivot Tables'!$AZ$40:$AZ$41</c:f>
              <c:strCache>
                <c:ptCount val="1"/>
                <c:pt idx="0">
                  <c:v>R</c:v>
                </c:pt>
              </c:strCache>
            </c:strRef>
          </c:tx>
          <c:spPr>
            <a:solidFill>
              <a:schemeClr val="accent6">
                <a:lumMod val="80000"/>
                <a:lumOff val="20000"/>
              </a:schemeClr>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Tables'!$AZ$42:$AZ$49</c:f>
              <c:numCache>
                <c:formatCode>General</c:formatCode>
                <c:ptCount val="7"/>
                <c:pt idx="0">
                  <c:v>10</c:v>
                </c:pt>
                <c:pt idx="1">
                  <c:v>19</c:v>
                </c:pt>
                <c:pt idx="2">
                  <c:v>11</c:v>
                </c:pt>
                <c:pt idx="3">
                  <c:v>12</c:v>
                </c:pt>
                <c:pt idx="4">
                  <c:v>7</c:v>
                </c:pt>
                <c:pt idx="5">
                  <c:v>16</c:v>
                </c:pt>
                <c:pt idx="6">
                  <c:v>11</c:v>
                </c:pt>
              </c:numCache>
            </c:numRef>
          </c:val>
          <c:extLst>
            <c:ext xmlns:c16="http://schemas.microsoft.com/office/drawing/2014/chart" uri="{C3380CC4-5D6E-409C-BE32-E72D297353CC}">
              <c16:uniqueId val="{0000001E-3A54-4470-A10B-9DDD08832EDA}"/>
            </c:ext>
          </c:extLst>
        </c:ser>
        <c:ser>
          <c:idx val="18"/>
          <c:order val="18"/>
          <c:tx>
            <c:strRef>
              <c:f>'Pivot Tables'!$BA$40:$BA$41</c:f>
              <c:strCache>
                <c:ptCount val="1"/>
                <c:pt idx="0">
                  <c:v>Reinforcement Learning</c:v>
                </c:pt>
              </c:strCache>
            </c:strRef>
          </c:tx>
          <c:spPr>
            <a:solidFill>
              <a:schemeClr val="accent1">
                <a:lumMod val="80000"/>
              </a:schemeClr>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Tables'!$BA$42:$BA$49</c:f>
              <c:numCache>
                <c:formatCode>General</c:formatCode>
                <c:ptCount val="7"/>
                <c:pt idx="0">
                  <c:v>15</c:v>
                </c:pt>
                <c:pt idx="1">
                  <c:v>14</c:v>
                </c:pt>
                <c:pt idx="2">
                  <c:v>14</c:v>
                </c:pt>
                <c:pt idx="3">
                  <c:v>13</c:v>
                </c:pt>
                <c:pt idx="4">
                  <c:v>13</c:v>
                </c:pt>
                <c:pt idx="5">
                  <c:v>20</c:v>
                </c:pt>
                <c:pt idx="6">
                  <c:v>15</c:v>
                </c:pt>
              </c:numCache>
            </c:numRef>
          </c:val>
          <c:extLst>
            <c:ext xmlns:c16="http://schemas.microsoft.com/office/drawing/2014/chart" uri="{C3380CC4-5D6E-409C-BE32-E72D297353CC}">
              <c16:uniqueId val="{0000001F-3A54-4470-A10B-9DDD08832EDA}"/>
            </c:ext>
          </c:extLst>
        </c:ser>
        <c:ser>
          <c:idx val="19"/>
          <c:order val="19"/>
          <c:tx>
            <c:strRef>
              <c:f>'Pivot Tables'!$BB$40:$BB$41</c:f>
              <c:strCache>
                <c:ptCount val="1"/>
                <c:pt idx="0">
                  <c:v>Scikit-learn</c:v>
                </c:pt>
              </c:strCache>
            </c:strRef>
          </c:tx>
          <c:spPr>
            <a:solidFill>
              <a:schemeClr val="accent2">
                <a:lumMod val="80000"/>
              </a:schemeClr>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Tables'!$BB$42:$BB$49</c:f>
              <c:numCache>
                <c:formatCode>General</c:formatCode>
                <c:ptCount val="7"/>
                <c:pt idx="0">
                  <c:v>7</c:v>
                </c:pt>
                <c:pt idx="1">
                  <c:v>7</c:v>
                </c:pt>
                <c:pt idx="2">
                  <c:v>9</c:v>
                </c:pt>
                <c:pt idx="3">
                  <c:v>11</c:v>
                </c:pt>
                <c:pt idx="4">
                  <c:v>11</c:v>
                </c:pt>
                <c:pt idx="5">
                  <c:v>21</c:v>
                </c:pt>
                <c:pt idx="6">
                  <c:v>10</c:v>
                </c:pt>
              </c:numCache>
            </c:numRef>
          </c:val>
          <c:extLst>
            <c:ext xmlns:c16="http://schemas.microsoft.com/office/drawing/2014/chart" uri="{C3380CC4-5D6E-409C-BE32-E72D297353CC}">
              <c16:uniqueId val="{00000020-3A54-4470-A10B-9DDD08832EDA}"/>
            </c:ext>
          </c:extLst>
        </c:ser>
        <c:ser>
          <c:idx val="20"/>
          <c:order val="20"/>
          <c:tx>
            <c:strRef>
              <c:f>'Pivot Tables'!$BC$40:$BC$41</c:f>
              <c:strCache>
                <c:ptCount val="1"/>
                <c:pt idx="0">
                  <c:v>SQL</c:v>
                </c:pt>
              </c:strCache>
            </c:strRef>
          </c:tx>
          <c:spPr>
            <a:solidFill>
              <a:schemeClr val="accent3">
                <a:lumMod val="80000"/>
              </a:schemeClr>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Tables'!$BC$42:$BC$49</c:f>
              <c:numCache>
                <c:formatCode>General</c:formatCode>
                <c:ptCount val="7"/>
                <c:pt idx="0">
                  <c:v>20</c:v>
                </c:pt>
                <c:pt idx="1">
                  <c:v>5</c:v>
                </c:pt>
                <c:pt idx="2">
                  <c:v>14</c:v>
                </c:pt>
                <c:pt idx="3">
                  <c:v>13</c:v>
                </c:pt>
                <c:pt idx="4">
                  <c:v>8</c:v>
                </c:pt>
                <c:pt idx="5">
                  <c:v>15</c:v>
                </c:pt>
                <c:pt idx="6">
                  <c:v>13</c:v>
                </c:pt>
              </c:numCache>
            </c:numRef>
          </c:val>
          <c:extLst>
            <c:ext xmlns:c16="http://schemas.microsoft.com/office/drawing/2014/chart" uri="{C3380CC4-5D6E-409C-BE32-E72D297353CC}">
              <c16:uniqueId val="{00000021-3A54-4470-A10B-9DDD08832EDA}"/>
            </c:ext>
          </c:extLst>
        </c:ser>
        <c:ser>
          <c:idx val="21"/>
          <c:order val="21"/>
          <c:tx>
            <c:strRef>
              <c:f>'Pivot Tables'!$BD$40:$BD$41</c:f>
              <c:strCache>
                <c:ptCount val="1"/>
                <c:pt idx="0">
                  <c:v>TensorFlow</c:v>
                </c:pt>
              </c:strCache>
            </c:strRef>
          </c:tx>
          <c:spPr>
            <a:solidFill>
              <a:schemeClr val="accent4">
                <a:lumMod val="80000"/>
              </a:schemeClr>
            </a:solidFill>
            <a:ln>
              <a:noFill/>
            </a:ln>
            <a:effectLst/>
          </c:spPr>
          <c:invertIfNegative val="0"/>
          <c:cat>
            <c:strRef>
              <c:f>'Pivot Tables'!$AH$42:$AH$49</c:f>
              <c:strCache>
                <c:ptCount val="7"/>
                <c:pt idx="0">
                  <c:v>Automotive</c:v>
                </c:pt>
                <c:pt idx="1">
                  <c:v>E-commerce</c:v>
                </c:pt>
                <c:pt idx="2">
                  <c:v>Education</c:v>
                </c:pt>
                <c:pt idx="3">
                  <c:v>Finance</c:v>
                </c:pt>
                <c:pt idx="4">
                  <c:v>Healthcare</c:v>
                </c:pt>
                <c:pt idx="5">
                  <c:v>Retail</c:v>
                </c:pt>
                <c:pt idx="6">
                  <c:v>Tech</c:v>
                </c:pt>
              </c:strCache>
            </c:strRef>
          </c:cat>
          <c:val>
            <c:numRef>
              <c:f>'Pivot Tables'!$BD$42:$BD$49</c:f>
              <c:numCache>
                <c:formatCode>General</c:formatCode>
                <c:ptCount val="7"/>
                <c:pt idx="0">
                  <c:v>9</c:v>
                </c:pt>
                <c:pt idx="1">
                  <c:v>14</c:v>
                </c:pt>
                <c:pt idx="2">
                  <c:v>13</c:v>
                </c:pt>
                <c:pt idx="3">
                  <c:v>9</c:v>
                </c:pt>
                <c:pt idx="4">
                  <c:v>14</c:v>
                </c:pt>
                <c:pt idx="5">
                  <c:v>18</c:v>
                </c:pt>
                <c:pt idx="6">
                  <c:v>18</c:v>
                </c:pt>
              </c:numCache>
            </c:numRef>
          </c:val>
          <c:extLst>
            <c:ext xmlns:c16="http://schemas.microsoft.com/office/drawing/2014/chart" uri="{C3380CC4-5D6E-409C-BE32-E72D297353CC}">
              <c16:uniqueId val="{00000022-3A54-4470-A10B-9DDD08832EDA}"/>
            </c:ext>
          </c:extLst>
        </c:ser>
        <c:dLbls>
          <c:showLegendKey val="0"/>
          <c:showVal val="0"/>
          <c:showCatName val="0"/>
          <c:showSerName val="0"/>
          <c:showPercent val="0"/>
          <c:showBubbleSize val="0"/>
        </c:dLbls>
        <c:gapWidth val="219"/>
        <c:overlap val="-27"/>
        <c:axId val="1746728272"/>
        <c:axId val="1746714832"/>
      </c:barChart>
      <c:catAx>
        <c:axId val="174672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746714832"/>
        <c:crosses val="autoZero"/>
        <c:auto val="1"/>
        <c:lblAlgn val="ctr"/>
        <c:lblOffset val="100"/>
        <c:noMultiLvlLbl val="0"/>
      </c:catAx>
      <c:valAx>
        <c:axId val="174671483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4672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lt1">
          <a:shade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[AI_Market Dashboard.xlsx]Pivot Tables!PivotTable40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a:solidFill>
                  <a:schemeClr val="bg1"/>
                </a:solidFill>
                <a:latin typeface="Arial" panose="020B0604020202020204" pitchFamily="34" charset="0"/>
                <a:cs typeface="Arial" panose="020B0604020202020204" pitchFamily="34" charset="0"/>
              </a:rPr>
              <a:t>Top Skills required</a:t>
            </a:r>
            <a:r>
              <a:rPr lang="en-IN" sz="1100" baseline="0">
                <a:solidFill>
                  <a:schemeClr val="bg1"/>
                </a:solidFill>
                <a:latin typeface="Arial" panose="020B0604020202020204" pitchFamily="34" charset="0"/>
                <a:cs typeface="Arial" panose="020B0604020202020204" pitchFamily="34" charset="0"/>
              </a:rPr>
              <a:t> by Company size</a:t>
            </a:r>
            <a:endParaRPr lang="en-IN" sz="1100">
              <a:solidFill>
                <a:schemeClr val="bg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Tables'!$BK$2:$BK$3</c:f>
              <c:strCache>
                <c:ptCount val="1"/>
                <c:pt idx="0">
                  <c:v>Large</c:v>
                </c:pt>
              </c:strCache>
            </c:strRef>
          </c:tx>
          <c:spPr>
            <a:solidFill>
              <a:srgbClr val="FFFF00"/>
            </a:solidFill>
            <a:ln>
              <a:noFill/>
            </a:ln>
            <a:effectLst/>
          </c:spPr>
          <c:invertIfNegative val="0"/>
          <c:cat>
            <c:strRef>
              <c:f>'Pivot Tables'!$BJ$4:$BJ$26</c:f>
              <c:strCache>
                <c:ptCount val="22"/>
                <c:pt idx="0">
                  <c:v>AWS</c:v>
                </c:pt>
                <c:pt idx="1">
                  <c:v>Azure</c:v>
                </c:pt>
                <c:pt idx="2">
                  <c:v>C++</c:v>
                </c:pt>
                <c:pt idx="3">
                  <c:v>CUDA</c:v>
                </c:pt>
                <c:pt idx="4">
                  <c:v>Excel</c:v>
                </c:pt>
                <c:pt idx="5">
                  <c:v>FastAPI</c:v>
                </c:pt>
                <c:pt idx="6">
                  <c:v>Flask</c:v>
                </c:pt>
                <c:pt idx="7">
                  <c:v>GCP</c:v>
                </c:pt>
                <c:pt idx="8">
                  <c:v>Hugging Face</c:v>
                </c:pt>
                <c:pt idx="9">
                  <c:v>Keras</c:v>
                </c:pt>
                <c:pt idx="10">
                  <c:v>LangChain</c:v>
                </c:pt>
                <c:pt idx="11">
                  <c:v>MLflow</c:v>
                </c:pt>
                <c:pt idx="12">
                  <c:v>NumPy</c:v>
                </c:pt>
                <c:pt idx="13">
                  <c:v>Pandas</c:v>
                </c:pt>
                <c:pt idx="14">
                  <c:v>Power BI</c:v>
                </c:pt>
                <c:pt idx="15">
                  <c:v>Python</c:v>
                </c:pt>
                <c:pt idx="16">
                  <c:v>PyTorch</c:v>
                </c:pt>
                <c:pt idx="17">
                  <c:v>R</c:v>
                </c:pt>
                <c:pt idx="18">
                  <c:v>Reinforcement Learning</c:v>
                </c:pt>
                <c:pt idx="19">
                  <c:v>Scikit-learn</c:v>
                </c:pt>
                <c:pt idx="20">
                  <c:v>SQL</c:v>
                </c:pt>
                <c:pt idx="21">
                  <c:v>TensorFlow</c:v>
                </c:pt>
              </c:strCache>
            </c:strRef>
          </c:cat>
          <c:val>
            <c:numRef>
              <c:f>'Pivot Tables'!$BK$4:$BK$26</c:f>
              <c:numCache>
                <c:formatCode>General</c:formatCode>
                <c:ptCount val="22"/>
                <c:pt idx="0">
                  <c:v>32</c:v>
                </c:pt>
                <c:pt idx="1">
                  <c:v>36</c:v>
                </c:pt>
                <c:pt idx="2">
                  <c:v>30</c:v>
                </c:pt>
                <c:pt idx="3">
                  <c:v>21</c:v>
                </c:pt>
                <c:pt idx="4">
                  <c:v>27</c:v>
                </c:pt>
                <c:pt idx="5">
                  <c:v>32</c:v>
                </c:pt>
                <c:pt idx="6">
                  <c:v>26</c:v>
                </c:pt>
                <c:pt idx="7">
                  <c:v>28</c:v>
                </c:pt>
                <c:pt idx="8">
                  <c:v>35</c:v>
                </c:pt>
                <c:pt idx="9">
                  <c:v>36</c:v>
                </c:pt>
                <c:pt idx="10">
                  <c:v>28</c:v>
                </c:pt>
                <c:pt idx="11">
                  <c:v>26</c:v>
                </c:pt>
                <c:pt idx="12">
                  <c:v>35</c:v>
                </c:pt>
                <c:pt idx="13">
                  <c:v>17</c:v>
                </c:pt>
                <c:pt idx="14">
                  <c:v>36</c:v>
                </c:pt>
                <c:pt idx="15">
                  <c:v>33</c:v>
                </c:pt>
                <c:pt idx="16">
                  <c:v>28</c:v>
                </c:pt>
                <c:pt idx="17">
                  <c:v>35</c:v>
                </c:pt>
                <c:pt idx="18">
                  <c:v>36</c:v>
                </c:pt>
                <c:pt idx="19">
                  <c:v>22</c:v>
                </c:pt>
                <c:pt idx="20">
                  <c:v>26</c:v>
                </c:pt>
                <c:pt idx="21">
                  <c:v>32</c:v>
                </c:pt>
              </c:numCache>
            </c:numRef>
          </c:val>
          <c:extLst>
            <c:ext xmlns:c16="http://schemas.microsoft.com/office/drawing/2014/chart" uri="{C3380CC4-5D6E-409C-BE32-E72D297353CC}">
              <c16:uniqueId val="{00000000-CA0E-483E-B9CB-583922448C13}"/>
            </c:ext>
          </c:extLst>
        </c:ser>
        <c:ser>
          <c:idx val="1"/>
          <c:order val="1"/>
          <c:tx>
            <c:strRef>
              <c:f>'Pivot Tables'!$BL$2:$BL$3</c:f>
              <c:strCache>
                <c:ptCount val="1"/>
                <c:pt idx="0">
                  <c:v>Mid</c:v>
                </c:pt>
              </c:strCache>
            </c:strRef>
          </c:tx>
          <c:spPr>
            <a:solidFill>
              <a:srgbClr val="FF0000"/>
            </a:solidFill>
            <a:ln>
              <a:noFill/>
            </a:ln>
            <a:effectLst/>
          </c:spPr>
          <c:invertIfNegative val="0"/>
          <c:cat>
            <c:strRef>
              <c:f>'Pivot Tables'!$BJ$4:$BJ$26</c:f>
              <c:strCache>
                <c:ptCount val="22"/>
                <c:pt idx="0">
                  <c:v>AWS</c:v>
                </c:pt>
                <c:pt idx="1">
                  <c:v>Azure</c:v>
                </c:pt>
                <c:pt idx="2">
                  <c:v>C++</c:v>
                </c:pt>
                <c:pt idx="3">
                  <c:v>CUDA</c:v>
                </c:pt>
                <c:pt idx="4">
                  <c:v>Excel</c:v>
                </c:pt>
                <c:pt idx="5">
                  <c:v>FastAPI</c:v>
                </c:pt>
                <c:pt idx="6">
                  <c:v>Flask</c:v>
                </c:pt>
                <c:pt idx="7">
                  <c:v>GCP</c:v>
                </c:pt>
                <c:pt idx="8">
                  <c:v>Hugging Face</c:v>
                </c:pt>
                <c:pt idx="9">
                  <c:v>Keras</c:v>
                </c:pt>
                <c:pt idx="10">
                  <c:v>LangChain</c:v>
                </c:pt>
                <c:pt idx="11">
                  <c:v>MLflow</c:v>
                </c:pt>
                <c:pt idx="12">
                  <c:v>NumPy</c:v>
                </c:pt>
                <c:pt idx="13">
                  <c:v>Pandas</c:v>
                </c:pt>
                <c:pt idx="14">
                  <c:v>Power BI</c:v>
                </c:pt>
                <c:pt idx="15">
                  <c:v>Python</c:v>
                </c:pt>
                <c:pt idx="16">
                  <c:v>PyTorch</c:v>
                </c:pt>
                <c:pt idx="17">
                  <c:v>R</c:v>
                </c:pt>
                <c:pt idx="18">
                  <c:v>Reinforcement Learning</c:v>
                </c:pt>
                <c:pt idx="19">
                  <c:v>Scikit-learn</c:v>
                </c:pt>
                <c:pt idx="20">
                  <c:v>SQL</c:v>
                </c:pt>
                <c:pt idx="21">
                  <c:v>TensorFlow</c:v>
                </c:pt>
              </c:strCache>
            </c:strRef>
          </c:cat>
          <c:val>
            <c:numRef>
              <c:f>'Pivot Tables'!$BL$4:$BL$26</c:f>
              <c:numCache>
                <c:formatCode>General</c:formatCode>
                <c:ptCount val="22"/>
                <c:pt idx="0">
                  <c:v>34</c:v>
                </c:pt>
                <c:pt idx="1">
                  <c:v>31</c:v>
                </c:pt>
                <c:pt idx="2">
                  <c:v>31</c:v>
                </c:pt>
                <c:pt idx="3">
                  <c:v>28</c:v>
                </c:pt>
                <c:pt idx="4">
                  <c:v>39</c:v>
                </c:pt>
                <c:pt idx="5">
                  <c:v>42</c:v>
                </c:pt>
                <c:pt idx="6">
                  <c:v>33</c:v>
                </c:pt>
                <c:pt idx="7">
                  <c:v>23</c:v>
                </c:pt>
                <c:pt idx="8">
                  <c:v>24</c:v>
                </c:pt>
                <c:pt idx="9">
                  <c:v>31</c:v>
                </c:pt>
                <c:pt idx="10">
                  <c:v>29</c:v>
                </c:pt>
                <c:pt idx="11">
                  <c:v>22</c:v>
                </c:pt>
                <c:pt idx="12">
                  <c:v>40</c:v>
                </c:pt>
                <c:pt idx="13">
                  <c:v>24</c:v>
                </c:pt>
                <c:pt idx="14">
                  <c:v>35</c:v>
                </c:pt>
                <c:pt idx="15">
                  <c:v>31</c:v>
                </c:pt>
                <c:pt idx="16">
                  <c:v>32</c:v>
                </c:pt>
                <c:pt idx="17">
                  <c:v>26</c:v>
                </c:pt>
                <c:pt idx="18">
                  <c:v>26</c:v>
                </c:pt>
                <c:pt idx="19">
                  <c:v>28</c:v>
                </c:pt>
                <c:pt idx="20">
                  <c:v>25</c:v>
                </c:pt>
                <c:pt idx="21">
                  <c:v>37</c:v>
                </c:pt>
              </c:numCache>
            </c:numRef>
          </c:val>
          <c:extLst>
            <c:ext xmlns:c16="http://schemas.microsoft.com/office/drawing/2014/chart" uri="{C3380CC4-5D6E-409C-BE32-E72D297353CC}">
              <c16:uniqueId val="{0000000E-CA0E-483E-B9CB-583922448C13}"/>
            </c:ext>
          </c:extLst>
        </c:ser>
        <c:ser>
          <c:idx val="2"/>
          <c:order val="2"/>
          <c:tx>
            <c:strRef>
              <c:f>'Pivot Tables'!$BM$2:$BM$3</c:f>
              <c:strCache>
                <c:ptCount val="1"/>
                <c:pt idx="0">
                  <c:v>Startup</c:v>
                </c:pt>
              </c:strCache>
            </c:strRef>
          </c:tx>
          <c:spPr>
            <a:solidFill>
              <a:srgbClr val="00B050"/>
            </a:solidFill>
            <a:ln>
              <a:noFill/>
            </a:ln>
            <a:effectLst/>
          </c:spPr>
          <c:invertIfNegative val="0"/>
          <c:cat>
            <c:strRef>
              <c:f>'Pivot Tables'!$BJ$4:$BJ$26</c:f>
              <c:strCache>
                <c:ptCount val="22"/>
                <c:pt idx="0">
                  <c:v>AWS</c:v>
                </c:pt>
                <c:pt idx="1">
                  <c:v>Azure</c:v>
                </c:pt>
                <c:pt idx="2">
                  <c:v>C++</c:v>
                </c:pt>
                <c:pt idx="3">
                  <c:v>CUDA</c:v>
                </c:pt>
                <c:pt idx="4">
                  <c:v>Excel</c:v>
                </c:pt>
                <c:pt idx="5">
                  <c:v>FastAPI</c:v>
                </c:pt>
                <c:pt idx="6">
                  <c:v>Flask</c:v>
                </c:pt>
                <c:pt idx="7">
                  <c:v>GCP</c:v>
                </c:pt>
                <c:pt idx="8">
                  <c:v>Hugging Face</c:v>
                </c:pt>
                <c:pt idx="9">
                  <c:v>Keras</c:v>
                </c:pt>
                <c:pt idx="10">
                  <c:v>LangChain</c:v>
                </c:pt>
                <c:pt idx="11">
                  <c:v>MLflow</c:v>
                </c:pt>
                <c:pt idx="12">
                  <c:v>NumPy</c:v>
                </c:pt>
                <c:pt idx="13">
                  <c:v>Pandas</c:v>
                </c:pt>
                <c:pt idx="14">
                  <c:v>Power BI</c:v>
                </c:pt>
                <c:pt idx="15">
                  <c:v>Python</c:v>
                </c:pt>
                <c:pt idx="16">
                  <c:v>PyTorch</c:v>
                </c:pt>
                <c:pt idx="17">
                  <c:v>R</c:v>
                </c:pt>
                <c:pt idx="18">
                  <c:v>Reinforcement Learning</c:v>
                </c:pt>
                <c:pt idx="19">
                  <c:v>Scikit-learn</c:v>
                </c:pt>
                <c:pt idx="20">
                  <c:v>SQL</c:v>
                </c:pt>
                <c:pt idx="21">
                  <c:v>TensorFlow</c:v>
                </c:pt>
              </c:strCache>
            </c:strRef>
          </c:cat>
          <c:val>
            <c:numRef>
              <c:f>'Pivot Tables'!$BM$4:$BM$26</c:f>
              <c:numCache>
                <c:formatCode>General</c:formatCode>
                <c:ptCount val="22"/>
                <c:pt idx="0">
                  <c:v>31</c:v>
                </c:pt>
                <c:pt idx="1">
                  <c:v>23</c:v>
                </c:pt>
                <c:pt idx="2">
                  <c:v>23</c:v>
                </c:pt>
                <c:pt idx="3">
                  <c:v>26</c:v>
                </c:pt>
                <c:pt idx="4">
                  <c:v>35</c:v>
                </c:pt>
                <c:pt idx="5">
                  <c:v>37</c:v>
                </c:pt>
                <c:pt idx="6">
                  <c:v>27</c:v>
                </c:pt>
                <c:pt idx="7">
                  <c:v>27</c:v>
                </c:pt>
                <c:pt idx="8">
                  <c:v>30</c:v>
                </c:pt>
                <c:pt idx="9">
                  <c:v>29</c:v>
                </c:pt>
                <c:pt idx="10">
                  <c:v>43</c:v>
                </c:pt>
                <c:pt idx="11">
                  <c:v>32</c:v>
                </c:pt>
                <c:pt idx="12">
                  <c:v>29</c:v>
                </c:pt>
                <c:pt idx="13">
                  <c:v>37</c:v>
                </c:pt>
                <c:pt idx="14">
                  <c:v>25</c:v>
                </c:pt>
                <c:pt idx="15">
                  <c:v>30</c:v>
                </c:pt>
                <c:pt idx="16">
                  <c:v>32</c:v>
                </c:pt>
                <c:pt idx="17">
                  <c:v>25</c:v>
                </c:pt>
                <c:pt idx="18">
                  <c:v>42</c:v>
                </c:pt>
                <c:pt idx="19">
                  <c:v>26</c:v>
                </c:pt>
                <c:pt idx="20">
                  <c:v>37</c:v>
                </c:pt>
                <c:pt idx="21">
                  <c:v>26</c:v>
                </c:pt>
              </c:numCache>
            </c:numRef>
          </c:val>
          <c:extLst>
            <c:ext xmlns:c16="http://schemas.microsoft.com/office/drawing/2014/chart" uri="{C3380CC4-5D6E-409C-BE32-E72D297353CC}">
              <c16:uniqueId val="{0000000F-CA0E-483E-B9CB-583922448C13}"/>
            </c:ext>
          </c:extLst>
        </c:ser>
        <c:dLbls>
          <c:showLegendKey val="0"/>
          <c:showVal val="0"/>
          <c:showCatName val="0"/>
          <c:showSerName val="0"/>
          <c:showPercent val="0"/>
          <c:showBubbleSize val="0"/>
        </c:dLbls>
        <c:gapWidth val="219"/>
        <c:overlap val="-27"/>
        <c:axId val="391001264"/>
        <c:axId val="390988304"/>
      </c:barChart>
      <c:catAx>
        <c:axId val="39100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390988304"/>
        <c:crosses val="autoZero"/>
        <c:auto val="1"/>
        <c:lblAlgn val="ctr"/>
        <c:lblOffset val="100"/>
        <c:noMultiLvlLbl val="0"/>
      </c:catAx>
      <c:valAx>
        <c:axId val="39098830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91001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[AI_Market Dashboard.xlsx]Pivot Tables!PivotTable39</c:name>
    <c:fmtId val="3"/>
  </c:pivotSource>
  <c:chart>
    <c:title>
      <c:tx>
        <c:rich>
          <a:bodyPr rot="0" spcFirstLastPara="1" vertOverflow="ellipsis" vert="horz" wrap="square" anchor="ctr" anchorCtr="1"/>
          <a:lstStyle/>
          <a:p>
            <a:pPr>
              <a:defRPr sz="1100" b="0" i="0" u="none" strike="noStrike" kern="1200" spc="0" baseline="0">
                <a:solidFill>
                  <a:schemeClr val="bg1"/>
                </a:solidFill>
                <a:latin typeface="Arial" panose="020B0604020202020204" pitchFamily="34" charset="0"/>
                <a:ea typeface="+mn-ea"/>
                <a:cs typeface="Arial" panose="020B0604020202020204" pitchFamily="34" charset="0"/>
              </a:defRPr>
            </a:pPr>
            <a:r>
              <a:rPr lang="en-IN" sz="1100">
                <a:solidFill>
                  <a:schemeClr val="bg1"/>
                </a:solidFill>
                <a:latin typeface="Arial" panose="020B0604020202020204" pitchFamily="34" charset="0"/>
                <a:cs typeface="Arial" panose="020B0604020202020204" pitchFamily="34" charset="0"/>
              </a:rPr>
              <a:t>Top Tools by Job Position</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bg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Tables'!$AI$69:$AI$70</c:f>
              <c:strCache>
                <c:ptCount val="1"/>
                <c:pt idx="0">
                  <c:v>BigQuery</c:v>
                </c:pt>
              </c:strCache>
            </c:strRef>
          </c:tx>
          <c:spPr>
            <a:solidFill>
              <a:schemeClr val="accent1"/>
            </a:solidFill>
            <a:ln>
              <a:noFill/>
            </a:ln>
            <a:effectLst/>
          </c:spPr>
          <c:invertIfNegative val="0"/>
          <c:cat>
            <c:strRef>
              <c:f>'Pivot Tables'!$AH$71:$AH$79</c:f>
              <c:strCache>
                <c:ptCount val="8"/>
                <c:pt idx="0">
                  <c:v>AI Product Manager</c:v>
                </c:pt>
                <c:pt idx="1">
                  <c:v>AI Researcher</c:v>
                </c:pt>
                <c:pt idx="2">
                  <c:v>Computer Vision Engineer</c:v>
                </c:pt>
                <c:pt idx="3">
                  <c:v>Data Analyst</c:v>
                </c:pt>
                <c:pt idx="4">
                  <c:v>Data Scientist</c:v>
                </c:pt>
                <c:pt idx="5">
                  <c:v>ML Engineer</c:v>
                </c:pt>
                <c:pt idx="6">
                  <c:v>NLP Engineer</c:v>
                </c:pt>
                <c:pt idx="7">
                  <c:v>Quant Researcher</c:v>
                </c:pt>
              </c:strCache>
            </c:strRef>
          </c:cat>
          <c:val>
            <c:numRef>
              <c:f>'Pivot Tables'!$AI$71:$AI$79</c:f>
              <c:numCache>
                <c:formatCode>General</c:formatCode>
                <c:ptCount val="8"/>
                <c:pt idx="0">
                  <c:v>25</c:v>
                </c:pt>
                <c:pt idx="1">
                  <c:v>31</c:v>
                </c:pt>
                <c:pt idx="2">
                  <c:v>27</c:v>
                </c:pt>
                <c:pt idx="3">
                  <c:v>39</c:v>
                </c:pt>
                <c:pt idx="4">
                  <c:v>32</c:v>
                </c:pt>
                <c:pt idx="5">
                  <c:v>34</c:v>
                </c:pt>
                <c:pt idx="6">
                  <c:v>27</c:v>
                </c:pt>
                <c:pt idx="7">
                  <c:v>23</c:v>
                </c:pt>
              </c:numCache>
            </c:numRef>
          </c:val>
          <c:extLst>
            <c:ext xmlns:c16="http://schemas.microsoft.com/office/drawing/2014/chart" uri="{C3380CC4-5D6E-409C-BE32-E72D297353CC}">
              <c16:uniqueId val="{00000000-6F99-45D2-9F89-4550BC7F940E}"/>
            </c:ext>
          </c:extLst>
        </c:ser>
        <c:ser>
          <c:idx val="1"/>
          <c:order val="1"/>
          <c:tx>
            <c:strRef>
              <c:f>'Pivot Tables'!$AJ$69:$AJ$70</c:f>
              <c:strCache>
                <c:ptCount val="1"/>
                <c:pt idx="0">
                  <c:v>FastAPI</c:v>
                </c:pt>
              </c:strCache>
            </c:strRef>
          </c:tx>
          <c:spPr>
            <a:solidFill>
              <a:srgbClr val="FFFF00"/>
            </a:solidFill>
            <a:ln>
              <a:noFill/>
            </a:ln>
            <a:effectLst/>
          </c:spPr>
          <c:invertIfNegative val="0"/>
          <c:cat>
            <c:strRef>
              <c:f>'Pivot Tables'!$AH$71:$AH$79</c:f>
              <c:strCache>
                <c:ptCount val="8"/>
                <c:pt idx="0">
                  <c:v>AI Product Manager</c:v>
                </c:pt>
                <c:pt idx="1">
                  <c:v>AI Researcher</c:v>
                </c:pt>
                <c:pt idx="2">
                  <c:v>Computer Vision Engineer</c:v>
                </c:pt>
                <c:pt idx="3">
                  <c:v>Data Analyst</c:v>
                </c:pt>
                <c:pt idx="4">
                  <c:v>Data Scientist</c:v>
                </c:pt>
                <c:pt idx="5">
                  <c:v>ML Engineer</c:v>
                </c:pt>
                <c:pt idx="6">
                  <c:v>NLP Engineer</c:v>
                </c:pt>
                <c:pt idx="7">
                  <c:v>Quant Researcher</c:v>
                </c:pt>
              </c:strCache>
            </c:strRef>
          </c:cat>
          <c:val>
            <c:numRef>
              <c:f>'Pivot Tables'!$AJ$71:$AJ$79</c:f>
              <c:numCache>
                <c:formatCode>General</c:formatCode>
                <c:ptCount val="8"/>
                <c:pt idx="0">
                  <c:v>32</c:v>
                </c:pt>
                <c:pt idx="1">
                  <c:v>28</c:v>
                </c:pt>
                <c:pt idx="2">
                  <c:v>26</c:v>
                </c:pt>
                <c:pt idx="3">
                  <c:v>31</c:v>
                </c:pt>
                <c:pt idx="4">
                  <c:v>30</c:v>
                </c:pt>
                <c:pt idx="5">
                  <c:v>32</c:v>
                </c:pt>
                <c:pt idx="6">
                  <c:v>45</c:v>
                </c:pt>
                <c:pt idx="7">
                  <c:v>27</c:v>
                </c:pt>
              </c:numCache>
            </c:numRef>
          </c:val>
          <c:extLst>
            <c:ext xmlns:c16="http://schemas.microsoft.com/office/drawing/2014/chart" uri="{C3380CC4-5D6E-409C-BE32-E72D297353CC}">
              <c16:uniqueId val="{00000007-6F99-45D2-9F89-4550BC7F940E}"/>
            </c:ext>
          </c:extLst>
        </c:ser>
        <c:ser>
          <c:idx val="2"/>
          <c:order val="2"/>
          <c:tx>
            <c:strRef>
              <c:f>'Pivot Tables'!$AK$69:$AK$70</c:f>
              <c:strCache>
                <c:ptCount val="1"/>
                <c:pt idx="0">
                  <c:v>KDB+</c:v>
                </c:pt>
              </c:strCache>
            </c:strRef>
          </c:tx>
          <c:spPr>
            <a:solidFill>
              <a:schemeClr val="accent3"/>
            </a:solidFill>
            <a:ln>
              <a:noFill/>
            </a:ln>
            <a:effectLst/>
          </c:spPr>
          <c:invertIfNegative val="0"/>
          <c:cat>
            <c:strRef>
              <c:f>'Pivot Tables'!$AH$71:$AH$79</c:f>
              <c:strCache>
                <c:ptCount val="8"/>
                <c:pt idx="0">
                  <c:v>AI Product Manager</c:v>
                </c:pt>
                <c:pt idx="1">
                  <c:v>AI Researcher</c:v>
                </c:pt>
                <c:pt idx="2">
                  <c:v>Computer Vision Engineer</c:v>
                </c:pt>
                <c:pt idx="3">
                  <c:v>Data Analyst</c:v>
                </c:pt>
                <c:pt idx="4">
                  <c:v>Data Scientist</c:v>
                </c:pt>
                <c:pt idx="5">
                  <c:v>ML Engineer</c:v>
                </c:pt>
                <c:pt idx="6">
                  <c:v>NLP Engineer</c:v>
                </c:pt>
                <c:pt idx="7">
                  <c:v>Quant Researcher</c:v>
                </c:pt>
              </c:strCache>
            </c:strRef>
          </c:cat>
          <c:val>
            <c:numRef>
              <c:f>'Pivot Tables'!$AK$71:$AK$79</c:f>
              <c:numCache>
                <c:formatCode>General</c:formatCode>
                <c:ptCount val="8"/>
                <c:pt idx="0">
                  <c:v>38</c:v>
                </c:pt>
                <c:pt idx="1">
                  <c:v>24</c:v>
                </c:pt>
                <c:pt idx="2">
                  <c:v>25</c:v>
                </c:pt>
                <c:pt idx="3">
                  <c:v>38</c:v>
                </c:pt>
                <c:pt idx="4">
                  <c:v>29</c:v>
                </c:pt>
                <c:pt idx="5">
                  <c:v>31</c:v>
                </c:pt>
                <c:pt idx="6">
                  <c:v>25</c:v>
                </c:pt>
                <c:pt idx="7">
                  <c:v>37</c:v>
                </c:pt>
              </c:numCache>
            </c:numRef>
          </c:val>
          <c:extLst>
            <c:ext xmlns:c16="http://schemas.microsoft.com/office/drawing/2014/chart" uri="{C3380CC4-5D6E-409C-BE32-E72D297353CC}">
              <c16:uniqueId val="{00000008-6F99-45D2-9F89-4550BC7F940E}"/>
            </c:ext>
          </c:extLst>
        </c:ser>
        <c:ser>
          <c:idx val="3"/>
          <c:order val="3"/>
          <c:tx>
            <c:strRef>
              <c:f>'Pivot Tables'!$AL$69:$AL$70</c:f>
              <c:strCache>
                <c:ptCount val="1"/>
                <c:pt idx="0">
                  <c:v>LangChain</c:v>
                </c:pt>
              </c:strCache>
            </c:strRef>
          </c:tx>
          <c:spPr>
            <a:solidFill>
              <a:srgbClr val="00B050"/>
            </a:solidFill>
            <a:ln>
              <a:noFill/>
            </a:ln>
            <a:effectLst/>
          </c:spPr>
          <c:invertIfNegative val="0"/>
          <c:cat>
            <c:strRef>
              <c:f>'Pivot Tables'!$AH$71:$AH$79</c:f>
              <c:strCache>
                <c:ptCount val="8"/>
                <c:pt idx="0">
                  <c:v>AI Product Manager</c:v>
                </c:pt>
                <c:pt idx="1">
                  <c:v>AI Researcher</c:v>
                </c:pt>
                <c:pt idx="2">
                  <c:v>Computer Vision Engineer</c:v>
                </c:pt>
                <c:pt idx="3">
                  <c:v>Data Analyst</c:v>
                </c:pt>
                <c:pt idx="4">
                  <c:v>Data Scientist</c:v>
                </c:pt>
                <c:pt idx="5">
                  <c:v>ML Engineer</c:v>
                </c:pt>
                <c:pt idx="6">
                  <c:v>NLP Engineer</c:v>
                </c:pt>
                <c:pt idx="7">
                  <c:v>Quant Researcher</c:v>
                </c:pt>
              </c:strCache>
            </c:strRef>
          </c:cat>
          <c:val>
            <c:numRef>
              <c:f>'Pivot Tables'!$AL$71:$AL$79</c:f>
              <c:numCache>
                <c:formatCode>General</c:formatCode>
                <c:ptCount val="8"/>
                <c:pt idx="0">
                  <c:v>30</c:v>
                </c:pt>
                <c:pt idx="1">
                  <c:v>35</c:v>
                </c:pt>
                <c:pt idx="2">
                  <c:v>32</c:v>
                </c:pt>
                <c:pt idx="3">
                  <c:v>41</c:v>
                </c:pt>
                <c:pt idx="4">
                  <c:v>32</c:v>
                </c:pt>
                <c:pt idx="5">
                  <c:v>35</c:v>
                </c:pt>
                <c:pt idx="6">
                  <c:v>27</c:v>
                </c:pt>
                <c:pt idx="7">
                  <c:v>36</c:v>
                </c:pt>
              </c:numCache>
            </c:numRef>
          </c:val>
          <c:extLst>
            <c:ext xmlns:c16="http://schemas.microsoft.com/office/drawing/2014/chart" uri="{C3380CC4-5D6E-409C-BE32-E72D297353CC}">
              <c16:uniqueId val="{00000009-6F99-45D2-9F89-4550BC7F940E}"/>
            </c:ext>
          </c:extLst>
        </c:ser>
        <c:ser>
          <c:idx val="4"/>
          <c:order val="4"/>
          <c:tx>
            <c:strRef>
              <c:f>'Pivot Tables'!$AM$69:$AM$70</c:f>
              <c:strCache>
                <c:ptCount val="1"/>
                <c:pt idx="0">
                  <c:v>MLflow</c:v>
                </c:pt>
              </c:strCache>
            </c:strRef>
          </c:tx>
          <c:spPr>
            <a:solidFill>
              <a:srgbClr val="FF0000"/>
            </a:solidFill>
            <a:ln>
              <a:noFill/>
            </a:ln>
            <a:effectLst/>
          </c:spPr>
          <c:invertIfNegative val="0"/>
          <c:cat>
            <c:strRef>
              <c:f>'Pivot Tables'!$AH$71:$AH$79</c:f>
              <c:strCache>
                <c:ptCount val="8"/>
                <c:pt idx="0">
                  <c:v>AI Product Manager</c:v>
                </c:pt>
                <c:pt idx="1">
                  <c:v>AI Researcher</c:v>
                </c:pt>
                <c:pt idx="2">
                  <c:v>Computer Vision Engineer</c:v>
                </c:pt>
                <c:pt idx="3">
                  <c:v>Data Analyst</c:v>
                </c:pt>
                <c:pt idx="4">
                  <c:v>Data Scientist</c:v>
                </c:pt>
                <c:pt idx="5">
                  <c:v>ML Engineer</c:v>
                </c:pt>
                <c:pt idx="6">
                  <c:v>NLP Engineer</c:v>
                </c:pt>
                <c:pt idx="7">
                  <c:v>Quant Researcher</c:v>
                </c:pt>
              </c:strCache>
            </c:strRef>
          </c:cat>
          <c:val>
            <c:numRef>
              <c:f>'Pivot Tables'!$AM$71:$AM$79</c:f>
              <c:numCache>
                <c:formatCode>General</c:formatCode>
                <c:ptCount val="8"/>
                <c:pt idx="0">
                  <c:v>33</c:v>
                </c:pt>
                <c:pt idx="1">
                  <c:v>32</c:v>
                </c:pt>
                <c:pt idx="2">
                  <c:v>30</c:v>
                </c:pt>
                <c:pt idx="3">
                  <c:v>31</c:v>
                </c:pt>
                <c:pt idx="4">
                  <c:v>30</c:v>
                </c:pt>
                <c:pt idx="5">
                  <c:v>28</c:v>
                </c:pt>
                <c:pt idx="6">
                  <c:v>46</c:v>
                </c:pt>
                <c:pt idx="7">
                  <c:v>29</c:v>
                </c:pt>
              </c:numCache>
            </c:numRef>
          </c:val>
          <c:extLst>
            <c:ext xmlns:c16="http://schemas.microsoft.com/office/drawing/2014/chart" uri="{C3380CC4-5D6E-409C-BE32-E72D297353CC}">
              <c16:uniqueId val="{0000000A-6F99-45D2-9F89-4550BC7F940E}"/>
            </c:ext>
          </c:extLst>
        </c:ser>
        <c:ser>
          <c:idx val="5"/>
          <c:order val="5"/>
          <c:tx>
            <c:strRef>
              <c:f>'Pivot Tables'!$AN$69:$AN$70</c:f>
              <c:strCache>
                <c:ptCount val="1"/>
                <c:pt idx="0">
                  <c:v>PyTorch</c:v>
                </c:pt>
              </c:strCache>
            </c:strRef>
          </c:tx>
          <c:spPr>
            <a:solidFill>
              <a:schemeClr val="accent6"/>
            </a:solidFill>
            <a:ln>
              <a:noFill/>
            </a:ln>
            <a:effectLst/>
          </c:spPr>
          <c:invertIfNegative val="0"/>
          <c:cat>
            <c:strRef>
              <c:f>'Pivot Tables'!$AH$71:$AH$79</c:f>
              <c:strCache>
                <c:ptCount val="8"/>
                <c:pt idx="0">
                  <c:v>AI Product Manager</c:v>
                </c:pt>
                <c:pt idx="1">
                  <c:v>AI Researcher</c:v>
                </c:pt>
                <c:pt idx="2">
                  <c:v>Computer Vision Engineer</c:v>
                </c:pt>
                <c:pt idx="3">
                  <c:v>Data Analyst</c:v>
                </c:pt>
                <c:pt idx="4">
                  <c:v>Data Scientist</c:v>
                </c:pt>
                <c:pt idx="5">
                  <c:v>ML Engineer</c:v>
                </c:pt>
                <c:pt idx="6">
                  <c:v>NLP Engineer</c:v>
                </c:pt>
                <c:pt idx="7">
                  <c:v>Quant Researcher</c:v>
                </c:pt>
              </c:strCache>
            </c:strRef>
          </c:cat>
          <c:val>
            <c:numRef>
              <c:f>'Pivot Tables'!$AN$71:$AN$79</c:f>
              <c:numCache>
                <c:formatCode>General</c:formatCode>
                <c:ptCount val="8"/>
                <c:pt idx="0">
                  <c:v>34</c:v>
                </c:pt>
                <c:pt idx="1">
                  <c:v>28</c:v>
                </c:pt>
                <c:pt idx="2">
                  <c:v>26</c:v>
                </c:pt>
                <c:pt idx="3">
                  <c:v>30</c:v>
                </c:pt>
                <c:pt idx="4">
                  <c:v>23</c:v>
                </c:pt>
                <c:pt idx="5">
                  <c:v>22</c:v>
                </c:pt>
                <c:pt idx="6">
                  <c:v>40</c:v>
                </c:pt>
                <c:pt idx="7">
                  <c:v>30</c:v>
                </c:pt>
              </c:numCache>
            </c:numRef>
          </c:val>
          <c:extLst>
            <c:ext xmlns:c16="http://schemas.microsoft.com/office/drawing/2014/chart" uri="{C3380CC4-5D6E-409C-BE32-E72D297353CC}">
              <c16:uniqueId val="{0000000B-6F99-45D2-9F89-4550BC7F940E}"/>
            </c:ext>
          </c:extLst>
        </c:ser>
        <c:ser>
          <c:idx val="6"/>
          <c:order val="6"/>
          <c:tx>
            <c:strRef>
              <c:f>'Pivot Tables'!$AO$69:$AO$70</c:f>
              <c:strCache>
                <c:ptCount val="1"/>
                <c:pt idx="0">
                  <c:v>Scikit-learn</c:v>
                </c:pt>
              </c:strCache>
            </c:strRef>
          </c:tx>
          <c:spPr>
            <a:solidFill>
              <a:schemeClr val="accent5"/>
            </a:solidFill>
            <a:ln>
              <a:noFill/>
            </a:ln>
            <a:effectLst/>
          </c:spPr>
          <c:invertIfNegative val="0"/>
          <c:cat>
            <c:strRef>
              <c:f>'Pivot Tables'!$AH$71:$AH$79</c:f>
              <c:strCache>
                <c:ptCount val="8"/>
                <c:pt idx="0">
                  <c:v>AI Product Manager</c:v>
                </c:pt>
                <c:pt idx="1">
                  <c:v>AI Researcher</c:v>
                </c:pt>
                <c:pt idx="2">
                  <c:v>Computer Vision Engineer</c:v>
                </c:pt>
                <c:pt idx="3">
                  <c:v>Data Analyst</c:v>
                </c:pt>
                <c:pt idx="4">
                  <c:v>Data Scientist</c:v>
                </c:pt>
                <c:pt idx="5">
                  <c:v>ML Engineer</c:v>
                </c:pt>
                <c:pt idx="6">
                  <c:v>NLP Engineer</c:v>
                </c:pt>
                <c:pt idx="7">
                  <c:v>Quant Researcher</c:v>
                </c:pt>
              </c:strCache>
            </c:strRef>
          </c:cat>
          <c:val>
            <c:numRef>
              <c:f>'Pivot Tables'!$AO$71:$AO$79</c:f>
              <c:numCache>
                <c:formatCode>General</c:formatCode>
                <c:ptCount val="8"/>
                <c:pt idx="0">
                  <c:v>34</c:v>
                </c:pt>
                <c:pt idx="1">
                  <c:v>30</c:v>
                </c:pt>
                <c:pt idx="2">
                  <c:v>29</c:v>
                </c:pt>
                <c:pt idx="3">
                  <c:v>32</c:v>
                </c:pt>
                <c:pt idx="4">
                  <c:v>31</c:v>
                </c:pt>
                <c:pt idx="5">
                  <c:v>36</c:v>
                </c:pt>
                <c:pt idx="6">
                  <c:v>27</c:v>
                </c:pt>
                <c:pt idx="7">
                  <c:v>36</c:v>
                </c:pt>
              </c:numCache>
            </c:numRef>
          </c:val>
          <c:extLst>
            <c:ext xmlns:c16="http://schemas.microsoft.com/office/drawing/2014/chart" uri="{C3380CC4-5D6E-409C-BE32-E72D297353CC}">
              <c16:uniqueId val="{0000000C-6F99-45D2-9F89-4550BC7F940E}"/>
            </c:ext>
          </c:extLst>
        </c:ser>
        <c:ser>
          <c:idx val="7"/>
          <c:order val="7"/>
          <c:tx>
            <c:strRef>
              <c:f>'Pivot Tables'!$AP$69:$AP$70</c:f>
              <c:strCache>
                <c:ptCount val="1"/>
                <c:pt idx="0">
                  <c:v>TensorFlow</c:v>
                </c:pt>
              </c:strCache>
            </c:strRef>
          </c:tx>
          <c:spPr>
            <a:solidFill>
              <a:srgbClr val="FFC000"/>
            </a:solidFill>
            <a:ln>
              <a:noFill/>
            </a:ln>
            <a:effectLst/>
          </c:spPr>
          <c:invertIfNegative val="0"/>
          <c:cat>
            <c:strRef>
              <c:f>'Pivot Tables'!$AH$71:$AH$79</c:f>
              <c:strCache>
                <c:ptCount val="8"/>
                <c:pt idx="0">
                  <c:v>AI Product Manager</c:v>
                </c:pt>
                <c:pt idx="1">
                  <c:v>AI Researcher</c:v>
                </c:pt>
                <c:pt idx="2">
                  <c:v>Computer Vision Engineer</c:v>
                </c:pt>
                <c:pt idx="3">
                  <c:v>Data Analyst</c:v>
                </c:pt>
                <c:pt idx="4">
                  <c:v>Data Scientist</c:v>
                </c:pt>
                <c:pt idx="5">
                  <c:v>ML Engineer</c:v>
                </c:pt>
                <c:pt idx="6">
                  <c:v>NLP Engineer</c:v>
                </c:pt>
                <c:pt idx="7">
                  <c:v>Quant Researcher</c:v>
                </c:pt>
              </c:strCache>
            </c:strRef>
          </c:cat>
          <c:val>
            <c:numRef>
              <c:f>'Pivot Tables'!$AP$71:$AP$79</c:f>
              <c:numCache>
                <c:formatCode>General</c:formatCode>
                <c:ptCount val="8"/>
                <c:pt idx="0">
                  <c:v>32</c:v>
                </c:pt>
                <c:pt idx="1">
                  <c:v>29</c:v>
                </c:pt>
                <c:pt idx="2">
                  <c:v>35</c:v>
                </c:pt>
                <c:pt idx="3">
                  <c:v>29</c:v>
                </c:pt>
                <c:pt idx="4">
                  <c:v>31</c:v>
                </c:pt>
                <c:pt idx="5">
                  <c:v>32</c:v>
                </c:pt>
                <c:pt idx="6">
                  <c:v>28</c:v>
                </c:pt>
                <c:pt idx="7">
                  <c:v>33</c:v>
                </c:pt>
              </c:numCache>
            </c:numRef>
          </c:val>
          <c:extLst>
            <c:ext xmlns:c16="http://schemas.microsoft.com/office/drawing/2014/chart" uri="{C3380CC4-5D6E-409C-BE32-E72D297353CC}">
              <c16:uniqueId val="{0000000D-6F99-45D2-9F89-4550BC7F940E}"/>
            </c:ext>
          </c:extLst>
        </c:ser>
        <c:dLbls>
          <c:showLegendKey val="0"/>
          <c:showVal val="0"/>
          <c:showCatName val="0"/>
          <c:showSerName val="0"/>
          <c:showPercent val="0"/>
          <c:showBubbleSize val="0"/>
        </c:dLbls>
        <c:gapWidth val="219"/>
        <c:overlap val="-27"/>
        <c:axId val="1549410112"/>
        <c:axId val="1549401952"/>
      </c:barChart>
      <c:catAx>
        <c:axId val="1549410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549401952"/>
        <c:crosses val="autoZero"/>
        <c:auto val="1"/>
        <c:lblAlgn val="ctr"/>
        <c:lblOffset val="100"/>
        <c:noMultiLvlLbl val="0"/>
      </c:catAx>
      <c:valAx>
        <c:axId val="154940195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4941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hyperlink" Target="#Home!A1"/><Relationship Id="rId7" Type="http://schemas.openxmlformats.org/officeDocument/2006/relationships/image" Target="../media/image4.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3.png"/><Relationship Id="rId5" Type="http://schemas.openxmlformats.org/officeDocument/2006/relationships/hyperlink" Target="#Industry!A1"/><Relationship Id="rId4" Type="http://schemas.openxmlformats.org/officeDocument/2006/relationships/hyperlink" Target="#Experience!A1"/></Relationships>
</file>

<file path=xl/drawings/_rels/drawing3.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image" Target="../media/image2.svg"/><Relationship Id="rId7" Type="http://schemas.openxmlformats.org/officeDocument/2006/relationships/chart" Target="../charts/chart13.xml"/><Relationship Id="rId2" Type="http://schemas.openxmlformats.org/officeDocument/2006/relationships/image" Target="../media/image1.png"/><Relationship Id="rId1" Type="http://schemas.openxmlformats.org/officeDocument/2006/relationships/hyperlink" Target="#Industry!A1"/><Relationship Id="rId6" Type="http://schemas.openxmlformats.org/officeDocument/2006/relationships/chart" Target="../charts/chart12.xml"/><Relationship Id="rId5" Type="http://schemas.openxmlformats.org/officeDocument/2006/relationships/hyperlink" Target="#Experience!A1"/><Relationship Id="rId4" Type="http://schemas.openxmlformats.org/officeDocument/2006/relationships/hyperlink" Target="#Home!A1"/><Relationship Id="rId9"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image" Target="../media/image2.svg"/><Relationship Id="rId7" Type="http://schemas.openxmlformats.org/officeDocument/2006/relationships/chart" Target="../charts/chart17.xml"/><Relationship Id="rId2" Type="http://schemas.openxmlformats.org/officeDocument/2006/relationships/image" Target="../media/image1.png"/><Relationship Id="rId1" Type="http://schemas.openxmlformats.org/officeDocument/2006/relationships/hyperlink" Target="#Industry!A1"/><Relationship Id="rId6" Type="http://schemas.openxmlformats.org/officeDocument/2006/relationships/chart" Target="../charts/chart16.xml"/><Relationship Id="rId5" Type="http://schemas.openxmlformats.org/officeDocument/2006/relationships/hyperlink" Target="#Experience!A1"/><Relationship Id="rId4" Type="http://schemas.openxmlformats.org/officeDocument/2006/relationships/hyperlink" Target="#Home!A1"/><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8</xdr:col>
      <xdr:colOff>601980</xdr:colOff>
      <xdr:row>22</xdr:row>
      <xdr:rowOff>22860</xdr:rowOff>
    </xdr:from>
    <xdr:to>
      <xdr:col>11</xdr:col>
      <xdr:colOff>579120</xdr:colOff>
      <xdr:row>37</xdr:row>
      <xdr:rowOff>22860</xdr:rowOff>
    </xdr:to>
    <xdr:graphicFrame macro="">
      <xdr:nvGraphicFramePr>
        <xdr:cNvPr id="19" name="Chart 18">
          <a:extLst>
            <a:ext uri="{FF2B5EF4-FFF2-40B4-BE49-F238E27FC236}">
              <a16:creationId xmlns:a16="http://schemas.microsoft.com/office/drawing/2014/main" id="{BB018F68-5C99-1CA6-4619-B669FE4902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1615440</xdr:colOff>
      <xdr:row>11</xdr:row>
      <xdr:rowOff>121920</xdr:rowOff>
    </xdr:from>
    <xdr:to>
      <xdr:col>18</xdr:col>
      <xdr:colOff>53340</xdr:colOff>
      <xdr:row>22</xdr:row>
      <xdr:rowOff>160020</xdr:rowOff>
    </xdr:to>
    <xdr:graphicFrame macro="">
      <xdr:nvGraphicFramePr>
        <xdr:cNvPr id="20" name="Chart 19">
          <a:extLst>
            <a:ext uri="{FF2B5EF4-FFF2-40B4-BE49-F238E27FC236}">
              <a16:creationId xmlns:a16="http://schemas.microsoft.com/office/drawing/2014/main" id="{2C09F136-2FB8-06AD-08D8-5369DDB9A0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541020</xdr:colOff>
      <xdr:row>11</xdr:row>
      <xdr:rowOff>7620</xdr:rowOff>
    </xdr:from>
    <xdr:to>
      <xdr:col>21</xdr:col>
      <xdr:colOff>103516</xdr:colOff>
      <xdr:row>22</xdr:row>
      <xdr:rowOff>79327</xdr:rowOff>
    </xdr:to>
    <mc:AlternateContent xmlns:mc="http://schemas.openxmlformats.org/markup-compatibility/2006" xmlns:a14="http://schemas.microsoft.com/office/drawing/2010/main">
      <mc:Choice Requires="a14">
        <xdr:graphicFrame macro="">
          <xdr:nvGraphicFramePr>
            <xdr:cNvPr id="23" name="industry">
              <a:extLst>
                <a:ext uri="{FF2B5EF4-FFF2-40B4-BE49-F238E27FC236}">
                  <a16:creationId xmlns:a16="http://schemas.microsoft.com/office/drawing/2014/main" id="{4A9947BC-DA6B-0780-8194-08F212AED701}"/>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26061550" y="2063582"/>
              <a:ext cx="1819023" cy="24295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15240</xdr:colOff>
      <xdr:row>11</xdr:row>
      <xdr:rowOff>38100</xdr:rowOff>
    </xdr:from>
    <xdr:to>
      <xdr:col>27</xdr:col>
      <xdr:colOff>304800</xdr:colOff>
      <xdr:row>24</xdr:row>
      <xdr:rowOff>30480</xdr:rowOff>
    </xdr:to>
    <xdr:graphicFrame macro="">
      <xdr:nvGraphicFramePr>
        <xdr:cNvPr id="24" name="Chart 23">
          <a:extLst>
            <a:ext uri="{FF2B5EF4-FFF2-40B4-BE49-F238E27FC236}">
              <a16:creationId xmlns:a16="http://schemas.microsoft.com/office/drawing/2014/main" id="{15D836CA-4CA4-90D8-9049-A90E1EBE67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15240</xdr:colOff>
      <xdr:row>10</xdr:row>
      <xdr:rowOff>152400</xdr:rowOff>
    </xdr:from>
    <xdr:to>
      <xdr:col>32</xdr:col>
      <xdr:colOff>53340</xdr:colOff>
      <xdr:row>23</xdr:row>
      <xdr:rowOff>144780</xdr:rowOff>
    </xdr:to>
    <xdr:graphicFrame macro="">
      <xdr:nvGraphicFramePr>
        <xdr:cNvPr id="25" name="Chart 24">
          <a:extLst>
            <a:ext uri="{FF2B5EF4-FFF2-40B4-BE49-F238E27FC236}">
              <a16:creationId xmlns:a16="http://schemas.microsoft.com/office/drawing/2014/main" id="{6FD9A5E8-1AA9-951B-FAE0-8E89F9BD4E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7620</xdr:colOff>
      <xdr:row>12</xdr:row>
      <xdr:rowOff>0</xdr:rowOff>
    </xdr:from>
    <xdr:to>
      <xdr:col>39</xdr:col>
      <xdr:colOff>76200</xdr:colOff>
      <xdr:row>24</xdr:row>
      <xdr:rowOff>175260</xdr:rowOff>
    </xdr:to>
    <xdr:graphicFrame macro="">
      <xdr:nvGraphicFramePr>
        <xdr:cNvPr id="26" name="Chart 25">
          <a:extLst>
            <a:ext uri="{FF2B5EF4-FFF2-40B4-BE49-F238E27FC236}">
              <a16:creationId xmlns:a16="http://schemas.microsoft.com/office/drawing/2014/main" id="{E9BDF3DF-BB6B-F0A5-7F14-54DB2297B7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41</xdr:col>
      <xdr:colOff>7620</xdr:colOff>
      <xdr:row>12</xdr:row>
      <xdr:rowOff>175260</xdr:rowOff>
    </xdr:from>
    <xdr:to>
      <xdr:col>44</xdr:col>
      <xdr:colOff>1394460</xdr:colOff>
      <xdr:row>25</xdr:row>
      <xdr:rowOff>167640</xdr:rowOff>
    </xdr:to>
    <xdr:graphicFrame macro="">
      <xdr:nvGraphicFramePr>
        <xdr:cNvPr id="27" name="Chart 26">
          <a:extLst>
            <a:ext uri="{FF2B5EF4-FFF2-40B4-BE49-F238E27FC236}">
              <a16:creationId xmlns:a16="http://schemas.microsoft.com/office/drawing/2014/main" id="{0310E754-A0FD-D00E-8679-87ABF0EE93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46</xdr:col>
      <xdr:colOff>739140</xdr:colOff>
      <xdr:row>11</xdr:row>
      <xdr:rowOff>167640</xdr:rowOff>
    </xdr:from>
    <xdr:to>
      <xdr:col>51</xdr:col>
      <xdr:colOff>502920</xdr:colOff>
      <xdr:row>24</xdr:row>
      <xdr:rowOff>160020</xdr:rowOff>
    </xdr:to>
    <xdr:graphicFrame macro="">
      <xdr:nvGraphicFramePr>
        <xdr:cNvPr id="29" name="Chart 28">
          <a:extLst>
            <a:ext uri="{FF2B5EF4-FFF2-40B4-BE49-F238E27FC236}">
              <a16:creationId xmlns:a16="http://schemas.microsoft.com/office/drawing/2014/main" id="{CF949290-77B9-2EC9-DE24-3DC3BA2593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58</xdr:col>
      <xdr:colOff>364901</xdr:colOff>
      <xdr:row>2</xdr:row>
      <xdr:rowOff>114836</xdr:rowOff>
    </xdr:from>
    <xdr:to>
      <xdr:col>60</xdr:col>
      <xdr:colOff>1363014</xdr:colOff>
      <xdr:row>16</xdr:row>
      <xdr:rowOff>142740</xdr:rowOff>
    </xdr:to>
    <xdr:graphicFrame macro="">
      <xdr:nvGraphicFramePr>
        <xdr:cNvPr id="33" name="Chart 32">
          <a:extLst>
            <a:ext uri="{FF2B5EF4-FFF2-40B4-BE49-F238E27FC236}">
              <a16:creationId xmlns:a16="http://schemas.microsoft.com/office/drawing/2014/main" id="{C6F22B37-0E7F-EB42-9541-519E315909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40</xdr:col>
      <xdr:colOff>818443</xdr:colOff>
      <xdr:row>33</xdr:row>
      <xdr:rowOff>139261</xdr:rowOff>
    </xdr:from>
    <xdr:to>
      <xdr:col>46</xdr:col>
      <xdr:colOff>28754</xdr:colOff>
      <xdr:row>48</xdr:row>
      <xdr:rowOff>158151</xdr:rowOff>
    </xdr:to>
    <xdr:graphicFrame macro="">
      <xdr:nvGraphicFramePr>
        <xdr:cNvPr id="34" name="Chart 33">
          <a:extLst>
            <a:ext uri="{FF2B5EF4-FFF2-40B4-BE49-F238E27FC236}">
              <a16:creationId xmlns:a16="http://schemas.microsoft.com/office/drawing/2014/main" id="{B93435D2-FAF1-7CDC-6C1D-8C5B877E9F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42</xdr:col>
      <xdr:colOff>7189</xdr:colOff>
      <xdr:row>64</xdr:row>
      <xdr:rowOff>44570</xdr:rowOff>
    </xdr:from>
    <xdr:to>
      <xdr:col>43</xdr:col>
      <xdr:colOff>1933755</xdr:colOff>
      <xdr:row>78</xdr:row>
      <xdr:rowOff>171091</xdr:rowOff>
    </xdr:to>
    <xdr:graphicFrame macro="">
      <xdr:nvGraphicFramePr>
        <xdr:cNvPr id="35" name="Chart 34">
          <a:extLst>
            <a:ext uri="{FF2B5EF4-FFF2-40B4-BE49-F238E27FC236}">
              <a16:creationId xmlns:a16="http://schemas.microsoft.com/office/drawing/2014/main" id="{03EC4B68-91AD-1D5B-EDEE-AB8BA3C1BF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59</xdr:col>
      <xdr:colOff>2556869</xdr:colOff>
      <xdr:row>21</xdr:row>
      <xdr:rowOff>131697</xdr:rowOff>
    </xdr:from>
    <xdr:to>
      <xdr:col>61</xdr:col>
      <xdr:colOff>101217</xdr:colOff>
      <xdr:row>34</xdr:row>
      <xdr:rowOff>168898</xdr:rowOff>
    </xdr:to>
    <mc:AlternateContent xmlns:mc="http://schemas.openxmlformats.org/markup-compatibility/2006" xmlns:a14="http://schemas.microsoft.com/office/drawing/2010/main">
      <mc:Choice Requires="a14">
        <xdr:graphicFrame macro="">
          <xdr:nvGraphicFramePr>
            <xdr:cNvPr id="36" name="industry 4">
              <a:extLst>
                <a:ext uri="{FF2B5EF4-FFF2-40B4-BE49-F238E27FC236}">
                  <a16:creationId xmlns:a16="http://schemas.microsoft.com/office/drawing/2014/main" id="{65E3AF06-F65D-F831-28D2-44752F6E465E}"/>
                </a:ext>
              </a:extLst>
            </xdr:cNvPr>
            <xdr:cNvGraphicFramePr/>
          </xdr:nvGraphicFramePr>
          <xdr:xfrm>
            <a:off x="0" y="0"/>
            <a:ext cx="0" cy="0"/>
          </xdr:xfrm>
          <a:graphic>
            <a:graphicData uri="http://schemas.microsoft.com/office/drawing/2010/slicer">
              <sle:slicer xmlns:sle="http://schemas.microsoft.com/office/drawing/2010/slicer" name="industry 4"/>
            </a:graphicData>
          </a:graphic>
        </xdr:graphicFrame>
      </mc:Choice>
      <mc:Fallback xmlns="">
        <xdr:sp macro="" textlink="">
          <xdr:nvSpPr>
            <xdr:cNvPr id="0" name=""/>
            <xdr:cNvSpPr>
              <a:spLocks noTextEdit="1"/>
            </xdr:cNvSpPr>
          </xdr:nvSpPr>
          <xdr:spPr>
            <a:xfrm>
              <a:off x="70446756" y="4358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137448</xdr:colOff>
      <xdr:row>47</xdr:row>
      <xdr:rowOff>34649</xdr:rowOff>
    </xdr:from>
    <xdr:to>
      <xdr:col>40</xdr:col>
      <xdr:colOff>183456</xdr:colOff>
      <xdr:row>60</xdr:row>
      <xdr:rowOff>71851</xdr:rowOff>
    </xdr:to>
    <mc:AlternateContent xmlns:mc="http://schemas.openxmlformats.org/markup-compatibility/2006" xmlns:a14="http://schemas.microsoft.com/office/drawing/2010/main">
      <mc:Choice Requires="a14">
        <xdr:graphicFrame macro="">
          <xdr:nvGraphicFramePr>
            <xdr:cNvPr id="37" name="industry 3">
              <a:extLst>
                <a:ext uri="{FF2B5EF4-FFF2-40B4-BE49-F238E27FC236}">
                  <a16:creationId xmlns:a16="http://schemas.microsoft.com/office/drawing/2014/main" id="{AF56A531-DFF8-EFB0-BAFF-891CDB95F323}"/>
                </a:ext>
              </a:extLst>
            </xdr:cNvPr>
            <xdr:cNvGraphicFramePr/>
          </xdr:nvGraphicFramePr>
          <xdr:xfrm>
            <a:off x="0" y="0"/>
            <a:ext cx="0" cy="0"/>
          </xdr:xfrm>
          <a:graphic>
            <a:graphicData uri="http://schemas.microsoft.com/office/drawing/2010/slicer">
              <sle:slicer xmlns:sle="http://schemas.microsoft.com/office/drawing/2010/slicer" name="industry 3"/>
            </a:graphicData>
          </a:graphic>
        </xdr:graphicFrame>
      </mc:Choice>
      <mc:Fallback xmlns="">
        <xdr:sp macro="" textlink="">
          <xdr:nvSpPr>
            <xdr:cNvPr id="0" name=""/>
            <xdr:cNvSpPr>
              <a:spLocks noTextEdit="1"/>
            </xdr:cNvSpPr>
          </xdr:nvSpPr>
          <xdr:spPr>
            <a:xfrm>
              <a:off x="48732920" y="9121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69</xdr:col>
      <xdr:colOff>35943</xdr:colOff>
      <xdr:row>14</xdr:row>
      <xdr:rowOff>58947</xdr:rowOff>
    </xdr:from>
    <xdr:to>
      <xdr:col>72</xdr:col>
      <xdr:colOff>323490</xdr:colOff>
      <xdr:row>27</xdr:row>
      <xdr:rowOff>113581</xdr:rowOff>
    </xdr:to>
    <xdr:graphicFrame macro="">
      <xdr:nvGraphicFramePr>
        <xdr:cNvPr id="6" name="Chart 5">
          <a:extLst>
            <a:ext uri="{FF2B5EF4-FFF2-40B4-BE49-F238E27FC236}">
              <a16:creationId xmlns:a16="http://schemas.microsoft.com/office/drawing/2014/main" id="{7FAF28CA-2DD4-70FD-3F9F-436F0CD72C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28</xdr:col>
      <xdr:colOff>54346</xdr:colOff>
      <xdr:row>27</xdr:row>
      <xdr:rowOff>44283</xdr:rowOff>
    </xdr:from>
    <xdr:to>
      <xdr:col>28</xdr:col>
      <xdr:colOff>1883146</xdr:colOff>
      <xdr:row>40</xdr:row>
      <xdr:rowOff>81484</xdr:rowOff>
    </xdr:to>
    <mc:AlternateContent xmlns:mc="http://schemas.openxmlformats.org/markup-compatibility/2006" xmlns:a14="http://schemas.microsoft.com/office/drawing/2010/main">
      <mc:Choice Requires="a14">
        <xdr:graphicFrame macro="">
          <xdr:nvGraphicFramePr>
            <xdr:cNvPr id="9" name="company_size">
              <a:extLst>
                <a:ext uri="{FF2B5EF4-FFF2-40B4-BE49-F238E27FC236}">
                  <a16:creationId xmlns:a16="http://schemas.microsoft.com/office/drawing/2014/main" id="{0C35B220-845E-5A5B-A377-786A11BB1BAC}"/>
                </a:ext>
              </a:extLst>
            </xdr:cNvPr>
            <xdr:cNvGraphicFramePr/>
          </xdr:nvGraphicFramePr>
          <xdr:xfrm>
            <a:off x="0" y="0"/>
            <a:ext cx="0" cy="0"/>
          </xdr:xfrm>
          <a:graphic>
            <a:graphicData uri="http://schemas.microsoft.com/office/drawing/2010/slicer">
              <sle:slicer xmlns:sle="http://schemas.microsoft.com/office/drawing/2010/slicer" name="company_size"/>
            </a:graphicData>
          </a:graphic>
        </xdr:graphicFrame>
      </mc:Choice>
      <mc:Fallback xmlns="">
        <xdr:sp macro="" textlink="">
          <xdr:nvSpPr>
            <xdr:cNvPr id="0" name=""/>
            <xdr:cNvSpPr>
              <a:spLocks noTextEdit="1"/>
            </xdr:cNvSpPr>
          </xdr:nvSpPr>
          <xdr:spPr>
            <a:xfrm>
              <a:off x="35020082" y="5392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7620</xdr:colOff>
      <xdr:row>3</xdr:row>
      <xdr:rowOff>15240</xdr:rowOff>
    </xdr:to>
    <xdr:grpSp>
      <xdr:nvGrpSpPr>
        <xdr:cNvPr id="20" name="Group 19">
          <a:extLst>
            <a:ext uri="{FF2B5EF4-FFF2-40B4-BE49-F238E27FC236}">
              <a16:creationId xmlns:a16="http://schemas.microsoft.com/office/drawing/2014/main" id="{CF050255-9B88-2B76-E035-F3E47428A110}"/>
            </a:ext>
          </a:extLst>
        </xdr:cNvPr>
        <xdr:cNvGrpSpPr/>
      </xdr:nvGrpSpPr>
      <xdr:grpSpPr>
        <a:xfrm>
          <a:off x="0" y="0"/>
          <a:ext cx="15857220" cy="563880"/>
          <a:chOff x="0" y="0"/>
          <a:chExt cx="15857220" cy="563880"/>
        </a:xfrm>
      </xdr:grpSpPr>
      <xdr:pic>
        <xdr:nvPicPr>
          <xdr:cNvPr id="8" name="Graphic 7" descr="Robot with solid fill">
            <a:extLst>
              <a:ext uri="{FF2B5EF4-FFF2-40B4-BE49-F238E27FC236}">
                <a16:creationId xmlns:a16="http://schemas.microsoft.com/office/drawing/2014/main" id="{4ACEBB8C-484A-EF0B-E7F8-3F219DD5D3A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15240"/>
            <a:ext cx="495300" cy="495300"/>
          </a:xfrm>
          <a:prstGeom prst="rect">
            <a:avLst/>
          </a:prstGeom>
        </xdr:spPr>
      </xdr:pic>
      <xdr:grpSp>
        <xdr:nvGrpSpPr>
          <xdr:cNvPr id="19" name="Group 18">
            <a:extLst>
              <a:ext uri="{FF2B5EF4-FFF2-40B4-BE49-F238E27FC236}">
                <a16:creationId xmlns:a16="http://schemas.microsoft.com/office/drawing/2014/main" id="{53BE653F-739E-9FAB-7A0B-1C243B5000C1}"/>
              </a:ext>
            </a:extLst>
          </xdr:cNvPr>
          <xdr:cNvGrpSpPr/>
        </xdr:nvGrpSpPr>
        <xdr:grpSpPr>
          <a:xfrm>
            <a:off x="11611823" y="0"/>
            <a:ext cx="764540" cy="563880"/>
            <a:chOff x="10575503" y="0"/>
            <a:chExt cx="764540" cy="563880"/>
          </a:xfrm>
        </xdr:grpSpPr>
        <xdr:sp macro="" textlink="">
          <xdr:nvSpPr>
            <xdr:cNvPr id="13" name="TextBox 12">
              <a:hlinkClick xmlns:r="http://schemas.openxmlformats.org/officeDocument/2006/relationships" r:id="rId3"/>
              <a:extLst>
                <a:ext uri="{FF2B5EF4-FFF2-40B4-BE49-F238E27FC236}">
                  <a16:creationId xmlns:a16="http://schemas.microsoft.com/office/drawing/2014/main" id="{92CED5DA-528C-7DFB-A0C9-D9E5843E26D6}"/>
                </a:ext>
              </a:extLst>
            </xdr:cNvPr>
            <xdr:cNvSpPr txBox="1"/>
          </xdr:nvSpPr>
          <xdr:spPr>
            <a:xfrm>
              <a:off x="10575503" y="0"/>
              <a:ext cx="764540" cy="563880"/>
            </a:xfrm>
            <a:prstGeom prst="rect">
              <a:avLst/>
            </a:prstGeom>
            <a:no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Arial" panose="020B0604020202020204" pitchFamily="34" charset="0"/>
                  <a:cs typeface="Arial" panose="020B0604020202020204" pitchFamily="34" charset="0"/>
                </a:rPr>
                <a:t>Home</a:t>
              </a:r>
            </a:p>
          </xdr:txBody>
        </xdr:sp>
        <xdr:sp macro="" textlink="">
          <xdr:nvSpPr>
            <xdr:cNvPr id="9" name="Rectangle 8">
              <a:extLst>
                <a:ext uri="{FF2B5EF4-FFF2-40B4-BE49-F238E27FC236}">
                  <a16:creationId xmlns:a16="http://schemas.microsoft.com/office/drawing/2014/main" id="{CC18D833-15A6-5F71-00EF-B98809A89E3A}"/>
                </a:ext>
              </a:extLst>
            </xdr:cNvPr>
            <xdr:cNvSpPr/>
          </xdr:nvSpPr>
          <xdr:spPr>
            <a:xfrm>
              <a:off x="10685715" y="143580"/>
              <a:ext cx="521113" cy="290759"/>
            </a:xfrm>
            <a:prstGeom prst="rect">
              <a:avLst/>
            </a:prstGeom>
            <a:noFill/>
            <a:ln w="28575">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10" name="Rectangle 9">
            <a:extLst>
              <a:ext uri="{FF2B5EF4-FFF2-40B4-BE49-F238E27FC236}">
                <a16:creationId xmlns:a16="http://schemas.microsoft.com/office/drawing/2014/main" id="{3ADE9E39-3ACE-4FE5-C119-498C6326900B}"/>
              </a:ext>
            </a:extLst>
          </xdr:cNvPr>
          <xdr:cNvSpPr/>
        </xdr:nvSpPr>
        <xdr:spPr>
          <a:xfrm>
            <a:off x="7620" y="7620"/>
            <a:ext cx="15849600" cy="548640"/>
          </a:xfrm>
          <a:prstGeom prst="rect">
            <a:avLst/>
          </a:prstGeom>
          <a:no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TextBox 10">
            <a:extLst>
              <a:ext uri="{FF2B5EF4-FFF2-40B4-BE49-F238E27FC236}">
                <a16:creationId xmlns:a16="http://schemas.microsoft.com/office/drawing/2014/main" id="{6318F020-983B-4DFA-0F29-A29E71B63D05}"/>
              </a:ext>
            </a:extLst>
          </xdr:cNvPr>
          <xdr:cNvSpPr txBox="1"/>
        </xdr:nvSpPr>
        <xdr:spPr>
          <a:xfrm>
            <a:off x="624840" y="15240"/>
            <a:ext cx="3048000" cy="541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400">
                <a:solidFill>
                  <a:schemeClr val="bg1"/>
                </a:solidFill>
                <a:latin typeface="Arial" panose="020B0604020202020204" pitchFamily="34" charset="0"/>
                <a:cs typeface="Arial" panose="020B0604020202020204" pitchFamily="34" charset="0"/>
              </a:rPr>
              <a:t>AI Jobs Dashboard</a:t>
            </a:r>
          </a:p>
        </xdr:txBody>
      </xdr:sp>
      <xdr:sp macro="" textlink="">
        <xdr:nvSpPr>
          <xdr:cNvPr id="15" name="TextBox 14">
            <a:hlinkClick xmlns:r="http://schemas.openxmlformats.org/officeDocument/2006/relationships" r:id="rId4"/>
            <a:extLst>
              <a:ext uri="{FF2B5EF4-FFF2-40B4-BE49-F238E27FC236}">
                <a16:creationId xmlns:a16="http://schemas.microsoft.com/office/drawing/2014/main" id="{240126DB-7609-449A-AA5F-85171F0A136F}"/>
              </a:ext>
            </a:extLst>
          </xdr:cNvPr>
          <xdr:cNvSpPr txBox="1"/>
        </xdr:nvSpPr>
        <xdr:spPr>
          <a:xfrm>
            <a:off x="13913303" y="0"/>
            <a:ext cx="1323340" cy="563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Arial" panose="020B0604020202020204" pitchFamily="34" charset="0"/>
                <a:cs typeface="Arial" panose="020B0604020202020204" pitchFamily="34" charset="0"/>
              </a:rPr>
              <a:t>Experience-wise</a:t>
            </a:r>
          </a:p>
        </xdr:txBody>
      </xdr:sp>
      <xdr:sp macro="" textlink="">
        <xdr:nvSpPr>
          <xdr:cNvPr id="16" name="TextBox 15">
            <a:hlinkClick xmlns:r="http://schemas.openxmlformats.org/officeDocument/2006/relationships" r:id="rId5"/>
            <a:extLst>
              <a:ext uri="{FF2B5EF4-FFF2-40B4-BE49-F238E27FC236}">
                <a16:creationId xmlns:a16="http://schemas.microsoft.com/office/drawing/2014/main" id="{2E098348-911A-4D73-A344-C8093243767F}"/>
              </a:ext>
            </a:extLst>
          </xdr:cNvPr>
          <xdr:cNvSpPr txBox="1"/>
        </xdr:nvSpPr>
        <xdr:spPr>
          <a:xfrm>
            <a:off x="12587304" y="0"/>
            <a:ext cx="1115060" cy="563880"/>
          </a:xfrm>
          <a:prstGeom prst="rect">
            <a:avLst/>
          </a:prstGeom>
          <a:no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Arial" panose="020B0604020202020204" pitchFamily="34" charset="0"/>
                <a:cs typeface="Arial" panose="020B0604020202020204" pitchFamily="34" charset="0"/>
              </a:rPr>
              <a:t>Industry-wise</a:t>
            </a:r>
          </a:p>
        </xdr:txBody>
      </xdr:sp>
    </xdr:grpSp>
    <xdr:clientData/>
  </xdr:twoCellAnchor>
  <xdr:twoCellAnchor>
    <xdr:from>
      <xdr:col>1</xdr:col>
      <xdr:colOff>219075</xdr:colOff>
      <xdr:row>4</xdr:row>
      <xdr:rowOff>0</xdr:rowOff>
    </xdr:from>
    <xdr:to>
      <xdr:col>22</xdr:col>
      <xdr:colOff>323664</xdr:colOff>
      <xdr:row>57</xdr:row>
      <xdr:rowOff>133349</xdr:rowOff>
    </xdr:to>
    <xdr:grpSp>
      <xdr:nvGrpSpPr>
        <xdr:cNvPr id="165" name="Group 164">
          <a:extLst>
            <a:ext uri="{FF2B5EF4-FFF2-40B4-BE49-F238E27FC236}">
              <a16:creationId xmlns:a16="http://schemas.microsoft.com/office/drawing/2014/main" id="{3FC4682B-9EA8-38F9-F058-779BE9F91C35}"/>
            </a:ext>
          </a:extLst>
        </xdr:cNvPr>
        <xdr:cNvGrpSpPr/>
      </xdr:nvGrpSpPr>
      <xdr:grpSpPr>
        <a:xfrm>
          <a:off x="828675" y="731520"/>
          <a:ext cx="12906189" cy="9825989"/>
          <a:chOff x="828675" y="731520"/>
          <a:chExt cx="12906189" cy="9825989"/>
        </a:xfrm>
      </xdr:grpSpPr>
      <xdr:grpSp>
        <xdr:nvGrpSpPr>
          <xdr:cNvPr id="162" name="Group 161">
            <a:extLst>
              <a:ext uri="{FF2B5EF4-FFF2-40B4-BE49-F238E27FC236}">
                <a16:creationId xmlns:a16="http://schemas.microsoft.com/office/drawing/2014/main" id="{AEAAF377-FD06-1E11-3560-8A723F0CA48F}"/>
              </a:ext>
            </a:extLst>
          </xdr:cNvPr>
          <xdr:cNvGrpSpPr/>
        </xdr:nvGrpSpPr>
        <xdr:grpSpPr>
          <a:xfrm>
            <a:off x="828675" y="731520"/>
            <a:ext cx="12906189" cy="9825989"/>
            <a:chOff x="828675" y="731520"/>
            <a:chExt cx="12906189" cy="9825989"/>
          </a:xfrm>
        </xdr:grpSpPr>
        <xdr:grpSp>
          <xdr:nvGrpSpPr>
            <xdr:cNvPr id="158" name="Group 157">
              <a:extLst>
                <a:ext uri="{FF2B5EF4-FFF2-40B4-BE49-F238E27FC236}">
                  <a16:creationId xmlns:a16="http://schemas.microsoft.com/office/drawing/2014/main" id="{519D21E8-AE34-7708-D7DC-226352BD881C}"/>
                </a:ext>
              </a:extLst>
            </xdr:cNvPr>
            <xdr:cNvGrpSpPr/>
          </xdr:nvGrpSpPr>
          <xdr:grpSpPr>
            <a:xfrm>
              <a:off x="828675" y="731520"/>
              <a:ext cx="12906189" cy="9825989"/>
              <a:chOff x="828675" y="720436"/>
              <a:chExt cx="12906189" cy="9679131"/>
            </a:xfrm>
          </xdr:grpSpPr>
          <xdr:grpSp>
            <xdr:nvGrpSpPr>
              <xdr:cNvPr id="39" name="Group 38">
                <a:extLst>
                  <a:ext uri="{FF2B5EF4-FFF2-40B4-BE49-F238E27FC236}">
                    <a16:creationId xmlns:a16="http://schemas.microsoft.com/office/drawing/2014/main" id="{95B6BAE1-296B-3191-C3C7-DACC2D05EFF0}"/>
                  </a:ext>
                </a:extLst>
              </xdr:cNvPr>
              <xdr:cNvGrpSpPr/>
            </xdr:nvGrpSpPr>
            <xdr:grpSpPr>
              <a:xfrm>
                <a:off x="5322570" y="2703541"/>
                <a:ext cx="3989070" cy="3917546"/>
                <a:chOff x="3608070" y="2118360"/>
                <a:chExt cx="3989070" cy="3977640"/>
              </a:xfrm>
            </xdr:grpSpPr>
            <xdr:sp macro="" textlink="'Pivot Tables'!J13">
              <xdr:nvSpPr>
                <xdr:cNvPr id="31" name="TextBox 30">
                  <a:extLst>
                    <a:ext uri="{FF2B5EF4-FFF2-40B4-BE49-F238E27FC236}">
                      <a16:creationId xmlns:a16="http://schemas.microsoft.com/office/drawing/2014/main" id="{10669B32-8F3A-918C-8E2A-E9E91360EA12}"/>
                    </a:ext>
                  </a:extLst>
                </xdr:cNvPr>
                <xdr:cNvSpPr txBox="1"/>
              </xdr:nvSpPr>
              <xdr:spPr>
                <a:xfrm>
                  <a:off x="4718685" y="3596640"/>
                  <a:ext cx="1767840" cy="1021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B85028-BFC3-4F7F-ABBD-307813F4F13B}" type="TxLink">
                    <a:rPr lang="en-US" sz="2400" b="0" i="0" u="none" strike="noStrike">
                      <a:solidFill>
                        <a:schemeClr val="bg1"/>
                      </a:solidFill>
                      <a:latin typeface="Arial" panose="020B0604020202020204" pitchFamily="34" charset="0"/>
                      <a:ea typeface="Calibri"/>
                      <a:cs typeface="Arial" panose="020B0604020202020204" pitchFamily="34" charset="0"/>
                    </a:rPr>
                    <a:pPr algn="ctr"/>
                    <a:t>INDUSTRY</a:t>
                  </a:fld>
                  <a:endParaRPr lang="en-IN" sz="2400">
                    <a:solidFill>
                      <a:schemeClr val="bg1"/>
                    </a:solidFill>
                    <a:latin typeface="Arial" panose="020B0604020202020204" pitchFamily="34" charset="0"/>
                    <a:cs typeface="Arial" panose="020B0604020202020204" pitchFamily="34" charset="0"/>
                  </a:endParaRPr>
                </a:p>
              </xdr:txBody>
            </xdr:sp>
            <xdr:grpSp>
              <xdr:nvGrpSpPr>
                <xdr:cNvPr id="38" name="Group 37">
                  <a:extLst>
                    <a:ext uri="{FF2B5EF4-FFF2-40B4-BE49-F238E27FC236}">
                      <a16:creationId xmlns:a16="http://schemas.microsoft.com/office/drawing/2014/main" id="{49903139-AB3C-43D0-DF96-74ADD625E1B3}"/>
                    </a:ext>
                  </a:extLst>
                </xdr:cNvPr>
                <xdr:cNvGrpSpPr/>
              </xdr:nvGrpSpPr>
              <xdr:grpSpPr>
                <a:xfrm>
                  <a:off x="3608070" y="2118360"/>
                  <a:ext cx="3989070" cy="3977640"/>
                  <a:chOff x="3608070" y="2118360"/>
                  <a:chExt cx="3989070" cy="3977640"/>
                </a:xfrm>
              </xdr:grpSpPr>
              <xdr:sp macro="" textlink="">
                <xdr:nvSpPr>
                  <xdr:cNvPr id="34" name="Arc 33">
                    <a:extLst>
                      <a:ext uri="{FF2B5EF4-FFF2-40B4-BE49-F238E27FC236}">
                        <a16:creationId xmlns:a16="http://schemas.microsoft.com/office/drawing/2014/main" id="{7B5489F6-A0CA-0D0C-DC12-D5424F047580}"/>
                      </a:ext>
                    </a:extLst>
                  </xdr:cNvPr>
                  <xdr:cNvSpPr/>
                </xdr:nvSpPr>
                <xdr:spPr>
                  <a:xfrm>
                    <a:off x="3710940" y="2651760"/>
                    <a:ext cx="3649980" cy="3444240"/>
                  </a:xfrm>
                  <a:prstGeom prst="arc">
                    <a:avLst/>
                  </a:prstGeom>
                  <a:ln w="19050">
                    <a:gradFill>
                      <a:gsLst>
                        <a:gs pos="32000">
                          <a:srgbClr val="7030A0"/>
                        </a:gs>
                        <a:gs pos="85000">
                          <a:srgbClr val="FFFF00"/>
                        </a:gs>
                      </a:gsLst>
                      <a:lin ang="5400000" scaled="1"/>
                    </a:gradFill>
                    <a:prstDash val="dash"/>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IN" sz="1100"/>
                  </a:p>
                </xdr:txBody>
              </xdr:sp>
              <xdr:sp macro="" textlink="">
                <xdr:nvSpPr>
                  <xdr:cNvPr id="35" name="Arc 34">
                    <a:extLst>
                      <a:ext uri="{FF2B5EF4-FFF2-40B4-BE49-F238E27FC236}">
                        <a16:creationId xmlns:a16="http://schemas.microsoft.com/office/drawing/2014/main" id="{ECBB977F-5C18-4176-8DA0-309592BB0CE9}"/>
                      </a:ext>
                    </a:extLst>
                  </xdr:cNvPr>
                  <xdr:cNvSpPr/>
                </xdr:nvSpPr>
                <xdr:spPr>
                  <a:xfrm rot="5400000">
                    <a:off x="3505200" y="2263140"/>
                    <a:ext cx="3649980" cy="3444240"/>
                  </a:xfrm>
                  <a:prstGeom prst="arc">
                    <a:avLst/>
                  </a:prstGeom>
                  <a:ln w="19050">
                    <a:gradFill>
                      <a:gsLst>
                        <a:gs pos="32000">
                          <a:srgbClr val="7030A0"/>
                        </a:gs>
                        <a:gs pos="85000">
                          <a:srgbClr val="FFFF00"/>
                        </a:gs>
                      </a:gsLst>
                      <a:lin ang="5400000" scaled="1"/>
                    </a:gradFill>
                    <a:prstDash val="dash"/>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marL="0" indent="0" algn="l"/>
                    <a:endParaRPr lang="en-IN" sz="1100">
                      <a:solidFill>
                        <a:schemeClr val="tx1"/>
                      </a:solidFill>
                      <a:latin typeface="+mn-lt"/>
                      <a:ea typeface="+mn-ea"/>
                      <a:cs typeface="+mn-cs"/>
                    </a:endParaRPr>
                  </a:p>
                </xdr:txBody>
              </xdr:sp>
              <xdr:sp macro="" textlink="">
                <xdr:nvSpPr>
                  <xdr:cNvPr id="36" name="Arc 35">
                    <a:extLst>
                      <a:ext uri="{FF2B5EF4-FFF2-40B4-BE49-F238E27FC236}">
                        <a16:creationId xmlns:a16="http://schemas.microsoft.com/office/drawing/2014/main" id="{7B15AA8E-4C15-40A3-AB44-E20F943B7D85}"/>
                      </a:ext>
                    </a:extLst>
                  </xdr:cNvPr>
                  <xdr:cNvSpPr/>
                </xdr:nvSpPr>
                <xdr:spPr>
                  <a:xfrm rot="16200000">
                    <a:off x="4050030" y="2503170"/>
                    <a:ext cx="3649980" cy="3444240"/>
                  </a:xfrm>
                  <a:prstGeom prst="arc">
                    <a:avLst/>
                  </a:prstGeom>
                  <a:ln w="19050">
                    <a:gradFill>
                      <a:gsLst>
                        <a:gs pos="32000">
                          <a:srgbClr val="7030A0"/>
                        </a:gs>
                        <a:gs pos="85000">
                          <a:srgbClr val="FFFF00"/>
                        </a:gs>
                      </a:gsLst>
                      <a:lin ang="5400000" scaled="1"/>
                    </a:gradFill>
                    <a:prstDash val="dash"/>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marL="0" indent="0" algn="l"/>
                    <a:endParaRPr lang="en-IN" sz="1100">
                      <a:solidFill>
                        <a:schemeClr val="tx1"/>
                      </a:solidFill>
                      <a:latin typeface="+mn-lt"/>
                      <a:ea typeface="+mn-ea"/>
                      <a:cs typeface="+mn-cs"/>
                    </a:endParaRPr>
                  </a:p>
                </xdr:txBody>
              </xdr:sp>
              <xdr:sp macro="" textlink="">
                <xdr:nvSpPr>
                  <xdr:cNvPr id="37" name="Arc 36">
                    <a:extLst>
                      <a:ext uri="{FF2B5EF4-FFF2-40B4-BE49-F238E27FC236}">
                        <a16:creationId xmlns:a16="http://schemas.microsoft.com/office/drawing/2014/main" id="{1D6AF243-BF50-4B28-B141-32608AF7BC2E}"/>
                      </a:ext>
                    </a:extLst>
                  </xdr:cNvPr>
                  <xdr:cNvSpPr/>
                </xdr:nvSpPr>
                <xdr:spPr>
                  <a:xfrm rot="10800000">
                    <a:off x="3863340" y="2118360"/>
                    <a:ext cx="3649980" cy="3444240"/>
                  </a:xfrm>
                  <a:prstGeom prst="arc">
                    <a:avLst/>
                  </a:prstGeom>
                  <a:ln w="19050">
                    <a:gradFill>
                      <a:gsLst>
                        <a:gs pos="32000">
                          <a:srgbClr val="7030A0"/>
                        </a:gs>
                        <a:gs pos="85000">
                          <a:srgbClr val="FFFF00"/>
                        </a:gs>
                      </a:gsLst>
                      <a:lin ang="5400000" scaled="1"/>
                    </a:gradFill>
                    <a:prstDash val="dash"/>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marL="0" indent="0" algn="l"/>
                    <a:endParaRPr lang="en-IN" sz="1100">
                      <a:solidFill>
                        <a:schemeClr val="tx1"/>
                      </a:solidFill>
                      <a:latin typeface="+mn-lt"/>
                      <a:ea typeface="+mn-ea"/>
                      <a:cs typeface="+mn-cs"/>
                    </a:endParaRPr>
                  </a:p>
                </xdr:txBody>
              </xdr:sp>
            </xdr:grpSp>
          </xdr:grpSp>
          <xdr:grpSp>
            <xdr:nvGrpSpPr>
              <xdr:cNvPr id="151" name="Group 150">
                <a:extLst>
                  <a:ext uri="{FF2B5EF4-FFF2-40B4-BE49-F238E27FC236}">
                    <a16:creationId xmlns:a16="http://schemas.microsoft.com/office/drawing/2014/main" id="{90FE5512-86DA-0C29-A905-F53C0B908E36}"/>
                  </a:ext>
                </a:extLst>
              </xdr:cNvPr>
              <xdr:cNvGrpSpPr/>
            </xdr:nvGrpSpPr>
            <xdr:grpSpPr>
              <a:xfrm>
                <a:off x="2447925" y="720436"/>
                <a:ext cx="3810000" cy="2701637"/>
                <a:chOff x="2447925" y="720436"/>
                <a:chExt cx="3810000" cy="2701637"/>
              </a:xfrm>
            </xdr:grpSpPr>
            <xdr:cxnSp macro="">
              <xdr:nvCxnSpPr>
                <xdr:cNvPr id="50" name="Straight Arrow Connector 49">
                  <a:extLst>
                    <a:ext uri="{FF2B5EF4-FFF2-40B4-BE49-F238E27FC236}">
                      <a16:creationId xmlns:a16="http://schemas.microsoft.com/office/drawing/2014/main" id="{3D3908B5-E60A-A88B-CF3A-56120769CCA4}"/>
                    </a:ext>
                  </a:extLst>
                </xdr:cNvPr>
                <xdr:cNvCxnSpPr/>
              </xdr:nvCxnSpPr>
              <xdr:spPr>
                <a:xfrm flipH="1" flipV="1">
                  <a:off x="4362450" y="2239737"/>
                  <a:ext cx="1895475" cy="1182336"/>
                </a:xfrm>
                <a:prstGeom prst="straightConnector1">
                  <a:avLst/>
                </a:prstGeom>
                <a:ln w="19050" cmpd="dbl">
                  <a:gradFill flip="none" rotWithShape="1">
                    <a:gsLst>
                      <a:gs pos="30000">
                        <a:srgbClr val="FFFF00"/>
                      </a:gs>
                      <a:gs pos="75000">
                        <a:srgbClr val="7030A0"/>
                      </a:gs>
                    </a:gsLst>
                    <a:lin ang="0" scaled="1"/>
                    <a:tileRect/>
                  </a:gradFill>
                  <a:tailEnd type="triangle"/>
                </a:ln>
              </xdr:spPr>
              <xdr:style>
                <a:lnRef idx="1">
                  <a:schemeClr val="accent1"/>
                </a:lnRef>
                <a:fillRef idx="0">
                  <a:schemeClr val="accent1"/>
                </a:fillRef>
                <a:effectRef idx="0">
                  <a:schemeClr val="accent1"/>
                </a:effectRef>
                <a:fontRef idx="minor">
                  <a:schemeClr val="tx1"/>
                </a:fontRef>
              </xdr:style>
            </xdr:cxnSp>
            <xdr:grpSp>
              <xdr:nvGrpSpPr>
                <xdr:cNvPr id="54" name="Group 53">
                  <a:extLst>
                    <a:ext uri="{FF2B5EF4-FFF2-40B4-BE49-F238E27FC236}">
                      <a16:creationId xmlns:a16="http://schemas.microsoft.com/office/drawing/2014/main" id="{20CDFBAC-EA9F-D3D5-C64B-3FE5C8BB3D00}"/>
                    </a:ext>
                  </a:extLst>
                </xdr:cNvPr>
                <xdr:cNvGrpSpPr/>
              </xdr:nvGrpSpPr>
              <xdr:grpSpPr>
                <a:xfrm>
                  <a:off x="2447925" y="720436"/>
                  <a:ext cx="1695450" cy="2498276"/>
                  <a:chOff x="2381250" y="1343025"/>
                  <a:chExt cx="1695450" cy="2505075"/>
                </a:xfrm>
              </xdr:grpSpPr>
              <xdr:grpSp>
                <xdr:nvGrpSpPr>
                  <xdr:cNvPr id="53" name="Group 52">
                    <a:extLst>
                      <a:ext uri="{FF2B5EF4-FFF2-40B4-BE49-F238E27FC236}">
                        <a16:creationId xmlns:a16="http://schemas.microsoft.com/office/drawing/2014/main" id="{20D79348-E68B-7643-1D54-11D9C7573631}"/>
                      </a:ext>
                    </a:extLst>
                  </xdr:cNvPr>
                  <xdr:cNvGrpSpPr/>
                </xdr:nvGrpSpPr>
                <xdr:grpSpPr>
                  <a:xfrm>
                    <a:off x="2381250" y="1343025"/>
                    <a:ext cx="1695450" cy="2505075"/>
                    <a:chOff x="2381250" y="1343025"/>
                    <a:chExt cx="1695450" cy="2505075"/>
                  </a:xfrm>
                </xdr:grpSpPr>
                <xdr:sp macro="" textlink="">
                  <xdr:nvSpPr>
                    <xdr:cNvPr id="48" name="Arc 47">
                      <a:extLst>
                        <a:ext uri="{FF2B5EF4-FFF2-40B4-BE49-F238E27FC236}">
                          <a16:creationId xmlns:a16="http://schemas.microsoft.com/office/drawing/2014/main" id="{A6B21EDF-6D4C-462A-8660-93E15B7E2F06}"/>
                        </a:ext>
                      </a:extLst>
                    </xdr:cNvPr>
                    <xdr:cNvSpPr/>
                  </xdr:nvSpPr>
                  <xdr:spPr>
                    <a:xfrm rot="14100000">
                      <a:off x="2124075" y="1895475"/>
                      <a:ext cx="2209800" cy="1695450"/>
                    </a:xfrm>
                    <a:prstGeom prst="arc">
                      <a:avLst/>
                    </a:prstGeom>
                    <a:ln w="57150" cmpd="dbl">
                      <a:gradFill>
                        <a:gsLst>
                          <a:gs pos="32000">
                            <a:srgbClr val="7030A0"/>
                          </a:gs>
                          <a:gs pos="85000">
                            <a:srgbClr val="FFFF00"/>
                          </a:gs>
                        </a:gsLst>
                        <a:lin ang="5400000" scaled="1"/>
                      </a:gradFill>
                      <a:prstDash val="lgDash"/>
                      <a:extLst>
                        <a:ext uri="{C807C97D-BFC1-408E-A445-0C87EB9F89A2}">
                          <ask:lineSketchStyleProps xmlns:ask="http://schemas.microsoft.com/office/drawing/2018/sketchyshapes" sd="1219033472">
                            <a:custGeom>
                              <a:avLst/>
                              <a:gdLst>
                                <a:gd name="connsiteX0" fmla="*/ 1104900 w 2209800"/>
                                <a:gd name="connsiteY0" fmla="*/ 0 h 1695450"/>
                                <a:gd name="connsiteX1" fmla="*/ 2209800 w 2209800"/>
                                <a:gd name="connsiteY1" fmla="*/ 847725 h 1695450"/>
                                <a:gd name="connsiteX2" fmla="*/ 1104900 w 2209800"/>
                                <a:gd name="connsiteY2" fmla="*/ 847725 h 1695450"/>
                                <a:gd name="connsiteX3" fmla="*/ 1104900 w 2209800"/>
                                <a:gd name="connsiteY3" fmla="*/ 0 h 1695450"/>
                                <a:gd name="connsiteX0" fmla="*/ 1104900 w 2209800"/>
                                <a:gd name="connsiteY0" fmla="*/ 0 h 1695450"/>
                                <a:gd name="connsiteX1" fmla="*/ 2209800 w 2209800"/>
                                <a:gd name="connsiteY1" fmla="*/ 847725 h 1695450"/>
                              </a:gdLst>
                              <a:ahLst/>
                              <a:cxnLst>
                                <a:cxn ang="0">
                                  <a:pos x="connsiteX0" y="connsiteY0"/>
                                </a:cxn>
                                <a:cxn ang="0">
                                  <a:pos x="connsiteX1" y="connsiteY1"/>
                                </a:cxn>
                              </a:cxnLst>
                              <a:rect l="l" t="t" r="r" b="b"/>
                              <a:pathLst>
                                <a:path w="2209800" h="1695450" stroke="0" extrusionOk="0">
                                  <a:moveTo>
                                    <a:pt x="1104900" y="0"/>
                                  </a:moveTo>
                                  <a:cubicBezTo>
                                    <a:pt x="1642035" y="-45080"/>
                                    <a:pt x="2160806" y="397927"/>
                                    <a:pt x="2209800" y="847725"/>
                                  </a:cubicBezTo>
                                  <a:cubicBezTo>
                                    <a:pt x="2018477" y="769290"/>
                                    <a:pt x="1475369" y="945901"/>
                                    <a:pt x="1104900" y="847725"/>
                                  </a:cubicBezTo>
                                  <a:cubicBezTo>
                                    <a:pt x="1108699" y="736226"/>
                                    <a:pt x="1040503" y="103443"/>
                                    <a:pt x="1104900" y="0"/>
                                  </a:cubicBezTo>
                                  <a:close/>
                                </a:path>
                                <a:path w="2209800" h="1695450" fill="none" extrusionOk="0">
                                  <a:moveTo>
                                    <a:pt x="1104900" y="0"/>
                                  </a:moveTo>
                                  <a:cubicBezTo>
                                    <a:pt x="1641498" y="-40280"/>
                                    <a:pt x="2265170" y="405995"/>
                                    <a:pt x="2209800" y="847725"/>
                                  </a:cubicBezTo>
                                </a:path>
                              </a:pathLst>
                            </a:custGeom>
                            <ask:type>
                              <ask:lineSketchNone/>
                            </ask:type>
                          </ask:lineSketchStyleProps>
                        </a:ext>
                      </a:extLst>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IN" sz="1100"/>
                    </a:p>
                  </xdr:txBody>
                </xdr:sp>
                <xdr:sp macro="" textlink="">
                  <xdr:nvSpPr>
                    <xdr:cNvPr id="51" name="Arc 50">
                      <a:extLst>
                        <a:ext uri="{FF2B5EF4-FFF2-40B4-BE49-F238E27FC236}">
                          <a16:creationId xmlns:a16="http://schemas.microsoft.com/office/drawing/2014/main" id="{C7B27C17-C5D3-4D65-906D-A271ABA084E2}"/>
                        </a:ext>
                      </a:extLst>
                    </xdr:cNvPr>
                    <xdr:cNvSpPr/>
                  </xdr:nvSpPr>
                  <xdr:spPr>
                    <a:xfrm rot="3763203">
                      <a:off x="2124075" y="1600200"/>
                      <a:ext cx="2209800" cy="1695450"/>
                    </a:xfrm>
                    <a:prstGeom prst="arc">
                      <a:avLst/>
                    </a:prstGeom>
                    <a:ln w="57150" cmpd="dbl">
                      <a:gradFill>
                        <a:gsLst>
                          <a:gs pos="32000">
                            <a:srgbClr val="7030A0"/>
                          </a:gs>
                          <a:gs pos="85000">
                            <a:srgbClr val="FFFF00"/>
                          </a:gs>
                        </a:gsLst>
                        <a:lin ang="5400000" scaled="1"/>
                      </a:gradFill>
                      <a:prstDash val="lgDash"/>
                      <a:extLst>
                        <a:ext uri="{C807C97D-BFC1-408E-A445-0C87EB9F89A2}">
                          <ask:lineSketchStyleProps xmlns:ask="http://schemas.microsoft.com/office/drawing/2018/sketchyshapes" sd="1219033472">
                            <a:custGeom>
                              <a:avLst/>
                              <a:gdLst>
                                <a:gd name="connsiteX0" fmla="*/ 1104900 w 2209800"/>
                                <a:gd name="connsiteY0" fmla="*/ 0 h 1695450"/>
                                <a:gd name="connsiteX1" fmla="*/ 2209800 w 2209800"/>
                                <a:gd name="connsiteY1" fmla="*/ 847725 h 1695450"/>
                                <a:gd name="connsiteX2" fmla="*/ 1104900 w 2209800"/>
                                <a:gd name="connsiteY2" fmla="*/ 847725 h 1695450"/>
                                <a:gd name="connsiteX3" fmla="*/ 1104900 w 2209800"/>
                                <a:gd name="connsiteY3" fmla="*/ 0 h 1695450"/>
                                <a:gd name="connsiteX0" fmla="*/ 1104900 w 2209800"/>
                                <a:gd name="connsiteY0" fmla="*/ 0 h 1695450"/>
                                <a:gd name="connsiteX1" fmla="*/ 2209800 w 2209800"/>
                                <a:gd name="connsiteY1" fmla="*/ 847725 h 1695450"/>
                              </a:gdLst>
                              <a:ahLst/>
                              <a:cxnLst>
                                <a:cxn ang="0">
                                  <a:pos x="connsiteX0" y="connsiteY0"/>
                                </a:cxn>
                                <a:cxn ang="0">
                                  <a:pos x="connsiteX1" y="connsiteY1"/>
                                </a:cxn>
                              </a:cxnLst>
                              <a:rect l="l" t="t" r="r" b="b"/>
                              <a:pathLst>
                                <a:path w="2209800" h="1695450" stroke="0" extrusionOk="0">
                                  <a:moveTo>
                                    <a:pt x="1104900" y="0"/>
                                  </a:moveTo>
                                  <a:cubicBezTo>
                                    <a:pt x="1642035" y="-45080"/>
                                    <a:pt x="2160806" y="397927"/>
                                    <a:pt x="2209800" y="847725"/>
                                  </a:cubicBezTo>
                                  <a:cubicBezTo>
                                    <a:pt x="2018477" y="769290"/>
                                    <a:pt x="1475369" y="945901"/>
                                    <a:pt x="1104900" y="847725"/>
                                  </a:cubicBezTo>
                                  <a:cubicBezTo>
                                    <a:pt x="1108699" y="736226"/>
                                    <a:pt x="1040503" y="103443"/>
                                    <a:pt x="1104900" y="0"/>
                                  </a:cubicBezTo>
                                  <a:close/>
                                </a:path>
                                <a:path w="2209800" h="1695450" fill="none" extrusionOk="0">
                                  <a:moveTo>
                                    <a:pt x="1104900" y="0"/>
                                  </a:moveTo>
                                  <a:cubicBezTo>
                                    <a:pt x="1641498" y="-40280"/>
                                    <a:pt x="2265170" y="405995"/>
                                    <a:pt x="2209800" y="847725"/>
                                  </a:cubicBezTo>
                                </a:path>
                              </a:pathLst>
                            </a:custGeom>
                            <ask:type>
                              <ask:lineSketchNone/>
                            </ask:type>
                          </ask:lineSketchStyleProps>
                        </a:ext>
                      </a:extLst>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IN" sz="1100"/>
                    </a:p>
                  </xdr:txBody>
                </xdr:sp>
              </xdr:grpSp>
              <xdr:sp macro="" textlink="'Pivot Tables'!J14">
                <xdr:nvSpPr>
                  <xdr:cNvPr id="52" name="TextBox 51">
                    <a:extLst>
                      <a:ext uri="{FF2B5EF4-FFF2-40B4-BE49-F238E27FC236}">
                        <a16:creationId xmlns:a16="http://schemas.microsoft.com/office/drawing/2014/main" id="{34108796-AC56-4A8B-93E4-8118DEEBBF8C}"/>
                      </a:ext>
                    </a:extLst>
                  </xdr:cNvPr>
                  <xdr:cNvSpPr txBox="1"/>
                </xdr:nvSpPr>
                <xdr:spPr>
                  <a:xfrm>
                    <a:off x="2643188" y="2238375"/>
                    <a:ext cx="1171575"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DD4E91A-59D2-4D70-B325-89589805D793}" type="TxLink">
                      <a:rPr lang="en-US" sz="1500" b="0" i="0" u="none" strike="noStrike">
                        <a:solidFill>
                          <a:schemeClr val="bg1"/>
                        </a:solidFill>
                        <a:latin typeface="Arial" panose="020B0604020202020204" pitchFamily="34" charset="0"/>
                        <a:ea typeface="Calibri"/>
                        <a:cs typeface="Arial" panose="020B0604020202020204" pitchFamily="34" charset="0"/>
                      </a:rPr>
                      <a:pPr algn="ctr"/>
                      <a:t>Automotive</a:t>
                    </a:fld>
                    <a:endParaRPr lang="en-IN" sz="1500">
                      <a:solidFill>
                        <a:schemeClr val="bg1"/>
                      </a:solidFill>
                      <a:latin typeface="Arial" panose="020B0604020202020204" pitchFamily="34" charset="0"/>
                      <a:cs typeface="Arial" panose="020B0604020202020204" pitchFamily="34" charset="0"/>
                    </a:endParaRPr>
                  </a:p>
                </xdr:txBody>
              </xdr:sp>
            </xdr:grpSp>
            <xdr:sp macro="" textlink="'Pivot Tables'!L14">
              <xdr:nvSpPr>
                <xdr:cNvPr id="116" name="Oval 115">
                  <a:extLst>
                    <a:ext uri="{FF2B5EF4-FFF2-40B4-BE49-F238E27FC236}">
                      <a16:creationId xmlns:a16="http://schemas.microsoft.com/office/drawing/2014/main" id="{253C6812-F7C8-9DA9-5F9F-91B73457497B}"/>
                    </a:ext>
                  </a:extLst>
                </xdr:cNvPr>
                <xdr:cNvSpPr/>
              </xdr:nvSpPr>
              <xdr:spPr>
                <a:xfrm>
                  <a:off x="4800600" y="2358351"/>
                  <a:ext cx="922867" cy="855904"/>
                </a:xfrm>
                <a:prstGeom prst="ellipse">
                  <a:avLst/>
                </a:prstGeom>
                <a:solidFill>
                  <a:schemeClr val="tx1"/>
                </a:solidFill>
                <a:ln>
                  <a:gradFill flip="none" rotWithShape="1">
                    <a:gsLst>
                      <a:gs pos="32000">
                        <a:srgbClr val="7030A0"/>
                      </a:gs>
                      <a:gs pos="80000">
                        <a:srgbClr val="FFFF00"/>
                      </a:gs>
                    </a:gsLst>
                    <a:lin ang="2700000" scaled="1"/>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F191E66-F346-4656-9902-B1AA0EDC9C2B}" type="TxLink">
                    <a:rPr lang="en-US" sz="1050" b="0" i="0" u="none" strike="noStrike">
                      <a:solidFill>
                        <a:schemeClr val="bg1"/>
                      </a:solidFill>
                      <a:latin typeface="Arial" panose="020B0604020202020204" pitchFamily="34" charset="0"/>
                      <a:ea typeface="Calibri"/>
                      <a:cs typeface="Arial" panose="020B0604020202020204" pitchFamily="34" charset="0"/>
                    </a:rPr>
                    <a:pPr algn="ctr"/>
                    <a:t>15.00%</a:t>
                  </a:fld>
                  <a:endParaRPr lang="en-IN" sz="1050">
                    <a:solidFill>
                      <a:schemeClr val="bg1"/>
                    </a:solidFill>
                    <a:latin typeface="Arial" panose="020B0604020202020204" pitchFamily="34" charset="0"/>
                    <a:cs typeface="Arial" panose="020B0604020202020204" pitchFamily="34" charset="0"/>
                  </a:endParaRPr>
                </a:p>
              </xdr:txBody>
            </xdr:sp>
          </xdr:grpSp>
          <xdr:grpSp>
            <xdr:nvGrpSpPr>
              <xdr:cNvPr id="152" name="Group 151">
                <a:extLst>
                  <a:ext uri="{FF2B5EF4-FFF2-40B4-BE49-F238E27FC236}">
                    <a16:creationId xmlns:a16="http://schemas.microsoft.com/office/drawing/2014/main" id="{61946980-14FC-1A3E-E45A-997B0539F564}"/>
                  </a:ext>
                </a:extLst>
              </xdr:cNvPr>
              <xdr:cNvGrpSpPr/>
            </xdr:nvGrpSpPr>
            <xdr:grpSpPr>
              <a:xfrm>
                <a:off x="828675" y="3327689"/>
                <a:ext cx="4495800" cy="2492952"/>
                <a:chOff x="828675" y="3327689"/>
                <a:chExt cx="4495800" cy="2492952"/>
              </a:xfrm>
            </xdr:grpSpPr>
            <xdr:cxnSp macro="">
              <xdr:nvCxnSpPr>
                <xdr:cNvPr id="109" name="Straight Arrow Connector 108">
                  <a:extLst>
                    <a:ext uri="{FF2B5EF4-FFF2-40B4-BE49-F238E27FC236}">
                      <a16:creationId xmlns:a16="http://schemas.microsoft.com/office/drawing/2014/main" id="{9C28E10F-4E7D-09D7-A599-1F07754D9E19}"/>
                    </a:ext>
                  </a:extLst>
                </xdr:cNvPr>
                <xdr:cNvCxnSpPr/>
              </xdr:nvCxnSpPr>
              <xdr:spPr>
                <a:xfrm flipH="1">
                  <a:off x="2743200" y="4816186"/>
                  <a:ext cx="2581275" cy="28575"/>
                </a:xfrm>
                <a:prstGeom prst="straightConnector1">
                  <a:avLst/>
                </a:prstGeom>
                <a:ln w="19050" cmpd="dbl">
                  <a:gradFill flip="none" rotWithShape="1">
                    <a:gsLst>
                      <a:gs pos="30000">
                        <a:srgbClr val="FFFF00"/>
                      </a:gs>
                      <a:gs pos="75000">
                        <a:srgbClr val="7030A0"/>
                      </a:gs>
                    </a:gsLst>
                    <a:lin ang="0" scaled="1"/>
                    <a:tileRect/>
                  </a:gradFill>
                  <a:tailEnd type="triangle"/>
                </a:ln>
              </xdr:spPr>
              <xdr:style>
                <a:lnRef idx="1">
                  <a:schemeClr val="accent1"/>
                </a:lnRef>
                <a:fillRef idx="0">
                  <a:schemeClr val="accent1"/>
                </a:fillRef>
                <a:effectRef idx="0">
                  <a:schemeClr val="accent1"/>
                </a:effectRef>
                <a:fontRef idx="minor">
                  <a:schemeClr val="tx1"/>
                </a:fontRef>
              </xdr:style>
            </xdr:cxnSp>
            <xdr:grpSp>
              <xdr:nvGrpSpPr>
                <xdr:cNvPr id="122" name="Group 121">
                  <a:extLst>
                    <a:ext uri="{FF2B5EF4-FFF2-40B4-BE49-F238E27FC236}">
                      <a16:creationId xmlns:a16="http://schemas.microsoft.com/office/drawing/2014/main" id="{C510A3B9-3E69-28DC-9831-2C8DEE0B088B}"/>
                    </a:ext>
                  </a:extLst>
                </xdr:cNvPr>
                <xdr:cNvGrpSpPr/>
              </xdr:nvGrpSpPr>
              <xdr:grpSpPr>
                <a:xfrm>
                  <a:off x="828675" y="3327689"/>
                  <a:ext cx="1695450" cy="2492952"/>
                  <a:chOff x="828675" y="3438525"/>
                  <a:chExt cx="1695450" cy="2579158"/>
                </a:xfrm>
              </xdr:grpSpPr>
              <xdr:grpSp>
                <xdr:nvGrpSpPr>
                  <xdr:cNvPr id="111" name="Group 110">
                    <a:extLst>
                      <a:ext uri="{FF2B5EF4-FFF2-40B4-BE49-F238E27FC236}">
                        <a16:creationId xmlns:a16="http://schemas.microsoft.com/office/drawing/2014/main" id="{C225CCA7-7E5D-DA49-033E-794167C82C48}"/>
                      </a:ext>
                    </a:extLst>
                  </xdr:cNvPr>
                  <xdr:cNvGrpSpPr/>
                </xdr:nvGrpSpPr>
                <xdr:grpSpPr>
                  <a:xfrm>
                    <a:off x="828675" y="3438525"/>
                    <a:ext cx="1695450" cy="2579158"/>
                    <a:chOff x="2381250" y="1343025"/>
                    <a:chExt cx="1695450" cy="2505075"/>
                  </a:xfrm>
                </xdr:grpSpPr>
                <xdr:sp macro="" textlink="">
                  <xdr:nvSpPr>
                    <xdr:cNvPr id="113" name="Arc 112">
                      <a:extLst>
                        <a:ext uri="{FF2B5EF4-FFF2-40B4-BE49-F238E27FC236}">
                          <a16:creationId xmlns:a16="http://schemas.microsoft.com/office/drawing/2014/main" id="{31EA45CE-5A17-1199-A557-380B56EC83DA}"/>
                        </a:ext>
                      </a:extLst>
                    </xdr:cNvPr>
                    <xdr:cNvSpPr/>
                  </xdr:nvSpPr>
                  <xdr:spPr>
                    <a:xfrm rot="14100000">
                      <a:off x="2124075" y="1895475"/>
                      <a:ext cx="2209800" cy="1695450"/>
                    </a:xfrm>
                    <a:prstGeom prst="arc">
                      <a:avLst/>
                    </a:prstGeom>
                    <a:ln w="57150" cmpd="dbl">
                      <a:gradFill>
                        <a:gsLst>
                          <a:gs pos="32000">
                            <a:srgbClr val="7030A0"/>
                          </a:gs>
                          <a:gs pos="85000">
                            <a:srgbClr val="FFFF00"/>
                          </a:gs>
                        </a:gsLst>
                        <a:lin ang="5400000" scaled="1"/>
                      </a:gradFill>
                      <a:prstDash val="lgDash"/>
                      <a:extLst>
                        <a:ext uri="{C807C97D-BFC1-408E-A445-0C87EB9F89A2}">
                          <ask:lineSketchStyleProps xmlns:ask="http://schemas.microsoft.com/office/drawing/2018/sketchyshapes" sd="1219033472">
                            <a:custGeom>
                              <a:avLst/>
                              <a:gdLst>
                                <a:gd name="connsiteX0" fmla="*/ 1104900 w 2209800"/>
                                <a:gd name="connsiteY0" fmla="*/ 0 h 1695450"/>
                                <a:gd name="connsiteX1" fmla="*/ 2209800 w 2209800"/>
                                <a:gd name="connsiteY1" fmla="*/ 847725 h 1695450"/>
                                <a:gd name="connsiteX2" fmla="*/ 1104900 w 2209800"/>
                                <a:gd name="connsiteY2" fmla="*/ 847725 h 1695450"/>
                                <a:gd name="connsiteX3" fmla="*/ 1104900 w 2209800"/>
                                <a:gd name="connsiteY3" fmla="*/ 0 h 1695450"/>
                                <a:gd name="connsiteX0" fmla="*/ 1104900 w 2209800"/>
                                <a:gd name="connsiteY0" fmla="*/ 0 h 1695450"/>
                                <a:gd name="connsiteX1" fmla="*/ 2209800 w 2209800"/>
                                <a:gd name="connsiteY1" fmla="*/ 847725 h 1695450"/>
                              </a:gdLst>
                              <a:ahLst/>
                              <a:cxnLst>
                                <a:cxn ang="0">
                                  <a:pos x="connsiteX0" y="connsiteY0"/>
                                </a:cxn>
                                <a:cxn ang="0">
                                  <a:pos x="connsiteX1" y="connsiteY1"/>
                                </a:cxn>
                              </a:cxnLst>
                              <a:rect l="l" t="t" r="r" b="b"/>
                              <a:pathLst>
                                <a:path w="2209800" h="1695450" stroke="0" extrusionOk="0">
                                  <a:moveTo>
                                    <a:pt x="1104900" y="0"/>
                                  </a:moveTo>
                                  <a:cubicBezTo>
                                    <a:pt x="1642035" y="-45080"/>
                                    <a:pt x="2160806" y="397927"/>
                                    <a:pt x="2209800" y="847725"/>
                                  </a:cubicBezTo>
                                  <a:cubicBezTo>
                                    <a:pt x="2018477" y="769290"/>
                                    <a:pt x="1475369" y="945901"/>
                                    <a:pt x="1104900" y="847725"/>
                                  </a:cubicBezTo>
                                  <a:cubicBezTo>
                                    <a:pt x="1108699" y="736226"/>
                                    <a:pt x="1040503" y="103443"/>
                                    <a:pt x="1104900" y="0"/>
                                  </a:cubicBezTo>
                                  <a:close/>
                                </a:path>
                                <a:path w="2209800" h="1695450" fill="none" extrusionOk="0">
                                  <a:moveTo>
                                    <a:pt x="1104900" y="0"/>
                                  </a:moveTo>
                                  <a:cubicBezTo>
                                    <a:pt x="1641498" y="-40280"/>
                                    <a:pt x="2265170" y="405995"/>
                                    <a:pt x="2209800" y="847725"/>
                                  </a:cubicBezTo>
                                </a:path>
                              </a:pathLst>
                            </a:custGeom>
                            <ask:type>
                              <ask:lineSketchNone/>
                            </ask:type>
                          </ask:lineSketchStyleProps>
                        </a:ext>
                      </a:extLst>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IN" sz="1100"/>
                    </a:p>
                  </xdr:txBody>
                </xdr:sp>
                <xdr:sp macro="" textlink="">
                  <xdr:nvSpPr>
                    <xdr:cNvPr id="114" name="Arc 113">
                      <a:extLst>
                        <a:ext uri="{FF2B5EF4-FFF2-40B4-BE49-F238E27FC236}">
                          <a16:creationId xmlns:a16="http://schemas.microsoft.com/office/drawing/2014/main" id="{6CF13F1E-3661-A54C-F9C0-6311BB7B2938}"/>
                        </a:ext>
                      </a:extLst>
                    </xdr:cNvPr>
                    <xdr:cNvSpPr/>
                  </xdr:nvSpPr>
                  <xdr:spPr>
                    <a:xfrm rot="3763203">
                      <a:off x="2124075" y="1600200"/>
                      <a:ext cx="2209800" cy="1695450"/>
                    </a:xfrm>
                    <a:prstGeom prst="arc">
                      <a:avLst/>
                    </a:prstGeom>
                    <a:ln w="57150" cmpd="dbl">
                      <a:gradFill>
                        <a:gsLst>
                          <a:gs pos="32000">
                            <a:srgbClr val="7030A0"/>
                          </a:gs>
                          <a:gs pos="85000">
                            <a:srgbClr val="FFFF00"/>
                          </a:gs>
                        </a:gsLst>
                        <a:lin ang="5400000" scaled="1"/>
                      </a:gradFill>
                      <a:prstDash val="lgDash"/>
                      <a:extLst>
                        <a:ext uri="{C807C97D-BFC1-408E-A445-0C87EB9F89A2}">
                          <ask:lineSketchStyleProps xmlns:ask="http://schemas.microsoft.com/office/drawing/2018/sketchyshapes" sd="1219033472">
                            <a:custGeom>
                              <a:avLst/>
                              <a:gdLst>
                                <a:gd name="connsiteX0" fmla="*/ 1104900 w 2209800"/>
                                <a:gd name="connsiteY0" fmla="*/ 0 h 1695450"/>
                                <a:gd name="connsiteX1" fmla="*/ 2209800 w 2209800"/>
                                <a:gd name="connsiteY1" fmla="*/ 847725 h 1695450"/>
                                <a:gd name="connsiteX2" fmla="*/ 1104900 w 2209800"/>
                                <a:gd name="connsiteY2" fmla="*/ 847725 h 1695450"/>
                                <a:gd name="connsiteX3" fmla="*/ 1104900 w 2209800"/>
                                <a:gd name="connsiteY3" fmla="*/ 0 h 1695450"/>
                                <a:gd name="connsiteX0" fmla="*/ 1104900 w 2209800"/>
                                <a:gd name="connsiteY0" fmla="*/ 0 h 1695450"/>
                                <a:gd name="connsiteX1" fmla="*/ 2209800 w 2209800"/>
                                <a:gd name="connsiteY1" fmla="*/ 847725 h 1695450"/>
                              </a:gdLst>
                              <a:ahLst/>
                              <a:cxnLst>
                                <a:cxn ang="0">
                                  <a:pos x="connsiteX0" y="connsiteY0"/>
                                </a:cxn>
                                <a:cxn ang="0">
                                  <a:pos x="connsiteX1" y="connsiteY1"/>
                                </a:cxn>
                              </a:cxnLst>
                              <a:rect l="l" t="t" r="r" b="b"/>
                              <a:pathLst>
                                <a:path w="2209800" h="1695450" stroke="0" extrusionOk="0">
                                  <a:moveTo>
                                    <a:pt x="1104900" y="0"/>
                                  </a:moveTo>
                                  <a:cubicBezTo>
                                    <a:pt x="1642035" y="-45080"/>
                                    <a:pt x="2160806" y="397927"/>
                                    <a:pt x="2209800" y="847725"/>
                                  </a:cubicBezTo>
                                  <a:cubicBezTo>
                                    <a:pt x="2018477" y="769290"/>
                                    <a:pt x="1475369" y="945901"/>
                                    <a:pt x="1104900" y="847725"/>
                                  </a:cubicBezTo>
                                  <a:cubicBezTo>
                                    <a:pt x="1108699" y="736226"/>
                                    <a:pt x="1040503" y="103443"/>
                                    <a:pt x="1104900" y="0"/>
                                  </a:cubicBezTo>
                                  <a:close/>
                                </a:path>
                                <a:path w="2209800" h="1695450" fill="none" extrusionOk="0">
                                  <a:moveTo>
                                    <a:pt x="1104900" y="0"/>
                                  </a:moveTo>
                                  <a:cubicBezTo>
                                    <a:pt x="1641498" y="-40280"/>
                                    <a:pt x="2265170" y="405995"/>
                                    <a:pt x="2209800" y="847725"/>
                                  </a:cubicBezTo>
                                </a:path>
                              </a:pathLst>
                            </a:custGeom>
                            <ask:type>
                              <ask:lineSketchNone/>
                            </ask:type>
                          </ask:lineSketchStyleProps>
                        </a:ext>
                      </a:extLst>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IN" sz="1100"/>
                    </a:p>
                  </xdr:txBody>
                </xdr:sp>
              </xdr:grpSp>
              <xdr:sp macro="" textlink="'Pivot Tables'!J15">
                <xdr:nvSpPr>
                  <xdr:cNvPr id="112" name="TextBox 111">
                    <a:extLst>
                      <a:ext uri="{FF2B5EF4-FFF2-40B4-BE49-F238E27FC236}">
                        <a16:creationId xmlns:a16="http://schemas.microsoft.com/office/drawing/2014/main" id="{1FF5B1A2-388C-BBBA-AC70-AFC083D9E80C}"/>
                      </a:ext>
                    </a:extLst>
                  </xdr:cNvPr>
                  <xdr:cNvSpPr txBox="1"/>
                </xdr:nvSpPr>
                <xdr:spPr>
                  <a:xfrm>
                    <a:off x="973667" y="4360354"/>
                    <a:ext cx="1405467" cy="735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82AF71C-77D6-4587-9F18-85603BB6B2A7}" type="TxLink">
                      <a:rPr lang="en-US" sz="1500" b="0" i="0" u="none" strike="noStrike">
                        <a:solidFill>
                          <a:schemeClr val="bg1"/>
                        </a:solidFill>
                        <a:latin typeface="Arial" panose="020B0604020202020204" pitchFamily="34" charset="0"/>
                        <a:ea typeface="Calibri"/>
                        <a:cs typeface="Arial" panose="020B0604020202020204" pitchFamily="34" charset="0"/>
                      </a:rPr>
                      <a:pPr algn="ctr"/>
                      <a:t>E-commerce</a:t>
                    </a:fld>
                    <a:endParaRPr lang="en-IN" sz="1500">
                      <a:solidFill>
                        <a:schemeClr val="bg1"/>
                      </a:solidFill>
                      <a:latin typeface="Arial" panose="020B0604020202020204" pitchFamily="34" charset="0"/>
                      <a:cs typeface="Arial" panose="020B0604020202020204" pitchFamily="34" charset="0"/>
                    </a:endParaRPr>
                  </a:p>
                </xdr:txBody>
              </xdr:sp>
            </xdr:grpSp>
            <xdr:sp macro="" textlink="'Pivot Tables'!L15">
              <xdr:nvSpPr>
                <xdr:cNvPr id="123" name="Oval 122">
                  <a:extLst>
                    <a:ext uri="{FF2B5EF4-FFF2-40B4-BE49-F238E27FC236}">
                      <a16:creationId xmlns:a16="http://schemas.microsoft.com/office/drawing/2014/main" id="{3DC778C3-A8E4-46CD-8B2D-22DFC7AC4A89}"/>
                    </a:ext>
                  </a:extLst>
                </xdr:cNvPr>
                <xdr:cNvSpPr/>
              </xdr:nvSpPr>
              <xdr:spPr>
                <a:xfrm>
                  <a:off x="3640667" y="4339551"/>
                  <a:ext cx="922867" cy="855903"/>
                </a:xfrm>
                <a:prstGeom prst="ellipse">
                  <a:avLst/>
                </a:prstGeom>
                <a:solidFill>
                  <a:schemeClr val="tx1"/>
                </a:solidFill>
                <a:ln>
                  <a:gradFill flip="none" rotWithShape="1">
                    <a:gsLst>
                      <a:gs pos="32000">
                        <a:srgbClr val="7030A0"/>
                      </a:gs>
                      <a:gs pos="80000">
                        <a:srgbClr val="FFFF00"/>
                      </a:gs>
                    </a:gsLst>
                    <a:lin ang="0" scaled="1"/>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095992B-C945-4E1C-A7C1-BD0A4718F6BD}" type="TxLink">
                    <a:rPr lang="en-US" sz="1050" b="0" i="0" u="none" strike="noStrike">
                      <a:solidFill>
                        <a:srgbClr val="FFFFFF"/>
                      </a:solidFill>
                      <a:latin typeface="Arial"/>
                      <a:ea typeface="Calibri"/>
                      <a:cs typeface="Arial"/>
                    </a:rPr>
                    <a:pPr algn="ctr"/>
                    <a:t>14.55%</a:t>
                  </a:fld>
                  <a:endParaRPr lang="en-IN" sz="1000">
                    <a:solidFill>
                      <a:schemeClr val="bg1"/>
                    </a:solidFill>
                    <a:latin typeface="Arial" panose="020B0604020202020204" pitchFamily="34" charset="0"/>
                    <a:cs typeface="Arial" panose="020B0604020202020204" pitchFamily="34" charset="0"/>
                  </a:endParaRPr>
                </a:p>
              </xdr:txBody>
            </xdr:sp>
          </xdr:grpSp>
          <xdr:grpSp>
            <xdr:nvGrpSpPr>
              <xdr:cNvPr id="153" name="Group 152">
                <a:extLst>
                  <a:ext uri="{FF2B5EF4-FFF2-40B4-BE49-F238E27FC236}">
                    <a16:creationId xmlns:a16="http://schemas.microsoft.com/office/drawing/2014/main" id="{EF7155D8-138E-B60D-2CD7-5DD73BBD9259}"/>
                  </a:ext>
                </a:extLst>
              </xdr:cNvPr>
              <xdr:cNvGrpSpPr/>
            </xdr:nvGrpSpPr>
            <xdr:grpSpPr>
              <a:xfrm>
                <a:off x="2524125" y="5849216"/>
                <a:ext cx="3514725" cy="2711161"/>
                <a:chOff x="2524125" y="5849216"/>
                <a:chExt cx="3514725" cy="2711161"/>
              </a:xfrm>
            </xdr:grpSpPr>
            <xdr:cxnSp macro="">
              <xdr:nvCxnSpPr>
                <xdr:cNvPr id="68" name="Straight Arrow Connector 67">
                  <a:extLst>
                    <a:ext uri="{FF2B5EF4-FFF2-40B4-BE49-F238E27FC236}">
                      <a16:creationId xmlns:a16="http://schemas.microsoft.com/office/drawing/2014/main" id="{8AC6AAC0-D699-46BA-8C4D-4F05B447756F}"/>
                    </a:ext>
                  </a:extLst>
                </xdr:cNvPr>
                <xdr:cNvCxnSpPr/>
              </xdr:nvCxnSpPr>
              <xdr:spPr>
                <a:xfrm flipH="1">
                  <a:off x="4476750" y="5849216"/>
                  <a:ext cx="1562100" cy="1542395"/>
                </a:xfrm>
                <a:prstGeom prst="straightConnector1">
                  <a:avLst/>
                </a:prstGeom>
                <a:ln w="19050" cmpd="dbl">
                  <a:gradFill flip="none" rotWithShape="1">
                    <a:gsLst>
                      <a:gs pos="30000">
                        <a:srgbClr val="FFFF00"/>
                      </a:gs>
                      <a:gs pos="75000">
                        <a:srgbClr val="7030A0"/>
                      </a:gs>
                    </a:gsLst>
                    <a:lin ang="0" scaled="1"/>
                    <a:tileRect/>
                  </a:gradFill>
                  <a:tailEnd type="triangle"/>
                </a:ln>
              </xdr:spPr>
              <xdr:style>
                <a:lnRef idx="1">
                  <a:schemeClr val="accent1"/>
                </a:lnRef>
                <a:fillRef idx="0">
                  <a:schemeClr val="accent1"/>
                </a:fillRef>
                <a:effectRef idx="0">
                  <a:schemeClr val="accent1"/>
                </a:effectRef>
                <a:fontRef idx="minor">
                  <a:schemeClr val="tx1"/>
                </a:fontRef>
              </xdr:style>
            </xdr:cxnSp>
            <xdr:grpSp>
              <xdr:nvGrpSpPr>
                <xdr:cNvPr id="94" name="Group 93">
                  <a:extLst>
                    <a:ext uri="{FF2B5EF4-FFF2-40B4-BE49-F238E27FC236}">
                      <a16:creationId xmlns:a16="http://schemas.microsoft.com/office/drawing/2014/main" id="{A0A5DA30-8EF6-BF9E-C97B-8A701D660F46}"/>
                    </a:ext>
                  </a:extLst>
                </xdr:cNvPr>
                <xdr:cNvGrpSpPr/>
              </xdr:nvGrpSpPr>
              <xdr:grpSpPr>
                <a:xfrm>
                  <a:off x="2524125" y="6068516"/>
                  <a:ext cx="1695450" cy="2491861"/>
                  <a:chOff x="2438400" y="5305425"/>
                  <a:chExt cx="1695450" cy="2505075"/>
                </a:xfrm>
              </xdr:grpSpPr>
              <xdr:grpSp>
                <xdr:nvGrpSpPr>
                  <xdr:cNvPr id="70" name="Group 69">
                    <a:extLst>
                      <a:ext uri="{FF2B5EF4-FFF2-40B4-BE49-F238E27FC236}">
                        <a16:creationId xmlns:a16="http://schemas.microsoft.com/office/drawing/2014/main" id="{733B659C-FE31-E76E-5331-BA6A5A60E40A}"/>
                      </a:ext>
                    </a:extLst>
                  </xdr:cNvPr>
                  <xdr:cNvGrpSpPr/>
                </xdr:nvGrpSpPr>
                <xdr:grpSpPr>
                  <a:xfrm>
                    <a:off x="2438400" y="5305425"/>
                    <a:ext cx="1695450" cy="2505075"/>
                    <a:chOff x="2381250" y="1343025"/>
                    <a:chExt cx="1695450" cy="2505075"/>
                  </a:xfrm>
                </xdr:grpSpPr>
                <xdr:sp macro="" textlink="">
                  <xdr:nvSpPr>
                    <xdr:cNvPr id="72" name="Arc 71">
                      <a:extLst>
                        <a:ext uri="{FF2B5EF4-FFF2-40B4-BE49-F238E27FC236}">
                          <a16:creationId xmlns:a16="http://schemas.microsoft.com/office/drawing/2014/main" id="{1AD571A5-246D-AFC7-F8BB-31B6617B1079}"/>
                        </a:ext>
                      </a:extLst>
                    </xdr:cNvPr>
                    <xdr:cNvSpPr/>
                  </xdr:nvSpPr>
                  <xdr:spPr>
                    <a:xfrm rot="14100000">
                      <a:off x="2124075" y="1895475"/>
                      <a:ext cx="2209800" cy="1695450"/>
                    </a:xfrm>
                    <a:prstGeom prst="arc">
                      <a:avLst/>
                    </a:prstGeom>
                    <a:ln w="57150" cmpd="dbl">
                      <a:gradFill>
                        <a:gsLst>
                          <a:gs pos="32000">
                            <a:srgbClr val="7030A0"/>
                          </a:gs>
                          <a:gs pos="85000">
                            <a:srgbClr val="FFFF00"/>
                          </a:gs>
                        </a:gsLst>
                        <a:lin ang="5400000" scaled="1"/>
                      </a:gradFill>
                      <a:prstDash val="lgDash"/>
                      <a:extLst>
                        <a:ext uri="{C807C97D-BFC1-408E-A445-0C87EB9F89A2}">
                          <ask:lineSketchStyleProps xmlns:ask="http://schemas.microsoft.com/office/drawing/2018/sketchyshapes" sd="1219033472">
                            <a:custGeom>
                              <a:avLst/>
                              <a:gdLst>
                                <a:gd name="connsiteX0" fmla="*/ 1104900 w 2209800"/>
                                <a:gd name="connsiteY0" fmla="*/ 0 h 1695450"/>
                                <a:gd name="connsiteX1" fmla="*/ 2209800 w 2209800"/>
                                <a:gd name="connsiteY1" fmla="*/ 847725 h 1695450"/>
                                <a:gd name="connsiteX2" fmla="*/ 1104900 w 2209800"/>
                                <a:gd name="connsiteY2" fmla="*/ 847725 h 1695450"/>
                                <a:gd name="connsiteX3" fmla="*/ 1104900 w 2209800"/>
                                <a:gd name="connsiteY3" fmla="*/ 0 h 1695450"/>
                                <a:gd name="connsiteX0" fmla="*/ 1104900 w 2209800"/>
                                <a:gd name="connsiteY0" fmla="*/ 0 h 1695450"/>
                                <a:gd name="connsiteX1" fmla="*/ 2209800 w 2209800"/>
                                <a:gd name="connsiteY1" fmla="*/ 847725 h 1695450"/>
                              </a:gdLst>
                              <a:ahLst/>
                              <a:cxnLst>
                                <a:cxn ang="0">
                                  <a:pos x="connsiteX0" y="connsiteY0"/>
                                </a:cxn>
                                <a:cxn ang="0">
                                  <a:pos x="connsiteX1" y="connsiteY1"/>
                                </a:cxn>
                              </a:cxnLst>
                              <a:rect l="l" t="t" r="r" b="b"/>
                              <a:pathLst>
                                <a:path w="2209800" h="1695450" stroke="0" extrusionOk="0">
                                  <a:moveTo>
                                    <a:pt x="1104900" y="0"/>
                                  </a:moveTo>
                                  <a:cubicBezTo>
                                    <a:pt x="1642035" y="-45080"/>
                                    <a:pt x="2160806" y="397927"/>
                                    <a:pt x="2209800" y="847725"/>
                                  </a:cubicBezTo>
                                  <a:cubicBezTo>
                                    <a:pt x="2018477" y="769290"/>
                                    <a:pt x="1475369" y="945901"/>
                                    <a:pt x="1104900" y="847725"/>
                                  </a:cubicBezTo>
                                  <a:cubicBezTo>
                                    <a:pt x="1108699" y="736226"/>
                                    <a:pt x="1040503" y="103443"/>
                                    <a:pt x="1104900" y="0"/>
                                  </a:cubicBezTo>
                                  <a:close/>
                                </a:path>
                                <a:path w="2209800" h="1695450" fill="none" extrusionOk="0">
                                  <a:moveTo>
                                    <a:pt x="1104900" y="0"/>
                                  </a:moveTo>
                                  <a:cubicBezTo>
                                    <a:pt x="1641498" y="-40280"/>
                                    <a:pt x="2265170" y="405995"/>
                                    <a:pt x="2209800" y="847725"/>
                                  </a:cubicBezTo>
                                </a:path>
                              </a:pathLst>
                            </a:custGeom>
                            <ask:type>
                              <ask:lineSketchNone/>
                            </ask:type>
                          </ask:lineSketchStyleProps>
                        </a:ext>
                      </a:extLst>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IN" sz="1100"/>
                    </a:p>
                  </xdr:txBody>
                </xdr:sp>
                <xdr:sp macro="" textlink="">
                  <xdr:nvSpPr>
                    <xdr:cNvPr id="73" name="Arc 72">
                      <a:extLst>
                        <a:ext uri="{FF2B5EF4-FFF2-40B4-BE49-F238E27FC236}">
                          <a16:creationId xmlns:a16="http://schemas.microsoft.com/office/drawing/2014/main" id="{1EC06C42-ADFF-C772-0D82-22E356F70B9E}"/>
                        </a:ext>
                      </a:extLst>
                    </xdr:cNvPr>
                    <xdr:cNvSpPr/>
                  </xdr:nvSpPr>
                  <xdr:spPr>
                    <a:xfrm rot="3763203">
                      <a:off x="2124075" y="1600200"/>
                      <a:ext cx="2209800" cy="1695450"/>
                    </a:xfrm>
                    <a:prstGeom prst="arc">
                      <a:avLst/>
                    </a:prstGeom>
                    <a:ln w="57150" cmpd="dbl">
                      <a:gradFill>
                        <a:gsLst>
                          <a:gs pos="32000">
                            <a:srgbClr val="7030A0"/>
                          </a:gs>
                          <a:gs pos="85000">
                            <a:srgbClr val="FFFF00"/>
                          </a:gs>
                        </a:gsLst>
                        <a:lin ang="5400000" scaled="1"/>
                      </a:gradFill>
                      <a:prstDash val="lgDash"/>
                      <a:extLst>
                        <a:ext uri="{C807C97D-BFC1-408E-A445-0C87EB9F89A2}">
                          <ask:lineSketchStyleProps xmlns:ask="http://schemas.microsoft.com/office/drawing/2018/sketchyshapes" sd="1219033472">
                            <a:custGeom>
                              <a:avLst/>
                              <a:gdLst>
                                <a:gd name="connsiteX0" fmla="*/ 1104900 w 2209800"/>
                                <a:gd name="connsiteY0" fmla="*/ 0 h 1695450"/>
                                <a:gd name="connsiteX1" fmla="*/ 2209800 w 2209800"/>
                                <a:gd name="connsiteY1" fmla="*/ 847725 h 1695450"/>
                                <a:gd name="connsiteX2" fmla="*/ 1104900 w 2209800"/>
                                <a:gd name="connsiteY2" fmla="*/ 847725 h 1695450"/>
                                <a:gd name="connsiteX3" fmla="*/ 1104900 w 2209800"/>
                                <a:gd name="connsiteY3" fmla="*/ 0 h 1695450"/>
                                <a:gd name="connsiteX0" fmla="*/ 1104900 w 2209800"/>
                                <a:gd name="connsiteY0" fmla="*/ 0 h 1695450"/>
                                <a:gd name="connsiteX1" fmla="*/ 2209800 w 2209800"/>
                                <a:gd name="connsiteY1" fmla="*/ 847725 h 1695450"/>
                              </a:gdLst>
                              <a:ahLst/>
                              <a:cxnLst>
                                <a:cxn ang="0">
                                  <a:pos x="connsiteX0" y="connsiteY0"/>
                                </a:cxn>
                                <a:cxn ang="0">
                                  <a:pos x="connsiteX1" y="connsiteY1"/>
                                </a:cxn>
                              </a:cxnLst>
                              <a:rect l="l" t="t" r="r" b="b"/>
                              <a:pathLst>
                                <a:path w="2209800" h="1695450" stroke="0" extrusionOk="0">
                                  <a:moveTo>
                                    <a:pt x="1104900" y="0"/>
                                  </a:moveTo>
                                  <a:cubicBezTo>
                                    <a:pt x="1642035" y="-45080"/>
                                    <a:pt x="2160806" y="397927"/>
                                    <a:pt x="2209800" y="847725"/>
                                  </a:cubicBezTo>
                                  <a:cubicBezTo>
                                    <a:pt x="2018477" y="769290"/>
                                    <a:pt x="1475369" y="945901"/>
                                    <a:pt x="1104900" y="847725"/>
                                  </a:cubicBezTo>
                                  <a:cubicBezTo>
                                    <a:pt x="1108699" y="736226"/>
                                    <a:pt x="1040503" y="103443"/>
                                    <a:pt x="1104900" y="0"/>
                                  </a:cubicBezTo>
                                  <a:close/>
                                </a:path>
                                <a:path w="2209800" h="1695450" fill="none" extrusionOk="0">
                                  <a:moveTo>
                                    <a:pt x="1104900" y="0"/>
                                  </a:moveTo>
                                  <a:cubicBezTo>
                                    <a:pt x="1641498" y="-40280"/>
                                    <a:pt x="2265170" y="405995"/>
                                    <a:pt x="2209800" y="847725"/>
                                  </a:cubicBezTo>
                                </a:path>
                              </a:pathLst>
                            </a:custGeom>
                            <ask:type>
                              <ask:lineSketchNone/>
                            </ask:type>
                          </ask:lineSketchStyleProps>
                        </a:ext>
                      </a:extLst>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IN" sz="1100"/>
                    </a:p>
                  </xdr:txBody>
                </xdr:sp>
              </xdr:grpSp>
              <xdr:sp macro="" textlink="'Pivot Tables'!J16">
                <xdr:nvSpPr>
                  <xdr:cNvPr id="71" name="TextBox 70">
                    <a:extLst>
                      <a:ext uri="{FF2B5EF4-FFF2-40B4-BE49-F238E27FC236}">
                        <a16:creationId xmlns:a16="http://schemas.microsoft.com/office/drawing/2014/main" id="{F1E81070-84F7-697D-1622-1EC8F8E34E7B}"/>
                      </a:ext>
                    </a:extLst>
                  </xdr:cNvPr>
                  <xdr:cNvSpPr txBox="1"/>
                </xdr:nvSpPr>
                <xdr:spPr>
                  <a:xfrm>
                    <a:off x="2621756" y="6200775"/>
                    <a:ext cx="1328738"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69C9870-D8A0-4E35-8E15-AB40640208CB}" type="TxLink">
                      <a:rPr lang="en-US" sz="1500" b="0" i="0" u="none" strike="noStrike">
                        <a:solidFill>
                          <a:srgbClr val="FFFFFF"/>
                        </a:solidFill>
                        <a:latin typeface="Arial" panose="020B0604020202020204" pitchFamily="34" charset="0"/>
                        <a:ea typeface="Calibri"/>
                        <a:cs typeface="Arial" panose="020B0604020202020204" pitchFamily="34" charset="0"/>
                      </a:rPr>
                      <a:pPr algn="ctr"/>
                      <a:t>Education</a:t>
                    </a:fld>
                    <a:endParaRPr lang="en-IN" sz="1500">
                      <a:solidFill>
                        <a:schemeClr val="bg1"/>
                      </a:solidFill>
                      <a:latin typeface="Arial" panose="020B0604020202020204" pitchFamily="34" charset="0"/>
                      <a:cs typeface="Arial" panose="020B0604020202020204" pitchFamily="34" charset="0"/>
                    </a:endParaRPr>
                  </a:p>
                </xdr:txBody>
              </xdr:sp>
            </xdr:grpSp>
            <xdr:sp macro="" textlink="'Pivot Tables'!L16">
              <xdr:nvSpPr>
                <xdr:cNvPr id="124" name="Oval 123">
                  <a:extLst>
                    <a:ext uri="{FF2B5EF4-FFF2-40B4-BE49-F238E27FC236}">
                      <a16:creationId xmlns:a16="http://schemas.microsoft.com/office/drawing/2014/main" id="{A99ACE5D-FE95-4288-ACC0-6BDF0048181D}"/>
                    </a:ext>
                  </a:extLst>
                </xdr:cNvPr>
                <xdr:cNvSpPr/>
              </xdr:nvSpPr>
              <xdr:spPr>
                <a:xfrm>
                  <a:off x="4758267" y="6191441"/>
                  <a:ext cx="922867" cy="849746"/>
                </a:xfrm>
                <a:prstGeom prst="ellipse">
                  <a:avLst/>
                </a:prstGeom>
                <a:solidFill>
                  <a:schemeClr val="tx1"/>
                </a:solidFill>
                <a:ln>
                  <a:gradFill flip="none" rotWithShape="1">
                    <a:gsLst>
                      <a:gs pos="32000">
                        <a:srgbClr val="7030A0"/>
                      </a:gs>
                      <a:gs pos="80000">
                        <a:srgbClr val="FFFF00"/>
                      </a:gs>
                    </a:gsLst>
                    <a:lin ang="18900000" scaled="1"/>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8A64A70-CFE6-44AC-ADFA-3F7382759BEA}" type="TxLink">
                    <a:rPr lang="en-US" sz="1050" b="0" i="0" u="none" strike="noStrike">
                      <a:solidFill>
                        <a:srgbClr val="FFFFFF"/>
                      </a:solidFill>
                      <a:latin typeface="Arial"/>
                      <a:ea typeface="Calibri"/>
                      <a:cs typeface="Arial"/>
                    </a:rPr>
                    <a:pPr algn="ctr"/>
                    <a:t>14.70%</a:t>
                  </a:fld>
                  <a:endParaRPr lang="en-IN" sz="1000">
                    <a:solidFill>
                      <a:schemeClr val="bg1"/>
                    </a:solidFill>
                    <a:latin typeface="Arial" panose="020B0604020202020204" pitchFamily="34" charset="0"/>
                    <a:cs typeface="Arial" panose="020B0604020202020204" pitchFamily="34" charset="0"/>
                  </a:endParaRPr>
                </a:p>
              </xdr:txBody>
            </xdr:sp>
          </xdr:grpSp>
          <xdr:grpSp>
            <xdr:nvGrpSpPr>
              <xdr:cNvPr id="155" name="Group 154">
                <a:extLst>
                  <a:ext uri="{FF2B5EF4-FFF2-40B4-BE49-F238E27FC236}">
                    <a16:creationId xmlns:a16="http://schemas.microsoft.com/office/drawing/2014/main" id="{28BA30DD-354C-477E-3143-FAFC1A1182B9}"/>
                  </a:ext>
                </a:extLst>
              </xdr:cNvPr>
              <xdr:cNvGrpSpPr/>
            </xdr:nvGrpSpPr>
            <xdr:grpSpPr>
              <a:xfrm>
                <a:off x="8648700" y="5811116"/>
                <a:ext cx="3609975" cy="2881745"/>
                <a:chOff x="8648700" y="5811116"/>
                <a:chExt cx="3609975" cy="2881745"/>
              </a:xfrm>
            </xdr:grpSpPr>
            <xdr:cxnSp macro="">
              <xdr:nvCxnSpPr>
                <xdr:cNvPr id="77" name="Straight Arrow Connector 76">
                  <a:extLst>
                    <a:ext uri="{FF2B5EF4-FFF2-40B4-BE49-F238E27FC236}">
                      <a16:creationId xmlns:a16="http://schemas.microsoft.com/office/drawing/2014/main" id="{6CA77868-408C-4850-8CC1-678F65B3B266}"/>
                    </a:ext>
                  </a:extLst>
                </xdr:cNvPr>
                <xdr:cNvCxnSpPr/>
              </xdr:nvCxnSpPr>
              <xdr:spPr>
                <a:xfrm>
                  <a:off x="8648700" y="5811116"/>
                  <a:ext cx="1676400" cy="1319585"/>
                </a:xfrm>
                <a:prstGeom prst="straightConnector1">
                  <a:avLst/>
                </a:prstGeom>
                <a:ln w="19050" cmpd="dbl">
                  <a:gradFill flip="none" rotWithShape="1">
                    <a:gsLst>
                      <a:gs pos="30000">
                        <a:srgbClr val="FFFF00"/>
                      </a:gs>
                      <a:gs pos="75000">
                        <a:srgbClr val="7030A0"/>
                      </a:gs>
                    </a:gsLst>
                    <a:lin ang="0" scaled="1"/>
                    <a:tileRect/>
                  </a:gradFill>
                  <a:tailEnd type="triangle"/>
                </a:ln>
              </xdr:spPr>
              <xdr:style>
                <a:lnRef idx="1">
                  <a:schemeClr val="accent1"/>
                </a:lnRef>
                <a:fillRef idx="0">
                  <a:schemeClr val="accent1"/>
                </a:fillRef>
                <a:effectRef idx="0">
                  <a:schemeClr val="accent1"/>
                </a:effectRef>
                <a:fontRef idx="minor">
                  <a:schemeClr val="tx1"/>
                </a:fontRef>
              </xdr:style>
            </xdr:cxnSp>
            <xdr:grpSp>
              <xdr:nvGrpSpPr>
                <xdr:cNvPr id="78" name="Group 77">
                  <a:extLst>
                    <a:ext uri="{FF2B5EF4-FFF2-40B4-BE49-F238E27FC236}">
                      <a16:creationId xmlns:a16="http://schemas.microsoft.com/office/drawing/2014/main" id="{E370F25E-0A24-4719-BE56-E3669ED99A10}"/>
                    </a:ext>
                  </a:extLst>
                </xdr:cNvPr>
                <xdr:cNvGrpSpPr/>
              </xdr:nvGrpSpPr>
              <xdr:grpSpPr>
                <a:xfrm>
                  <a:off x="10563225" y="6200744"/>
                  <a:ext cx="1695450" cy="2492117"/>
                  <a:chOff x="2381250" y="1343025"/>
                  <a:chExt cx="1695450" cy="2505075"/>
                </a:xfrm>
              </xdr:grpSpPr>
              <xdr:grpSp>
                <xdr:nvGrpSpPr>
                  <xdr:cNvPr id="79" name="Group 78">
                    <a:extLst>
                      <a:ext uri="{FF2B5EF4-FFF2-40B4-BE49-F238E27FC236}">
                        <a16:creationId xmlns:a16="http://schemas.microsoft.com/office/drawing/2014/main" id="{5D2DF32E-46F4-19D2-FAD2-EC2BC88FF67B}"/>
                      </a:ext>
                    </a:extLst>
                  </xdr:cNvPr>
                  <xdr:cNvGrpSpPr/>
                </xdr:nvGrpSpPr>
                <xdr:grpSpPr>
                  <a:xfrm>
                    <a:off x="2381250" y="1343025"/>
                    <a:ext cx="1695450" cy="2505075"/>
                    <a:chOff x="2381250" y="1343025"/>
                    <a:chExt cx="1695450" cy="2505075"/>
                  </a:xfrm>
                </xdr:grpSpPr>
                <xdr:sp macro="" textlink="">
                  <xdr:nvSpPr>
                    <xdr:cNvPr id="81" name="Arc 80">
                      <a:extLst>
                        <a:ext uri="{FF2B5EF4-FFF2-40B4-BE49-F238E27FC236}">
                          <a16:creationId xmlns:a16="http://schemas.microsoft.com/office/drawing/2014/main" id="{D95B5876-F7A1-AF22-9AF6-FF51BD14DAC2}"/>
                        </a:ext>
                      </a:extLst>
                    </xdr:cNvPr>
                    <xdr:cNvSpPr/>
                  </xdr:nvSpPr>
                  <xdr:spPr>
                    <a:xfrm rot="14100000">
                      <a:off x="2124075" y="1895475"/>
                      <a:ext cx="2209800" cy="1695450"/>
                    </a:xfrm>
                    <a:prstGeom prst="arc">
                      <a:avLst/>
                    </a:prstGeom>
                    <a:ln w="57150" cmpd="dbl">
                      <a:gradFill>
                        <a:gsLst>
                          <a:gs pos="32000">
                            <a:srgbClr val="7030A0"/>
                          </a:gs>
                          <a:gs pos="85000">
                            <a:srgbClr val="FFFF00"/>
                          </a:gs>
                        </a:gsLst>
                        <a:lin ang="5400000" scaled="1"/>
                      </a:gradFill>
                      <a:prstDash val="lgDash"/>
                      <a:extLst>
                        <a:ext uri="{C807C97D-BFC1-408E-A445-0C87EB9F89A2}">
                          <ask:lineSketchStyleProps xmlns:ask="http://schemas.microsoft.com/office/drawing/2018/sketchyshapes" sd="1219033472">
                            <a:custGeom>
                              <a:avLst/>
                              <a:gdLst>
                                <a:gd name="connsiteX0" fmla="*/ 1104900 w 2209800"/>
                                <a:gd name="connsiteY0" fmla="*/ 0 h 1695450"/>
                                <a:gd name="connsiteX1" fmla="*/ 2209800 w 2209800"/>
                                <a:gd name="connsiteY1" fmla="*/ 847725 h 1695450"/>
                                <a:gd name="connsiteX2" fmla="*/ 1104900 w 2209800"/>
                                <a:gd name="connsiteY2" fmla="*/ 847725 h 1695450"/>
                                <a:gd name="connsiteX3" fmla="*/ 1104900 w 2209800"/>
                                <a:gd name="connsiteY3" fmla="*/ 0 h 1695450"/>
                                <a:gd name="connsiteX0" fmla="*/ 1104900 w 2209800"/>
                                <a:gd name="connsiteY0" fmla="*/ 0 h 1695450"/>
                                <a:gd name="connsiteX1" fmla="*/ 2209800 w 2209800"/>
                                <a:gd name="connsiteY1" fmla="*/ 847725 h 1695450"/>
                              </a:gdLst>
                              <a:ahLst/>
                              <a:cxnLst>
                                <a:cxn ang="0">
                                  <a:pos x="connsiteX0" y="connsiteY0"/>
                                </a:cxn>
                                <a:cxn ang="0">
                                  <a:pos x="connsiteX1" y="connsiteY1"/>
                                </a:cxn>
                              </a:cxnLst>
                              <a:rect l="l" t="t" r="r" b="b"/>
                              <a:pathLst>
                                <a:path w="2209800" h="1695450" stroke="0" extrusionOk="0">
                                  <a:moveTo>
                                    <a:pt x="1104900" y="0"/>
                                  </a:moveTo>
                                  <a:cubicBezTo>
                                    <a:pt x="1642035" y="-45080"/>
                                    <a:pt x="2160806" y="397927"/>
                                    <a:pt x="2209800" y="847725"/>
                                  </a:cubicBezTo>
                                  <a:cubicBezTo>
                                    <a:pt x="2018477" y="769290"/>
                                    <a:pt x="1475369" y="945901"/>
                                    <a:pt x="1104900" y="847725"/>
                                  </a:cubicBezTo>
                                  <a:cubicBezTo>
                                    <a:pt x="1108699" y="736226"/>
                                    <a:pt x="1040503" y="103443"/>
                                    <a:pt x="1104900" y="0"/>
                                  </a:cubicBezTo>
                                  <a:close/>
                                </a:path>
                                <a:path w="2209800" h="1695450" fill="none" extrusionOk="0">
                                  <a:moveTo>
                                    <a:pt x="1104900" y="0"/>
                                  </a:moveTo>
                                  <a:cubicBezTo>
                                    <a:pt x="1641498" y="-40280"/>
                                    <a:pt x="2265170" y="405995"/>
                                    <a:pt x="2209800" y="847725"/>
                                  </a:cubicBezTo>
                                </a:path>
                              </a:pathLst>
                            </a:custGeom>
                            <ask:type>
                              <ask:lineSketchNone/>
                            </ask:type>
                          </ask:lineSketchStyleProps>
                        </a:ext>
                      </a:extLst>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IN" sz="1100"/>
                    </a:p>
                  </xdr:txBody>
                </xdr:sp>
                <xdr:sp macro="" textlink="">
                  <xdr:nvSpPr>
                    <xdr:cNvPr id="82" name="Arc 81">
                      <a:extLst>
                        <a:ext uri="{FF2B5EF4-FFF2-40B4-BE49-F238E27FC236}">
                          <a16:creationId xmlns:a16="http://schemas.microsoft.com/office/drawing/2014/main" id="{5B363C26-0C7C-9F89-6213-93A8FB7FF435}"/>
                        </a:ext>
                      </a:extLst>
                    </xdr:cNvPr>
                    <xdr:cNvSpPr/>
                  </xdr:nvSpPr>
                  <xdr:spPr>
                    <a:xfrm rot="3763203">
                      <a:off x="2124075" y="1600200"/>
                      <a:ext cx="2209800" cy="1695450"/>
                    </a:xfrm>
                    <a:prstGeom prst="arc">
                      <a:avLst/>
                    </a:prstGeom>
                    <a:ln w="57150" cmpd="dbl">
                      <a:gradFill>
                        <a:gsLst>
                          <a:gs pos="32000">
                            <a:srgbClr val="7030A0"/>
                          </a:gs>
                          <a:gs pos="85000">
                            <a:srgbClr val="FFFF00"/>
                          </a:gs>
                        </a:gsLst>
                        <a:lin ang="5400000" scaled="1"/>
                      </a:gradFill>
                      <a:prstDash val="lgDash"/>
                      <a:extLst>
                        <a:ext uri="{C807C97D-BFC1-408E-A445-0C87EB9F89A2}">
                          <ask:lineSketchStyleProps xmlns:ask="http://schemas.microsoft.com/office/drawing/2018/sketchyshapes" sd="1219033472">
                            <a:custGeom>
                              <a:avLst/>
                              <a:gdLst>
                                <a:gd name="connsiteX0" fmla="*/ 1104900 w 2209800"/>
                                <a:gd name="connsiteY0" fmla="*/ 0 h 1695450"/>
                                <a:gd name="connsiteX1" fmla="*/ 2209800 w 2209800"/>
                                <a:gd name="connsiteY1" fmla="*/ 847725 h 1695450"/>
                                <a:gd name="connsiteX2" fmla="*/ 1104900 w 2209800"/>
                                <a:gd name="connsiteY2" fmla="*/ 847725 h 1695450"/>
                                <a:gd name="connsiteX3" fmla="*/ 1104900 w 2209800"/>
                                <a:gd name="connsiteY3" fmla="*/ 0 h 1695450"/>
                                <a:gd name="connsiteX0" fmla="*/ 1104900 w 2209800"/>
                                <a:gd name="connsiteY0" fmla="*/ 0 h 1695450"/>
                                <a:gd name="connsiteX1" fmla="*/ 2209800 w 2209800"/>
                                <a:gd name="connsiteY1" fmla="*/ 847725 h 1695450"/>
                              </a:gdLst>
                              <a:ahLst/>
                              <a:cxnLst>
                                <a:cxn ang="0">
                                  <a:pos x="connsiteX0" y="connsiteY0"/>
                                </a:cxn>
                                <a:cxn ang="0">
                                  <a:pos x="connsiteX1" y="connsiteY1"/>
                                </a:cxn>
                              </a:cxnLst>
                              <a:rect l="l" t="t" r="r" b="b"/>
                              <a:pathLst>
                                <a:path w="2209800" h="1695450" stroke="0" extrusionOk="0">
                                  <a:moveTo>
                                    <a:pt x="1104900" y="0"/>
                                  </a:moveTo>
                                  <a:cubicBezTo>
                                    <a:pt x="1642035" y="-45080"/>
                                    <a:pt x="2160806" y="397927"/>
                                    <a:pt x="2209800" y="847725"/>
                                  </a:cubicBezTo>
                                  <a:cubicBezTo>
                                    <a:pt x="2018477" y="769290"/>
                                    <a:pt x="1475369" y="945901"/>
                                    <a:pt x="1104900" y="847725"/>
                                  </a:cubicBezTo>
                                  <a:cubicBezTo>
                                    <a:pt x="1108699" y="736226"/>
                                    <a:pt x="1040503" y="103443"/>
                                    <a:pt x="1104900" y="0"/>
                                  </a:cubicBezTo>
                                  <a:close/>
                                </a:path>
                                <a:path w="2209800" h="1695450" fill="none" extrusionOk="0">
                                  <a:moveTo>
                                    <a:pt x="1104900" y="0"/>
                                  </a:moveTo>
                                  <a:cubicBezTo>
                                    <a:pt x="1641498" y="-40280"/>
                                    <a:pt x="2265170" y="405995"/>
                                    <a:pt x="2209800" y="847725"/>
                                  </a:cubicBezTo>
                                </a:path>
                              </a:pathLst>
                            </a:custGeom>
                            <ask:type>
                              <ask:lineSketchNone/>
                            </ask:type>
                          </ask:lineSketchStyleProps>
                        </a:ext>
                      </a:extLst>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IN" sz="1100"/>
                    </a:p>
                  </xdr:txBody>
                </xdr:sp>
              </xdr:grpSp>
              <xdr:sp macro="" textlink="'Pivot Tables'!J18">
                <xdr:nvSpPr>
                  <xdr:cNvPr id="80" name="TextBox 79">
                    <a:extLst>
                      <a:ext uri="{FF2B5EF4-FFF2-40B4-BE49-F238E27FC236}">
                        <a16:creationId xmlns:a16="http://schemas.microsoft.com/office/drawing/2014/main" id="{40D851F0-DE77-7515-84AA-D66903CE70DB}"/>
                      </a:ext>
                    </a:extLst>
                  </xdr:cNvPr>
                  <xdr:cNvSpPr txBox="1"/>
                </xdr:nvSpPr>
                <xdr:spPr>
                  <a:xfrm>
                    <a:off x="2643188" y="2238375"/>
                    <a:ext cx="1171575"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60D1A8-9EEA-410E-BBA4-56C4DF236D04}" type="TxLink">
                      <a:rPr lang="en-US" sz="1500" b="0" i="0" u="none" strike="noStrike">
                        <a:solidFill>
                          <a:srgbClr val="FFFFFF"/>
                        </a:solidFill>
                        <a:latin typeface="Arial"/>
                        <a:ea typeface="Calibri"/>
                        <a:cs typeface="Arial"/>
                      </a:rPr>
                      <a:pPr algn="ctr"/>
                      <a:t>Healthcare</a:t>
                    </a:fld>
                    <a:endParaRPr lang="en-IN" sz="1500">
                      <a:solidFill>
                        <a:schemeClr val="bg1"/>
                      </a:solidFill>
                      <a:latin typeface="Arial" panose="020B0604020202020204" pitchFamily="34" charset="0"/>
                      <a:cs typeface="Arial" panose="020B0604020202020204" pitchFamily="34" charset="0"/>
                    </a:endParaRPr>
                  </a:p>
                </xdr:txBody>
              </xdr:sp>
            </xdr:grpSp>
            <xdr:sp macro="" textlink="'Pivot Tables'!L18">
              <xdr:nvSpPr>
                <xdr:cNvPr id="125" name="Oval 124">
                  <a:extLst>
                    <a:ext uri="{FF2B5EF4-FFF2-40B4-BE49-F238E27FC236}">
                      <a16:creationId xmlns:a16="http://schemas.microsoft.com/office/drawing/2014/main" id="{323C60CE-84AA-4D0A-B613-E9D9D2CA26D2}"/>
                    </a:ext>
                  </a:extLst>
                </xdr:cNvPr>
                <xdr:cNvSpPr/>
              </xdr:nvSpPr>
              <xdr:spPr>
                <a:xfrm>
                  <a:off x="9008533" y="6053666"/>
                  <a:ext cx="922867" cy="849745"/>
                </a:xfrm>
                <a:prstGeom prst="ellipse">
                  <a:avLst/>
                </a:prstGeom>
                <a:solidFill>
                  <a:schemeClr val="tx1"/>
                </a:solidFill>
                <a:ln>
                  <a:gradFill flip="none" rotWithShape="1">
                    <a:gsLst>
                      <a:gs pos="32000">
                        <a:srgbClr val="7030A0"/>
                      </a:gs>
                      <a:gs pos="80000">
                        <a:srgbClr val="FFFF00"/>
                      </a:gs>
                    </a:gsLst>
                    <a:lin ang="13500000" scaled="1"/>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32855B6-DDD4-4C65-8226-26818FD5BB68}" type="TxLink">
                    <a:rPr lang="en-US" sz="1050" b="0" i="0" u="none" strike="noStrike">
                      <a:solidFill>
                        <a:srgbClr val="FFFFFF"/>
                      </a:solidFill>
                      <a:latin typeface="Arial"/>
                      <a:ea typeface="Calibri"/>
                      <a:cs typeface="Arial"/>
                    </a:rPr>
                    <a:pPr algn="ctr"/>
                    <a:t>13.45%</a:t>
                  </a:fld>
                  <a:endParaRPr lang="en-IN" sz="1000">
                    <a:solidFill>
                      <a:schemeClr val="bg1"/>
                    </a:solidFill>
                    <a:latin typeface="Arial" panose="020B0604020202020204" pitchFamily="34" charset="0"/>
                    <a:cs typeface="Arial" panose="020B0604020202020204" pitchFamily="34" charset="0"/>
                  </a:endParaRPr>
                </a:p>
              </xdr:txBody>
            </xdr:sp>
          </xdr:grpSp>
          <xdr:grpSp>
            <xdr:nvGrpSpPr>
              <xdr:cNvPr id="157" name="Group 156">
                <a:extLst>
                  <a:ext uri="{FF2B5EF4-FFF2-40B4-BE49-F238E27FC236}">
                    <a16:creationId xmlns:a16="http://schemas.microsoft.com/office/drawing/2014/main" id="{8BDF04C5-92BA-28F2-CD83-4ED2ADB4D8D7}"/>
                  </a:ext>
                </a:extLst>
              </xdr:cNvPr>
              <xdr:cNvGrpSpPr/>
            </xdr:nvGrpSpPr>
            <xdr:grpSpPr>
              <a:xfrm>
                <a:off x="8886825" y="720436"/>
                <a:ext cx="3457575" cy="2967471"/>
                <a:chOff x="8886825" y="720436"/>
                <a:chExt cx="3457575" cy="2967471"/>
              </a:xfrm>
            </xdr:grpSpPr>
            <xdr:cxnSp macro="">
              <xdr:nvCxnSpPr>
                <xdr:cNvPr id="87" name="Straight Arrow Connector 86">
                  <a:extLst>
                    <a:ext uri="{FF2B5EF4-FFF2-40B4-BE49-F238E27FC236}">
                      <a16:creationId xmlns:a16="http://schemas.microsoft.com/office/drawing/2014/main" id="{DD1D847C-F317-4A80-966E-2D48420FE4CC}"/>
                    </a:ext>
                  </a:extLst>
                </xdr:cNvPr>
                <xdr:cNvCxnSpPr/>
              </xdr:nvCxnSpPr>
              <xdr:spPr>
                <a:xfrm flipV="1">
                  <a:off x="8886825" y="1976497"/>
                  <a:ext cx="1495425" cy="1711410"/>
                </a:xfrm>
                <a:prstGeom prst="straightConnector1">
                  <a:avLst/>
                </a:prstGeom>
                <a:ln w="19050" cmpd="dbl">
                  <a:gradFill flip="none" rotWithShape="1">
                    <a:gsLst>
                      <a:gs pos="30000">
                        <a:srgbClr val="FFFF00"/>
                      </a:gs>
                      <a:gs pos="75000">
                        <a:srgbClr val="7030A0"/>
                      </a:gs>
                    </a:gsLst>
                    <a:lin ang="0" scaled="1"/>
                    <a:tileRect/>
                  </a:gradFill>
                  <a:tailEnd type="triangle"/>
                </a:ln>
              </xdr:spPr>
              <xdr:style>
                <a:lnRef idx="1">
                  <a:schemeClr val="accent1"/>
                </a:lnRef>
                <a:fillRef idx="0">
                  <a:schemeClr val="accent1"/>
                </a:fillRef>
                <a:effectRef idx="0">
                  <a:schemeClr val="accent1"/>
                </a:effectRef>
                <a:fontRef idx="minor">
                  <a:schemeClr val="tx1"/>
                </a:fontRef>
              </xdr:style>
            </xdr:cxnSp>
            <xdr:grpSp>
              <xdr:nvGrpSpPr>
                <xdr:cNvPr id="95" name="Group 94">
                  <a:extLst>
                    <a:ext uri="{FF2B5EF4-FFF2-40B4-BE49-F238E27FC236}">
                      <a16:creationId xmlns:a16="http://schemas.microsoft.com/office/drawing/2014/main" id="{7179C56B-3B84-3CA1-69B1-9F9327C5563C}"/>
                    </a:ext>
                  </a:extLst>
                </xdr:cNvPr>
                <xdr:cNvGrpSpPr/>
              </xdr:nvGrpSpPr>
              <xdr:grpSpPr>
                <a:xfrm>
                  <a:off x="10648950" y="720436"/>
                  <a:ext cx="1695450" cy="2496169"/>
                  <a:chOff x="10315575" y="2124075"/>
                  <a:chExt cx="1695450" cy="2505075"/>
                </a:xfrm>
              </xdr:grpSpPr>
              <xdr:grpSp>
                <xdr:nvGrpSpPr>
                  <xdr:cNvPr id="89" name="Group 88">
                    <a:extLst>
                      <a:ext uri="{FF2B5EF4-FFF2-40B4-BE49-F238E27FC236}">
                        <a16:creationId xmlns:a16="http://schemas.microsoft.com/office/drawing/2014/main" id="{C9A18E23-D532-71E2-F8C7-85D12D63D7B6}"/>
                      </a:ext>
                    </a:extLst>
                  </xdr:cNvPr>
                  <xdr:cNvGrpSpPr/>
                </xdr:nvGrpSpPr>
                <xdr:grpSpPr>
                  <a:xfrm>
                    <a:off x="10315575" y="2124075"/>
                    <a:ext cx="1695450" cy="2505075"/>
                    <a:chOff x="2381250" y="1343025"/>
                    <a:chExt cx="1695450" cy="2505075"/>
                  </a:xfrm>
                </xdr:grpSpPr>
                <xdr:sp macro="" textlink="">
                  <xdr:nvSpPr>
                    <xdr:cNvPr id="91" name="Arc 90">
                      <a:extLst>
                        <a:ext uri="{FF2B5EF4-FFF2-40B4-BE49-F238E27FC236}">
                          <a16:creationId xmlns:a16="http://schemas.microsoft.com/office/drawing/2014/main" id="{7E7E1A5F-E452-9A2F-2505-E2540A7B8603}"/>
                        </a:ext>
                      </a:extLst>
                    </xdr:cNvPr>
                    <xdr:cNvSpPr/>
                  </xdr:nvSpPr>
                  <xdr:spPr>
                    <a:xfrm rot="14100000">
                      <a:off x="2124075" y="1895475"/>
                      <a:ext cx="2209800" cy="1695450"/>
                    </a:xfrm>
                    <a:prstGeom prst="arc">
                      <a:avLst/>
                    </a:prstGeom>
                    <a:ln w="57150" cmpd="dbl">
                      <a:gradFill>
                        <a:gsLst>
                          <a:gs pos="32000">
                            <a:srgbClr val="7030A0"/>
                          </a:gs>
                          <a:gs pos="85000">
                            <a:srgbClr val="FFFF00"/>
                          </a:gs>
                        </a:gsLst>
                        <a:lin ang="5400000" scaled="1"/>
                      </a:gradFill>
                      <a:prstDash val="lgDash"/>
                      <a:extLst>
                        <a:ext uri="{C807C97D-BFC1-408E-A445-0C87EB9F89A2}">
                          <ask:lineSketchStyleProps xmlns:ask="http://schemas.microsoft.com/office/drawing/2018/sketchyshapes" sd="1219033472">
                            <a:custGeom>
                              <a:avLst/>
                              <a:gdLst>
                                <a:gd name="connsiteX0" fmla="*/ 1104900 w 2209800"/>
                                <a:gd name="connsiteY0" fmla="*/ 0 h 1695450"/>
                                <a:gd name="connsiteX1" fmla="*/ 2209800 w 2209800"/>
                                <a:gd name="connsiteY1" fmla="*/ 847725 h 1695450"/>
                                <a:gd name="connsiteX2" fmla="*/ 1104900 w 2209800"/>
                                <a:gd name="connsiteY2" fmla="*/ 847725 h 1695450"/>
                                <a:gd name="connsiteX3" fmla="*/ 1104900 w 2209800"/>
                                <a:gd name="connsiteY3" fmla="*/ 0 h 1695450"/>
                                <a:gd name="connsiteX0" fmla="*/ 1104900 w 2209800"/>
                                <a:gd name="connsiteY0" fmla="*/ 0 h 1695450"/>
                                <a:gd name="connsiteX1" fmla="*/ 2209800 w 2209800"/>
                                <a:gd name="connsiteY1" fmla="*/ 847725 h 1695450"/>
                              </a:gdLst>
                              <a:ahLst/>
                              <a:cxnLst>
                                <a:cxn ang="0">
                                  <a:pos x="connsiteX0" y="connsiteY0"/>
                                </a:cxn>
                                <a:cxn ang="0">
                                  <a:pos x="connsiteX1" y="connsiteY1"/>
                                </a:cxn>
                              </a:cxnLst>
                              <a:rect l="l" t="t" r="r" b="b"/>
                              <a:pathLst>
                                <a:path w="2209800" h="1695450" stroke="0" extrusionOk="0">
                                  <a:moveTo>
                                    <a:pt x="1104900" y="0"/>
                                  </a:moveTo>
                                  <a:cubicBezTo>
                                    <a:pt x="1642035" y="-45080"/>
                                    <a:pt x="2160806" y="397927"/>
                                    <a:pt x="2209800" y="847725"/>
                                  </a:cubicBezTo>
                                  <a:cubicBezTo>
                                    <a:pt x="2018477" y="769290"/>
                                    <a:pt x="1475369" y="945901"/>
                                    <a:pt x="1104900" y="847725"/>
                                  </a:cubicBezTo>
                                  <a:cubicBezTo>
                                    <a:pt x="1108699" y="736226"/>
                                    <a:pt x="1040503" y="103443"/>
                                    <a:pt x="1104900" y="0"/>
                                  </a:cubicBezTo>
                                  <a:close/>
                                </a:path>
                                <a:path w="2209800" h="1695450" fill="none" extrusionOk="0">
                                  <a:moveTo>
                                    <a:pt x="1104900" y="0"/>
                                  </a:moveTo>
                                  <a:cubicBezTo>
                                    <a:pt x="1641498" y="-40280"/>
                                    <a:pt x="2265170" y="405995"/>
                                    <a:pt x="2209800" y="847725"/>
                                  </a:cubicBezTo>
                                </a:path>
                              </a:pathLst>
                            </a:custGeom>
                            <ask:type>
                              <ask:lineSketchNone/>
                            </ask:type>
                          </ask:lineSketchStyleProps>
                        </a:ext>
                      </a:extLst>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IN" sz="1100"/>
                    </a:p>
                  </xdr:txBody>
                </xdr:sp>
                <xdr:sp macro="" textlink="">
                  <xdr:nvSpPr>
                    <xdr:cNvPr id="92" name="Arc 91">
                      <a:extLst>
                        <a:ext uri="{FF2B5EF4-FFF2-40B4-BE49-F238E27FC236}">
                          <a16:creationId xmlns:a16="http://schemas.microsoft.com/office/drawing/2014/main" id="{1F3A6485-43D3-CDE1-EBD9-0A27CE5B0AA2}"/>
                        </a:ext>
                      </a:extLst>
                    </xdr:cNvPr>
                    <xdr:cNvSpPr/>
                  </xdr:nvSpPr>
                  <xdr:spPr>
                    <a:xfrm rot="3763203">
                      <a:off x="2124075" y="1600200"/>
                      <a:ext cx="2209800" cy="1695450"/>
                    </a:xfrm>
                    <a:prstGeom prst="arc">
                      <a:avLst/>
                    </a:prstGeom>
                    <a:ln w="57150" cmpd="dbl">
                      <a:gradFill>
                        <a:gsLst>
                          <a:gs pos="32000">
                            <a:srgbClr val="7030A0"/>
                          </a:gs>
                          <a:gs pos="85000">
                            <a:srgbClr val="FFFF00"/>
                          </a:gs>
                        </a:gsLst>
                        <a:lin ang="5400000" scaled="1"/>
                      </a:gradFill>
                      <a:prstDash val="lgDash"/>
                      <a:extLst>
                        <a:ext uri="{C807C97D-BFC1-408E-A445-0C87EB9F89A2}">
                          <ask:lineSketchStyleProps xmlns:ask="http://schemas.microsoft.com/office/drawing/2018/sketchyshapes" sd="1219033472">
                            <a:custGeom>
                              <a:avLst/>
                              <a:gdLst>
                                <a:gd name="connsiteX0" fmla="*/ 1104900 w 2209800"/>
                                <a:gd name="connsiteY0" fmla="*/ 0 h 1695450"/>
                                <a:gd name="connsiteX1" fmla="*/ 2209800 w 2209800"/>
                                <a:gd name="connsiteY1" fmla="*/ 847725 h 1695450"/>
                                <a:gd name="connsiteX2" fmla="*/ 1104900 w 2209800"/>
                                <a:gd name="connsiteY2" fmla="*/ 847725 h 1695450"/>
                                <a:gd name="connsiteX3" fmla="*/ 1104900 w 2209800"/>
                                <a:gd name="connsiteY3" fmla="*/ 0 h 1695450"/>
                                <a:gd name="connsiteX0" fmla="*/ 1104900 w 2209800"/>
                                <a:gd name="connsiteY0" fmla="*/ 0 h 1695450"/>
                                <a:gd name="connsiteX1" fmla="*/ 2209800 w 2209800"/>
                                <a:gd name="connsiteY1" fmla="*/ 847725 h 1695450"/>
                              </a:gdLst>
                              <a:ahLst/>
                              <a:cxnLst>
                                <a:cxn ang="0">
                                  <a:pos x="connsiteX0" y="connsiteY0"/>
                                </a:cxn>
                                <a:cxn ang="0">
                                  <a:pos x="connsiteX1" y="connsiteY1"/>
                                </a:cxn>
                              </a:cxnLst>
                              <a:rect l="l" t="t" r="r" b="b"/>
                              <a:pathLst>
                                <a:path w="2209800" h="1695450" stroke="0" extrusionOk="0">
                                  <a:moveTo>
                                    <a:pt x="1104900" y="0"/>
                                  </a:moveTo>
                                  <a:cubicBezTo>
                                    <a:pt x="1642035" y="-45080"/>
                                    <a:pt x="2160806" y="397927"/>
                                    <a:pt x="2209800" y="847725"/>
                                  </a:cubicBezTo>
                                  <a:cubicBezTo>
                                    <a:pt x="2018477" y="769290"/>
                                    <a:pt x="1475369" y="945901"/>
                                    <a:pt x="1104900" y="847725"/>
                                  </a:cubicBezTo>
                                  <a:cubicBezTo>
                                    <a:pt x="1108699" y="736226"/>
                                    <a:pt x="1040503" y="103443"/>
                                    <a:pt x="1104900" y="0"/>
                                  </a:cubicBezTo>
                                  <a:close/>
                                </a:path>
                                <a:path w="2209800" h="1695450" fill="none" extrusionOk="0">
                                  <a:moveTo>
                                    <a:pt x="1104900" y="0"/>
                                  </a:moveTo>
                                  <a:cubicBezTo>
                                    <a:pt x="1641498" y="-40280"/>
                                    <a:pt x="2265170" y="405995"/>
                                    <a:pt x="2209800" y="847725"/>
                                  </a:cubicBezTo>
                                </a:path>
                              </a:pathLst>
                            </a:custGeom>
                            <ask:type>
                              <ask:lineSketchNone/>
                            </ask:type>
                          </ask:lineSketchStyleProps>
                        </a:ext>
                      </a:extLst>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IN" sz="1100"/>
                    </a:p>
                  </xdr:txBody>
                </xdr:sp>
              </xdr:grpSp>
              <xdr:sp macro="" textlink="'Pivot Tables'!J20">
                <xdr:nvSpPr>
                  <xdr:cNvPr id="90" name="TextBox 89">
                    <a:extLst>
                      <a:ext uri="{FF2B5EF4-FFF2-40B4-BE49-F238E27FC236}">
                        <a16:creationId xmlns:a16="http://schemas.microsoft.com/office/drawing/2014/main" id="{2E616F22-46C6-83A0-4E93-812477DED2F3}"/>
                      </a:ext>
                    </a:extLst>
                  </xdr:cNvPr>
                  <xdr:cNvSpPr txBox="1"/>
                </xdr:nvSpPr>
                <xdr:spPr>
                  <a:xfrm>
                    <a:off x="10577513" y="3019425"/>
                    <a:ext cx="1171575"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DA68FBF-EECA-48C2-AAFD-DE094533D95B}" type="TxLink">
                      <a:rPr lang="en-US" sz="1500" b="0" i="0" u="none" strike="noStrike">
                        <a:solidFill>
                          <a:srgbClr val="FFFFFF"/>
                        </a:solidFill>
                        <a:latin typeface="Arial"/>
                        <a:ea typeface="Calibri"/>
                        <a:cs typeface="Arial"/>
                      </a:rPr>
                      <a:pPr algn="ctr"/>
                      <a:t>Tech</a:t>
                    </a:fld>
                    <a:endParaRPr lang="en-IN" sz="1500">
                      <a:solidFill>
                        <a:schemeClr val="bg1"/>
                      </a:solidFill>
                      <a:latin typeface="Arial" panose="020B0604020202020204" pitchFamily="34" charset="0"/>
                      <a:cs typeface="Arial" panose="020B0604020202020204" pitchFamily="34" charset="0"/>
                    </a:endParaRPr>
                  </a:p>
                </xdr:txBody>
              </xdr:sp>
            </xdr:grpSp>
            <xdr:sp macro="" textlink="'Pivot Tables'!L20">
              <xdr:nvSpPr>
                <xdr:cNvPr id="126" name="Oval 125">
                  <a:extLst>
                    <a:ext uri="{FF2B5EF4-FFF2-40B4-BE49-F238E27FC236}">
                      <a16:creationId xmlns:a16="http://schemas.microsoft.com/office/drawing/2014/main" id="{18AB146E-83FF-4D9E-94C7-6082D5C6EF41}"/>
                    </a:ext>
                  </a:extLst>
                </xdr:cNvPr>
                <xdr:cNvSpPr/>
              </xdr:nvSpPr>
              <xdr:spPr>
                <a:xfrm>
                  <a:off x="9203266" y="2392217"/>
                  <a:ext cx="922867" cy="855904"/>
                </a:xfrm>
                <a:prstGeom prst="ellipse">
                  <a:avLst/>
                </a:prstGeom>
                <a:solidFill>
                  <a:schemeClr val="tx1"/>
                </a:solidFill>
                <a:ln>
                  <a:gradFill flip="none" rotWithShape="1">
                    <a:gsLst>
                      <a:gs pos="32000">
                        <a:srgbClr val="7030A0"/>
                      </a:gs>
                      <a:gs pos="80000">
                        <a:srgbClr val="FFFF00"/>
                      </a:gs>
                    </a:gsLst>
                    <a:lin ang="8100000" scaled="1"/>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E6DEB95-142C-441E-AAC7-9070E4E5B412}" type="TxLink">
                    <a:rPr lang="en-US" sz="1050" b="0" i="0" u="none" strike="noStrike">
                      <a:solidFill>
                        <a:srgbClr val="FFFFFF"/>
                      </a:solidFill>
                      <a:latin typeface="Arial"/>
                      <a:ea typeface="Calibri"/>
                      <a:cs typeface="Arial"/>
                    </a:rPr>
                    <a:pPr algn="ctr"/>
                    <a:t>13.70%</a:t>
                  </a:fld>
                  <a:endParaRPr lang="en-IN" sz="1000">
                    <a:solidFill>
                      <a:schemeClr val="bg1"/>
                    </a:solidFill>
                    <a:latin typeface="Arial" panose="020B0604020202020204" pitchFamily="34" charset="0"/>
                    <a:cs typeface="Arial" panose="020B0604020202020204" pitchFamily="34" charset="0"/>
                  </a:endParaRPr>
                </a:p>
              </xdr:txBody>
            </xdr:sp>
          </xdr:grpSp>
          <xdr:grpSp>
            <xdr:nvGrpSpPr>
              <xdr:cNvPr id="154" name="Group 153">
                <a:extLst>
                  <a:ext uri="{FF2B5EF4-FFF2-40B4-BE49-F238E27FC236}">
                    <a16:creationId xmlns:a16="http://schemas.microsoft.com/office/drawing/2014/main" id="{9245C65C-9EE5-0C12-AAF4-D6E04049F4FD}"/>
                  </a:ext>
                </a:extLst>
              </xdr:cNvPr>
              <xdr:cNvGrpSpPr/>
            </xdr:nvGrpSpPr>
            <xdr:grpSpPr>
              <a:xfrm>
                <a:off x="6535208" y="6447752"/>
                <a:ext cx="1695450" cy="3951815"/>
                <a:chOff x="6535208" y="6447752"/>
                <a:chExt cx="1695450" cy="3951815"/>
              </a:xfrm>
            </xdr:grpSpPr>
            <xdr:cxnSp macro="">
              <xdr:nvCxnSpPr>
                <xdr:cNvPr id="127" name="Straight Arrow Connector 126">
                  <a:extLst>
                    <a:ext uri="{FF2B5EF4-FFF2-40B4-BE49-F238E27FC236}">
                      <a16:creationId xmlns:a16="http://schemas.microsoft.com/office/drawing/2014/main" id="{6C9EA035-A529-4D36-BDCB-327ADB3E31CA}"/>
                    </a:ext>
                  </a:extLst>
                </xdr:cNvPr>
                <xdr:cNvCxnSpPr/>
              </xdr:nvCxnSpPr>
              <xdr:spPr>
                <a:xfrm>
                  <a:off x="7272867" y="6447752"/>
                  <a:ext cx="8466" cy="1809557"/>
                </a:xfrm>
                <a:prstGeom prst="straightConnector1">
                  <a:avLst/>
                </a:prstGeom>
                <a:ln w="19050" cmpd="dbl">
                  <a:gradFill flip="none" rotWithShape="1">
                    <a:gsLst>
                      <a:gs pos="80000">
                        <a:srgbClr val="FFFF00"/>
                      </a:gs>
                      <a:gs pos="32000">
                        <a:srgbClr val="7030A0"/>
                      </a:gs>
                    </a:gsLst>
                    <a:lin ang="16200000" scaled="1"/>
                    <a:tileRect/>
                  </a:gradFill>
                  <a:tailEnd type="triangle"/>
                </a:ln>
              </xdr:spPr>
              <xdr:style>
                <a:lnRef idx="1">
                  <a:schemeClr val="accent1"/>
                </a:lnRef>
                <a:fillRef idx="0">
                  <a:schemeClr val="accent1"/>
                </a:fillRef>
                <a:effectRef idx="0">
                  <a:schemeClr val="accent1"/>
                </a:effectRef>
                <a:fontRef idx="minor">
                  <a:schemeClr val="tx1"/>
                </a:fontRef>
              </xdr:style>
            </xdr:cxnSp>
            <xdr:grpSp>
              <xdr:nvGrpSpPr>
                <xdr:cNvPr id="128" name="Group 127">
                  <a:extLst>
                    <a:ext uri="{FF2B5EF4-FFF2-40B4-BE49-F238E27FC236}">
                      <a16:creationId xmlns:a16="http://schemas.microsoft.com/office/drawing/2014/main" id="{9FB57635-7095-4B05-B980-6F976A56DE57}"/>
                    </a:ext>
                  </a:extLst>
                </xdr:cNvPr>
                <xdr:cNvGrpSpPr/>
              </xdr:nvGrpSpPr>
              <xdr:grpSpPr>
                <a:xfrm>
                  <a:off x="6535208" y="7906615"/>
                  <a:ext cx="1695450" cy="2492952"/>
                  <a:chOff x="828675" y="3438525"/>
                  <a:chExt cx="1695450" cy="2579158"/>
                </a:xfrm>
              </xdr:grpSpPr>
              <xdr:grpSp>
                <xdr:nvGrpSpPr>
                  <xdr:cNvPr id="129" name="Group 128">
                    <a:extLst>
                      <a:ext uri="{FF2B5EF4-FFF2-40B4-BE49-F238E27FC236}">
                        <a16:creationId xmlns:a16="http://schemas.microsoft.com/office/drawing/2014/main" id="{F1B53F16-3876-A3E9-324B-5596E9F516D3}"/>
                      </a:ext>
                    </a:extLst>
                  </xdr:cNvPr>
                  <xdr:cNvGrpSpPr/>
                </xdr:nvGrpSpPr>
                <xdr:grpSpPr>
                  <a:xfrm>
                    <a:off x="828675" y="3438525"/>
                    <a:ext cx="1695450" cy="2579158"/>
                    <a:chOff x="2381250" y="1343025"/>
                    <a:chExt cx="1695450" cy="2505075"/>
                  </a:xfrm>
                </xdr:grpSpPr>
                <xdr:sp macro="" textlink="">
                  <xdr:nvSpPr>
                    <xdr:cNvPr id="131" name="Arc 130">
                      <a:extLst>
                        <a:ext uri="{FF2B5EF4-FFF2-40B4-BE49-F238E27FC236}">
                          <a16:creationId xmlns:a16="http://schemas.microsoft.com/office/drawing/2014/main" id="{9D37616E-E9E4-983B-1312-F4A3FC8D05B1}"/>
                        </a:ext>
                      </a:extLst>
                    </xdr:cNvPr>
                    <xdr:cNvSpPr/>
                  </xdr:nvSpPr>
                  <xdr:spPr>
                    <a:xfrm rot="14100000">
                      <a:off x="2124075" y="1895475"/>
                      <a:ext cx="2209800" cy="1695450"/>
                    </a:xfrm>
                    <a:prstGeom prst="arc">
                      <a:avLst/>
                    </a:prstGeom>
                    <a:ln w="57150" cmpd="dbl">
                      <a:gradFill>
                        <a:gsLst>
                          <a:gs pos="32000">
                            <a:srgbClr val="7030A0"/>
                          </a:gs>
                          <a:gs pos="85000">
                            <a:srgbClr val="FFFF00"/>
                          </a:gs>
                        </a:gsLst>
                        <a:lin ang="5400000" scaled="1"/>
                      </a:gradFill>
                      <a:prstDash val="lgDash"/>
                      <a:extLst>
                        <a:ext uri="{C807C97D-BFC1-408E-A445-0C87EB9F89A2}">
                          <ask:lineSketchStyleProps xmlns:ask="http://schemas.microsoft.com/office/drawing/2018/sketchyshapes" sd="1219033472">
                            <a:custGeom>
                              <a:avLst/>
                              <a:gdLst>
                                <a:gd name="connsiteX0" fmla="*/ 1104900 w 2209800"/>
                                <a:gd name="connsiteY0" fmla="*/ 0 h 1695450"/>
                                <a:gd name="connsiteX1" fmla="*/ 2209800 w 2209800"/>
                                <a:gd name="connsiteY1" fmla="*/ 847725 h 1695450"/>
                                <a:gd name="connsiteX2" fmla="*/ 1104900 w 2209800"/>
                                <a:gd name="connsiteY2" fmla="*/ 847725 h 1695450"/>
                                <a:gd name="connsiteX3" fmla="*/ 1104900 w 2209800"/>
                                <a:gd name="connsiteY3" fmla="*/ 0 h 1695450"/>
                                <a:gd name="connsiteX0" fmla="*/ 1104900 w 2209800"/>
                                <a:gd name="connsiteY0" fmla="*/ 0 h 1695450"/>
                                <a:gd name="connsiteX1" fmla="*/ 2209800 w 2209800"/>
                                <a:gd name="connsiteY1" fmla="*/ 847725 h 1695450"/>
                              </a:gdLst>
                              <a:ahLst/>
                              <a:cxnLst>
                                <a:cxn ang="0">
                                  <a:pos x="connsiteX0" y="connsiteY0"/>
                                </a:cxn>
                                <a:cxn ang="0">
                                  <a:pos x="connsiteX1" y="connsiteY1"/>
                                </a:cxn>
                              </a:cxnLst>
                              <a:rect l="l" t="t" r="r" b="b"/>
                              <a:pathLst>
                                <a:path w="2209800" h="1695450" stroke="0" extrusionOk="0">
                                  <a:moveTo>
                                    <a:pt x="1104900" y="0"/>
                                  </a:moveTo>
                                  <a:cubicBezTo>
                                    <a:pt x="1642035" y="-45080"/>
                                    <a:pt x="2160806" y="397927"/>
                                    <a:pt x="2209800" y="847725"/>
                                  </a:cubicBezTo>
                                  <a:cubicBezTo>
                                    <a:pt x="2018477" y="769290"/>
                                    <a:pt x="1475369" y="945901"/>
                                    <a:pt x="1104900" y="847725"/>
                                  </a:cubicBezTo>
                                  <a:cubicBezTo>
                                    <a:pt x="1108699" y="736226"/>
                                    <a:pt x="1040503" y="103443"/>
                                    <a:pt x="1104900" y="0"/>
                                  </a:cubicBezTo>
                                  <a:close/>
                                </a:path>
                                <a:path w="2209800" h="1695450" fill="none" extrusionOk="0">
                                  <a:moveTo>
                                    <a:pt x="1104900" y="0"/>
                                  </a:moveTo>
                                  <a:cubicBezTo>
                                    <a:pt x="1641498" y="-40280"/>
                                    <a:pt x="2265170" y="405995"/>
                                    <a:pt x="2209800" y="847725"/>
                                  </a:cubicBezTo>
                                </a:path>
                              </a:pathLst>
                            </a:custGeom>
                            <ask:type>
                              <ask:lineSketchNone/>
                            </ask:type>
                          </ask:lineSketchStyleProps>
                        </a:ext>
                      </a:extLst>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IN" sz="1100"/>
                    </a:p>
                  </xdr:txBody>
                </xdr:sp>
                <xdr:sp macro="" textlink="">
                  <xdr:nvSpPr>
                    <xdr:cNvPr id="132" name="Arc 131">
                      <a:extLst>
                        <a:ext uri="{FF2B5EF4-FFF2-40B4-BE49-F238E27FC236}">
                          <a16:creationId xmlns:a16="http://schemas.microsoft.com/office/drawing/2014/main" id="{B1014A59-42E7-1B1F-F062-E1B09F479801}"/>
                        </a:ext>
                      </a:extLst>
                    </xdr:cNvPr>
                    <xdr:cNvSpPr/>
                  </xdr:nvSpPr>
                  <xdr:spPr>
                    <a:xfrm rot="3763203">
                      <a:off x="2124075" y="1600200"/>
                      <a:ext cx="2209800" cy="1695450"/>
                    </a:xfrm>
                    <a:prstGeom prst="arc">
                      <a:avLst/>
                    </a:prstGeom>
                    <a:ln w="57150" cmpd="dbl">
                      <a:gradFill>
                        <a:gsLst>
                          <a:gs pos="32000">
                            <a:srgbClr val="7030A0"/>
                          </a:gs>
                          <a:gs pos="85000">
                            <a:srgbClr val="FFFF00"/>
                          </a:gs>
                        </a:gsLst>
                        <a:lin ang="5400000" scaled="1"/>
                      </a:gradFill>
                      <a:prstDash val="lgDash"/>
                      <a:extLst>
                        <a:ext uri="{C807C97D-BFC1-408E-A445-0C87EB9F89A2}">
                          <ask:lineSketchStyleProps xmlns:ask="http://schemas.microsoft.com/office/drawing/2018/sketchyshapes" sd="1219033472">
                            <a:custGeom>
                              <a:avLst/>
                              <a:gdLst>
                                <a:gd name="connsiteX0" fmla="*/ 1104900 w 2209800"/>
                                <a:gd name="connsiteY0" fmla="*/ 0 h 1695450"/>
                                <a:gd name="connsiteX1" fmla="*/ 2209800 w 2209800"/>
                                <a:gd name="connsiteY1" fmla="*/ 847725 h 1695450"/>
                                <a:gd name="connsiteX2" fmla="*/ 1104900 w 2209800"/>
                                <a:gd name="connsiteY2" fmla="*/ 847725 h 1695450"/>
                                <a:gd name="connsiteX3" fmla="*/ 1104900 w 2209800"/>
                                <a:gd name="connsiteY3" fmla="*/ 0 h 1695450"/>
                                <a:gd name="connsiteX0" fmla="*/ 1104900 w 2209800"/>
                                <a:gd name="connsiteY0" fmla="*/ 0 h 1695450"/>
                                <a:gd name="connsiteX1" fmla="*/ 2209800 w 2209800"/>
                                <a:gd name="connsiteY1" fmla="*/ 847725 h 1695450"/>
                              </a:gdLst>
                              <a:ahLst/>
                              <a:cxnLst>
                                <a:cxn ang="0">
                                  <a:pos x="connsiteX0" y="connsiteY0"/>
                                </a:cxn>
                                <a:cxn ang="0">
                                  <a:pos x="connsiteX1" y="connsiteY1"/>
                                </a:cxn>
                              </a:cxnLst>
                              <a:rect l="l" t="t" r="r" b="b"/>
                              <a:pathLst>
                                <a:path w="2209800" h="1695450" stroke="0" extrusionOk="0">
                                  <a:moveTo>
                                    <a:pt x="1104900" y="0"/>
                                  </a:moveTo>
                                  <a:cubicBezTo>
                                    <a:pt x="1642035" y="-45080"/>
                                    <a:pt x="2160806" y="397927"/>
                                    <a:pt x="2209800" y="847725"/>
                                  </a:cubicBezTo>
                                  <a:cubicBezTo>
                                    <a:pt x="2018477" y="769290"/>
                                    <a:pt x="1475369" y="945901"/>
                                    <a:pt x="1104900" y="847725"/>
                                  </a:cubicBezTo>
                                  <a:cubicBezTo>
                                    <a:pt x="1108699" y="736226"/>
                                    <a:pt x="1040503" y="103443"/>
                                    <a:pt x="1104900" y="0"/>
                                  </a:cubicBezTo>
                                  <a:close/>
                                </a:path>
                                <a:path w="2209800" h="1695450" fill="none" extrusionOk="0">
                                  <a:moveTo>
                                    <a:pt x="1104900" y="0"/>
                                  </a:moveTo>
                                  <a:cubicBezTo>
                                    <a:pt x="1641498" y="-40280"/>
                                    <a:pt x="2265170" y="405995"/>
                                    <a:pt x="2209800" y="847725"/>
                                  </a:cubicBezTo>
                                </a:path>
                              </a:pathLst>
                            </a:custGeom>
                            <ask:type>
                              <ask:lineSketchNone/>
                            </ask:type>
                          </ask:lineSketchStyleProps>
                        </a:ext>
                      </a:extLst>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IN" sz="1100"/>
                    </a:p>
                  </xdr:txBody>
                </xdr:sp>
              </xdr:grpSp>
              <xdr:sp macro="" textlink="'Pivot Tables'!J17">
                <xdr:nvSpPr>
                  <xdr:cNvPr id="130" name="TextBox 129">
                    <a:extLst>
                      <a:ext uri="{FF2B5EF4-FFF2-40B4-BE49-F238E27FC236}">
                        <a16:creationId xmlns:a16="http://schemas.microsoft.com/office/drawing/2014/main" id="{1303828B-6E52-E9D7-627A-752602CEA0D8}"/>
                      </a:ext>
                    </a:extLst>
                  </xdr:cNvPr>
                  <xdr:cNvSpPr txBox="1"/>
                </xdr:nvSpPr>
                <xdr:spPr>
                  <a:xfrm>
                    <a:off x="973667" y="4360354"/>
                    <a:ext cx="1405467" cy="735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D5AE7D-D741-4FF7-AD89-EEE8723903DC}" type="TxLink">
                      <a:rPr lang="en-US" sz="1500" b="0" i="0" u="none" strike="noStrike">
                        <a:solidFill>
                          <a:srgbClr val="FFFFFF"/>
                        </a:solidFill>
                        <a:latin typeface="Arial"/>
                        <a:ea typeface="Calibri"/>
                        <a:cs typeface="Arial"/>
                      </a:rPr>
                      <a:pPr algn="ctr"/>
                      <a:t>Finance</a:t>
                    </a:fld>
                    <a:endParaRPr lang="en-IN" sz="1500">
                      <a:solidFill>
                        <a:schemeClr val="bg1"/>
                      </a:solidFill>
                      <a:latin typeface="Arial" panose="020B0604020202020204" pitchFamily="34" charset="0"/>
                      <a:cs typeface="Arial" panose="020B0604020202020204" pitchFamily="34" charset="0"/>
                    </a:endParaRPr>
                  </a:p>
                </xdr:txBody>
              </xdr:sp>
            </xdr:grpSp>
            <xdr:sp macro="" textlink="'Pivot Tables'!L17">
              <xdr:nvSpPr>
                <xdr:cNvPr id="133" name="Oval 132">
                  <a:extLst>
                    <a:ext uri="{FF2B5EF4-FFF2-40B4-BE49-F238E27FC236}">
                      <a16:creationId xmlns:a16="http://schemas.microsoft.com/office/drawing/2014/main" id="{680F4CA6-C2D4-419F-9A74-384D3B013CDA}"/>
                    </a:ext>
                  </a:extLst>
                </xdr:cNvPr>
                <xdr:cNvSpPr/>
              </xdr:nvSpPr>
              <xdr:spPr>
                <a:xfrm>
                  <a:off x="6832600" y="6920344"/>
                  <a:ext cx="922867" cy="849745"/>
                </a:xfrm>
                <a:prstGeom prst="ellipse">
                  <a:avLst/>
                </a:prstGeom>
                <a:solidFill>
                  <a:schemeClr val="tx1"/>
                </a:solidFill>
                <a:ln>
                  <a:gradFill flip="none" rotWithShape="1">
                    <a:gsLst>
                      <a:gs pos="32000">
                        <a:srgbClr val="7030A0"/>
                      </a:gs>
                      <a:gs pos="80000">
                        <a:srgbClr val="FFFF00"/>
                      </a:gs>
                    </a:gsLst>
                    <a:lin ang="16200000" scaled="1"/>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B52E5C5-8D75-4498-B6A2-A32D488B7995}" type="TxLink">
                    <a:rPr lang="en-US" sz="1050" b="0" i="0" u="none" strike="noStrike">
                      <a:solidFill>
                        <a:srgbClr val="FFFFFF"/>
                      </a:solidFill>
                      <a:latin typeface="Arial"/>
                      <a:ea typeface="Calibri"/>
                      <a:cs typeface="Arial"/>
                    </a:rPr>
                    <a:pPr algn="ctr"/>
                    <a:t>13.95%</a:t>
                  </a:fld>
                  <a:endParaRPr lang="en-IN" sz="1000">
                    <a:solidFill>
                      <a:schemeClr val="bg1"/>
                    </a:solidFill>
                    <a:latin typeface="Arial" panose="020B0604020202020204" pitchFamily="34" charset="0"/>
                    <a:cs typeface="Arial" panose="020B0604020202020204" pitchFamily="34" charset="0"/>
                  </a:endParaRPr>
                </a:p>
              </xdr:txBody>
            </xdr:sp>
          </xdr:grpSp>
          <xdr:grpSp>
            <xdr:nvGrpSpPr>
              <xdr:cNvPr id="156" name="Group 155">
                <a:extLst>
                  <a:ext uri="{FF2B5EF4-FFF2-40B4-BE49-F238E27FC236}">
                    <a16:creationId xmlns:a16="http://schemas.microsoft.com/office/drawing/2014/main" id="{D31E72A4-531D-313A-6D23-20585048CD55}"/>
                  </a:ext>
                </a:extLst>
              </xdr:cNvPr>
              <xdr:cNvGrpSpPr/>
            </xdr:nvGrpSpPr>
            <xdr:grpSpPr>
              <a:xfrm>
                <a:off x="9263529" y="3498111"/>
                <a:ext cx="4471335" cy="2492117"/>
                <a:chOff x="9263529" y="3498111"/>
                <a:chExt cx="4471335" cy="2492117"/>
              </a:xfrm>
            </xdr:grpSpPr>
            <xdr:cxnSp macro="">
              <xdr:nvCxnSpPr>
                <xdr:cNvPr id="136" name="Straight Arrow Connector 135">
                  <a:extLst>
                    <a:ext uri="{FF2B5EF4-FFF2-40B4-BE49-F238E27FC236}">
                      <a16:creationId xmlns:a16="http://schemas.microsoft.com/office/drawing/2014/main" id="{EEAD6F81-59F7-4331-8E0F-80AAC99485E0}"/>
                    </a:ext>
                  </a:extLst>
                </xdr:cNvPr>
                <xdr:cNvCxnSpPr/>
              </xdr:nvCxnSpPr>
              <xdr:spPr>
                <a:xfrm flipV="1">
                  <a:off x="9263529" y="4428067"/>
                  <a:ext cx="2534772" cy="43963"/>
                </a:xfrm>
                <a:prstGeom prst="straightConnector1">
                  <a:avLst/>
                </a:prstGeom>
                <a:ln w="19050" cmpd="dbl">
                  <a:gradFill flip="none" rotWithShape="1">
                    <a:gsLst>
                      <a:gs pos="30000">
                        <a:srgbClr val="FFFF00"/>
                      </a:gs>
                      <a:gs pos="75000">
                        <a:srgbClr val="7030A0"/>
                      </a:gs>
                    </a:gsLst>
                    <a:lin ang="0" scaled="1"/>
                    <a:tileRect/>
                  </a:gradFill>
                  <a:tailEnd type="triangle"/>
                </a:ln>
              </xdr:spPr>
              <xdr:style>
                <a:lnRef idx="1">
                  <a:schemeClr val="accent1"/>
                </a:lnRef>
                <a:fillRef idx="0">
                  <a:schemeClr val="accent1"/>
                </a:fillRef>
                <a:effectRef idx="0">
                  <a:schemeClr val="accent1"/>
                </a:effectRef>
                <a:fontRef idx="minor">
                  <a:schemeClr val="tx1"/>
                </a:fontRef>
              </xdr:style>
            </xdr:cxnSp>
            <xdr:grpSp>
              <xdr:nvGrpSpPr>
                <xdr:cNvPr id="137" name="Group 136">
                  <a:extLst>
                    <a:ext uri="{FF2B5EF4-FFF2-40B4-BE49-F238E27FC236}">
                      <a16:creationId xmlns:a16="http://schemas.microsoft.com/office/drawing/2014/main" id="{BDB81196-39C2-4B2F-988D-E1684F3519C2}"/>
                    </a:ext>
                  </a:extLst>
                </xdr:cNvPr>
                <xdr:cNvGrpSpPr/>
              </xdr:nvGrpSpPr>
              <xdr:grpSpPr>
                <a:xfrm>
                  <a:off x="12039414" y="3498111"/>
                  <a:ext cx="1695450" cy="2492117"/>
                  <a:chOff x="2381250" y="1343025"/>
                  <a:chExt cx="1695450" cy="2505075"/>
                </a:xfrm>
              </xdr:grpSpPr>
              <xdr:grpSp>
                <xdr:nvGrpSpPr>
                  <xdr:cNvPr id="138" name="Group 137">
                    <a:extLst>
                      <a:ext uri="{FF2B5EF4-FFF2-40B4-BE49-F238E27FC236}">
                        <a16:creationId xmlns:a16="http://schemas.microsoft.com/office/drawing/2014/main" id="{DFE01CB0-CBF8-4016-05A0-1F528EABA88C}"/>
                      </a:ext>
                    </a:extLst>
                  </xdr:cNvPr>
                  <xdr:cNvGrpSpPr/>
                </xdr:nvGrpSpPr>
                <xdr:grpSpPr>
                  <a:xfrm>
                    <a:off x="2381250" y="1343025"/>
                    <a:ext cx="1695450" cy="2505075"/>
                    <a:chOff x="2381250" y="1343025"/>
                    <a:chExt cx="1695450" cy="2505075"/>
                  </a:xfrm>
                </xdr:grpSpPr>
                <xdr:sp macro="" textlink="">
                  <xdr:nvSpPr>
                    <xdr:cNvPr id="140" name="Arc 139">
                      <a:extLst>
                        <a:ext uri="{FF2B5EF4-FFF2-40B4-BE49-F238E27FC236}">
                          <a16:creationId xmlns:a16="http://schemas.microsoft.com/office/drawing/2014/main" id="{0BB70D74-9547-40F4-1D35-A4F7CF4D7216}"/>
                        </a:ext>
                      </a:extLst>
                    </xdr:cNvPr>
                    <xdr:cNvSpPr/>
                  </xdr:nvSpPr>
                  <xdr:spPr>
                    <a:xfrm rot="14100000">
                      <a:off x="2124075" y="1895475"/>
                      <a:ext cx="2209800" cy="1695450"/>
                    </a:xfrm>
                    <a:prstGeom prst="arc">
                      <a:avLst/>
                    </a:prstGeom>
                    <a:ln w="57150" cmpd="dbl">
                      <a:gradFill>
                        <a:gsLst>
                          <a:gs pos="32000">
                            <a:srgbClr val="7030A0"/>
                          </a:gs>
                          <a:gs pos="85000">
                            <a:srgbClr val="FFFF00"/>
                          </a:gs>
                        </a:gsLst>
                        <a:lin ang="5400000" scaled="1"/>
                      </a:gradFill>
                      <a:prstDash val="lgDash"/>
                      <a:extLst>
                        <a:ext uri="{C807C97D-BFC1-408E-A445-0C87EB9F89A2}">
                          <ask:lineSketchStyleProps xmlns:ask="http://schemas.microsoft.com/office/drawing/2018/sketchyshapes" sd="1219033472">
                            <a:custGeom>
                              <a:avLst/>
                              <a:gdLst>
                                <a:gd name="connsiteX0" fmla="*/ 1104900 w 2209800"/>
                                <a:gd name="connsiteY0" fmla="*/ 0 h 1695450"/>
                                <a:gd name="connsiteX1" fmla="*/ 2209800 w 2209800"/>
                                <a:gd name="connsiteY1" fmla="*/ 847725 h 1695450"/>
                                <a:gd name="connsiteX2" fmla="*/ 1104900 w 2209800"/>
                                <a:gd name="connsiteY2" fmla="*/ 847725 h 1695450"/>
                                <a:gd name="connsiteX3" fmla="*/ 1104900 w 2209800"/>
                                <a:gd name="connsiteY3" fmla="*/ 0 h 1695450"/>
                                <a:gd name="connsiteX0" fmla="*/ 1104900 w 2209800"/>
                                <a:gd name="connsiteY0" fmla="*/ 0 h 1695450"/>
                                <a:gd name="connsiteX1" fmla="*/ 2209800 w 2209800"/>
                                <a:gd name="connsiteY1" fmla="*/ 847725 h 1695450"/>
                              </a:gdLst>
                              <a:ahLst/>
                              <a:cxnLst>
                                <a:cxn ang="0">
                                  <a:pos x="connsiteX0" y="connsiteY0"/>
                                </a:cxn>
                                <a:cxn ang="0">
                                  <a:pos x="connsiteX1" y="connsiteY1"/>
                                </a:cxn>
                              </a:cxnLst>
                              <a:rect l="l" t="t" r="r" b="b"/>
                              <a:pathLst>
                                <a:path w="2209800" h="1695450" stroke="0" extrusionOk="0">
                                  <a:moveTo>
                                    <a:pt x="1104900" y="0"/>
                                  </a:moveTo>
                                  <a:cubicBezTo>
                                    <a:pt x="1642035" y="-45080"/>
                                    <a:pt x="2160806" y="397927"/>
                                    <a:pt x="2209800" y="847725"/>
                                  </a:cubicBezTo>
                                  <a:cubicBezTo>
                                    <a:pt x="2018477" y="769290"/>
                                    <a:pt x="1475369" y="945901"/>
                                    <a:pt x="1104900" y="847725"/>
                                  </a:cubicBezTo>
                                  <a:cubicBezTo>
                                    <a:pt x="1108699" y="736226"/>
                                    <a:pt x="1040503" y="103443"/>
                                    <a:pt x="1104900" y="0"/>
                                  </a:cubicBezTo>
                                  <a:close/>
                                </a:path>
                                <a:path w="2209800" h="1695450" fill="none" extrusionOk="0">
                                  <a:moveTo>
                                    <a:pt x="1104900" y="0"/>
                                  </a:moveTo>
                                  <a:cubicBezTo>
                                    <a:pt x="1641498" y="-40280"/>
                                    <a:pt x="2265170" y="405995"/>
                                    <a:pt x="2209800" y="847725"/>
                                  </a:cubicBezTo>
                                </a:path>
                              </a:pathLst>
                            </a:custGeom>
                            <ask:type>
                              <ask:lineSketchNone/>
                            </ask:type>
                          </ask:lineSketchStyleProps>
                        </a:ext>
                      </a:extLst>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IN" sz="1100"/>
                    </a:p>
                  </xdr:txBody>
                </xdr:sp>
                <xdr:sp macro="" textlink="">
                  <xdr:nvSpPr>
                    <xdr:cNvPr id="141" name="Arc 140">
                      <a:extLst>
                        <a:ext uri="{FF2B5EF4-FFF2-40B4-BE49-F238E27FC236}">
                          <a16:creationId xmlns:a16="http://schemas.microsoft.com/office/drawing/2014/main" id="{FC8D1219-8454-1CCD-0798-B23ADD88CF69}"/>
                        </a:ext>
                      </a:extLst>
                    </xdr:cNvPr>
                    <xdr:cNvSpPr/>
                  </xdr:nvSpPr>
                  <xdr:spPr>
                    <a:xfrm rot="3763203">
                      <a:off x="2124075" y="1600200"/>
                      <a:ext cx="2209800" cy="1695450"/>
                    </a:xfrm>
                    <a:prstGeom prst="arc">
                      <a:avLst/>
                    </a:prstGeom>
                    <a:ln w="57150" cmpd="dbl">
                      <a:gradFill>
                        <a:gsLst>
                          <a:gs pos="32000">
                            <a:srgbClr val="7030A0"/>
                          </a:gs>
                          <a:gs pos="85000">
                            <a:srgbClr val="FFFF00"/>
                          </a:gs>
                        </a:gsLst>
                        <a:lin ang="5400000" scaled="1"/>
                      </a:gradFill>
                      <a:prstDash val="lgDash"/>
                      <a:extLst>
                        <a:ext uri="{C807C97D-BFC1-408E-A445-0C87EB9F89A2}">
                          <ask:lineSketchStyleProps xmlns:ask="http://schemas.microsoft.com/office/drawing/2018/sketchyshapes" sd="1219033472">
                            <a:custGeom>
                              <a:avLst/>
                              <a:gdLst>
                                <a:gd name="connsiteX0" fmla="*/ 1104900 w 2209800"/>
                                <a:gd name="connsiteY0" fmla="*/ 0 h 1695450"/>
                                <a:gd name="connsiteX1" fmla="*/ 2209800 w 2209800"/>
                                <a:gd name="connsiteY1" fmla="*/ 847725 h 1695450"/>
                                <a:gd name="connsiteX2" fmla="*/ 1104900 w 2209800"/>
                                <a:gd name="connsiteY2" fmla="*/ 847725 h 1695450"/>
                                <a:gd name="connsiteX3" fmla="*/ 1104900 w 2209800"/>
                                <a:gd name="connsiteY3" fmla="*/ 0 h 1695450"/>
                                <a:gd name="connsiteX0" fmla="*/ 1104900 w 2209800"/>
                                <a:gd name="connsiteY0" fmla="*/ 0 h 1695450"/>
                                <a:gd name="connsiteX1" fmla="*/ 2209800 w 2209800"/>
                                <a:gd name="connsiteY1" fmla="*/ 847725 h 1695450"/>
                              </a:gdLst>
                              <a:ahLst/>
                              <a:cxnLst>
                                <a:cxn ang="0">
                                  <a:pos x="connsiteX0" y="connsiteY0"/>
                                </a:cxn>
                                <a:cxn ang="0">
                                  <a:pos x="connsiteX1" y="connsiteY1"/>
                                </a:cxn>
                              </a:cxnLst>
                              <a:rect l="l" t="t" r="r" b="b"/>
                              <a:pathLst>
                                <a:path w="2209800" h="1695450" stroke="0" extrusionOk="0">
                                  <a:moveTo>
                                    <a:pt x="1104900" y="0"/>
                                  </a:moveTo>
                                  <a:cubicBezTo>
                                    <a:pt x="1642035" y="-45080"/>
                                    <a:pt x="2160806" y="397927"/>
                                    <a:pt x="2209800" y="847725"/>
                                  </a:cubicBezTo>
                                  <a:cubicBezTo>
                                    <a:pt x="2018477" y="769290"/>
                                    <a:pt x="1475369" y="945901"/>
                                    <a:pt x="1104900" y="847725"/>
                                  </a:cubicBezTo>
                                  <a:cubicBezTo>
                                    <a:pt x="1108699" y="736226"/>
                                    <a:pt x="1040503" y="103443"/>
                                    <a:pt x="1104900" y="0"/>
                                  </a:cubicBezTo>
                                  <a:close/>
                                </a:path>
                                <a:path w="2209800" h="1695450" fill="none" extrusionOk="0">
                                  <a:moveTo>
                                    <a:pt x="1104900" y="0"/>
                                  </a:moveTo>
                                  <a:cubicBezTo>
                                    <a:pt x="1641498" y="-40280"/>
                                    <a:pt x="2265170" y="405995"/>
                                    <a:pt x="2209800" y="847725"/>
                                  </a:cubicBezTo>
                                </a:path>
                              </a:pathLst>
                            </a:custGeom>
                            <ask:type>
                              <ask:lineSketchNone/>
                            </ask:type>
                          </ask:lineSketchStyleProps>
                        </a:ext>
                      </a:extLst>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IN" sz="1100"/>
                    </a:p>
                  </xdr:txBody>
                </xdr:sp>
              </xdr:grpSp>
              <xdr:sp macro="" textlink="'Pivot Tables'!J19">
                <xdr:nvSpPr>
                  <xdr:cNvPr id="139" name="TextBox 138">
                    <a:extLst>
                      <a:ext uri="{FF2B5EF4-FFF2-40B4-BE49-F238E27FC236}">
                        <a16:creationId xmlns:a16="http://schemas.microsoft.com/office/drawing/2014/main" id="{95D4D1A2-C24A-60DD-9042-6EEA35604ED7}"/>
                      </a:ext>
                    </a:extLst>
                  </xdr:cNvPr>
                  <xdr:cNvSpPr txBox="1"/>
                </xdr:nvSpPr>
                <xdr:spPr>
                  <a:xfrm>
                    <a:off x="2643188" y="2238375"/>
                    <a:ext cx="1171575"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C12067-E0D2-45C5-B627-3710DBD9EFE5}" type="TxLink">
                      <a:rPr lang="en-US" sz="1500" b="0" i="0" u="none" strike="noStrike">
                        <a:solidFill>
                          <a:srgbClr val="FFFFFF"/>
                        </a:solidFill>
                        <a:latin typeface="Arial"/>
                        <a:ea typeface="Calibri"/>
                        <a:cs typeface="Arial"/>
                      </a:rPr>
                      <a:pPr algn="ctr"/>
                      <a:t>Retail</a:t>
                    </a:fld>
                    <a:endParaRPr lang="en-IN" sz="1500">
                      <a:solidFill>
                        <a:schemeClr val="bg1"/>
                      </a:solidFill>
                      <a:latin typeface="Arial" panose="020B0604020202020204" pitchFamily="34" charset="0"/>
                      <a:cs typeface="Arial" panose="020B0604020202020204" pitchFamily="34" charset="0"/>
                    </a:endParaRPr>
                  </a:p>
                </xdr:txBody>
              </xdr:sp>
            </xdr:grpSp>
            <xdr:sp macro="" textlink="'Pivot Tables'!L19">
              <xdr:nvSpPr>
                <xdr:cNvPr id="142" name="Oval 141">
                  <a:extLst>
                    <a:ext uri="{FF2B5EF4-FFF2-40B4-BE49-F238E27FC236}">
                      <a16:creationId xmlns:a16="http://schemas.microsoft.com/office/drawing/2014/main" id="{2AE16E72-2E68-4476-AA86-340F38B00EB3}"/>
                    </a:ext>
                  </a:extLst>
                </xdr:cNvPr>
                <xdr:cNvSpPr/>
              </xdr:nvSpPr>
              <xdr:spPr>
                <a:xfrm>
                  <a:off x="10111192" y="4056527"/>
                  <a:ext cx="922868" cy="849745"/>
                </a:xfrm>
                <a:prstGeom prst="ellipse">
                  <a:avLst/>
                </a:prstGeom>
                <a:solidFill>
                  <a:schemeClr val="tx1"/>
                </a:solidFill>
                <a:ln>
                  <a:gradFill flip="none" rotWithShape="1">
                    <a:gsLst>
                      <a:gs pos="32000">
                        <a:srgbClr val="7030A0"/>
                      </a:gs>
                      <a:gs pos="80000">
                        <a:srgbClr val="FFFF00"/>
                      </a:gs>
                    </a:gsLst>
                    <a:lin ang="13500000" scaled="1"/>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9BB6B72-33DB-47E2-ADF4-13515F07F850}" type="TxLink">
                    <a:rPr lang="en-US" sz="1050" b="0" i="0" u="none" strike="noStrike">
                      <a:solidFill>
                        <a:srgbClr val="FFFFFF"/>
                      </a:solidFill>
                      <a:latin typeface="Arial"/>
                      <a:ea typeface="Calibri"/>
                      <a:cs typeface="Arial"/>
                    </a:rPr>
                    <a:pPr algn="ctr"/>
                    <a:t>14.65%</a:t>
                  </a:fld>
                  <a:endParaRPr lang="en-IN" sz="1000">
                    <a:solidFill>
                      <a:schemeClr val="bg1"/>
                    </a:solidFill>
                    <a:latin typeface="Arial" panose="020B0604020202020204" pitchFamily="34" charset="0"/>
                    <a:cs typeface="Arial" panose="020B0604020202020204" pitchFamily="34" charset="0"/>
                  </a:endParaRPr>
                </a:p>
              </xdr:txBody>
            </xdr:sp>
          </xdr:grpSp>
        </xdr:grpSp>
        <xdr:grpSp>
          <xdr:nvGrpSpPr>
            <xdr:cNvPr id="161" name="Group 160">
              <a:extLst>
                <a:ext uri="{FF2B5EF4-FFF2-40B4-BE49-F238E27FC236}">
                  <a16:creationId xmlns:a16="http://schemas.microsoft.com/office/drawing/2014/main" id="{0F33C1B8-4A32-DF92-7BFD-D3266F76863B}"/>
                </a:ext>
              </a:extLst>
            </xdr:cNvPr>
            <xdr:cNvGrpSpPr/>
          </xdr:nvGrpSpPr>
          <xdr:grpSpPr>
            <a:xfrm>
              <a:off x="5724494" y="1048115"/>
              <a:ext cx="3263682" cy="1339271"/>
              <a:chOff x="5863195" y="741603"/>
              <a:chExt cx="3255120" cy="1314613"/>
            </a:xfrm>
          </xdr:grpSpPr>
          <xdr:sp macro="" textlink="">
            <xdr:nvSpPr>
              <xdr:cNvPr id="159" name="TextBox 158">
                <a:extLst>
                  <a:ext uri="{FF2B5EF4-FFF2-40B4-BE49-F238E27FC236}">
                    <a16:creationId xmlns:a16="http://schemas.microsoft.com/office/drawing/2014/main" id="{24B2CF2C-CA8B-6D0F-59E5-C9BA32035C30}"/>
                  </a:ext>
                </a:extLst>
              </xdr:cNvPr>
              <xdr:cNvSpPr txBox="1"/>
            </xdr:nvSpPr>
            <xdr:spPr>
              <a:xfrm>
                <a:off x="5863195" y="741603"/>
                <a:ext cx="3255120" cy="662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solidFill>
                      <a:schemeClr val="bg1"/>
                    </a:solidFill>
                    <a:latin typeface="Arial" panose="020B0604020202020204" pitchFamily="34" charset="0"/>
                    <a:cs typeface="Arial" panose="020B0604020202020204" pitchFamily="34" charset="0"/>
                  </a:rPr>
                  <a:t>Total Jobs </a:t>
                </a:r>
              </a:p>
            </xdr:txBody>
          </xdr:sp>
          <xdr:sp macro="" textlink="'Pivot Tables'!K22">
            <xdr:nvSpPr>
              <xdr:cNvPr id="160" name="TextBox 159">
                <a:extLst>
                  <a:ext uri="{FF2B5EF4-FFF2-40B4-BE49-F238E27FC236}">
                    <a16:creationId xmlns:a16="http://schemas.microsoft.com/office/drawing/2014/main" id="{C95103FA-74E1-8CED-91D5-36401EE633AB}"/>
                  </a:ext>
                </a:extLst>
              </xdr:cNvPr>
              <xdr:cNvSpPr txBox="1"/>
            </xdr:nvSpPr>
            <xdr:spPr>
              <a:xfrm>
                <a:off x="6123700" y="1213257"/>
                <a:ext cx="2689286" cy="842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283C18-04D5-4F91-9D8B-6014EDC188A0}" type="TxLink">
                  <a:rPr lang="en-US" sz="4000" b="0" i="0" u="none" strike="noStrike">
                    <a:solidFill>
                      <a:schemeClr val="bg1"/>
                    </a:solidFill>
                    <a:latin typeface="Arial" panose="020B0604020202020204" pitchFamily="34" charset="0"/>
                    <a:ea typeface="Calibri"/>
                    <a:cs typeface="Arial" panose="020B0604020202020204" pitchFamily="34" charset="0"/>
                  </a:rPr>
                  <a:pPr algn="ctr"/>
                  <a:t>2000</a:t>
                </a:fld>
                <a:endParaRPr lang="en-IN" sz="4000">
                  <a:solidFill>
                    <a:schemeClr val="bg1"/>
                  </a:solidFill>
                  <a:latin typeface="Arial" panose="020B0604020202020204" pitchFamily="34" charset="0"/>
                  <a:cs typeface="Arial" panose="020B0604020202020204" pitchFamily="34" charset="0"/>
                </a:endParaRPr>
              </a:p>
            </xdr:txBody>
          </xdr:sp>
        </xdr:grpSp>
      </xdr:grpSp>
      <xdr:pic>
        <xdr:nvPicPr>
          <xdr:cNvPr id="164" name="Graphic 163" descr="Briefcase with solid fill">
            <a:extLst>
              <a:ext uri="{FF2B5EF4-FFF2-40B4-BE49-F238E27FC236}">
                <a16:creationId xmlns:a16="http://schemas.microsoft.com/office/drawing/2014/main" id="{AFA1FA89-1988-8D17-FB1B-3A684FEC367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68340" y="1127760"/>
            <a:ext cx="548640" cy="548640"/>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7620</xdr:colOff>
      <xdr:row>3</xdr:row>
      <xdr:rowOff>22860</xdr:rowOff>
    </xdr:to>
    <xdr:grpSp>
      <xdr:nvGrpSpPr>
        <xdr:cNvPr id="32" name="Group 31">
          <a:extLst>
            <a:ext uri="{FF2B5EF4-FFF2-40B4-BE49-F238E27FC236}">
              <a16:creationId xmlns:a16="http://schemas.microsoft.com/office/drawing/2014/main" id="{F633D927-4465-C338-AB1D-D6D5357466FB}"/>
            </a:ext>
          </a:extLst>
        </xdr:cNvPr>
        <xdr:cNvGrpSpPr/>
      </xdr:nvGrpSpPr>
      <xdr:grpSpPr>
        <a:xfrm>
          <a:off x="0" y="0"/>
          <a:ext cx="15815067" cy="582200"/>
          <a:chOff x="0" y="0"/>
          <a:chExt cx="15857220" cy="571500"/>
        </a:xfrm>
      </xdr:grpSpPr>
      <xdr:grpSp>
        <xdr:nvGrpSpPr>
          <xdr:cNvPr id="31" name="Group 30">
            <a:extLst>
              <a:ext uri="{FF2B5EF4-FFF2-40B4-BE49-F238E27FC236}">
                <a16:creationId xmlns:a16="http://schemas.microsoft.com/office/drawing/2014/main" id="{AA898B15-6716-5CA0-7FCC-CEFF2E495CFB}"/>
              </a:ext>
            </a:extLst>
          </xdr:cNvPr>
          <xdr:cNvGrpSpPr/>
        </xdr:nvGrpSpPr>
        <xdr:grpSpPr>
          <a:xfrm>
            <a:off x="0" y="0"/>
            <a:ext cx="15857220" cy="571500"/>
            <a:chOff x="0" y="0"/>
            <a:chExt cx="15857220" cy="571500"/>
          </a:xfrm>
        </xdr:grpSpPr>
        <xdr:sp macro="" textlink="">
          <xdr:nvSpPr>
            <xdr:cNvPr id="28" name="TextBox 27">
              <a:hlinkClick xmlns:r="http://schemas.openxmlformats.org/officeDocument/2006/relationships" r:id="rId1"/>
              <a:extLst>
                <a:ext uri="{FF2B5EF4-FFF2-40B4-BE49-F238E27FC236}">
                  <a16:creationId xmlns:a16="http://schemas.microsoft.com/office/drawing/2014/main" id="{A30784E8-5625-F0EF-35DC-B735D6B8A559}"/>
                </a:ext>
              </a:extLst>
            </xdr:cNvPr>
            <xdr:cNvSpPr txBox="1"/>
          </xdr:nvSpPr>
          <xdr:spPr>
            <a:xfrm>
              <a:off x="12556235" y="7620"/>
              <a:ext cx="1115060" cy="563880"/>
            </a:xfrm>
            <a:prstGeom prst="rect">
              <a:avLst/>
            </a:prstGeom>
            <a:no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Arial" panose="020B0604020202020204" pitchFamily="34" charset="0"/>
                  <a:cs typeface="Arial" panose="020B0604020202020204" pitchFamily="34" charset="0"/>
                </a:rPr>
                <a:t>Industry-wise</a:t>
              </a:r>
            </a:p>
          </xdr:txBody>
        </xdr:sp>
        <xdr:pic>
          <xdr:nvPicPr>
            <xdr:cNvPr id="22" name="Graphic 21" descr="Robot with solid fill">
              <a:extLst>
                <a:ext uri="{FF2B5EF4-FFF2-40B4-BE49-F238E27FC236}">
                  <a16:creationId xmlns:a16="http://schemas.microsoft.com/office/drawing/2014/main" id="{E00A5F56-2D61-9300-B998-ABF583DD911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15240"/>
              <a:ext cx="495300" cy="495300"/>
            </a:xfrm>
            <a:prstGeom prst="rect">
              <a:avLst/>
            </a:prstGeom>
          </xdr:spPr>
        </xdr:pic>
        <xdr:sp macro="" textlink="">
          <xdr:nvSpPr>
            <xdr:cNvPr id="29" name="TextBox 28">
              <a:hlinkClick xmlns:r="http://schemas.openxmlformats.org/officeDocument/2006/relationships" r:id="rId4"/>
              <a:extLst>
                <a:ext uri="{FF2B5EF4-FFF2-40B4-BE49-F238E27FC236}">
                  <a16:creationId xmlns:a16="http://schemas.microsoft.com/office/drawing/2014/main" id="{A961E5E4-D3C4-BD34-6DDA-AC1DC940AFA9}"/>
                </a:ext>
              </a:extLst>
            </xdr:cNvPr>
            <xdr:cNvSpPr txBox="1"/>
          </xdr:nvSpPr>
          <xdr:spPr>
            <a:xfrm>
              <a:off x="11631313" y="0"/>
              <a:ext cx="719687" cy="563880"/>
            </a:xfrm>
            <a:prstGeom prst="rect">
              <a:avLst/>
            </a:prstGeom>
            <a:no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Arial" panose="020B0604020202020204" pitchFamily="34" charset="0"/>
                  <a:cs typeface="Arial" panose="020B0604020202020204" pitchFamily="34" charset="0"/>
                </a:rPr>
                <a:t>Home</a:t>
              </a:r>
            </a:p>
          </xdr:txBody>
        </xdr:sp>
        <xdr:sp macro="" textlink="">
          <xdr:nvSpPr>
            <xdr:cNvPr id="25" name="TextBox 24">
              <a:extLst>
                <a:ext uri="{FF2B5EF4-FFF2-40B4-BE49-F238E27FC236}">
                  <a16:creationId xmlns:a16="http://schemas.microsoft.com/office/drawing/2014/main" id="{51586E4C-D5B2-69A7-BF3A-FA1833B56A5A}"/>
                </a:ext>
              </a:extLst>
            </xdr:cNvPr>
            <xdr:cNvSpPr txBox="1"/>
          </xdr:nvSpPr>
          <xdr:spPr>
            <a:xfrm>
              <a:off x="624840" y="15240"/>
              <a:ext cx="3048000" cy="541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400">
                  <a:solidFill>
                    <a:schemeClr val="bg1"/>
                  </a:solidFill>
                  <a:latin typeface="Arial" panose="020B0604020202020204" pitchFamily="34" charset="0"/>
                  <a:cs typeface="Arial" panose="020B0604020202020204" pitchFamily="34" charset="0"/>
                </a:rPr>
                <a:t>AI Jobs Dashboard</a:t>
              </a:r>
            </a:p>
          </xdr:txBody>
        </xdr:sp>
        <xdr:sp macro="" textlink="">
          <xdr:nvSpPr>
            <xdr:cNvPr id="27" name="TextBox 26">
              <a:hlinkClick xmlns:r="http://schemas.openxmlformats.org/officeDocument/2006/relationships" r:id="rId5"/>
              <a:extLst>
                <a:ext uri="{FF2B5EF4-FFF2-40B4-BE49-F238E27FC236}">
                  <a16:creationId xmlns:a16="http://schemas.microsoft.com/office/drawing/2014/main" id="{8BFA69AA-4AB2-BC95-B555-8B6BA509B3F4}"/>
                </a:ext>
              </a:extLst>
            </xdr:cNvPr>
            <xdr:cNvSpPr txBox="1"/>
          </xdr:nvSpPr>
          <xdr:spPr>
            <a:xfrm>
              <a:off x="13909040" y="0"/>
              <a:ext cx="1323340" cy="563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Arial" panose="020B0604020202020204" pitchFamily="34" charset="0"/>
                  <a:cs typeface="Arial" panose="020B0604020202020204" pitchFamily="34" charset="0"/>
                </a:rPr>
                <a:t>Experience-wise</a:t>
              </a:r>
            </a:p>
          </xdr:txBody>
        </xdr:sp>
        <xdr:sp macro="" textlink="">
          <xdr:nvSpPr>
            <xdr:cNvPr id="24" name="Rectangle 23">
              <a:extLst>
                <a:ext uri="{FF2B5EF4-FFF2-40B4-BE49-F238E27FC236}">
                  <a16:creationId xmlns:a16="http://schemas.microsoft.com/office/drawing/2014/main" id="{0DC1F7FB-277C-AAD2-C264-DCD622FC2924}"/>
                </a:ext>
              </a:extLst>
            </xdr:cNvPr>
            <xdr:cNvSpPr/>
          </xdr:nvSpPr>
          <xdr:spPr>
            <a:xfrm>
              <a:off x="7620" y="7620"/>
              <a:ext cx="15849600" cy="548640"/>
            </a:xfrm>
            <a:prstGeom prst="rect">
              <a:avLst/>
            </a:prstGeom>
            <a:no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20" name="Rectangle 19">
            <a:extLst>
              <a:ext uri="{FF2B5EF4-FFF2-40B4-BE49-F238E27FC236}">
                <a16:creationId xmlns:a16="http://schemas.microsoft.com/office/drawing/2014/main" id="{9553AA6F-342A-42A0-9672-39F925105C41}"/>
              </a:ext>
            </a:extLst>
          </xdr:cNvPr>
          <xdr:cNvSpPr/>
        </xdr:nvSpPr>
        <xdr:spPr>
          <a:xfrm>
            <a:off x="12622106" y="149600"/>
            <a:ext cx="990600" cy="295275"/>
          </a:xfrm>
          <a:prstGeom prst="rect">
            <a:avLst/>
          </a:prstGeom>
          <a:noFill/>
          <a:ln w="28575">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0</xdr:col>
      <xdr:colOff>74543</xdr:colOff>
      <xdr:row>3</xdr:row>
      <xdr:rowOff>149089</xdr:rowOff>
    </xdr:from>
    <xdr:to>
      <xdr:col>3</xdr:col>
      <xdr:colOff>74543</xdr:colOff>
      <xdr:row>16</xdr:row>
      <xdr:rowOff>35451</xdr:rowOff>
    </xdr:to>
    <mc:AlternateContent xmlns:mc="http://schemas.openxmlformats.org/markup-compatibility/2006" xmlns:a14="http://schemas.microsoft.com/office/drawing/2010/main">
      <mc:Choice Requires="a14">
        <xdr:graphicFrame macro="">
          <xdr:nvGraphicFramePr>
            <xdr:cNvPr id="33" name="industry 1">
              <a:extLst>
                <a:ext uri="{FF2B5EF4-FFF2-40B4-BE49-F238E27FC236}">
                  <a16:creationId xmlns:a16="http://schemas.microsoft.com/office/drawing/2014/main" id="{E795F2EC-BFC1-499A-BFC6-21C826EE2BFB}"/>
                </a:ext>
              </a:extLst>
            </xdr:cNvPr>
            <xdr:cNvGraphicFramePr/>
          </xdr:nvGraphicFramePr>
          <xdr:xfrm>
            <a:off x="0" y="0"/>
            <a:ext cx="0" cy="0"/>
          </xdr:xfrm>
          <a:graphic>
            <a:graphicData uri="http://schemas.microsoft.com/office/drawing/2010/slicer">
              <sle:slicer xmlns:sle="http://schemas.microsoft.com/office/drawing/2010/slicer" name="industry 1"/>
            </a:graphicData>
          </a:graphic>
        </xdr:graphicFrame>
      </mc:Choice>
      <mc:Fallback xmlns="">
        <xdr:sp macro="" textlink="">
          <xdr:nvSpPr>
            <xdr:cNvPr id="0" name=""/>
            <xdr:cNvSpPr>
              <a:spLocks noTextEdit="1"/>
            </xdr:cNvSpPr>
          </xdr:nvSpPr>
          <xdr:spPr>
            <a:xfrm>
              <a:off x="74543" y="692014"/>
              <a:ext cx="1828800" cy="22390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7620</xdr:colOff>
      <xdr:row>3</xdr:row>
      <xdr:rowOff>137160</xdr:rowOff>
    </xdr:from>
    <xdr:to>
      <xdr:col>11</xdr:col>
      <xdr:colOff>563880</xdr:colOff>
      <xdr:row>19</xdr:row>
      <xdr:rowOff>160020</xdr:rowOff>
    </xdr:to>
    <xdr:graphicFrame macro="">
      <xdr:nvGraphicFramePr>
        <xdr:cNvPr id="34" name="Chart 33">
          <a:extLst>
            <a:ext uri="{FF2B5EF4-FFF2-40B4-BE49-F238E27FC236}">
              <a16:creationId xmlns:a16="http://schemas.microsoft.com/office/drawing/2014/main" id="{D4CB1179-D0FB-4D8A-A4F7-CFBF174E7A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601980</xdr:colOff>
      <xdr:row>20</xdr:row>
      <xdr:rowOff>175260</xdr:rowOff>
    </xdr:from>
    <xdr:to>
      <xdr:col>23</xdr:col>
      <xdr:colOff>91440</xdr:colOff>
      <xdr:row>36</xdr:row>
      <xdr:rowOff>16565</xdr:rowOff>
    </xdr:to>
    <xdr:graphicFrame macro="">
      <xdr:nvGraphicFramePr>
        <xdr:cNvPr id="35" name="Chart 34">
          <a:extLst>
            <a:ext uri="{FF2B5EF4-FFF2-40B4-BE49-F238E27FC236}">
              <a16:creationId xmlns:a16="http://schemas.microsoft.com/office/drawing/2014/main" id="{E62DDE6B-5D01-47F9-96A8-37D91A3914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601980</xdr:colOff>
      <xdr:row>3</xdr:row>
      <xdr:rowOff>167640</xdr:rowOff>
    </xdr:from>
    <xdr:to>
      <xdr:col>23</xdr:col>
      <xdr:colOff>76200</xdr:colOff>
      <xdr:row>19</xdr:row>
      <xdr:rowOff>137160</xdr:rowOff>
    </xdr:to>
    <xdr:graphicFrame macro="">
      <xdr:nvGraphicFramePr>
        <xdr:cNvPr id="37" name="Chart 36">
          <a:extLst>
            <a:ext uri="{FF2B5EF4-FFF2-40B4-BE49-F238E27FC236}">
              <a16:creationId xmlns:a16="http://schemas.microsoft.com/office/drawing/2014/main" id="{452F92CE-E007-4B87-A3D7-8BB2FE98ED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0</xdr:colOff>
      <xdr:row>21</xdr:row>
      <xdr:rowOff>33131</xdr:rowOff>
    </xdr:from>
    <xdr:to>
      <xdr:col>12</xdr:col>
      <xdr:colOff>24847</xdr:colOff>
      <xdr:row>36</xdr:row>
      <xdr:rowOff>43070</xdr:rowOff>
    </xdr:to>
    <xdr:graphicFrame macro="">
      <xdr:nvGraphicFramePr>
        <xdr:cNvPr id="38" name="Chart 37">
          <a:extLst>
            <a:ext uri="{FF2B5EF4-FFF2-40B4-BE49-F238E27FC236}">
              <a16:creationId xmlns:a16="http://schemas.microsoft.com/office/drawing/2014/main" id="{D479991E-2B4C-4589-B1BF-563333F1C0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7620</xdr:colOff>
      <xdr:row>0</xdr:row>
      <xdr:rowOff>0</xdr:rowOff>
    </xdr:from>
    <xdr:to>
      <xdr:col>26</xdr:col>
      <xdr:colOff>15240</xdr:colOff>
      <xdr:row>3</xdr:row>
      <xdr:rowOff>22860</xdr:rowOff>
    </xdr:to>
    <xdr:grpSp>
      <xdr:nvGrpSpPr>
        <xdr:cNvPr id="16" name="Group 15">
          <a:extLst>
            <a:ext uri="{FF2B5EF4-FFF2-40B4-BE49-F238E27FC236}">
              <a16:creationId xmlns:a16="http://schemas.microsoft.com/office/drawing/2014/main" id="{21D959CE-0AF7-09BF-B867-6CD8B670CBAB}"/>
            </a:ext>
          </a:extLst>
        </xdr:cNvPr>
        <xdr:cNvGrpSpPr/>
      </xdr:nvGrpSpPr>
      <xdr:grpSpPr>
        <a:xfrm>
          <a:off x="7620" y="0"/>
          <a:ext cx="15815067" cy="582200"/>
          <a:chOff x="7620" y="0"/>
          <a:chExt cx="15857220" cy="571500"/>
        </a:xfrm>
      </xdr:grpSpPr>
      <xdr:sp macro="" textlink="">
        <xdr:nvSpPr>
          <xdr:cNvPr id="8" name="TextBox 7">
            <a:hlinkClick xmlns:r="http://schemas.openxmlformats.org/officeDocument/2006/relationships" r:id="rId1"/>
            <a:extLst>
              <a:ext uri="{FF2B5EF4-FFF2-40B4-BE49-F238E27FC236}">
                <a16:creationId xmlns:a16="http://schemas.microsoft.com/office/drawing/2014/main" id="{A1AE6A7B-63EF-6E1E-63E0-D4FD881B2E1D}"/>
              </a:ext>
            </a:extLst>
          </xdr:cNvPr>
          <xdr:cNvSpPr txBox="1"/>
        </xdr:nvSpPr>
        <xdr:spPr>
          <a:xfrm>
            <a:off x="12692380" y="7620"/>
            <a:ext cx="1115060" cy="563880"/>
          </a:xfrm>
          <a:prstGeom prst="rect">
            <a:avLst/>
          </a:prstGeom>
          <a:no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Arial" panose="020B0604020202020204" pitchFamily="34" charset="0"/>
                <a:cs typeface="Arial" panose="020B0604020202020204" pitchFamily="34" charset="0"/>
              </a:rPr>
              <a:t>Industry-wise</a:t>
            </a:r>
          </a:p>
        </xdr:txBody>
      </xdr:sp>
      <xdr:pic>
        <xdr:nvPicPr>
          <xdr:cNvPr id="9" name="Graphic 8" descr="Robot with solid fill">
            <a:extLst>
              <a:ext uri="{FF2B5EF4-FFF2-40B4-BE49-F238E27FC236}">
                <a16:creationId xmlns:a16="http://schemas.microsoft.com/office/drawing/2014/main" id="{DB105D78-3553-52C9-64B8-25FE1346F07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620" y="15240"/>
            <a:ext cx="495300" cy="495300"/>
          </a:xfrm>
          <a:prstGeom prst="rect">
            <a:avLst/>
          </a:prstGeom>
        </xdr:spPr>
      </xdr:pic>
      <xdr:sp macro="" textlink="">
        <xdr:nvSpPr>
          <xdr:cNvPr id="10" name="TextBox 9">
            <a:hlinkClick xmlns:r="http://schemas.openxmlformats.org/officeDocument/2006/relationships" r:id="rId4"/>
            <a:extLst>
              <a:ext uri="{FF2B5EF4-FFF2-40B4-BE49-F238E27FC236}">
                <a16:creationId xmlns:a16="http://schemas.microsoft.com/office/drawing/2014/main" id="{3F19E59B-ABD8-5D22-75BA-E3B8B755B130}"/>
              </a:ext>
            </a:extLst>
          </xdr:cNvPr>
          <xdr:cNvSpPr txBox="1"/>
        </xdr:nvSpPr>
        <xdr:spPr>
          <a:xfrm>
            <a:off x="11681012" y="0"/>
            <a:ext cx="838648" cy="563880"/>
          </a:xfrm>
          <a:prstGeom prst="rect">
            <a:avLst/>
          </a:prstGeom>
          <a:no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Arial" panose="020B0604020202020204" pitchFamily="34" charset="0"/>
                <a:cs typeface="Arial" panose="020B0604020202020204" pitchFamily="34" charset="0"/>
              </a:rPr>
              <a:t>Home</a:t>
            </a:r>
          </a:p>
        </xdr:txBody>
      </xdr:sp>
      <xdr:sp macro="" textlink="">
        <xdr:nvSpPr>
          <xdr:cNvPr id="11" name="TextBox 10">
            <a:extLst>
              <a:ext uri="{FF2B5EF4-FFF2-40B4-BE49-F238E27FC236}">
                <a16:creationId xmlns:a16="http://schemas.microsoft.com/office/drawing/2014/main" id="{C5BF0F75-FD9F-B9F6-59D8-96AB5EE699C7}"/>
              </a:ext>
            </a:extLst>
          </xdr:cNvPr>
          <xdr:cNvSpPr txBox="1"/>
        </xdr:nvSpPr>
        <xdr:spPr>
          <a:xfrm>
            <a:off x="632460" y="15240"/>
            <a:ext cx="3048000" cy="541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400">
                <a:solidFill>
                  <a:schemeClr val="bg1"/>
                </a:solidFill>
                <a:latin typeface="Arial" panose="020B0604020202020204" pitchFamily="34" charset="0"/>
                <a:cs typeface="Arial" panose="020B0604020202020204" pitchFamily="34" charset="0"/>
              </a:rPr>
              <a:t>AI Jobs Dashboard</a:t>
            </a:r>
          </a:p>
        </xdr:txBody>
      </xdr:sp>
      <xdr:sp macro="" textlink="">
        <xdr:nvSpPr>
          <xdr:cNvPr id="13" name="TextBox 12">
            <a:hlinkClick xmlns:r="http://schemas.openxmlformats.org/officeDocument/2006/relationships" r:id="rId5"/>
            <a:extLst>
              <a:ext uri="{FF2B5EF4-FFF2-40B4-BE49-F238E27FC236}">
                <a16:creationId xmlns:a16="http://schemas.microsoft.com/office/drawing/2014/main" id="{8BCC2E1C-4643-0A57-9A13-AD2E67DCF94F}"/>
              </a:ext>
            </a:extLst>
          </xdr:cNvPr>
          <xdr:cNvSpPr txBox="1"/>
        </xdr:nvSpPr>
        <xdr:spPr>
          <a:xfrm>
            <a:off x="13980160" y="0"/>
            <a:ext cx="1323340" cy="563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Arial" panose="020B0604020202020204" pitchFamily="34" charset="0"/>
                <a:cs typeface="Arial" panose="020B0604020202020204" pitchFamily="34" charset="0"/>
              </a:rPr>
              <a:t>Experience-wise</a:t>
            </a:r>
          </a:p>
        </xdr:txBody>
      </xdr:sp>
      <xdr:sp macro="" textlink="">
        <xdr:nvSpPr>
          <xdr:cNvPr id="14" name="Rectangle 13">
            <a:extLst>
              <a:ext uri="{FF2B5EF4-FFF2-40B4-BE49-F238E27FC236}">
                <a16:creationId xmlns:a16="http://schemas.microsoft.com/office/drawing/2014/main" id="{AC52BCD6-C90D-34E3-01EF-7D513331EB80}"/>
              </a:ext>
            </a:extLst>
          </xdr:cNvPr>
          <xdr:cNvSpPr/>
        </xdr:nvSpPr>
        <xdr:spPr>
          <a:xfrm>
            <a:off x="15240" y="7620"/>
            <a:ext cx="15849600" cy="548640"/>
          </a:xfrm>
          <a:prstGeom prst="rect">
            <a:avLst/>
          </a:prstGeom>
          <a:no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23</xdr:col>
      <xdr:colOff>27940</xdr:colOff>
      <xdr:row>0</xdr:row>
      <xdr:rowOff>121920</xdr:rowOff>
    </xdr:from>
    <xdr:to>
      <xdr:col>25</xdr:col>
      <xdr:colOff>5080</xdr:colOff>
      <xdr:row>2</xdr:row>
      <xdr:rowOff>53340</xdr:rowOff>
    </xdr:to>
    <xdr:sp macro="" textlink="">
      <xdr:nvSpPr>
        <xdr:cNvPr id="4" name="Rectangle 3">
          <a:extLst>
            <a:ext uri="{FF2B5EF4-FFF2-40B4-BE49-F238E27FC236}">
              <a16:creationId xmlns:a16="http://schemas.microsoft.com/office/drawing/2014/main" id="{7E4B3E91-A241-4687-9583-F3CD6BF88619}"/>
            </a:ext>
          </a:extLst>
        </xdr:cNvPr>
        <xdr:cNvSpPr/>
      </xdr:nvSpPr>
      <xdr:spPr>
        <a:xfrm>
          <a:off x="14048740" y="121920"/>
          <a:ext cx="1196340" cy="287020"/>
        </a:xfrm>
        <a:prstGeom prst="rect">
          <a:avLst/>
        </a:prstGeom>
        <a:noFill/>
        <a:ln w="28575">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612912</xdr:colOff>
      <xdr:row>3</xdr:row>
      <xdr:rowOff>182217</xdr:rowOff>
    </xdr:from>
    <xdr:to>
      <xdr:col>11</xdr:col>
      <xdr:colOff>612912</xdr:colOff>
      <xdr:row>19</xdr:row>
      <xdr:rowOff>173934</xdr:rowOff>
    </xdr:to>
    <xdr:graphicFrame macro="">
      <xdr:nvGraphicFramePr>
        <xdr:cNvPr id="17" name="Chart 16">
          <a:extLst>
            <a:ext uri="{FF2B5EF4-FFF2-40B4-BE49-F238E27FC236}">
              <a16:creationId xmlns:a16="http://schemas.microsoft.com/office/drawing/2014/main" id="{182EADFB-61D9-47B0-966D-2A1256F0FF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16565</xdr:colOff>
      <xdr:row>3</xdr:row>
      <xdr:rowOff>173935</xdr:rowOff>
    </xdr:from>
    <xdr:to>
      <xdr:col>25</xdr:col>
      <xdr:colOff>8283</xdr:colOff>
      <xdr:row>19</xdr:row>
      <xdr:rowOff>173934</xdr:rowOff>
    </xdr:to>
    <xdr:graphicFrame macro="">
      <xdr:nvGraphicFramePr>
        <xdr:cNvPr id="19" name="Chart 18">
          <a:extLst>
            <a:ext uri="{FF2B5EF4-FFF2-40B4-BE49-F238E27FC236}">
              <a16:creationId xmlns:a16="http://schemas.microsoft.com/office/drawing/2014/main" id="{446A2F4E-9E8E-4DA6-96FC-3541A10EDB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49694</xdr:colOff>
      <xdr:row>22</xdr:row>
      <xdr:rowOff>16563</xdr:rowOff>
    </xdr:from>
    <xdr:to>
      <xdr:col>25</xdr:col>
      <xdr:colOff>0</xdr:colOff>
      <xdr:row>37</xdr:row>
      <xdr:rowOff>173934</xdr:rowOff>
    </xdr:to>
    <xdr:graphicFrame macro="">
      <xdr:nvGraphicFramePr>
        <xdr:cNvPr id="21" name="Chart 20">
          <a:extLst>
            <a:ext uri="{FF2B5EF4-FFF2-40B4-BE49-F238E27FC236}">
              <a16:creationId xmlns:a16="http://schemas.microsoft.com/office/drawing/2014/main" id="{95E5EAAB-FE94-46D4-BD3F-CCB9C4847A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604631</xdr:colOff>
      <xdr:row>21</xdr:row>
      <xdr:rowOff>182216</xdr:rowOff>
    </xdr:from>
    <xdr:to>
      <xdr:col>12</xdr:col>
      <xdr:colOff>0</xdr:colOff>
      <xdr:row>37</xdr:row>
      <xdr:rowOff>182217</xdr:rowOff>
    </xdr:to>
    <xdr:graphicFrame macro="">
      <xdr:nvGraphicFramePr>
        <xdr:cNvPr id="22" name="Chart 21">
          <a:extLst>
            <a:ext uri="{FF2B5EF4-FFF2-40B4-BE49-F238E27FC236}">
              <a16:creationId xmlns:a16="http://schemas.microsoft.com/office/drawing/2014/main" id="{9B334FEE-BD2C-4B00-9CD8-4B4C2E4C3B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16565</xdr:colOff>
      <xdr:row>4</xdr:row>
      <xdr:rowOff>16565</xdr:rowOff>
    </xdr:from>
    <xdr:to>
      <xdr:col>3</xdr:col>
      <xdr:colOff>6626</xdr:colOff>
      <xdr:row>16</xdr:row>
      <xdr:rowOff>99392</xdr:rowOff>
    </xdr:to>
    <mc:AlternateContent xmlns:mc="http://schemas.openxmlformats.org/markup-compatibility/2006" xmlns:a14="http://schemas.microsoft.com/office/drawing/2010/main">
      <mc:Choice Requires="a14">
        <xdr:graphicFrame macro="">
          <xdr:nvGraphicFramePr>
            <xdr:cNvPr id="23" name="industry 5">
              <a:extLst>
                <a:ext uri="{FF2B5EF4-FFF2-40B4-BE49-F238E27FC236}">
                  <a16:creationId xmlns:a16="http://schemas.microsoft.com/office/drawing/2014/main" id="{1CD36F21-828B-41C7-96CE-7D7D434AF94C}"/>
                </a:ext>
              </a:extLst>
            </xdr:cNvPr>
            <xdr:cNvGraphicFramePr/>
          </xdr:nvGraphicFramePr>
          <xdr:xfrm>
            <a:off x="0" y="0"/>
            <a:ext cx="0" cy="0"/>
          </xdr:xfrm>
          <a:graphic>
            <a:graphicData uri="http://schemas.microsoft.com/office/drawing/2010/slicer">
              <sle:slicer xmlns:sle="http://schemas.microsoft.com/office/drawing/2010/slicer" name="industry 5"/>
            </a:graphicData>
          </a:graphic>
        </xdr:graphicFrame>
      </mc:Choice>
      <mc:Fallback xmlns="">
        <xdr:sp macro="" textlink="">
          <xdr:nvSpPr>
            <xdr:cNvPr id="0" name=""/>
            <xdr:cNvSpPr>
              <a:spLocks noTextEdit="1"/>
            </xdr:cNvSpPr>
          </xdr:nvSpPr>
          <xdr:spPr>
            <a:xfrm>
              <a:off x="16565" y="740465"/>
              <a:ext cx="1818861" cy="22545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171451</xdr:rowOff>
    </xdr:from>
    <xdr:to>
      <xdr:col>3</xdr:col>
      <xdr:colOff>0</xdr:colOff>
      <xdr:row>24</xdr:row>
      <xdr:rowOff>66676</xdr:rowOff>
    </xdr:to>
    <mc:AlternateContent xmlns:mc="http://schemas.openxmlformats.org/markup-compatibility/2006" xmlns:a14="http://schemas.microsoft.com/office/drawing/2010/main">
      <mc:Choice Requires="a14">
        <xdr:graphicFrame macro="">
          <xdr:nvGraphicFramePr>
            <xdr:cNvPr id="5" name="company_size 1">
              <a:extLst>
                <a:ext uri="{FF2B5EF4-FFF2-40B4-BE49-F238E27FC236}">
                  <a16:creationId xmlns:a16="http://schemas.microsoft.com/office/drawing/2014/main" id="{D71EEC9A-F878-4125-84B1-98B0D5D4CF61}"/>
                </a:ext>
              </a:extLst>
            </xdr:cNvPr>
            <xdr:cNvGraphicFramePr/>
          </xdr:nvGraphicFramePr>
          <xdr:xfrm>
            <a:off x="0" y="0"/>
            <a:ext cx="0" cy="0"/>
          </xdr:xfrm>
          <a:graphic>
            <a:graphicData uri="http://schemas.microsoft.com/office/drawing/2010/slicer">
              <sle:slicer xmlns:sle="http://schemas.microsoft.com/office/drawing/2010/slicer" name="company_size 1"/>
            </a:graphicData>
          </a:graphic>
        </xdr:graphicFrame>
      </mc:Choice>
      <mc:Fallback xmlns="">
        <xdr:sp macro="" textlink="">
          <xdr:nvSpPr>
            <xdr:cNvPr id="0" name=""/>
            <xdr:cNvSpPr>
              <a:spLocks noTextEdit="1"/>
            </xdr:cNvSpPr>
          </xdr:nvSpPr>
          <xdr:spPr>
            <a:xfrm>
              <a:off x="0" y="3219451"/>
              <a:ext cx="1828800" cy="11502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inkya Garud" refreshedDate="45971.319422337961" createdVersion="8" refreshedVersion="8" minRefreshableVersion="3" recordCount="2000" xr:uid="{08C58875-8173-4415-B75B-54295C59669D}">
  <cacheSource type="worksheet">
    <worksheetSource name="ai_job_market"/>
  </cacheSource>
  <cacheFields count="26">
    <cacheField name="job_id" numFmtId="0">
      <sharedItems containsSemiMixedTypes="0" containsString="0" containsNumber="1" containsInteger="1" minValue="1" maxValue="2000"/>
    </cacheField>
    <cacheField name="company_name" numFmtId="0">
      <sharedItems/>
    </cacheField>
    <cacheField name="industry" numFmtId="0">
      <sharedItems count="7">
        <s v="Healthcare"/>
        <s v="Tech"/>
        <s v="Finance"/>
        <s v="Education"/>
        <s v="E-commerce"/>
        <s v="Automotive"/>
        <s v="Retail"/>
      </sharedItems>
    </cacheField>
    <cacheField name="job_title" numFmtId="0">
      <sharedItems count="8">
        <s v="Data Analyst"/>
        <s v="Computer Vision Engineer"/>
        <s v="AI Product Manager"/>
        <s v="ML Engineer"/>
        <s v="Quant Researcher"/>
        <s v="Data Scientist"/>
        <s v="NLP Engineer"/>
        <s v="AI Researcher"/>
      </sharedItems>
    </cacheField>
    <cacheField name="skills_required.1" numFmtId="0">
      <sharedItems/>
    </cacheField>
    <cacheField name="skills_required.2" numFmtId="0">
      <sharedItems/>
    </cacheField>
    <cacheField name="skills_required.3" numFmtId="0">
      <sharedItems/>
    </cacheField>
    <cacheField name="skills_required.4" numFmtId="0">
      <sharedItems containsBlank="1"/>
    </cacheField>
    <cacheField name="skills_required.5" numFmtId="0">
      <sharedItems containsBlank="1"/>
    </cacheField>
    <cacheField name="avg_salary" numFmtId="0">
      <sharedItems containsSemiMixedTypes="0" containsString="0" containsNumber="1" minValue="47578.5" maxValue="197776.5"/>
    </cacheField>
    <cacheField name="skills_required.6" numFmtId="0">
      <sharedItems containsBlank="1"/>
    </cacheField>
    <cacheField name="experience_level" numFmtId="0">
      <sharedItems/>
    </cacheField>
    <cacheField name="employment_type" numFmtId="0">
      <sharedItems count="4">
        <s v="Full-time"/>
        <s v="Internship"/>
        <s v="Contract"/>
        <s v="Remote"/>
      </sharedItems>
    </cacheField>
    <cacheField name="location.1" numFmtId="0">
      <sharedItems/>
    </cacheField>
    <cacheField name="location.2" numFmtId="0">
      <sharedItems/>
    </cacheField>
    <cacheField name="min_salary" numFmtId="0">
      <sharedItems containsSemiMixedTypes="0" containsString="0" containsNumber="1" containsInteger="1" minValue="40044" maxValue="149975"/>
    </cacheField>
    <cacheField name="max_salary" numFmtId="0">
      <sharedItems containsSemiMixedTypes="0" containsString="0" containsNumber="1" containsInteger="1" minValue="54162" maxValue="247578"/>
    </cacheField>
    <cacheField name="posted_date" numFmtId="14">
      <sharedItems containsSemiMixedTypes="0" containsNonDate="0" containsDate="1" containsString="0" minDate="2023-09-21T00:00:00" maxDate="2025-09-20T00:00:00"/>
    </cacheField>
    <cacheField name="company_size" numFmtId="0">
      <sharedItems count="3">
        <s v="Large"/>
        <s v="Mid"/>
        <s v="Startup"/>
      </sharedItems>
    </cacheField>
    <cacheField name="tools_preferred.1" numFmtId="0">
      <sharedItems/>
    </cacheField>
    <cacheField name="tools_preferred.2" numFmtId="0">
      <sharedItems containsBlank="1"/>
    </cacheField>
    <cacheField name="tools_preferred.3" numFmtId="0">
      <sharedItems containsBlank="1"/>
    </cacheField>
    <cacheField name="ai_job_market (2).skills_required.1" numFmtId="0">
      <sharedItems count="22">
        <s v="NumPy"/>
        <s v="Scikit-learn"/>
        <s v="Excel"/>
        <s v="MLflow"/>
        <s v="GCP"/>
        <s v="Python"/>
        <s v="Pandas"/>
        <s v="Keras"/>
        <s v="C++"/>
        <s v="Hugging Face"/>
        <s v="AWS"/>
        <s v="R"/>
        <s v="LangChain"/>
        <s v="CUDA"/>
        <s v="PyTorch"/>
        <s v="Azure"/>
        <s v="Flask"/>
        <s v="SQL"/>
        <s v="Power BI"/>
        <s v="TensorFlow"/>
        <s v="FastAPI"/>
        <s v="Reinforcement Learning"/>
      </sharedItems>
    </cacheField>
    <cacheField name="ai_job_market (2).Count" numFmtId="0">
      <sharedItems containsSemiMixedTypes="0" containsString="0" containsNumber="1" containsInteger="1" minValue="75" maxValue="111"/>
    </cacheField>
    <cacheField name="ai_job_market (3).tools_preferred.1" numFmtId="0">
      <sharedItems count="8">
        <s v="KDB+"/>
        <s v="FastAPI"/>
        <s v="TensorFlow"/>
        <s v="BigQuery"/>
        <s v="LangChain"/>
        <s v="PyTorch"/>
        <s v="MLflow"/>
        <s v="Scikit-learn"/>
      </sharedItems>
    </cacheField>
    <cacheField name="ai_job_market (3).Count" numFmtId="0">
      <sharedItems containsSemiMixedTypes="0" containsString="0" containsNumber="1" containsInteger="1" minValue="233" maxValue="268"/>
    </cacheField>
  </cacheFields>
  <extLst>
    <ext xmlns:x14="http://schemas.microsoft.com/office/spreadsheetml/2009/9/main" uri="{725AE2AE-9491-48be-B2B4-4EB974FC3084}">
      <x14:pivotCacheDefinition pivotCacheId="11230291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inkya Garud" refreshedDate="45971.319425694448" createdVersion="8" refreshedVersion="8" minRefreshableVersion="3" recordCount="22" xr:uid="{0744111B-A855-495C-B975-5A636243E0E7}">
  <cacheSource type="worksheet">
    <worksheetSource name="ai_job_market13"/>
  </cacheSource>
  <cacheFields count="2">
    <cacheField name="skills_required.1" numFmtId="0">
      <sharedItems/>
    </cacheField>
    <cacheField name="Count" numFmtId="0">
      <sharedItems containsSemiMixedTypes="0" containsString="0" containsNumber="1" containsInteger="1" minValue="75" maxValue="11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inkya Garud" refreshedDate="45971.31942615741" createdVersion="8" refreshedVersion="8" minRefreshableVersion="3" recordCount="8" xr:uid="{95778E34-C90C-4AC6-8118-9845DFA621AC}">
  <cacheSource type="worksheet">
    <worksheetSource name="ai_job_market14"/>
  </cacheSource>
  <cacheFields count="2">
    <cacheField name="tools_preferred.1" numFmtId="0">
      <sharedItems count="8">
        <s v="KDB+"/>
        <s v="FastAPI"/>
        <s v="BigQuery"/>
        <s v="TensorFlow"/>
        <s v="PyTorch"/>
        <s v="Scikit-learn"/>
        <s v="MLflow"/>
        <s v="LangChain"/>
      </sharedItems>
    </cacheField>
    <cacheField name="Count" numFmtId="0">
      <sharedItems containsSemiMixedTypes="0" containsString="0" containsNumber="1" containsInteger="1" minValue="233" maxValue="268"/>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inkya Garud" refreshedDate="45971.616736111115" createdVersion="8" refreshedVersion="8" minRefreshableVersion="3" recordCount="2000" xr:uid="{6C132FB0-DB45-419B-92F7-2259F9829773}">
  <cacheSource type="worksheet">
    <worksheetSource name="Table11"/>
  </cacheSource>
  <cacheFields count="8">
    <cacheField name="industry" numFmtId="0">
      <sharedItems containsBlank="1" count="8">
        <s v="Tech"/>
        <s v="Education"/>
        <s v="Finance"/>
        <s v="Healthcare"/>
        <s v="Automotive"/>
        <s v="Retail"/>
        <s v="E-commerce"/>
        <m u="1"/>
      </sharedItems>
    </cacheField>
    <cacheField name="job_title" numFmtId="0">
      <sharedItems containsBlank="1" count="9">
        <s v="Data Scientist"/>
        <s v="ML Engineer"/>
        <s v="NLP Engineer"/>
        <s v="Data Analyst"/>
        <s v="Quant Researcher"/>
        <s v="AI Researcher"/>
        <s v="Computer Vision Engineer"/>
        <s v="AI Product Manager"/>
        <m u="1"/>
      </sharedItems>
    </cacheField>
    <cacheField name="experience_level" numFmtId="0">
      <sharedItems containsBlank="1" count="4">
        <s v="Entry"/>
        <s v="Senior"/>
        <s v="Mid"/>
        <m u="1"/>
      </sharedItems>
    </cacheField>
    <cacheField name="employment_type" numFmtId="0">
      <sharedItems containsBlank="1" count="5">
        <s v="Internship"/>
        <s v="Contract"/>
        <s v="Remote"/>
        <s v="Full-time"/>
        <m u="1"/>
      </sharedItems>
    </cacheField>
    <cacheField name="avg_salary" numFmtId="164">
      <sharedItems containsSemiMixedTypes="0" containsString="0" containsNumber="1" minValue="47578.5" maxValue="197776.5"/>
    </cacheField>
    <cacheField name="skills_required" numFmtId="0">
      <sharedItems/>
    </cacheField>
    <cacheField name="tools_preferred" numFmtId="0">
      <sharedItems/>
    </cacheField>
    <cacheField name="company_size" numFmtId="0">
      <sharedItems containsBlank="1" count="4">
        <s v="Startup"/>
        <s v="Mid"/>
        <s v="Large"/>
        <m u="1"/>
      </sharedItems>
    </cacheField>
  </cacheFields>
  <extLst>
    <ext xmlns:x14="http://schemas.microsoft.com/office/spreadsheetml/2009/9/main" uri="{725AE2AE-9491-48be-B2B4-4EB974FC3084}">
      <x14:pivotCacheDefinition pivotCacheId="8191643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1"/>
    <s v="Foster and Sons"/>
    <x v="0"/>
    <x v="0"/>
    <s v="NumPy"/>
    <s v=" Reinforcement Learning"/>
    <s v=" PyTorch"/>
    <s v=" Scikit-learn"/>
    <s v=" GCP"/>
    <n v="101229"/>
    <s v=" FastAPI"/>
    <s v="Mid"/>
    <x v="0"/>
    <s v="Tracybury"/>
    <s v=" AR"/>
    <n v="92860"/>
    <n v="109598"/>
    <d v="2025-08-20T00:00:00"/>
    <x v="0"/>
    <s v="KDB+"/>
    <s v=" LangChain"/>
    <m/>
    <x v="0"/>
    <n v="104"/>
    <x v="0"/>
    <n v="247"/>
  </r>
  <r>
    <n v="2"/>
    <s v="Boyd, Myers and Ramirez"/>
    <x v="1"/>
    <x v="1"/>
    <s v="Scikit-learn"/>
    <s v=" CUDA"/>
    <s v=" SQL"/>
    <s v=" Pandas"/>
    <m/>
    <n v="111699"/>
    <m/>
    <s v="Senior"/>
    <x v="0"/>
    <s v="Lake Scott"/>
    <s v=" CU"/>
    <n v="78523"/>
    <n v="144875"/>
    <d v="2024-03-22T00:00:00"/>
    <x v="0"/>
    <s v="FastAPI"/>
    <s v=" KDB+"/>
    <s v=" TensorFlow"/>
    <x v="1"/>
    <n v="76"/>
    <x v="1"/>
    <n v="251"/>
  </r>
  <r>
    <n v="4"/>
    <s v="Cooper, Archer and Lynch"/>
    <x v="1"/>
    <x v="2"/>
    <s v="Scikit-learn"/>
    <s v=" C++"/>
    <s v=" Pandas"/>
    <s v=" LangChain"/>
    <s v=" AWS"/>
    <n v="87325.5"/>
    <s v=" R"/>
    <s v="Mid"/>
    <x v="0"/>
    <s v="Perezview"/>
    <s v=" FI"/>
    <n v="50908"/>
    <n v="123743"/>
    <d v="2024-05-08T00:00:00"/>
    <x v="0"/>
    <s v="TensorFlow"/>
    <s v=" BigQuery"/>
    <s v=" MLflow"/>
    <x v="1"/>
    <n v="76"/>
    <x v="2"/>
    <n v="249"/>
  </r>
  <r>
    <n v="12"/>
    <s v="Johnson, Guzman and Hernandez"/>
    <x v="2"/>
    <x v="3"/>
    <s v="Excel"/>
    <s v=" Reinforcement Learning"/>
    <s v=" Keras"/>
    <s v=" Scikit-learn"/>
    <m/>
    <n v="98126.5"/>
    <m/>
    <s v="Entry"/>
    <x v="0"/>
    <s v="Joychester"/>
    <s v=" LT"/>
    <n v="63583"/>
    <n v="132670"/>
    <d v="2024-03-15T00:00:00"/>
    <x v="0"/>
    <s v="TensorFlow"/>
    <s v=" PyTorch"/>
    <s v=" BigQuery"/>
    <x v="2"/>
    <n v="101"/>
    <x v="2"/>
    <n v="249"/>
  </r>
  <r>
    <n v="3"/>
    <s v="King Inc"/>
    <x v="1"/>
    <x v="4"/>
    <s v="MLflow"/>
    <s v=" FastAPI"/>
    <s v=" Azure"/>
    <s v=" PyTorch"/>
    <s v=" SQL"/>
    <n v="170850"/>
    <s v=" GCP"/>
    <s v="Entry"/>
    <x v="0"/>
    <s v="East Paige"/>
    <s v=" CM"/>
    <n v="124496"/>
    <n v="217204"/>
    <d v="2025-09-18T00:00:00"/>
    <x v="0"/>
    <s v="BigQuery"/>
    <s v=" PyTorch"/>
    <s v=" Scikit-learn"/>
    <x v="3"/>
    <n v="80"/>
    <x v="3"/>
    <n v="238"/>
  </r>
  <r>
    <n v="8"/>
    <s v="Mullins Ltd"/>
    <x v="3"/>
    <x v="5"/>
    <s v="Excel"/>
    <s v=" SQL"/>
    <s v=" Flask"/>
    <m/>
    <m/>
    <n v="72588"/>
    <m/>
    <s v="Entry"/>
    <x v="1"/>
    <s v="Port Hailey"/>
    <s v=" RU"/>
    <n v="63032"/>
    <n v="82144"/>
    <d v="2024-08-14T00:00:00"/>
    <x v="0"/>
    <s v="BigQuery"/>
    <m/>
    <m/>
    <x v="2"/>
    <n v="101"/>
    <x v="3"/>
    <n v="238"/>
  </r>
  <r>
    <n v="17"/>
    <s v="Preston Ltd"/>
    <x v="4"/>
    <x v="3"/>
    <s v="MLflow"/>
    <s v=" R"/>
    <s v=" C++"/>
    <m/>
    <m/>
    <n v="158810"/>
    <m/>
    <s v="Entry"/>
    <x v="0"/>
    <s v="South Tim"/>
    <s v=" CZ"/>
    <n v="137523"/>
    <n v="180097"/>
    <d v="2025-05-14T00:00:00"/>
    <x v="1"/>
    <s v="LangChain"/>
    <m/>
    <m/>
    <x v="3"/>
    <n v="80"/>
    <x v="4"/>
    <n v="268"/>
  </r>
  <r>
    <n v="5"/>
    <s v="Hall LLC"/>
    <x v="2"/>
    <x v="5"/>
    <s v="Excel"/>
    <s v=" Keras"/>
    <s v=" SQL"/>
    <s v=" Hugging Face"/>
    <m/>
    <n v="117053.5"/>
    <m/>
    <s v="Senior"/>
    <x v="2"/>
    <s v="North Desireeland"/>
    <s v=" NE"/>
    <n v="98694"/>
    <n v="135413"/>
    <d v="2025-02-24T00:00:00"/>
    <x v="0"/>
    <s v="PyTorch"/>
    <s v=" LangChain"/>
    <m/>
    <x v="2"/>
    <n v="101"/>
    <x v="5"/>
    <n v="233"/>
  </r>
  <r>
    <n v="10"/>
    <s v="Parks LLC"/>
    <x v="5"/>
    <x v="1"/>
    <s v="Excel"/>
    <s v=" Reinforcement Learning"/>
    <s v=" TensorFlow"/>
    <m/>
    <m/>
    <n v="122195"/>
    <m/>
    <s v="Senior"/>
    <x v="0"/>
    <s v="Nicoleshire"/>
    <s v=" BA"/>
    <n v="79361"/>
    <n v="165029"/>
    <d v="2025-08-07T00:00:00"/>
    <x v="0"/>
    <s v="MLflow"/>
    <s v=" TensorFlow"/>
    <m/>
    <x v="2"/>
    <n v="101"/>
    <x v="6"/>
    <n v="259"/>
  </r>
  <r>
    <n v="14"/>
    <s v="Frank-Duarte"/>
    <x v="6"/>
    <x v="4"/>
    <s v="Excel"/>
    <s v=" MLflow"/>
    <s v=" NumPy"/>
    <s v=" Hugging Face"/>
    <s v=" LangChain"/>
    <n v="165489.5"/>
    <s v=" FastAPI"/>
    <s v="Senior"/>
    <x v="0"/>
    <s v="Christianberg"/>
    <s v=" GQ"/>
    <n v="137004"/>
    <n v="193975"/>
    <d v="2024-11-20T00:00:00"/>
    <x v="1"/>
    <s v="LangChain"/>
    <s v=" TensorFlow"/>
    <s v=" Scikit-learn"/>
    <x v="2"/>
    <n v="101"/>
    <x v="4"/>
    <n v="268"/>
  </r>
  <r>
    <n v="18"/>
    <s v="Smith-Moore"/>
    <x v="5"/>
    <x v="2"/>
    <s v="Excel"/>
    <s v=" MLflow"/>
    <s v=" Hugging Face"/>
    <s v=" Flask"/>
    <s v=" Power BI"/>
    <n v="165520.5"/>
    <m/>
    <s v="Entry"/>
    <x v="1"/>
    <s v="Blevinsburgh"/>
    <s v=" VU"/>
    <n v="138184"/>
    <n v="192857"/>
    <d v="2024-04-29T00:00:00"/>
    <x v="2"/>
    <s v="BigQuery"/>
    <m/>
    <m/>
    <x v="2"/>
    <n v="101"/>
    <x v="3"/>
    <n v="238"/>
  </r>
  <r>
    <n v="6"/>
    <s v="Ellis PLC"/>
    <x v="4"/>
    <x v="2"/>
    <s v="GCP"/>
    <s v=" Excel"/>
    <s v=" Scikit-learn"/>
    <s v=" MLflow"/>
    <m/>
    <n v="136675"/>
    <m/>
    <s v="Senior"/>
    <x v="3"/>
    <s v="South Kevin"/>
    <s v=" TZ"/>
    <n v="92632"/>
    <n v="180718"/>
    <d v="2025-08-07T00:00:00"/>
    <x v="0"/>
    <s v="PyTorch"/>
    <s v=" TensorFlow"/>
    <s v=" FastAPI"/>
    <x v="4"/>
    <n v="78"/>
    <x v="5"/>
    <n v="233"/>
  </r>
  <r>
    <n v="7"/>
    <s v="Matthews-Moses"/>
    <x v="5"/>
    <x v="0"/>
    <s v="Python"/>
    <s v=" Flask"/>
    <s v=" Scikit-learn"/>
    <s v=" GCP"/>
    <m/>
    <n v="79584.5"/>
    <m/>
    <s v="Mid"/>
    <x v="0"/>
    <s v="West Shawn"/>
    <s v=" LR"/>
    <n v="70575"/>
    <n v="88594"/>
    <d v="2024-12-23T00:00:00"/>
    <x v="0"/>
    <s v="PyTorch"/>
    <s v=" MLflow"/>
    <m/>
    <x v="5"/>
    <n v="94"/>
    <x v="5"/>
    <n v="233"/>
  </r>
  <r>
    <n v="9"/>
    <s v="Aguilar PLC"/>
    <x v="0"/>
    <x v="3"/>
    <s v="Pandas"/>
    <s v=" LangChain"/>
    <s v=" GCP"/>
    <s v=" Azure"/>
    <m/>
    <n v="161371.5"/>
    <m/>
    <s v="Entry"/>
    <x v="1"/>
    <s v="Butlermouth"/>
    <s v=" GB"/>
    <n v="134239"/>
    <n v="188504"/>
    <d v="2025-09-15T00:00:00"/>
    <x v="0"/>
    <s v="Scikit-learn"/>
    <s v=" LangChain"/>
    <s v=" BigQuery"/>
    <x v="6"/>
    <n v="78"/>
    <x v="7"/>
    <n v="255"/>
  </r>
  <r>
    <n v="15"/>
    <s v="Rogers Ltd"/>
    <x v="3"/>
    <x v="6"/>
    <s v="Pandas"/>
    <s v=" CUDA"/>
    <s v=" NumPy"/>
    <s v=" FastAPI"/>
    <m/>
    <n v="173291.5"/>
    <m/>
    <s v="Mid"/>
    <x v="3"/>
    <s v="New Katieborough"/>
    <s v=" FJ"/>
    <n v="129842"/>
    <n v="216741"/>
    <d v="2024-07-08T00:00:00"/>
    <x v="0"/>
    <s v="FastAPI"/>
    <m/>
    <m/>
    <x v="6"/>
    <n v="78"/>
    <x v="1"/>
    <n v="251"/>
  </r>
  <r>
    <n v="11"/>
    <s v="Vaughan-Ortiz"/>
    <x v="1"/>
    <x v="5"/>
    <s v="Keras"/>
    <s v=" MLflow"/>
    <s v=" Reinforcement Learning"/>
    <m/>
    <m/>
    <n v="112967.5"/>
    <m/>
    <s v="Entry"/>
    <x v="1"/>
    <s v="New Angelatown"/>
    <s v=" LU"/>
    <n v="99964"/>
    <n v="125971"/>
    <d v="2024-01-10T00:00:00"/>
    <x v="0"/>
    <s v="LangChain"/>
    <s v=" BigQuery"/>
    <s v=" Scikit-learn"/>
    <x v="7"/>
    <n v="96"/>
    <x v="4"/>
    <n v="268"/>
  </r>
  <r>
    <n v="13"/>
    <s v="Martin and Sons"/>
    <x v="4"/>
    <x v="6"/>
    <s v="C++"/>
    <s v=" Hugging Face"/>
    <s v=" Python"/>
    <s v=" FastAPI"/>
    <m/>
    <n v="109898"/>
    <m/>
    <s v="Entry"/>
    <x v="0"/>
    <s v="South Michael"/>
    <s v=" FM"/>
    <n v="102770"/>
    <n v="117026"/>
    <d v="2023-09-27T00:00:00"/>
    <x v="2"/>
    <s v="LangChain"/>
    <m/>
    <m/>
    <x v="8"/>
    <n v="84"/>
    <x v="4"/>
    <n v="268"/>
  </r>
  <r>
    <n v="21"/>
    <s v="Whitaker, Walker and Sandoval"/>
    <x v="6"/>
    <x v="4"/>
    <s v="C++"/>
    <s v=" Power BI"/>
    <s v=" R"/>
    <s v=" SQL"/>
    <s v=" Keras"/>
    <n v="148844.5"/>
    <s v=" Azure"/>
    <s v="Entry"/>
    <x v="3"/>
    <s v="Gregorymouth"/>
    <s v=" LV"/>
    <n v="122521"/>
    <n v="175168"/>
    <d v="2024-01-19T00:00:00"/>
    <x v="0"/>
    <s v="Scikit-learn"/>
    <s v=" BigQuery"/>
    <s v=" PyTorch"/>
    <x v="8"/>
    <n v="84"/>
    <x v="7"/>
    <n v="255"/>
  </r>
  <r>
    <n v="16"/>
    <s v="Wright-Evans"/>
    <x v="5"/>
    <x v="6"/>
    <s v="Hugging Face"/>
    <s v=" Scikit-learn"/>
    <s v=" Reinforcement Learning"/>
    <m/>
    <m/>
    <n v="171267.5"/>
    <m/>
    <s v="Senior"/>
    <x v="3"/>
    <s v="Stephaniechester"/>
    <s v=" LU"/>
    <n v="124669"/>
    <n v="217866"/>
    <d v="2024-04-06T00:00:00"/>
    <x v="2"/>
    <s v="TensorFlow"/>
    <m/>
    <m/>
    <x v="9"/>
    <n v="89"/>
    <x v="2"/>
    <n v="249"/>
  </r>
  <r>
    <n v="19"/>
    <s v="Webb and Sons"/>
    <x v="0"/>
    <x v="5"/>
    <s v="AWS"/>
    <s v=" Azure"/>
    <s v=" Power BI"/>
    <s v=" CUDA"/>
    <s v=" Reinforcement Learning"/>
    <n v="130295"/>
    <s v=" Hugging Face"/>
    <s v="Senior"/>
    <x v="3"/>
    <s v="Parkmouth"/>
    <s v=" CA"/>
    <n v="100845"/>
    <n v="159745"/>
    <d v="2024-10-19T00:00:00"/>
    <x v="1"/>
    <s v="BigQuery"/>
    <s v=" FastAPI"/>
    <s v=" KDB+"/>
    <x v="10"/>
    <n v="97"/>
    <x v="3"/>
    <n v="238"/>
  </r>
  <r>
    <n v="20"/>
    <s v="Gates LLC"/>
    <x v="4"/>
    <x v="3"/>
    <s v="R"/>
    <s v=" CUDA"/>
    <s v=" Power BI"/>
    <s v=" AWS"/>
    <m/>
    <n v="161379"/>
    <m/>
    <s v="Mid"/>
    <x v="1"/>
    <s v="Stevenhaven"/>
    <s v=" BW"/>
    <n v="115578"/>
    <n v="207180"/>
    <d v="2024-08-29T00:00:00"/>
    <x v="0"/>
    <s v="MLflow"/>
    <m/>
    <m/>
    <x v="11"/>
    <n v="86"/>
    <x v="6"/>
    <n v="259"/>
  </r>
  <r>
    <n v="22"/>
    <s v="Humphrey LLC"/>
    <x v="6"/>
    <x v="4"/>
    <s v="LangChain"/>
    <s v=" NumPy"/>
    <s v=" CUDA"/>
    <s v=" C++"/>
    <s v=" MLflow"/>
    <n v="83849.5"/>
    <s v=" R"/>
    <s v="Entry"/>
    <x v="0"/>
    <s v="Lake Alexander"/>
    <s v=" RU"/>
    <n v="62483"/>
    <n v="105216"/>
    <d v="2023-12-28T00:00:00"/>
    <x v="0"/>
    <s v="PyTorch"/>
    <s v=" LangChain"/>
    <m/>
    <x v="12"/>
    <n v="100"/>
    <x v="5"/>
    <n v="233"/>
  </r>
  <r>
    <n v="23"/>
    <s v="Adams, Stevenson and Wagner"/>
    <x v="4"/>
    <x v="6"/>
    <s v="CUDA"/>
    <s v=" FastAPI"/>
    <s v=" Scikit-learn"/>
    <s v=" MLflow"/>
    <s v=" Hugging Face"/>
    <n v="111608"/>
    <m/>
    <s v="Mid"/>
    <x v="3"/>
    <s v="North Nicholas"/>
    <s v=" SN"/>
    <n v="74317"/>
    <n v="148899"/>
    <d v="2024-11-25T00:00:00"/>
    <x v="2"/>
    <s v="PyTorch"/>
    <s v=" Scikit-learn"/>
    <s v=" KDB+"/>
    <x v="13"/>
    <n v="75"/>
    <x v="5"/>
    <n v="233"/>
  </r>
  <r>
    <n v="24"/>
    <s v="Thomas, Hurst and Becker"/>
    <x v="1"/>
    <x v="6"/>
    <s v="PyTorch"/>
    <s v=" CUDA"/>
    <s v=" Hugging Face"/>
    <s v=" Flask"/>
    <s v=" C++"/>
    <n v="96719"/>
    <m/>
    <s v="Senior"/>
    <x v="1"/>
    <s v="Leeton"/>
    <s v=" MW"/>
    <n v="68115"/>
    <n v="125323"/>
    <d v="2023-12-06T00:00:00"/>
    <x v="1"/>
    <s v="Scikit-learn"/>
    <m/>
    <m/>
    <x v="14"/>
    <n v="92"/>
    <x v="7"/>
    <n v="255"/>
  </r>
  <r>
    <n v="25"/>
    <s v="Sherman-Nguyen"/>
    <x v="0"/>
    <x v="6"/>
    <s v="Python"/>
    <s v=" Reinforcement Learning"/>
    <s v=" MLflow"/>
    <m/>
    <m/>
    <n v="99766.5"/>
    <m/>
    <s v="Mid"/>
    <x v="1"/>
    <s v="Suzanneview"/>
    <s v=" TW"/>
    <n v="89840"/>
    <n v="109693"/>
    <d v="2025-06-13T00:00:00"/>
    <x v="1"/>
    <s v="FastAPI"/>
    <m/>
    <m/>
    <x v="5"/>
    <n v="94"/>
    <x v="1"/>
    <n v="251"/>
  </r>
  <r>
    <n v="26"/>
    <s v="Johnson-Keller"/>
    <x v="2"/>
    <x v="6"/>
    <s v="PyTorch"/>
    <s v=" Reinforcement Learning"/>
    <s v=" FastAPI"/>
    <s v=" Power BI"/>
    <s v=" Python"/>
    <n v="117249.5"/>
    <s v=" R"/>
    <s v="Mid"/>
    <x v="3"/>
    <s v="Whitestad"/>
    <s v=" BB"/>
    <n v="107786"/>
    <n v="126713"/>
    <d v="2024-12-20T00:00:00"/>
    <x v="1"/>
    <s v="FastAPI"/>
    <s v=" PyTorch"/>
    <s v=" KDB+"/>
    <x v="14"/>
    <n v="92"/>
    <x v="1"/>
    <n v="251"/>
  </r>
  <r>
    <n v="27"/>
    <s v="Le PLC"/>
    <x v="3"/>
    <x v="4"/>
    <s v="Azure"/>
    <s v=" Flask"/>
    <s v=" FastAPI"/>
    <s v=" Hugging Face"/>
    <s v=" Power BI"/>
    <n v="60796.5"/>
    <s v=" Python"/>
    <s v="Senior"/>
    <x v="1"/>
    <s v="Taraburgh"/>
    <s v=" DZ"/>
    <n v="44309"/>
    <n v="77284"/>
    <d v="2025-01-02T00:00:00"/>
    <x v="0"/>
    <s v="TensorFlow"/>
    <s v=" Scikit-learn"/>
    <s v=" FastAPI"/>
    <x v="15"/>
    <n v="90"/>
    <x v="2"/>
    <n v="249"/>
  </r>
  <r>
    <n v="28"/>
    <s v="Abbott, Nielsen and Young"/>
    <x v="0"/>
    <x v="0"/>
    <s v="R"/>
    <s v=" Python"/>
    <s v=" Pandas"/>
    <m/>
    <m/>
    <n v="148691.5"/>
    <m/>
    <s v="Entry"/>
    <x v="2"/>
    <s v="New Richard"/>
    <s v=" TD"/>
    <n v="124616"/>
    <n v="172767"/>
    <d v="2025-02-28T00:00:00"/>
    <x v="2"/>
    <s v="PyTorch"/>
    <s v=" MLflow"/>
    <m/>
    <x v="11"/>
    <n v="86"/>
    <x v="5"/>
    <n v="233"/>
  </r>
  <r>
    <n v="29"/>
    <s v="Thomas-Ruiz"/>
    <x v="2"/>
    <x v="0"/>
    <s v="Flask"/>
    <s v=" Hugging Face"/>
    <s v=" Pandas"/>
    <s v=" Python"/>
    <s v=" Scikit-learn"/>
    <n v="179503.5"/>
    <s v=" Keras"/>
    <s v="Mid"/>
    <x v="1"/>
    <s v="South Donaldton"/>
    <s v=" GE"/>
    <n v="142616"/>
    <n v="216391"/>
    <d v="2025-01-31T00:00:00"/>
    <x v="2"/>
    <s v="Scikit-learn"/>
    <s v=" FastAPI"/>
    <s v=" LangChain"/>
    <x v="16"/>
    <n v="86"/>
    <x v="7"/>
    <n v="255"/>
  </r>
  <r>
    <n v="30"/>
    <s v="Good, Ware and Cruz"/>
    <x v="2"/>
    <x v="0"/>
    <s v="Scikit-learn"/>
    <s v=" SQL"/>
    <s v=" Azure"/>
    <m/>
    <m/>
    <n v="116250"/>
    <m/>
    <s v="Entry"/>
    <x v="2"/>
    <s v="North Michael"/>
    <s v=" TT"/>
    <n v="70932"/>
    <n v="161568"/>
    <d v="2024-06-07T00:00:00"/>
    <x v="2"/>
    <s v="TensorFlow"/>
    <m/>
    <m/>
    <x v="1"/>
    <n v="76"/>
    <x v="2"/>
    <n v="249"/>
  </r>
  <r>
    <n v="31"/>
    <s v="Gay PLC"/>
    <x v="1"/>
    <x v="4"/>
    <s v="Keras"/>
    <s v=" Excel"/>
    <s v=" TensorFlow"/>
    <m/>
    <m/>
    <n v="74513"/>
    <m/>
    <s v="Senior"/>
    <x v="0"/>
    <s v="Port Patriciaport"/>
    <s v=" TG"/>
    <n v="54565"/>
    <n v="94461"/>
    <d v="2024-06-27T00:00:00"/>
    <x v="2"/>
    <s v="KDB+"/>
    <s v=" PyTorch"/>
    <m/>
    <x v="7"/>
    <n v="96"/>
    <x v="0"/>
    <n v="247"/>
  </r>
  <r>
    <n v="32"/>
    <s v="Kirby-Zuniga"/>
    <x v="0"/>
    <x v="5"/>
    <s v="Hugging Face"/>
    <s v=" Scikit-learn"/>
    <s v=" C++"/>
    <s v=" Excel"/>
    <s v=" Azure"/>
    <n v="146069"/>
    <m/>
    <s v="Entry"/>
    <x v="0"/>
    <s v="Danielchester"/>
    <s v=" ID"/>
    <n v="112660"/>
    <n v="179478"/>
    <d v="2023-09-22T00:00:00"/>
    <x v="1"/>
    <s v="LangChain"/>
    <s v=" KDB+"/>
    <m/>
    <x v="9"/>
    <n v="89"/>
    <x v="4"/>
    <n v="268"/>
  </r>
  <r>
    <n v="33"/>
    <s v="Castillo, Campbell and Robinson"/>
    <x v="1"/>
    <x v="2"/>
    <s v="Keras"/>
    <s v=" PyTorch"/>
    <s v=" AWS"/>
    <s v=" FastAPI"/>
    <s v=" CUDA"/>
    <n v="80135.5"/>
    <m/>
    <s v="Mid"/>
    <x v="2"/>
    <s v="Alexandriaburgh"/>
    <s v=" KN"/>
    <n v="55330"/>
    <n v="104941"/>
    <d v="2024-09-30T00:00:00"/>
    <x v="2"/>
    <s v="TensorFlow"/>
    <s v=" Scikit-learn"/>
    <m/>
    <x v="7"/>
    <n v="96"/>
    <x v="2"/>
    <n v="249"/>
  </r>
  <r>
    <n v="34"/>
    <s v="Carter LLC"/>
    <x v="2"/>
    <x v="6"/>
    <s v="MLflow"/>
    <s v=" Keras"/>
    <s v=" SQL"/>
    <s v=" GCP"/>
    <s v=" Power BI"/>
    <n v="146755"/>
    <m/>
    <s v="Senior"/>
    <x v="1"/>
    <s v="West Charles"/>
    <s v=" TT"/>
    <n v="110439"/>
    <n v="183071"/>
    <d v="2023-11-25T00:00:00"/>
    <x v="2"/>
    <s v="PyTorch"/>
    <m/>
    <m/>
    <x v="3"/>
    <n v="80"/>
    <x v="5"/>
    <n v="233"/>
  </r>
  <r>
    <n v="35"/>
    <s v="Hall Group"/>
    <x v="5"/>
    <x v="1"/>
    <s v="GCP"/>
    <s v=" C++"/>
    <s v=" Excel"/>
    <m/>
    <m/>
    <n v="115927"/>
    <m/>
    <s v="Entry"/>
    <x v="2"/>
    <s v="North Denise"/>
    <s v=" MC"/>
    <n v="97714"/>
    <n v="134140"/>
    <d v="2024-04-01T00:00:00"/>
    <x v="0"/>
    <s v="TensorFlow"/>
    <s v=" Scikit-learn"/>
    <m/>
    <x v="4"/>
    <n v="78"/>
    <x v="2"/>
    <n v="249"/>
  </r>
  <r>
    <n v="36"/>
    <s v="Huynh PLC"/>
    <x v="2"/>
    <x v="1"/>
    <s v="PyTorch"/>
    <s v=" LangChain"/>
    <s v=" R"/>
    <m/>
    <m/>
    <n v="122059.5"/>
    <m/>
    <s v="Mid"/>
    <x v="3"/>
    <s v="Kirbyside"/>
    <s v=" LT"/>
    <n v="87250"/>
    <n v="156869"/>
    <d v="2023-12-25T00:00:00"/>
    <x v="2"/>
    <s v="Scikit-learn"/>
    <s v=" FastAPI"/>
    <s v=" MLflow"/>
    <x v="14"/>
    <n v="92"/>
    <x v="7"/>
    <n v="255"/>
  </r>
  <r>
    <n v="37"/>
    <s v="Smith, Haas and Mendez"/>
    <x v="6"/>
    <x v="7"/>
    <s v="Excel"/>
    <s v=" SQL"/>
    <s v=" Python"/>
    <m/>
    <m/>
    <n v="120173"/>
    <m/>
    <s v="Entry"/>
    <x v="2"/>
    <s v="Lake John"/>
    <s v=" AU"/>
    <n v="77074"/>
    <n v="163272"/>
    <d v="2024-11-16T00:00:00"/>
    <x v="1"/>
    <s v="Scikit-learn"/>
    <s v=" LangChain"/>
    <s v=" KDB+"/>
    <x v="2"/>
    <n v="101"/>
    <x v="7"/>
    <n v="255"/>
  </r>
  <r>
    <n v="38"/>
    <s v="Briggs, Shaw and Berry"/>
    <x v="4"/>
    <x v="3"/>
    <s v="SQL"/>
    <s v=" Hugging Face"/>
    <s v=" TensorFlow"/>
    <m/>
    <m/>
    <n v="137937.5"/>
    <m/>
    <s v="Mid"/>
    <x v="3"/>
    <s v="East Ashleyland"/>
    <s v=" PL"/>
    <n v="116061"/>
    <n v="159814"/>
    <d v="2025-05-14T00:00:00"/>
    <x v="2"/>
    <s v="MLflow"/>
    <m/>
    <m/>
    <x v="17"/>
    <n v="88"/>
    <x v="6"/>
    <n v="259"/>
  </r>
  <r>
    <n v="39"/>
    <s v="Boyd PLC"/>
    <x v="6"/>
    <x v="5"/>
    <s v="PyTorch"/>
    <s v=" Power BI"/>
    <s v=" AWS"/>
    <s v=" FastAPI"/>
    <m/>
    <n v="111758.5"/>
    <m/>
    <s v="Senior"/>
    <x v="1"/>
    <s v="Port Misty"/>
    <s v=" NL"/>
    <n v="87411"/>
    <n v="136106"/>
    <d v="2024-06-10T00:00:00"/>
    <x v="1"/>
    <s v="LangChain"/>
    <m/>
    <m/>
    <x v="14"/>
    <n v="92"/>
    <x v="4"/>
    <n v="268"/>
  </r>
  <r>
    <n v="40"/>
    <s v="Sanders, Mejia and Townsend"/>
    <x v="5"/>
    <x v="0"/>
    <s v="Power BI"/>
    <s v=" PyTorch"/>
    <s v=" GCP"/>
    <s v=" CUDA"/>
    <s v=" Keras"/>
    <n v="123785"/>
    <s v=" Scikit-learn"/>
    <s v="Entry"/>
    <x v="1"/>
    <s v="Deleonchester"/>
    <s v=" HN"/>
    <n v="88562"/>
    <n v="159008"/>
    <d v="2025-06-27T00:00:00"/>
    <x v="1"/>
    <s v="FastAPI"/>
    <s v=" Scikit-learn"/>
    <s v=" LangChain"/>
    <x v="18"/>
    <n v="96"/>
    <x v="1"/>
    <n v="251"/>
  </r>
  <r>
    <n v="41"/>
    <s v="Hernandez Inc"/>
    <x v="4"/>
    <x v="4"/>
    <s v="NumPy"/>
    <s v=" AWS"/>
    <s v=" Excel"/>
    <s v=" SQL"/>
    <s v=" Keras"/>
    <n v="68771.5"/>
    <m/>
    <s v="Senior"/>
    <x v="3"/>
    <s v="Nicoleport"/>
    <s v=" BF"/>
    <n v="41935"/>
    <n v="95608"/>
    <d v="2025-02-08T00:00:00"/>
    <x v="1"/>
    <s v="Scikit-learn"/>
    <s v=" TensorFlow"/>
    <s v=" BigQuery"/>
    <x v="0"/>
    <n v="104"/>
    <x v="7"/>
    <n v="255"/>
  </r>
  <r>
    <n v="42"/>
    <s v="Parrish, White and Grant"/>
    <x v="4"/>
    <x v="6"/>
    <s v="R"/>
    <s v=" Power BI"/>
    <s v=" CUDA"/>
    <s v=" MLflow"/>
    <m/>
    <n v="136190"/>
    <m/>
    <s v="Mid"/>
    <x v="0"/>
    <s v="Kimside"/>
    <s v=" BW"/>
    <n v="126443"/>
    <n v="145937"/>
    <d v="2023-11-10T00:00:00"/>
    <x v="2"/>
    <s v="TensorFlow"/>
    <m/>
    <m/>
    <x v="11"/>
    <n v="86"/>
    <x v="2"/>
    <n v="249"/>
  </r>
  <r>
    <n v="43"/>
    <s v="Carroll, Lucero and Lambert"/>
    <x v="0"/>
    <x v="2"/>
    <s v="NumPy"/>
    <s v=" SQL"/>
    <s v=" Python"/>
    <s v=" Reinforcement Learning"/>
    <s v=" LangChain"/>
    <n v="144976.5"/>
    <m/>
    <s v="Entry"/>
    <x v="0"/>
    <s v="Simsside"/>
    <s v=" TD"/>
    <n v="99978"/>
    <n v="189975"/>
    <d v="2024-09-05T00:00:00"/>
    <x v="0"/>
    <s v="PyTorch"/>
    <s v=" TensorFlow"/>
    <s v=" FastAPI"/>
    <x v="0"/>
    <n v="104"/>
    <x v="5"/>
    <n v="233"/>
  </r>
  <r>
    <n v="44"/>
    <s v="Thomas, Waller and Kelly"/>
    <x v="3"/>
    <x v="4"/>
    <s v="Hugging Face"/>
    <s v=" Flask"/>
    <s v=" TensorFlow"/>
    <s v=" Excel"/>
    <s v=" SQL"/>
    <n v="108523"/>
    <m/>
    <s v="Entry"/>
    <x v="2"/>
    <s v="South Jeremiah"/>
    <s v=" MX"/>
    <n v="65214"/>
    <n v="151832"/>
    <d v="2025-03-11T00:00:00"/>
    <x v="0"/>
    <s v="TensorFlow"/>
    <s v=" LangChain"/>
    <s v=" PyTorch"/>
    <x v="9"/>
    <n v="89"/>
    <x v="2"/>
    <n v="249"/>
  </r>
  <r>
    <n v="45"/>
    <s v="Franklin, Wright and Berg"/>
    <x v="5"/>
    <x v="4"/>
    <s v="Hugging Face"/>
    <s v=" Pandas"/>
    <s v=" CUDA"/>
    <s v=" LangChain"/>
    <s v=" FastAPI"/>
    <n v="114761"/>
    <m/>
    <s v="Mid"/>
    <x v="1"/>
    <s v="Ramirezmouth"/>
    <s v=" PK"/>
    <n v="71101"/>
    <n v="158421"/>
    <d v="2025-03-16T00:00:00"/>
    <x v="1"/>
    <s v="KDB+"/>
    <m/>
    <m/>
    <x v="9"/>
    <n v="89"/>
    <x v="0"/>
    <n v="247"/>
  </r>
  <r>
    <n v="46"/>
    <s v="Coleman, Gray and Roach"/>
    <x v="0"/>
    <x v="3"/>
    <s v="LangChain"/>
    <s v=" AWS"/>
    <s v=" GCP"/>
    <m/>
    <m/>
    <n v="124381.5"/>
    <m/>
    <s v="Entry"/>
    <x v="1"/>
    <s v="New Rachelmouth"/>
    <s v=" IT"/>
    <n v="119200"/>
    <n v="129563"/>
    <d v="2025-02-14T00:00:00"/>
    <x v="2"/>
    <s v="FastAPI"/>
    <s v=" MLflow"/>
    <s v=" TensorFlow"/>
    <x v="12"/>
    <n v="100"/>
    <x v="1"/>
    <n v="251"/>
  </r>
  <r>
    <n v="47"/>
    <s v="Mooney-Decker"/>
    <x v="2"/>
    <x v="5"/>
    <s v="Scikit-learn"/>
    <s v=" PyTorch"/>
    <s v=" Flask"/>
    <s v=" Azure"/>
    <m/>
    <n v="162947.5"/>
    <m/>
    <s v="Mid"/>
    <x v="2"/>
    <s v="Jennyland"/>
    <s v=" TR"/>
    <n v="122083"/>
    <n v="203812"/>
    <d v="2024-08-04T00:00:00"/>
    <x v="2"/>
    <s v="PyTorch"/>
    <s v=" BigQuery"/>
    <m/>
    <x v="1"/>
    <n v="76"/>
    <x v="5"/>
    <n v="233"/>
  </r>
  <r>
    <n v="48"/>
    <s v="Wood LLC"/>
    <x v="5"/>
    <x v="1"/>
    <s v="GCP"/>
    <s v=" TensorFlow"/>
    <s v=" Power BI"/>
    <m/>
    <m/>
    <n v="152090.5"/>
    <m/>
    <s v="Entry"/>
    <x v="2"/>
    <s v="Port Johnville"/>
    <s v=" MA"/>
    <n v="144773"/>
    <n v="159408"/>
    <d v="2025-02-21T00:00:00"/>
    <x v="1"/>
    <s v="MLflow"/>
    <s v=" BigQuery"/>
    <s v=" LangChain"/>
    <x v="4"/>
    <n v="78"/>
    <x v="6"/>
    <n v="259"/>
  </r>
  <r>
    <n v="49"/>
    <s v="Copeland Group"/>
    <x v="3"/>
    <x v="6"/>
    <s v="TensorFlow"/>
    <s v=" LangChain"/>
    <s v=" PyTorch"/>
    <s v=" Power BI"/>
    <s v=" R"/>
    <n v="119857"/>
    <m/>
    <s v="Entry"/>
    <x v="3"/>
    <s v="North Josephshire"/>
    <s v=" YE"/>
    <n v="78317"/>
    <n v="161397"/>
    <d v="2024-03-19T00:00:00"/>
    <x v="1"/>
    <s v="KDB+"/>
    <s v=" PyTorch"/>
    <s v=" MLflow"/>
    <x v="19"/>
    <n v="95"/>
    <x v="0"/>
    <n v="247"/>
  </r>
  <r>
    <n v="50"/>
    <s v="Richards PLC"/>
    <x v="2"/>
    <x v="6"/>
    <s v="Power BI"/>
    <s v=" CUDA"/>
    <s v=" C++"/>
    <s v=" Pandas"/>
    <s v=" SQL"/>
    <n v="98026"/>
    <s v=" AWS"/>
    <s v="Mid"/>
    <x v="0"/>
    <s v="Lewismouth"/>
    <s v=" TD"/>
    <n v="75575"/>
    <n v="120477"/>
    <d v="2024-05-07T00:00:00"/>
    <x v="0"/>
    <s v="FastAPI"/>
    <s v=" KDB+"/>
    <s v=" Scikit-learn"/>
    <x v="18"/>
    <n v="96"/>
    <x v="1"/>
    <n v="251"/>
  </r>
  <r>
    <n v="51"/>
    <s v="Melendez, Williams and Williamson"/>
    <x v="4"/>
    <x v="2"/>
    <s v="TensorFlow"/>
    <s v=" Keras"/>
    <s v=" PyTorch"/>
    <s v=" AWS"/>
    <s v=" Scikit-learn"/>
    <n v="182411.5"/>
    <m/>
    <s v="Entry"/>
    <x v="0"/>
    <s v="Steinside"/>
    <s v=" IT"/>
    <n v="133185"/>
    <n v="231638"/>
    <d v="2023-09-27T00:00:00"/>
    <x v="0"/>
    <s v="BigQuery"/>
    <m/>
    <m/>
    <x v="19"/>
    <n v="95"/>
    <x v="3"/>
    <n v="238"/>
  </r>
  <r>
    <n v="52"/>
    <s v="Ellis, Crane and Boyle"/>
    <x v="4"/>
    <x v="1"/>
    <s v="Azure"/>
    <s v=" Keras"/>
    <s v=" Scikit-learn"/>
    <s v=" Hugging Face"/>
    <s v=" Excel"/>
    <n v="118823"/>
    <s v=" R"/>
    <s v="Entry"/>
    <x v="2"/>
    <s v="North Jason"/>
    <s v=" MR"/>
    <n v="73140"/>
    <n v="164506"/>
    <d v="2025-05-30T00:00:00"/>
    <x v="1"/>
    <s v="LangChain"/>
    <s v=" KDB+"/>
    <s v=" FastAPI"/>
    <x v="15"/>
    <n v="90"/>
    <x v="4"/>
    <n v="268"/>
  </r>
  <r>
    <n v="53"/>
    <s v="Foley-Moore"/>
    <x v="2"/>
    <x v="5"/>
    <s v="Keras"/>
    <s v=" Pandas"/>
    <s v=" Python"/>
    <s v=" FastAPI"/>
    <s v=" CUDA"/>
    <n v="92090.5"/>
    <s v=" Scikit-learn"/>
    <s v="Mid"/>
    <x v="2"/>
    <s v="Thomasfort"/>
    <s v=" KG"/>
    <n v="69031"/>
    <n v="115150"/>
    <d v="2025-05-17T00:00:00"/>
    <x v="0"/>
    <s v="MLflow"/>
    <m/>
    <m/>
    <x v="7"/>
    <n v="96"/>
    <x v="6"/>
    <n v="259"/>
  </r>
  <r>
    <n v="54"/>
    <s v="Wright and Sons"/>
    <x v="1"/>
    <x v="4"/>
    <s v="R"/>
    <s v=" SQL"/>
    <s v=" Python"/>
    <s v=" PyTorch"/>
    <m/>
    <n v="95554.5"/>
    <m/>
    <s v="Mid"/>
    <x v="0"/>
    <s v="Chavezstad"/>
    <s v=" TG"/>
    <n v="49382"/>
    <n v="141727"/>
    <d v="2024-11-09T00:00:00"/>
    <x v="0"/>
    <s v="LangChain"/>
    <s v=" BigQuery"/>
    <s v=" MLflow"/>
    <x v="11"/>
    <n v="86"/>
    <x v="4"/>
    <n v="268"/>
  </r>
  <r>
    <n v="55"/>
    <s v="Williams-Vargas"/>
    <x v="0"/>
    <x v="4"/>
    <s v="Keras"/>
    <s v=" Excel"/>
    <s v=" FastAPI"/>
    <s v=" Azure"/>
    <s v=" R"/>
    <n v="184756"/>
    <s v=" PyTorch"/>
    <s v="Senior"/>
    <x v="0"/>
    <s v="Carlland"/>
    <s v=" ME"/>
    <n v="135916"/>
    <n v="233596"/>
    <d v="2024-11-10T00:00:00"/>
    <x v="2"/>
    <s v="FastAPI"/>
    <s v=" TensorFlow"/>
    <s v=" BigQuery"/>
    <x v="7"/>
    <n v="96"/>
    <x v="1"/>
    <n v="251"/>
  </r>
  <r>
    <n v="56"/>
    <s v="Hill-Huff"/>
    <x v="1"/>
    <x v="3"/>
    <s v="Power BI"/>
    <s v=" LangChain"/>
    <s v=" Flask"/>
    <s v=" Excel"/>
    <s v=" SQL"/>
    <n v="182426.5"/>
    <s v=" CUDA"/>
    <s v="Senior"/>
    <x v="3"/>
    <s v="Jessicamouth"/>
    <s v=" PT"/>
    <n v="149271"/>
    <n v="215582"/>
    <d v="2025-04-23T00:00:00"/>
    <x v="2"/>
    <s v="BigQuery"/>
    <s v=" PyTorch"/>
    <s v=" TensorFlow"/>
    <x v="18"/>
    <n v="96"/>
    <x v="3"/>
    <n v="238"/>
  </r>
  <r>
    <n v="57"/>
    <s v="Meyer PLC"/>
    <x v="3"/>
    <x v="0"/>
    <s v="AWS"/>
    <s v=" Excel"/>
    <s v=" Azure"/>
    <m/>
    <m/>
    <n v="89922.5"/>
    <m/>
    <s v="Entry"/>
    <x v="1"/>
    <s v="Caitlynmouth"/>
    <s v=" MR"/>
    <n v="56348"/>
    <n v="123497"/>
    <d v="2023-11-16T00:00:00"/>
    <x v="1"/>
    <s v="LangChain"/>
    <s v=" Scikit-learn"/>
    <s v=" PyTorch"/>
    <x v="10"/>
    <n v="97"/>
    <x v="4"/>
    <n v="268"/>
  </r>
  <r>
    <n v="58"/>
    <s v="Boyd-Carlson"/>
    <x v="6"/>
    <x v="3"/>
    <s v="Excel"/>
    <s v=" AWS"/>
    <s v=" Keras"/>
    <s v=" Azure"/>
    <s v=" FastAPI"/>
    <n v="104503"/>
    <s v=" R"/>
    <s v="Senior"/>
    <x v="0"/>
    <s v="Villarrealhaven"/>
    <s v=" KI"/>
    <n v="69159"/>
    <n v="139847"/>
    <d v="2025-02-11T00:00:00"/>
    <x v="0"/>
    <s v="MLflow"/>
    <s v=" LangChain"/>
    <m/>
    <x v="2"/>
    <n v="101"/>
    <x v="6"/>
    <n v="259"/>
  </r>
  <r>
    <n v="59"/>
    <s v="Scott-Gardner"/>
    <x v="1"/>
    <x v="7"/>
    <s v="FastAPI"/>
    <s v=" C++"/>
    <s v=" Excel"/>
    <s v=" Flask"/>
    <s v=" Pandas"/>
    <n v="120415"/>
    <m/>
    <s v="Senior"/>
    <x v="3"/>
    <s v="North Laurie"/>
    <s v=" BI"/>
    <n v="78305"/>
    <n v="162525"/>
    <d v="2025-06-21T00:00:00"/>
    <x v="0"/>
    <s v="FastAPI"/>
    <s v=" PyTorch"/>
    <s v=" LangChain"/>
    <x v="20"/>
    <n v="111"/>
    <x v="1"/>
    <n v="251"/>
  </r>
  <r>
    <n v="60"/>
    <s v="Jackson Group"/>
    <x v="2"/>
    <x v="2"/>
    <s v="TensorFlow"/>
    <s v=" C++"/>
    <s v=" SQL"/>
    <s v=" Hugging Face"/>
    <s v=" Flask"/>
    <n v="89857.5"/>
    <s v=" Power BI"/>
    <s v="Mid"/>
    <x v="1"/>
    <s v="East Juliashire"/>
    <s v=" TR"/>
    <n v="64238"/>
    <n v="115477"/>
    <d v="2023-09-25T00:00:00"/>
    <x v="2"/>
    <s v="BigQuery"/>
    <m/>
    <m/>
    <x v="19"/>
    <n v="95"/>
    <x v="3"/>
    <n v="238"/>
  </r>
  <r>
    <n v="61"/>
    <s v="Sullivan, Silva and Sawyer"/>
    <x v="2"/>
    <x v="0"/>
    <s v="Power BI"/>
    <s v=" Excel"/>
    <s v=" GCP"/>
    <m/>
    <m/>
    <n v="101113.5"/>
    <m/>
    <s v="Senior"/>
    <x v="3"/>
    <s v="North Jonathan"/>
    <s v=" NL"/>
    <n v="53583"/>
    <n v="148644"/>
    <d v="2024-06-27T00:00:00"/>
    <x v="1"/>
    <s v="MLflow"/>
    <m/>
    <m/>
    <x v="18"/>
    <n v="96"/>
    <x v="6"/>
    <n v="259"/>
  </r>
  <r>
    <n v="62"/>
    <s v="Page, Bonilla and Cohen"/>
    <x v="6"/>
    <x v="2"/>
    <s v="Python"/>
    <s v=" FastAPI"/>
    <s v=" Scikit-learn"/>
    <s v=" Hugging Face"/>
    <s v=" Power BI"/>
    <n v="88546"/>
    <s v=" Flask"/>
    <s v="Entry"/>
    <x v="3"/>
    <s v="Port Jacobchester"/>
    <s v=" SB"/>
    <n v="50457"/>
    <n v="126635"/>
    <d v="2024-05-08T00:00:00"/>
    <x v="2"/>
    <s v="LangChain"/>
    <m/>
    <m/>
    <x v="5"/>
    <n v="94"/>
    <x v="4"/>
    <n v="268"/>
  </r>
  <r>
    <n v="63"/>
    <s v="Young-Wright"/>
    <x v="6"/>
    <x v="1"/>
    <s v="Hugging Face"/>
    <s v=" Keras"/>
    <s v=" Scikit-learn"/>
    <m/>
    <m/>
    <n v="135166"/>
    <m/>
    <s v="Mid"/>
    <x v="1"/>
    <s v="Kaylaburgh"/>
    <s v=" NO"/>
    <n v="97883"/>
    <n v="172449"/>
    <d v="2024-10-26T00:00:00"/>
    <x v="0"/>
    <s v="TensorFlow"/>
    <s v=" LangChain"/>
    <m/>
    <x v="9"/>
    <n v="89"/>
    <x v="2"/>
    <n v="249"/>
  </r>
  <r>
    <n v="64"/>
    <s v="Patel PLC"/>
    <x v="4"/>
    <x v="2"/>
    <s v="Reinforcement Learning"/>
    <s v=" LangChain"/>
    <s v=" Python"/>
    <m/>
    <m/>
    <n v="118081.5"/>
    <m/>
    <s v="Entry"/>
    <x v="3"/>
    <s v="South Jamie"/>
    <s v=" KM"/>
    <n v="94965"/>
    <n v="141198"/>
    <d v="2025-02-17T00:00:00"/>
    <x v="2"/>
    <s v="FastAPI"/>
    <m/>
    <m/>
    <x v="21"/>
    <n v="104"/>
    <x v="1"/>
    <n v="251"/>
  </r>
  <r>
    <n v="65"/>
    <s v="Lopez, Nelson and Meyer"/>
    <x v="4"/>
    <x v="7"/>
    <s v="Azure"/>
    <s v=" Pandas"/>
    <s v=" Power BI"/>
    <s v=" MLflow"/>
    <m/>
    <n v="117659.5"/>
    <m/>
    <s v="Entry"/>
    <x v="1"/>
    <s v="Lake Michelleport"/>
    <s v=" RS"/>
    <n v="81202"/>
    <n v="154117"/>
    <d v="2025-01-06T00:00:00"/>
    <x v="2"/>
    <s v="PyTorch"/>
    <s v=" TensorFlow"/>
    <s v=" FastAPI"/>
    <x v="15"/>
    <n v="90"/>
    <x v="5"/>
    <n v="233"/>
  </r>
  <r>
    <n v="66"/>
    <s v="Harris, Porter and Walter"/>
    <x v="6"/>
    <x v="7"/>
    <s v="C++"/>
    <s v=" Reinforcement Learning"/>
    <s v=" NumPy"/>
    <s v=" Azure"/>
    <s v=" MLflow"/>
    <n v="152621"/>
    <s v=" Flask"/>
    <s v="Mid"/>
    <x v="2"/>
    <s v="Port Kristenmouth"/>
    <s v=" SA"/>
    <n v="106117"/>
    <n v="199125"/>
    <d v="2023-12-19T00:00:00"/>
    <x v="0"/>
    <s v="FastAPI"/>
    <s v=" KDB+"/>
    <m/>
    <x v="8"/>
    <n v="84"/>
    <x v="1"/>
    <n v="251"/>
  </r>
  <r>
    <n v="67"/>
    <s v="Dominguez and Sons"/>
    <x v="5"/>
    <x v="2"/>
    <s v="LangChain"/>
    <s v=" FastAPI"/>
    <s v=" SQL"/>
    <m/>
    <m/>
    <n v="165377"/>
    <m/>
    <s v="Senior"/>
    <x v="1"/>
    <s v="Rodriguezstad"/>
    <s v=" ET"/>
    <n v="137229"/>
    <n v="193525"/>
    <d v="2024-04-08T00:00:00"/>
    <x v="0"/>
    <s v="BigQuery"/>
    <s v=" KDB+"/>
    <m/>
    <x v="12"/>
    <n v="100"/>
    <x v="3"/>
    <n v="238"/>
  </r>
  <r>
    <n v="68"/>
    <s v="Griffith-Garner"/>
    <x v="6"/>
    <x v="0"/>
    <s v="NumPy"/>
    <s v=" Python"/>
    <s v=" Azure"/>
    <s v=" GCP"/>
    <s v=" C++"/>
    <n v="47578.5"/>
    <s v=" Scikit-learn"/>
    <s v="Senior"/>
    <x v="3"/>
    <s v="Meredithview"/>
    <s v=" LS"/>
    <n v="40995"/>
    <n v="54162"/>
    <d v="2024-12-21T00:00:00"/>
    <x v="2"/>
    <s v="PyTorch"/>
    <m/>
    <m/>
    <x v="0"/>
    <n v="104"/>
    <x v="5"/>
    <n v="233"/>
  </r>
  <r>
    <n v="69"/>
    <s v="Smith LLC"/>
    <x v="0"/>
    <x v="0"/>
    <s v="Power BI"/>
    <s v=" AWS"/>
    <s v=" NumPy"/>
    <s v=" CUDA"/>
    <s v=" MLflow"/>
    <n v="161300"/>
    <m/>
    <s v="Mid"/>
    <x v="0"/>
    <s v="South Tylerhaven"/>
    <s v=" LC"/>
    <n v="129140"/>
    <n v="193460"/>
    <d v="2023-12-09T00:00:00"/>
    <x v="1"/>
    <s v="LangChain"/>
    <s v=" PyTorch"/>
    <s v=" MLflow"/>
    <x v="18"/>
    <n v="96"/>
    <x v="4"/>
    <n v="268"/>
  </r>
  <r>
    <n v="70"/>
    <s v="Smith-Jones"/>
    <x v="3"/>
    <x v="0"/>
    <s v="LangChain"/>
    <s v=" PyTorch"/>
    <s v=" Flask"/>
    <m/>
    <m/>
    <n v="103727.5"/>
    <m/>
    <s v="Mid"/>
    <x v="0"/>
    <s v="South Karenville"/>
    <s v=" BB"/>
    <n v="86690"/>
    <n v="120765"/>
    <d v="2025-06-15T00:00:00"/>
    <x v="1"/>
    <s v="BigQuery"/>
    <m/>
    <m/>
    <x v="12"/>
    <n v="100"/>
    <x v="3"/>
    <n v="238"/>
  </r>
  <r>
    <n v="71"/>
    <s v="Maddox, Steele and Jones"/>
    <x v="6"/>
    <x v="3"/>
    <s v="Flask"/>
    <s v=" Scikit-learn"/>
    <s v=" NumPy"/>
    <m/>
    <m/>
    <n v="117899.5"/>
    <m/>
    <s v="Entry"/>
    <x v="1"/>
    <s v="Billyfort"/>
    <s v=" YE"/>
    <n v="85816"/>
    <n v="149983"/>
    <d v="2025-03-12T00:00:00"/>
    <x v="1"/>
    <s v="FastAPI"/>
    <s v=" PyTorch"/>
    <m/>
    <x v="16"/>
    <n v="86"/>
    <x v="1"/>
    <n v="251"/>
  </r>
  <r>
    <n v="72"/>
    <s v="Williams PLC"/>
    <x v="0"/>
    <x v="4"/>
    <s v="SQL"/>
    <s v=" FastAPI"/>
    <s v=" LangChain"/>
    <s v=" Scikit-learn"/>
    <s v=" NumPy"/>
    <n v="80347.5"/>
    <s v=" TensorFlow"/>
    <s v="Senior"/>
    <x v="3"/>
    <s v="New Jefferyfort"/>
    <s v=" TG"/>
    <n v="60805"/>
    <n v="99890"/>
    <d v="2024-02-12T00:00:00"/>
    <x v="2"/>
    <s v="FastAPI"/>
    <s v=" LangChain"/>
    <m/>
    <x v="17"/>
    <n v="88"/>
    <x v="1"/>
    <n v="251"/>
  </r>
  <r>
    <n v="73"/>
    <s v="Hurst, Manning and Wood"/>
    <x v="3"/>
    <x v="0"/>
    <s v="Azure"/>
    <s v=" Excel"/>
    <s v=" TensorFlow"/>
    <m/>
    <m/>
    <n v="128014"/>
    <m/>
    <s v="Senior"/>
    <x v="3"/>
    <s v="Petersenborough"/>
    <s v=" VN"/>
    <n v="118377"/>
    <n v="137651"/>
    <d v="2025-05-02T00:00:00"/>
    <x v="0"/>
    <s v="PyTorch"/>
    <s v=" BigQuery"/>
    <s v=" Scikit-learn"/>
    <x v="15"/>
    <n v="90"/>
    <x v="5"/>
    <n v="233"/>
  </r>
  <r>
    <n v="74"/>
    <s v="Howard, Carr and Joseph"/>
    <x v="5"/>
    <x v="6"/>
    <s v="C++"/>
    <s v=" MLflow"/>
    <s v=" CUDA"/>
    <s v=" Hugging Face"/>
    <m/>
    <n v="128355"/>
    <m/>
    <s v="Mid"/>
    <x v="1"/>
    <s v="Leeberg"/>
    <s v=" ME"/>
    <n v="81382"/>
    <n v="175328"/>
    <d v="2023-11-28T00:00:00"/>
    <x v="0"/>
    <s v="MLflow"/>
    <s v=" PyTorch"/>
    <m/>
    <x v="8"/>
    <n v="84"/>
    <x v="6"/>
    <n v="259"/>
  </r>
  <r>
    <n v="75"/>
    <s v="Lewis-Smith"/>
    <x v="5"/>
    <x v="3"/>
    <s v="MLflow"/>
    <s v=" NumPy"/>
    <s v=" R"/>
    <s v=" C++"/>
    <s v=" PyTorch"/>
    <n v="171045.5"/>
    <m/>
    <s v="Senior"/>
    <x v="3"/>
    <s v="North Christopherfurt"/>
    <s v=" LR"/>
    <n v="132555"/>
    <n v="209536"/>
    <d v="2025-09-09T00:00:00"/>
    <x v="2"/>
    <s v="KDB+"/>
    <m/>
    <m/>
    <x v="3"/>
    <n v="80"/>
    <x v="0"/>
    <n v="247"/>
  </r>
  <r>
    <n v="76"/>
    <s v="Luna and Sons"/>
    <x v="5"/>
    <x v="7"/>
    <s v="R"/>
    <s v=" Python"/>
    <s v=" Flask"/>
    <m/>
    <m/>
    <n v="70476.5"/>
    <m/>
    <s v="Mid"/>
    <x v="2"/>
    <s v="Weberland"/>
    <s v=" TL"/>
    <n v="54185"/>
    <n v="86768"/>
    <d v="2023-12-06T00:00:00"/>
    <x v="1"/>
    <s v="FastAPI"/>
    <s v=" TensorFlow"/>
    <s v=" PyTorch"/>
    <x v="11"/>
    <n v="86"/>
    <x v="1"/>
    <n v="251"/>
  </r>
  <r>
    <n v="77"/>
    <s v="King-Sheppard"/>
    <x v="4"/>
    <x v="7"/>
    <s v="FastAPI"/>
    <s v=" Hugging Face"/>
    <s v=" PyTorch"/>
    <m/>
    <m/>
    <n v="141625"/>
    <m/>
    <s v="Mid"/>
    <x v="1"/>
    <s v="Zamorafurt"/>
    <s v=" UA"/>
    <n v="101020"/>
    <n v="182230"/>
    <d v="2025-07-03T00:00:00"/>
    <x v="2"/>
    <s v="PyTorch"/>
    <m/>
    <m/>
    <x v="20"/>
    <n v="111"/>
    <x v="5"/>
    <n v="233"/>
  </r>
  <r>
    <n v="78"/>
    <s v="Meyer-Shaffer"/>
    <x v="4"/>
    <x v="6"/>
    <s v="Pandas"/>
    <s v=" Flask"/>
    <s v=" FastAPI"/>
    <s v=" Reinforcement Learning"/>
    <m/>
    <n v="59075"/>
    <m/>
    <s v="Mid"/>
    <x v="1"/>
    <s v="Sharpborough"/>
    <s v=" DM"/>
    <n v="49529"/>
    <n v="68621"/>
    <d v="2024-02-21T00:00:00"/>
    <x v="2"/>
    <s v="LangChain"/>
    <s v=" PyTorch"/>
    <s v=" Scikit-learn"/>
    <x v="6"/>
    <n v="78"/>
    <x v="4"/>
    <n v="268"/>
  </r>
  <r>
    <n v="79"/>
    <s v="Ellis, Page and Smith"/>
    <x v="1"/>
    <x v="4"/>
    <s v="Reinforcement Learning"/>
    <s v=" Flask"/>
    <s v=" NumPy"/>
    <s v=" LangChain"/>
    <m/>
    <n v="96143"/>
    <m/>
    <s v="Entry"/>
    <x v="2"/>
    <s v="North Carriestad"/>
    <s v=" IR"/>
    <n v="88756"/>
    <n v="103530"/>
    <d v="2024-10-12T00:00:00"/>
    <x v="2"/>
    <s v="LangChain"/>
    <m/>
    <m/>
    <x v="21"/>
    <n v="104"/>
    <x v="4"/>
    <n v="268"/>
  </r>
  <r>
    <n v="80"/>
    <s v="Martinez-Fitzgerald"/>
    <x v="0"/>
    <x v="3"/>
    <s v="AWS"/>
    <s v=" TensorFlow"/>
    <s v=" Flask"/>
    <s v=" Power BI"/>
    <m/>
    <n v="151712"/>
    <m/>
    <s v="Senior"/>
    <x v="1"/>
    <s v="South Charles"/>
    <s v=" CI"/>
    <n v="108574"/>
    <n v="194850"/>
    <d v="2025-01-20T00:00:00"/>
    <x v="0"/>
    <s v="KDB+"/>
    <m/>
    <m/>
    <x v="10"/>
    <n v="97"/>
    <x v="0"/>
    <n v="247"/>
  </r>
  <r>
    <n v="81"/>
    <s v="Johnson Inc"/>
    <x v="3"/>
    <x v="7"/>
    <s v="Reinforcement Learning"/>
    <s v=" Python"/>
    <s v=" Pandas"/>
    <s v=" TensorFlow"/>
    <m/>
    <n v="138886"/>
    <m/>
    <s v="Mid"/>
    <x v="1"/>
    <s v="Lake Kristen"/>
    <s v=" AZ"/>
    <n v="111184"/>
    <n v="166588"/>
    <d v="2025-08-03T00:00:00"/>
    <x v="0"/>
    <s v="Scikit-learn"/>
    <s v=" MLflow"/>
    <s v=" PyTorch"/>
    <x v="21"/>
    <n v="104"/>
    <x v="7"/>
    <n v="255"/>
  </r>
  <r>
    <n v="82"/>
    <s v="Camacho PLC"/>
    <x v="2"/>
    <x v="0"/>
    <s v="R"/>
    <s v=" C++"/>
    <s v=" GCP"/>
    <s v=" Hugging Face"/>
    <s v=" LangChain"/>
    <n v="165480.5"/>
    <s v=" TensorFlow"/>
    <s v="Entry"/>
    <x v="0"/>
    <s v="Anthonyland"/>
    <s v=" GQ"/>
    <n v="120456"/>
    <n v="210505"/>
    <d v="2024-01-14T00:00:00"/>
    <x v="0"/>
    <s v="PyTorch"/>
    <s v=" Scikit-learn"/>
    <s v=" BigQuery"/>
    <x v="11"/>
    <n v="86"/>
    <x v="5"/>
    <n v="233"/>
  </r>
  <r>
    <n v="83"/>
    <s v="Sweeney-Griffith"/>
    <x v="2"/>
    <x v="2"/>
    <s v="Flask"/>
    <s v=" Azure"/>
    <s v=" C++"/>
    <s v=" Excel"/>
    <m/>
    <n v="105674"/>
    <m/>
    <s v="Entry"/>
    <x v="1"/>
    <s v="Michaelchester"/>
    <s v=" MK"/>
    <n v="86740"/>
    <n v="124608"/>
    <d v="2025-09-17T00:00:00"/>
    <x v="1"/>
    <s v="MLflow"/>
    <m/>
    <m/>
    <x v="16"/>
    <n v="86"/>
    <x v="6"/>
    <n v="259"/>
  </r>
  <r>
    <n v="84"/>
    <s v="Stafford, Owens and Thompson"/>
    <x v="3"/>
    <x v="0"/>
    <s v="MLflow"/>
    <s v=" Hugging Face"/>
    <s v=" Python"/>
    <s v=" Scikit-learn"/>
    <m/>
    <n v="100062"/>
    <m/>
    <s v="Entry"/>
    <x v="0"/>
    <s v="Lake Debra"/>
    <s v=" AM"/>
    <n v="78116"/>
    <n v="122008"/>
    <d v="2025-04-25T00:00:00"/>
    <x v="1"/>
    <s v="MLflow"/>
    <s v=" LangChain"/>
    <s v=" KDB+"/>
    <x v="3"/>
    <n v="80"/>
    <x v="6"/>
    <n v="259"/>
  </r>
  <r>
    <n v="85"/>
    <s v="Gonzalez, Watts and Thompson"/>
    <x v="4"/>
    <x v="1"/>
    <s v="FastAPI"/>
    <s v=" SQL"/>
    <s v=" Flask"/>
    <s v=" CUDA"/>
    <s v=" C++"/>
    <n v="59119.5"/>
    <s v=" Scikit-learn"/>
    <s v="Mid"/>
    <x v="2"/>
    <s v="New Danielburgh"/>
    <s v=" RU"/>
    <n v="42962"/>
    <n v="75277"/>
    <d v="2024-11-01T00:00:00"/>
    <x v="2"/>
    <s v="FastAPI"/>
    <s v=" LangChain"/>
    <m/>
    <x v="20"/>
    <n v="111"/>
    <x v="1"/>
    <n v="251"/>
  </r>
  <r>
    <n v="86"/>
    <s v="Graham Group"/>
    <x v="1"/>
    <x v="0"/>
    <s v="LangChain"/>
    <s v=" FastAPI"/>
    <s v=" PyTorch"/>
    <s v=" CUDA"/>
    <s v=" AWS"/>
    <n v="58237"/>
    <m/>
    <s v="Senior"/>
    <x v="0"/>
    <s v="Lake Melissaville"/>
    <s v=" PL"/>
    <n v="51640"/>
    <n v="64834"/>
    <d v="2024-03-21T00:00:00"/>
    <x v="0"/>
    <s v="BigQuery"/>
    <s v=" Scikit-learn"/>
    <s v=" MLflow"/>
    <x v="12"/>
    <n v="100"/>
    <x v="3"/>
    <n v="238"/>
  </r>
  <r>
    <n v="87"/>
    <s v="Ward-Allen"/>
    <x v="3"/>
    <x v="4"/>
    <s v="C++"/>
    <s v=" Power BI"/>
    <s v=" NumPy"/>
    <m/>
    <m/>
    <n v="132595.5"/>
    <m/>
    <s v="Mid"/>
    <x v="2"/>
    <s v="Jeffreyburgh"/>
    <s v=" SC"/>
    <n v="98118"/>
    <n v="167073"/>
    <d v="2024-09-10T00:00:00"/>
    <x v="0"/>
    <s v="LangChain"/>
    <s v=" BigQuery"/>
    <m/>
    <x v="8"/>
    <n v="84"/>
    <x v="4"/>
    <n v="268"/>
  </r>
  <r>
    <n v="88"/>
    <s v="Garrett, Hernandez and Anderson"/>
    <x v="2"/>
    <x v="4"/>
    <s v="FastAPI"/>
    <s v=" Scikit-learn"/>
    <s v=" LangChain"/>
    <m/>
    <m/>
    <n v="181715"/>
    <m/>
    <s v="Mid"/>
    <x v="1"/>
    <s v="Whiteville"/>
    <s v=" SE"/>
    <n v="140819"/>
    <n v="222611"/>
    <d v="2023-11-16T00:00:00"/>
    <x v="1"/>
    <s v="LangChain"/>
    <s v=" MLflow"/>
    <m/>
    <x v="20"/>
    <n v="111"/>
    <x v="4"/>
    <n v="268"/>
  </r>
  <r>
    <n v="89"/>
    <s v="Long Inc"/>
    <x v="2"/>
    <x v="7"/>
    <s v="Flask"/>
    <s v=" Python"/>
    <s v=" Power BI"/>
    <s v=" CUDA"/>
    <m/>
    <n v="105000.5"/>
    <m/>
    <s v="Entry"/>
    <x v="1"/>
    <s v="Jacksonmouth"/>
    <s v=" UZ"/>
    <n v="82496"/>
    <n v="127505"/>
    <d v="2025-03-23T00:00:00"/>
    <x v="2"/>
    <s v="FastAPI"/>
    <s v=" LangChain"/>
    <s v=" BigQuery"/>
    <x v="16"/>
    <n v="86"/>
    <x v="1"/>
    <n v="251"/>
  </r>
  <r>
    <n v="90"/>
    <s v="Cummings-Nash"/>
    <x v="2"/>
    <x v="7"/>
    <s v="Python"/>
    <s v=" SQL"/>
    <s v=" C++"/>
    <s v=" FastAPI"/>
    <m/>
    <n v="149552"/>
    <m/>
    <s v="Entry"/>
    <x v="1"/>
    <s v="Adamton"/>
    <s v=" HR"/>
    <n v="124249"/>
    <n v="174855"/>
    <d v="2023-10-17T00:00:00"/>
    <x v="2"/>
    <s v="KDB+"/>
    <s v=" LangChain"/>
    <m/>
    <x v="5"/>
    <n v="94"/>
    <x v="0"/>
    <n v="247"/>
  </r>
  <r>
    <n v="91"/>
    <s v="Sawyer, Donovan and Vargas"/>
    <x v="5"/>
    <x v="6"/>
    <s v="TensorFlow"/>
    <s v=" Power BI"/>
    <s v=" FastAPI"/>
    <s v=" LangChain"/>
    <s v=" Scikit-learn"/>
    <n v="113658"/>
    <s v=" Python"/>
    <s v="Mid"/>
    <x v="2"/>
    <s v="Lake Erica"/>
    <s v=" NL"/>
    <n v="81426"/>
    <n v="145890"/>
    <d v="2023-10-19T00:00:00"/>
    <x v="1"/>
    <s v="BigQuery"/>
    <s v=" KDB+"/>
    <s v=" LangChain"/>
    <x v="19"/>
    <n v="95"/>
    <x v="3"/>
    <n v="238"/>
  </r>
  <r>
    <n v="92"/>
    <s v="Stewart, Gutierrez and Simpson"/>
    <x v="1"/>
    <x v="5"/>
    <s v="GCP"/>
    <s v=" LangChain"/>
    <s v=" Keras"/>
    <m/>
    <m/>
    <n v="90754.5"/>
    <m/>
    <s v="Entry"/>
    <x v="1"/>
    <s v="South Paige"/>
    <s v=" VC"/>
    <n v="51104"/>
    <n v="130405"/>
    <d v="2025-03-21T00:00:00"/>
    <x v="0"/>
    <s v="LangChain"/>
    <s v=" FastAPI"/>
    <s v=" Scikit-learn"/>
    <x v="4"/>
    <n v="78"/>
    <x v="4"/>
    <n v="268"/>
  </r>
  <r>
    <n v="93"/>
    <s v="Jones-Marshall"/>
    <x v="2"/>
    <x v="6"/>
    <s v="Excel"/>
    <s v=" TensorFlow"/>
    <s v=" Pandas"/>
    <s v=" CUDA"/>
    <m/>
    <n v="149429.5"/>
    <m/>
    <s v="Entry"/>
    <x v="3"/>
    <s v="Scottberg"/>
    <s v=" MG"/>
    <n v="143177"/>
    <n v="155682"/>
    <d v="2025-08-26T00:00:00"/>
    <x v="2"/>
    <s v="MLflow"/>
    <s v=" FastAPI"/>
    <s v=" TensorFlow"/>
    <x v="2"/>
    <n v="101"/>
    <x v="6"/>
    <n v="259"/>
  </r>
  <r>
    <n v="94"/>
    <s v="Murphy-Rosales"/>
    <x v="3"/>
    <x v="6"/>
    <s v="FastAPI"/>
    <s v=" PyTorch"/>
    <s v=" CUDA"/>
    <s v=" Flask"/>
    <s v=" Scikit-learn"/>
    <n v="151115"/>
    <m/>
    <s v="Mid"/>
    <x v="3"/>
    <s v="West Jesse"/>
    <s v=" NG"/>
    <n v="139393"/>
    <n v="162837"/>
    <d v="2025-07-13T00:00:00"/>
    <x v="0"/>
    <s v="LangChain"/>
    <s v=" BigQuery"/>
    <m/>
    <x v="20"/>
    <n v="111"/>
    <x v="4"/>
    <n v="268"/>
  </r>
  <r>
    <n v="95"/>
    <s v="Solis-Thornton"/>
    <x v="0"/>
    <x v="3"/>
    <s v="Hugging Face"/>
    <s v=" Python"/>
    <s v=" FastAPI"/>
    <s v=" CUDA"/>
    <s v=" GCP"/>
    <n v="124819"/>
    <m/>
    <s v="Entry"/>
    <x v="0"/>
    <s v="East Autumn"/>
    <s v=" AM"/>
    <n v="111746"/>
    <n v="137892"/>
    <d v="2024-10-10T00:00:00"/>
    <x v="1"/>
    <s v="LangChain"/>
    <s v=" BigQuery"/>
    <m/>
    <x v="9"/>
    <n v="89"/>
    <x v="4"/>
    <n v="268"/>
  </r>
  <r>
    <n v="96"/>
    <s v="Michael Ltd"/>
    <x v="0"/>
    <x v="1"/>
    <s v="PyTorch"/>
    <s v=" MLflow"/>
    <s v=" Scikit-learn"/>
    <s v=" Excel"/>
    <s v=" Pandas"/>
    <n v="115784.5"/>
    <m/>
    <s v="Senior"/>
    <x v="0"/>
    <s v="Maldonadoville"/>
    <s v=" PL"/>
    <n v="107083"/>
    <n v="124486"/>
    <d v="2025-08-09T00:00:00"/>
    <x v="2"/>
    <s v="LangChain"/>
    <m/>
    <m/>
    <x v="14"/>
    <n v="92"/>
    <x v="4"/>
    <n v="268"/>
  </r>
  <r>
    <n v="97"/>
    <s v="Alexander and Sons"/>
    <x v="3"/>
    <x v="7"/>
    <s v="Pandas"/>
    <s v=" R"/>
    <s v=" FastAPI"/>
    <s v=" AWS"/>
    <s v=" MLflow"/>
    <n v="158743"/>
    <s v=" Python"/>
    <s v="Senior"/>
    <x v="0"/>
    <s v="Richardside"/>
    <s v=" PY"/>
    <n v="126865"/>
    <n v="190621"/>
    <d v="2024-11-15T00:00:00"/>
    <x v="2"/>
    <s v="LangChain"/>
    <s v=" FastAPI"/>
    <m/>
    <x v="6"/>
    <n v="78"/>
    <x v="4"/>
    <n v="268"/>
  </r>
  <r>
    <n v="98"/>
    <s v="Travis, Fletcher and Rodriguez"/>
    <x v="2"/>
    <x v="1"/>
    <s v="Python"/>
    <s v=" SQL"/>
    <s v=" Power BI"/>
    <s v=" Scikit-learn"/>
    <s v=" FastAPI"/>
    <n v="177820"/>
    <m/>
    <s v="Mid"/>
    <x v="2"/>
    <s v="Port Julieburgh"/>
    <s v=" KW"/>
    <n v="127896"/>
    <n v="227744"/>
    <d v="2023-12-18T00:00:00"/>
    <x v="0"/>
    <s v="FastAPI"/>
    <s v=" KDB+"/>
    <s v=" LangChain"/>
    <x v="5"/>
    <n v="94"/>
    <x v="1"/>
    <n v="251"/>
  </r>
  <r>
    <n v="99"/>
    <s v="Lozano-Hill"/>
    <x v="0"/>
    <x v="0"/>
    <s v="Keras"/>
    <s v=" NumPy"/>
    <s v=" Excel"/>
    <s v=" C++"/>
    <s v=" Pandas"/>
    <n v="152145"/>
    <m/>
    <s v="Entry"/>
    <x v="2"/>
    <s v="South Stephanieville"/>
    <s v=" BS"/>
    <n v="133789"/>
    <n v="170501"/>
    <d v="2024-05-22T00:00:00"/>
    <x v="0"/>
    <s v="TensorFlow"/>
    <s v=" BigQuery"/>
    <m/>
    <x v="7"/>
    <n v="96"/>
    <x v="2"/>
    <n v="249"/>
  </r>
  <r>
    <n v="100"/>
    <s v="Farmer, Leach and Norris"/>
    <x v="6"/>
    <x v="1"/>
    <s v="Keras"/>
    <s v=" Power BI"/>
    <s v=" MLflow"/>
    <s v=" AWS"/>
    <m/>
    <n v="153026"/>
    <m/>
    <s v="Mid"/>
    <x v="2"/>
    <s v="Williamsbury"/>
    <s v=" DO"/>
    <n v="126422"/>
    <n v="179630"/>
    <d v="2025-09-03T00:00:00"/>
    <x v="1"/>
    <s v="TensorFlow"/>
    <m/>
    <m/>
    <x v="7"/>
    <n v="96"/>
    <x v="2"/>
    <n v="249"/>
  </r>
  <r>
    <n v="101"/>
    <s v="Price-Nichols"/>
    <x v="0"/>
    <x v="3"/>
    <s v="Pandas"/>
    <s v=" MLflow"/>
    <s v=" Hugging Face"/>
    <s v=" SQL"/>
    <m/>
    <n v="92458.5"/>
    <m/>
    <s v="Entry"/>
    <x v="2"/>
    <s v="South Fredview"/>
    <s v=" PL"/>
    <n v="53156"/>
    <n v="131761"/>
    <d v="2025-07-22T00:00:00"/>
    <x v="2"/>
    <s v="TensorFlow"/>
    <m/>
    <m/>
    <x v="6"/>
    <n v="78"/>
    <x v="2"/>
    <n v="249"/>
  </r>
  <r>
    <n v="102"/>
    <s v="Gonzalez, Jackson and Williams"/>
    <x v="6"/>
    <x v="5"/>
    <s v="Hugging Face"/>
    <s v=" LangChain"/>
    <s v=" Azure"/>
    <s v=" Scikit-learn"/>
    <s v=" Flask"/>
    <n v="123145.5"/>
    <m/>
    <s v="Senior"/>
    <x v="1"/>
    <s v="Heatherport"/>
    <s v=" DO"/>
    <n v="76985"/>
    <n v="169306"/>
    <d v="2025-08-09T00:00:00"/>
    <x v="0"/>
    <s v="KDB+"/>
    <s v=" BigQuery"/>
    <s v=" MLflow"/>
    <x v="9"/>
    <n v="89"/>
    <x v="0"/>
    <n v="247"/>
  </r>
  <r>
    <n v="103"/>
    <s v="Dodson, Palmer and Huber"/>
    <x v="3"/>
    <x v="4"/>
    <s v="Python"/>
    <s v=" Pandas"/>
    <s v=" NumPy"/>
    <s v=" MLflow"/>
    <m/>
    <n v="144737"/>
    <m/>
    <s v="Entry"/>
    <x v="0"/>
    <s v="Alejandromouth"/>
    <s v=" CU"/>
    <n v="129308"/>
    <n v="160166"/>
    <d v="2025-02-26T00:00:00"/>
    <x v="1"/>
    <s v="KDB+"/>
    <m/>
    <m/>
    <x v="5"/>
    <n v="94"/>
    <x v="0"/>
    <n v="247"/>
  </r>
  <r>
    <n v="104"/>
    <s v="Morris-Sanchez"/>
    <x v="2"/>
    <x v="5"/>
    <s v="Power BI"/>
    <s v=" GCP"/>
    <s v=" Scikit-learn"/>
    <m/>
    <m/>
    <n v="151408.5"/>
    <m/>
    <s v="Senior"/>
    <x v="1"/>
    <s v="New James"/>
    <s v=" CR"/>
    <n v="112263"/>
    <n v="190554"/>
    <d v="2025-03-21T00:00:00"/>
    <x v="1"/>
    <s v="TensorFlow"/>
    <m/>
    <m/>
    <x v="18"/>
    <n v="96"/>
    <x v="2"/>
    <n v="249"/>
  </r>
  <r>
    <n v="105"/>
    <s v="Cobb-Lindsey"/>
    <x v="4"/>
    <x v="6"/>
    <s v="FastAPI"/>
    <s v=" TensorFlow"/>
    <s v=" NumPy"/>
    <s v=" AWS"/>
    <s v=" Azure"/>
    <n v="153109.5"/>
    <m/>
    <s v="Entry"/>
    <x v="2"/>
    <s v="West Madison"/>
    <s v=" QA"/>
    <n v="147332"/>
    <n v="158887"/>
    <d v="2024-11-19T00:00:00"/>
    <x v="1"/>
    <s v="LangChain"/>
    <s v=" Scikit-learn"/>
    <m/>
    <x v="20"/>
    <n v="111"/>
    <x v="4"/>
    <n v="268"/>
  </r>
  <r>
    <n v="106"/>
    <s v="Ramirez-Goodwin"/>
    <x v="5"/>
    <x v="1"/>
    <s v="CUDA"/>
    <s v=" Pandas"/>
    <s v=" GCP"/>
    <s v=" LangChain"/>
    <s v=" Azure"/>
    <n v="88147.5"/>
    <s v=" TensorFlow"/>
    <s v="Mid"/>
    <x v="0"/>
    <s v="Tanyachester"/>
    <s v=" TW"/>
    <n v="54559"/>
    <n v="121736"/>
    <d v="2025-04-04T00:00:00"/>
    <x v="1"/>
    <s v="KDB+"/>
    <s v=" MLflow"/>
    <m/>
    <x v="13"/>
    <n v="75"/>
    <x v="0"/>
    <n v="247"/>
  </r>
  <r>
    <n v="107"/>
    <s v="Duran PLC"/>
    <x v="0"/>
    <x v="1"/>
    <s v="Keras"/>
    <s v=" GCP"/>
    <s v=" SQL"/>
    <m/>
    <m/>
    <n v="123076.5"/>
    <m/>
    <s v="Senior"/>
    <x v="3"/>
    <s v="New David"/>
    <s v=" EG"/>
    <n v="91427"/>
    <n v="154726"/>
    <d v="2023-10-03T00:00:00"/>
    <x v="1"/>
    <s v="BigQuery"/>
    <s v=" FastAPI"/>
    <m/>
    <x v="7"/>
    <n v="96"/>
    <x v="3"/>
    <n v="238"/>
  </r>
  <r>
    <n v="108"/>
    <s v="Kaiser Group"/>
    <x v="1"/>
    <x v="2"/>
    <s v="Power BI"/>
    <s v=" FastAPI"/>
    <s v=" Reinforcement Learning"/>
    <s v=" SQL"/>
    <s v=" Keras"/>
    <n v="144219"/>
    <s v=" AWS"/>
    <s v="Senior"/>
    <x v="2"/>
    <s v="South Patricktown"/>
    <s v=" NO"/>
    <n v="120983"/>
    <n v="167455"/>
    <d v="2025-03-30T00:00:00"/>
    <x v="0"/>
    <s v="TensorFlow"/>
    <s v=" Scikit-learn"/>
    <s v=" MLflow"/>
    <x v="18"/>
    <n v="96"/>
    <x v="2"/>
    <n v="249"/>
  </r>
  <r>
    <n v="109"/>
    <s v="Garcia PLC"/>
    <x v="3"/>
    <x v="3"/>
    <s v="AWS"/>
    <s v=" Hugging Face"/>
    <s v=" Flask"/>
    <s v=" CUDA"/>
    <m/>
    <n v="138258"/>
    <m/>
    <s v="Mid"/>
    <x v="2"/>
    <s v="Sanfordmouth"/>
    <s v=" GW"/>
    <n v="108083"/>
    <n v="168433"/>
    <d v="2024-02-06T00:00:00"/>
    <x v="0"/>
    <s v="BigQuery"/>
    <m/>
    <m/>
    <x v="10"/>
    <n v="97"/>
    <x v="3"/>
    <n v="238"/>
  </r>
  <r>
    <n v="110"/>
    <s v="Steele-Norman"/>
    <x v="0"/>
    <x v="4"/>
    <s v="Azure"/>
    <s v=" MLflow"/>
    <s v=" Excel"/>
    <s v=" CUDA"/>
    <m/>
    <n v="64979.5"/>
    <m/>
    <s v="Mid"/>
    <x v="2"/>
    <s v="Elainefurt"/>
    <s v=" BS"/>
    <n v="43248"/>
    <n v="86711"/>
    <d v="2024-06-20T00:00:00"/>
    <x v="1"/>
    <s v="Scikit-learn"/>
    <m/>
    <m/>
    <x v="15"/>
    <n v="90"/>
    <x v="7"/>
    <n v="255"/>
  </r>
  <r>
    <n v="111"/>
    <s v="Garcia Ltd"/>
    <x v="3"/>
    <x v="7"/>
    <s v="SQL"/>
    <s v=" Flask"/>
    <s v=" NumPy"/>
    <s v=" Power BI"/>
    <s v=" Excel"/>
    <n v="80322.5"/>
    <m/>
    <s v="Entry"/>
    <x v="3"/>
    <s v="Brownstad"/>
    <s v=" LU"/>
    <n v="73459"/>
    <n v="87186"/>
    <d v="2024-09-08T00:00:00"/>
    <x v="0"/>
    <s v="KDB+"/>
    <m/>
    <m/>
    <x v="17"/>
    <n v="88"/>
    <x v="0"/>
    <n v="247"/>
  </r>
  <r>
    <n v="112"/>
    <s v="Hill LLC"/>
    <x v="0"/>
    <x v="7"/>
    <s v="GCP"/>
    <s v=" Azure"/>
    <s v=" Reinforcement Learning"/>
    <s v=" TensorFlow"/>
    <s v=" CUDA"/>
    <n v="125919"/>
    <s v=" FastAPI"/>
    <s v="Mid"/>
    <x v="2"/>
    <s v="Lake Christopher"/>
    <s v=" QA"/>
    <n v="94345"/>
    <n v="157493"/>
    <d v="2024-07-24T00:00:00"/>
    <x v="0"/>
    <s v="Scikit-learn"/>
    <m/>
    <m/>
    <x v="4"/>
    <n v="78"/>
    <x v="7"/>
    <n v="255"/>
  </r>
  <r>
    <n v="113"/>
    <s v="Morales, Thomas and Miller"/>
    <x v="0"/>
    <x v="6"/>
    <s v="Python"/>
    <s v=" FastAPI"/>
    <s v=" R"/>
    <m/>
    <m/>
    <n v="146611.5"/>
    <m/>
    <s v="Mid"/>
    <x v="0"/>
    <s v="Millermouth"/>
    <s v=" GY"/>
    <n v="113621"/>
    <n v="179602"/>
    <d v="2024-08-28T00:00:00"/>
    <x v="1"/>
    <s v="MLflow"/>
    <s v=" Scikit-learn"/>
    <s v=" FastAPI"/>
    <x v="5"/>
    <n v="94"/>
    <x v="6"/>
    <n v="259"/>
  </r>
  <r>
    <n v="114"/>
    <s v="Kelly-Novak"/>
    <x v="2"/>
    <x v="5"/>
    <s v="Scikit-learn"/>
    <s v=" Pandas"/>
    <s v=" GCP"/>
    <s v=" Python"/>
    <s v=" R"/>
    <n v="90889"/>
    <m/>
    <s v="Entry"/>
    <x v="0"/>
    <s v="Nicoleside"/>
    <s v=" AD"/>
    <n v="43828"/>
    <n v="137950"/>
    <d v="2025-05-20T00:00:00"/>
    <x v="1"/>
    <s v="KDB+"/>
    <m/>
    <m/>
    <x v="1"/>
    <n v="76"/>
    <x v="0"/>
    <n v="247"/>
  </r>
  <r>
    <n v="115"/>
    <s v="Martin-Hernandez"/>
    <x v="1"/>
    <x v="4"/>
    <s v="AWS"/>
    <s v=" Python"/>
    <s v=" GCP"/>
    <s v=" R"/>
    <s v=" C++"/>
    <n v="152503.5"/>
    <s v=" FastAPI"/>
    <s v="Senior"/>
    <x v="3"/>
    <s v="North Patrick"/>
    <s v=" KE"/>
    <n v="118046"/>
    <n v="186961"/>
    <d v="2025-06-17T00:00:00"/>
    <x v="2"/>
    <s v="Scikit-learn"/>
    <s v=" TensorFlow"/>
    <m/>
    <x v="10"/>
    <n v="97"/>
    <x v="7"/>
    <n v="255"/>
  </r>
  <r>
    <n v="116"/>
    <s v="Price-Dean"/>
    <x v="3"/>
    <x v="6"/>
    <s v="NumPy"/>
    <s v=" LangChain"/>
    <s v=" Excel"/>
    <s v=" Keras"/>
    <m/>
    <n v="176787.5"/>
    <m/>
    <s v="Entry"/>
    <x v="0"/>
    <s v="Dennistown"/>
    <s v=" IQ"/>
    <n v="143236"/>
    <n v="210339"/>
    <d v="2024-03-17T00:00:00"/>
    <x v="0"/>
    <s v="MLflow"/>
    <m/>
    <m/>
    <x v="0"/>
    <n v="104"/>
    <x v="6"/>
    <n v="259"/>
  </r>
  <r>
    <n v="117"/>
    <s v="Ruiz Inc"/>
    <x v="5"/>
    <x v="0"/>
    <s v="NumPy"/>
    <s v=" Scikit-learn"/>
    <s v=" Keras"/>
    <s v=" TensorFlow"/>
    <s v=" Hugging Face"/>
    <n v="112397.5"/>
    <s v=" Excel"/>
    <s v="Entry"/>
    <x v="2"/>
    <s v="Rodriguezfurt"/>
    <s v=" LI"/>
    <n v="70478"/>
    <n v="154317"/>
    <d v="2025-05-07T00:00:00"/>
    <x v="0"/>
    <s v="LangChain"/>
    <s v=" KDB+"/>
    <m/>
    <x v="0"/>
    <n v="104"/>
    <x v="4"/>
    <n v="268"/>
  </r>
  <r>
    <n v="118"/>
    <s v="Hudson, Burton and Campbell"/>
    <x v="4"/>
    <x v="0"/>
    <s v="TensorFlow"/>
    <s v=" R"/>
    <s v=" Hugging Face"/>
    <m/>
    <m/>
    <n v="96385.5"/>
    <m/>
    <s v="Mid"/>
    <x v="1"/>
    <s v="Sullivanburgh"/>
    <s v=" BJ"/>
    <n v="69403"/>
    <n v="123368"/>
    <d v="2024-04-05T00:00:00"/>
    <x v="2"/>
    <s v="Scikit-learn"/>
    <m/>
    <m/>
    <x v="19"/>
    <n v="95"/>
    <x v="7"/>
    <n v="255"/>
  </r>
  <r>
    <n v="119"/>
    <s v="Roberson Inc"/>
    <x v="5"/>
    <x v="6"/>
    <s v="Python"/>
    <s v=" Power BI"/>
    <s v=" Pandas"/>
    <s v=" MLflow"/>
    <s v=" Keras"/>
    <n v="170122"/>
    <s v=" Scikit-learn"/>
    <s v="Mid"/>
    <x v="2"/>
    <s v="New Justin"/>
    <s v=" ZW"/>
    <n v="143437"/>
    <n v="196807"/>
    <d v="2024-01-01T00:00:00"/>
    <x v="1"/>
    <s v="MLflow"/>
    <s v=" PyTorch"/>
    <s v=" FastAPI"/>
    <x v="5"/>
    <n v="94"/>
    <x v="6"/>
    <n v="259"/>
  </r>
  <r>
    <n v="120"/>
    <s v="Gutierrez PLC"/>
    <x v="6"/>
    <x v="6"/>
    <s v="PyTorch"/>
    <s v=" GCP"/>
    <s v=" NumPy"/>
    <s v=" Python"/>
    <s v=" Pandas"/>
    <n v="72108"/>
    <s v=" Keras"/>
    <s v="Entry"/>
    <x v="2"/>
    <s v="West Fredside"/>
    <s v=" PW"/>
    <n v="59290"/>
    <n v="84926"/>
    <d v="2025-08-10T00:00:00"/>
    <x v="1"/>
    <s v="TensorFlow"/>
    <s v=" KDB+"/>
    <s v=" BigQuery"/>
    <x v="14"/>
    <n v="92"/>
    <x v="2"/>
    <n v="249"/>
  </r>
  <r>
    <n v="121"/>
    <s v="King, Chambers and Brown"/>
    <x v="6"/>
    <x v="7"/>
    <s v="SQL"/>
    <s v=" Excel"/>
    <s v=" Python"/>
    <m/>
    <m/>
    <n v="132648"/>
    <m/>
    <s v="Mid"/>
    <x v="3"/>
    <s v="Eriktown"/>
    <s v=" GT"/>
    <n v="124112"/>
    <n v="141184"/>
    <d v="2024-10-08T00:00:00"/>
    <x v="1"/>
    <s v="Scikit-learn"/>
    <s v=" MLflow"/>
    <m/>
    <x v="17"/>
    <n v="88"/>
    <x v="7"/>
    <n v="255"/>
  </r>
  <r>
    <n v="122"/>
    <s v="Shannon LLC"/>
    <x v="2"/>
    <x v="7"/>
    <s v="GCP"/>
    <s v=" Keras"/>
    <s v=" Azure"/>
    <s v=" SQL"/>
    <s v=" Scikit-learn"/>
    <n v="115468.5"/>
    <s v=" NumPy"/>
    <s v="Entry"/>
    <x v="2"/>
    <s v="Port Robert"/>
    <s v=" TR"/>
    <n v="93411"/>
    <n v="137526"/>
    <d v="2024-07-10T00:00:00"/>
    <x v="0"/>
    <s v="BigQuery"/>
    <m/>
    <m/>
    <x v="4"/>
    <n v="78"/>
    <x v="3"/>
    <n v="238"/>
  </r>
  <r>
    <n v="123"/>
    <s v="Thompson-Norris"/>
    <x v="2"/>
    <x v="1"/>
    <s v="Azure"/>
    <s v=" TensorFlow"/>
    <s v=" PyTorch"/>
    <s v=" AWS"/>
    <s v=" Flask"/>
    <n v="115498"/>
    <m/>
    <s v="Senior"/>
    <x v="2"/>
    <s v="Davidfort"/>
    <s v=" CU"/>
    <n v="98592"/>
    <n v="132404"/>
    <d v="2024-10-08T00:00:00"/>
    <x v="2"/>
    <s v="KDB+"/>
    <s v=" MLflow"/>
    <m/>
    <x v="15"/>
    <n v="90"/>
    <x v="0"/>
    <n v="247"/>
  </r>
  <r>
    <n v="124"/>
    <s v="Davis and Sons"/>
    <x v="4"/>
    <x v="4"/>
    <s v="Hugging Face"/>
    <s v=" Power BI"/>
    <s v=" SQL"/>
    <s v=" FastAPI"/>
    <s v=" C++"/>
    <n v="123185.5"/>
    <s v=" Reinforcement Learning"/>
    <s v="Mid"/>
    <x v="1"/>
    <s v="Carrollland"/>
    <s v=" SE"/>
    <n v="109693"/>
    <n v="136678"/>
    <d v="2023-10-31T00:00:00"/>
    <x v="0"/>
    <s v="KDB+"/>
    <m/>
    <m/>
    <x v="9"/>
    <n v="89"/>
    <x v="0"/>
    <n v="247"/>
  </r>
  <r>
    <n v="125"/>
    <s v="Reed, Garcia and French"/>
    <x v="4"/>
    <x v="6"/>
    <s v="Keras"/>
    <s v=" CUDA"/>
    <s v=" TensorFlow"/>
    <m/>
    <m/>
    <n v="151141.5"/>
    <m/>
    <s v="Mid"/>
    <x v="0"/>
    <s v="West Richardborough"/>
    <s v=" BE"/>
    <n v="128381"/>
    <n v="173902"/>
    <d v="2025-08-03T00:00:00"/>
    <x v="2"/>
    <s v="BigQuery"/>
    <s v=" TensorFlow"/>
    <m/>
    <x v="7"/>
    <n v="96"/>
    <x v="3"/>
    <n v="238"/>
  </r>
  <r>
    <n v="126"/>
    <s v="Anderson-Cruz"/>
    <x v="1"/>
    <x v="1"/>
    <s v="SQL"/>
    <s v=" AWS"/>
    <s v=" Power BI"/>
    <m/>
    <m/>
    <n v="121848.5"/>
    <m/>
    <s v="Mid"/>
    <x v="3"/>
    <s v="Jasonshire"/>
    <s v=" TH"/>
    <n v="114132"/>
    <n v="129565"/>
    <d v="2025-04-07T00:00:00"/>
    <x v="0"/>
    <s v="PyTorch"/>
    <m/>
    <m/>
    <x v="17"/>
    <n v="88"/>
    <x v="5"/>
    <n v="233"/>
  </r>
  <r>
    <n v="127"/>
    <s v="King PLC"/>
    <x v="2"/>
    <x v="4"/>
    <s v="NumPy"/>
    <s v=" CUDA"/>
    <s v=" Scikit-learn"/>
    <s v=" Keras"/>
    <s v=" Excel"/>
    <n v="153136"/>
    <s v=" Pandas"/>
    <s v="Mid"/>
    <x v="2"/>
    <s v="East Sheriton"/>
    <s v=" SV"/>
    <n v="117985"/>
    <n v="188287"/>
    <d v="2024-03-10T00:00:00"/>
    <x v="0"/>
    <s v="Scikit-learn"/>
    <m/>
    <m/>
    <x v="0"/>
    <n v="104"/>
    <x v="7"/>
    <n v="255"/>
  </r>
  <r>
    <n v="128"/>
    <s v="Baker-Gomez"/>
    <x v="2"/>
    <x v="2"/>
    <s v="NumPy"/>
    <s v=" PyTorch"/>
    <s v=" FastAPI"/>
    <s v=" CUDA"/>
    <s v=" Azure"/>
    <n v="135744.5"/>
    <m/>
    <s v="Entry"/>
    <x v="3"/>
    <s v="Sarahview"/>
    <s v=" SE"/>
    <n v="98649"/>
    <n v="172840"/>
    <d v="2024-11-22T00:00:00"/>
    <x v="0"/>
    <s v="LangChain"/>
    <s v=" KDB+"/>
    <m/>
    <x v="0"/>
    <n v="104"/>
    <x v="4"/>
    <n v="268"/>
  </r>
  <r>
    <n v="129"/>
    <s v="Patterson, Bruce and Herring"/>
    <x v="6"/>
    <x v="6"/>
    <s v="Keras"/>
    <s v=" Pandas"/>
    <s v=" MLflow"/>
    <s v=" Scikit-learn"/>
    <m/>
    <n v="177945"/>
    <m/>
    <s v="Mid"/>
    <x v="3"/>
    <s v="Davechester"/>
    <s v=" LR"/>
    <n v="132259"/>
    <n v="223631"/>
    <d v="2024-12-31T00:00:00"/>
    <x v="1"/>
    <s v="PyTorch"/>
    <s v=" KDB+"/>
    <s v=" LangChain"/>
    <x v="7"/>
    <n v="96"/>
    <x v="5"/>
    <n v="233"/>
  </r>
  <r>
    <n v="130"/>
    <s v="Jackson Inc"/>
    <x v="3"/>
    <x v="0"/>
    <s v="MLflow"/>
    <s v=" NumPy"/>
    <s v=" Scikit-learn"/>
    <s v=" Azure"/>
    <s v=" Keras"/>
    <n v="107496"/>
    <m/>
    <s v="Senior"/>
    <x v="1"/>
    <s v="Allenton"/>
    <s v=" UG"/>
    <n v="92116"/>
    <n v="122876"/>
    <d v="2025-03-11T00:00:00"/>
    <x v="2"/>
    <s v="Scikit-learn"/>
    <m/>
    <m/>
    <x v="3"/>
    <n v="80"/>
    <x v="7"/>
    <n v="255"/>
  </r>
  <r>
    <n v="131"/>
    <s v="Thompson, Lewis and Gonzalez"/>
    <x v="4"/>
    <x v="6"/>
    <s v="AWS"/>
    <s v=" Hugging Face"/>
    <s v=" Python"/>
    <s v=" Reinforcement Learning"/>
    <s v=" Scikit-learn"/>
    <n v="123539.5"/>
    <s v=" LangChain"/>
    <s v="Entry"/>
    <x v="1"/>
    <s v="Westland"/>
    <s v=" KM"/>
    <n v="111421"/>
    <n v="135658"/>
    <d v="2024-09-23T00:00:00"/>
    <x v="0"/>
    <s v="BigQuery"/>
    <m/>
    <m/>
    <x v="10"/>
    <n v="97"/>
    <x v="3"/>
    <n v="238"/>
  </r>
  <r>
    <n v="132"/>
    <s v="Mclean Inc"/>
    <x v="0"/>
    <x v="6"/>
    <s v="Keras"/>
    <s v=" Pandas"/>
    <s v=" TensorFlow"/>
    <s v=" CUDA"/>
    <m/>
    <n v="71013"/>
    <m/>
    <s v="Mid"/>
    <x v="3"/>
    <s v="Shermanshire"/>
    <s v=" MM"/>
    <n v="64185"/>
    <n v="77841"/>
    <d v="2025-02-09T00:00:00"/>
    <x v="0"/>
    <s v="KDB+"/>
    <s v=" FastAPI"/>
    <m/>
    <x v="7"/>
    <n v="96"/>
    <x v="0"/>
    <n v="247"/>
  </r>
  <r>
    <n v="133"/>
    <s v="Moore Inc"/>
    <x v="5"/>
    <x v="7"/>
    <s v="Power BI"/>
    <s v=" CUDA"/>
    <s v=" Scikit-learn"/>
    <m/>
    <m/>
    <n v="163805.5"/>
    <m/>
    <s v="Senior"/>
    <x v="2"/>
    <s v="Jamesborough"/>
    <s v=" GB"/>
    <n v="114287"/>
    <n v="213324"/>
    <d v="2025-04-23T00:00:00"/>
    <x v="1"/>
    <s v="BigQuery"/>
    <s v=" LangChain"/>
    <s v=" FastAPI"/>
    <x v="18"/>
    <n v="96"/>
    <x v="3"/>
    <n v="238"/>
  </r>
  <r>
    <n v="134"/>
    <s v="Flores-Dalton"/>
    <x v="5"/>
    <x v="7"/>
    <s v="CUDA"/>
    <s v=" Reinforcement Learning"/>
    <s v=" TensorFlow"/>
    <s v=" Power BI"/>
    <s v=" FastAPI"/>
    <n v="102040.5"/>
    <s v=" LangChain"/>
    <s v="Senior"/>
    <x v="1"/>
    <s v="East Edward"/>
    <s v=" MV"/>
    <n v="67967"/>
    <n v="136114"/>
    <d v="2025-09-01T00:00:00"/>
    <x v="1"/>
    <s v="TensorFlow"/>
    <m/>
    <m/>
    <x v="13"/>
    <n v="75"/>
    <x v="2"/>
    <n v="249"/>
  </r>
  <r>
    <n v="135"/>
    <s v="Nguyen and Sons"/>
    <x v="0"/>
    <x v="0"/>
    <s v="C++"/>
    <s v=" MLflow"/>
    <s v=" TensorFlow"/>
    <s v=" NumPy"/>
    <s v=" Excel"/>
    <n v="157674"/>
    <s v=" R"/>
    <s v="Entry"/>
    <x v="0"/>
    <s v="Youngborough"/>
    <s v=" CF"/>
    <n v="119699"/>
    <n v="195649"/>
    <d v="2024-02-29T00:00:00"/>
    <x v="1"/>
    <s v="PyTorch"/>
    <s v=" FastAPI"/>
    <m/>
    <x v="8"/>
    <n v="84"/>
    <x v="5"/>
    <n v="233"/>
  </r>
  <r>
    <n v="136"/>
    <s v="Russell Inc"/>
    <x v="2"/>
    <x v="6"/>
    <s v="Excel"/>
    <s v=" CUDA"/>
    <s v=" GCP"/>
    <s v=" Scikit-learn"/>
    <s v=" Python"/>
    <n v="151506"/>
    <m/>
    <s v="Senior"/>
    <x v="3"/>
    <s v="Morrowview"/>
    <s v=" RS"/>
    <n v="105893"/>
    <n v="197119"/>
    <d v="2024-12-30T00:00:00"/>
    <x v="1"/>
    <s v="PyTorch"/>
    <m/>
    <m/>
    <x v="2"/>
    <n v="101"/>
    <x v="5"/>
    <n v="233"/>
  </r>
  <r>
    <n v="137"/>
    <s v="Castillo and Sons"/>
    <x v="3"/>
    <x v="1"/>
    <s v="NumPy"/>
    <s v=" MLflow"/>
    <s v=" R"/>
    <s v=" C++"/>
    <m/>
    <n v="165074"/>
    <m/>
    <s v="Mid"/>
    <x v="0"/>
    <s v="North Sheilamouth"/>
    <s v=" JP"/>
    <n v="144509"/>
    <n v="185639"/>
    <d v="2024-09-02T00:00:00"/>
    <x v="1"/>
    <s v="FastAPI"/>
    <s v=" PyTorch"/>
    <s v=" TensorFlow"/>
    <x v="0"/>
    <n v="104"/>
    <x v="1"/>
    <n v="251"/>
  </r>
  <r>
    <n v="138"/>
    <s v="Price PLC"/>
    <x v="2"/>
    <x v="2"/>
    <s v="AWS"/>
    <s v=" GCP"/>
    <s v=" R"/>
    <s v=" Power BI"/>
    <m/>
    <n v="161282"/>
    <m/>
    <s v="Senior"/>
    <x v="2"/>
    <s v="Randallside"/>
    <s v=" CZ"/>
    <n v="125979"/>
    <n v="196585"/>
    <d v="2024-03-05T00:00:00"/>
    <x v="2"/>
    <s v="BigQuery"/>
    <s v=" Scikit-learn"/>
    <m/>
    <x v="10"/>
    <n v="97"/>
    <x v="3"/>
    <n v="238"/>
  </r>
  <r>
    <n v="139"/>
    <s v="Payne, Vasquez and Arnold"/>
    <x v="0"/>
    <x v="2"/>
    <s v="Azure"/>
    <s v=" Hugging Face"/>
    <s v=" C++"/>
    <s v=" Scikit-learn"/>
    <s v=" Flask"/>
    <n v="129108"/>
    <s v=" Pandas"/>
    <s v="Mid"/>
    <x v="0"/>
    <s v="Danielfurt"/>
    <s v=" GW"/>
    <n v="96804"/>
    <n v="161412"/>
    <d v="2024-01-14T00:00:00"/>
    <x v="0"/>
    <s v="LangChain"/>
    <s v=" PyTorch"/>
    <s v=" MLflow"/>
    <x v="15"/>
    <n v="90"/>
    <x v="4"/>
    <n v="268"/>
  </r>
  <r>
    <n v="140"/>
    <s v="Roth LLC"/>
    <x v="6"/>
    <x v="0"/>
    <s v="SQL"/>
    <s v=" AWS"/>
    <s v=" Pandas"/>
    <s v=" PyTorch"/>
    <s v=" LangChain"/>
    <n v="168770"/>
    <s v=" C++"/>
    <s v="Senior"/>
    <x v="2"/>
    <s v="Royville"/>
    <s v=" BG"/>
    <n v="145387"/>
    <n v="192153"/>
    <d v="2025-08-26T00:00:00"/>
    <x v="2"/>
    <s v="BigQuery"/>
    <m/>
    <m/>
    <x v="17"/>
    <n v="88"/>
    <x v="3"/>
    <n v="238"/>
  </r>
  <r>
    <n v="141"/>
    <s v="Bryant and Sons"/>
    <x v="5"/>
    <x v="4"/>
    <s v="AWS"/>
    <s v=" Pandas"/>
    <s v=" NumPy"/>
    <s v=" LangChain"/>
    <s v=" GCP"/>
    <n v="85621.5"/>
    <s v=" Flask"/>
    <s v="Entry"/>
    <x v="2"/>
    <s v="Port Allisonfurt"/>
    <s v=" SN"/>
    <n v="44646"/>
    <n v="126597"/>
    <d v="2025-06-07T00:00:00"/>
    <x v="0"/>
    <s v="Scikit-learn"/>
    <s v=" TensorFlow"/>
    <m/>
    <x v="10"/>
    <n v="97"/>
    <x v="7"/>
    <n v="255"/>
  </r>
  <r>
    <n v="142"/>
    <s v="Morris, Williams and Campbell"/>
    <x v="0"/>
    <x v="3"/>
    <s v="C++"/>
    <s v=" PyTorch"/>
    <s v=" NumPy"/>
    <s v=" LangChain"/>
    <s v=" AWS"/>
    <n v="93267"/>
    <s v=" Keras"/>
    <s v="Mid"/>
    <x v="3"/>
    <s v="South Heatherside"/>
    <s v=" KZ"/>
    <n v="61799"/>
    <n v="124735"/>
    <d v="2024-05-14T00:00:00"/>
    <x v="2"/>
    <s v="TensorFlow"/>
    <m/>
    <m/>
    <x v="8"/>
    <n v="84"/>
    <x v="2"/>
    <n v="249"/>
  </r>
  <r>
    <n v="143"/>
    <s v="Perez Ltd"/>
    <x v="0"/>
    <x v="2"/>
    <s v="MLflow"/>
    <s v=" LangChain"/>
    <s v=" Power BI"/>
    <s v=" Scikit-learn"/>
    <s v=" Pandas"/>
    <n v="167986.5"/>
    <m/>
    <s v="Entry"/>
    <x v="3"/>
    <s v="West Susan"/>
    <s v=" NG"/>
    <n v="142495"/>
    <n v="193478"/>
    <d v="2025-04-04T00:00:00"/>
    <x v="0"/>
    <s v="FastAPI"/>
    <s v=" KDB+"/>
    <m/>
    <x v="3"/>
    <n v="80"/>
    <x v="1"/>
    <n v="251"/>
  </r>
  <r>
    <n v="144"/>
    <s v="Smith-Hernandez"/>
    <x v="3"/>
    <x v="5"/>
    <s v="NumPy"/>
    <s v=" TensorFlow"/>
    <s v=" GCP"/>
    <s v=" LangChain"/>
    <m/>
    <n v="87613.5"/>
    <m/>
    <s v="Mid"/>
    <x v="2"/>
    <s v="Shelbyberg"/>
    <s v=" AO"/>
    <n v="52111"/>
    <n v="123116"/>
    <d v="2024-01-05T00:00:00"/>
    <x v="2"/>
    <s v="Scikit-learn"/>
    <s v=" KDB+"/>
    <m/>
    <x v="0"/>
    <n v="104"/>
    <x v="7"/>
    <n v="255"/>
  </r>
  <r>
    <n v="145"/>
    <s v="Barber, Green and Fernandez"/>
    <x v="6"/>
    <x v="0"/>
    <s v="Scikit-learn"/>
    <s v=" PyTorch"/>
    <s v=" Python"/>
    <s v=" GCP"/>
    <m/>
    <n v="80851"/>
    <m/>
    <s v="Entry"/>
    <x v="2"/>
    <s v="Ryanberg"/>
    <s v=" MD"/>
    <n v="68548"/>
    <n v="93154"/>
    <d v="2024-07-30T00:00:00"/>
    <x v="1"/>
    <s v="MLflow"/>
    <s v=" KDB+"/>
    <m/>
    <x v="1"/>
    <n v="76"/>
    <x v="6"/>
    <n v="259"/>
  </r>
  <r>
    <n v="146"/>
    <s v="Baker, Nichols and Chen"/>
    <x v="3"/>
    <x v="3"/>
    <s v="LangChain"/>
    <s v=" Keras"/>
    <s v=" Hugging Face"/>
    <s v=" Scikit-learn"/>
    <s v=" Reinforcement Learning"/>
    <n v="103028.5"/>
    <m/>
    <s v="Entry"/>
    <x v="2"/>
    <s v="West Carloston"/>
    <s v=" CO"/>
    <n v="82795"/>
    <n v="123262"/>
    <d v="2025-03-10T00:00:00"/>
    <x v="0"/>
    <s v="BigQuery"/>
    <s v=" MLflow"/>
    <s v=" Scikit-learn"/>
    <x v="12"/>
    <n v="100"/>
    <x v="3"/>
    <n v="238"/>
  </r>
  <r>
    <n v="147"/>
    <s v="Crawford-Cooper"/>
    <x v="4"/>
    <x v="7"/>
    <s v="FastAPI"/>
    <s v=" Python"/>
    <s v=" Pandas"/>
    <s v=" Azure"/>
    <m/>
    <n v="108436.5"/>
    <m/>
    <s v="Entry"/>
    <x v="1"/>
    <s v="Calderonfurt"/>
    <s v=" KN"/>
    <n v="94239"/>
    <n v="122634"/>
    <d v="2025-08-17T00:00:00"/>
    <x v="1"/>
    <s v="BigQuery"/>
    <m/>
    <m/>
    <x v="20"/>
    <n v="111"/>
    <x v="3"/>
    <n v="238"/>
  </r>
  <r>
    <n v="148"/>
    <s v="Manning, Hernandez and Serrano"/>
    <x v="6"/>
    <x v="6"/>
    <s v="Power BI"/>
    <s v=" Flask"/>
    <s v=" GCP"/>
    <s v=" CUDA"/>
    <m/>
    <n v="80304"/>
    <m/>
    <s v="Mid"/>
    <x v="3"/>
    <s v="New Crystalport"/>
    <s v=" BF"/>
    <n v="64790"/>
    <n v="95818"/>
    <d v="2023-12-19T00:00:00"/>
    <x v="0"/>
    <s v="FastAPI"/>
    <m/>
    <m/>
    <x v="18"/>
    <n v="96"/>
    <x v="1"/>
    <n v="251"/>
  </r>
  <r>
    <n v="149"/>
    <s v="Sanchez and Sons"/>
    <x v="4"/>
    <x v="0"/>
    <s v="PyTorch"/>
    <s v=" AWS"/>
    <s v=" SQL"/>
    <m/>
    <m/>
    <n v="139380.5"/>
    <m/>
    <s v="Senior"/>
    <x v="3"/>
    <s v="North Melissa"/>
    <s v=" NL"/>
    <n v="133389"/>
    <n v="145372"/>
    <d v="2025-09-17T00:00:00"/>
    <x v="2"/>
    <s v="PyTorch"/>
    <s v=" Scikit-learn"/>
    <m/>
    <x v="14"/>
    <n v="92"/>
    <x v="5"/>
    <n v="233"/>
  </r>
  <r>
    <n v="150"/>
    <s v="Gomez-Mosley"/>
    <x v="5"/>
    <x v="1"/>
    <s v="CUDA"/>
    <s v=" Python"/>
    <s v=" Keras"/>
    <s v=" SQL"/>
    <m/>
    <n v="119376"/>
    <m/>
    <s v="Senior"/>
    <x v="1"/>
    <s v="East James"/>
    <s v=" CR"/>
    <n v="112241"/>
    <n v="126511"/>
    <d v="2024-12-28T00:00:00"/>
    <x v="1"/>
    <s v="KDB+"/>
    <m/>
    <m/>
    <x v="13"/>
    <n v="75"/>
    <x v="0"/>
    <n v="247"/>
  </r>
  <r>
    <n v="151"/>
    <s v="Knox, Kirby and Rogers"/>
    <x v="3"/>
    <x v="7"/>
    <s v="NumPy"/>
    <s v=" AWS"/>
    <s v=" Azure"/>
    <s v=" TensorFlow"/>
    <s v=" CUDA"/>
    <n v="87502.5"/>
    <m/>
    <s v="Mid"/>
    <x v="3"/>
    <s v="Cynthiamouth"/>
    <s v=" SC"/>
    <n v="66955"/>
    <n v="108050"/>
    <d v="2024-03-08T00:00:00"/>
    <x v="2"/>
    <s v="FastAPI"/>
    <s v=" TensorFlow"/>
    <s v=" LangChain"/>
    <x v="0"/>
    <n v="104"/>
    <x v="1"/>
    <n v="251"/>
  </r>
  <r>
    <n v="152"/>
    <s v="Johnson-Hansen"/>
    <x v="4"/>
    <x v="3"/>
    <s v="Python"/>
    <s v=" Keras"/>
    <s v=" PyTorch"/>
    <m/>
    <m/>
    <n v="126039.5"/>
    <m/>
    <s v="Mid"/>
    <x v="1"/>
    <s v="New Christopher"/>
    <s v=" KG"/>
    <n v="84480"/>
    <n v="167599"/>
    <d v="2024-03-21T00:00:00"/>
    <x v="1"/>
    <s v="Scikit-learn"/>
    <m/>
    <m/>
    <x v="5"/>
    <n v="94"/>
    <x v="7"/>
    <n v="255"/>
  </r>
  <r>
    <n v="153"/>
    <s v="Allen-Carr"/>
    <x v="2"/>
    <x v="2"/>
    <s v="TensorFlow"/>
    <s v=" FastAPI"/>
    <s v=" AWS"/>
    <m/>
    <m/>
    <n v="117190"/>
    <m/>
    <s v="Mid"/>
    <x v="2"/>
    <s v="West Jamesborough"/>
    <s v=" BT"/>
    <n v="74795"/>
    <n v="159585"/>
    <d v="2023-12-14T00:00:00"/>
    <x v="1"/>
    <s v="Scikit-learn"/>
    <m/>
    <m/>
    <x v="19"/>
    <n v="95"/>
    <x v="7"/>
    <n v="255"/>
  </r>
  <r>
    <n v="154"/>
    <s v="Carroll-Peterson"/>
    <x v="3"/>
    <x v="7"/>
    <s v="CUDA"/>
    <s v=" MLflow"/>
    <s v=" LangChain"/>
    <m/>
    <m/>
    <n v="177701.5"/>
    <m/>
    <s v="Mid"/>
    <x v="1"/>
    <s v="Lake Amanda"/>
    <s v=" PG"/>
    <n v="128089"/>
    <n v="227314"/>
    <d v="2024-07-27T00:00:00"/>
    <x v="2"/>
    <s v="TensorFlow"/>
    <s v=" FastAPI"/>
    <s v=" PyTorch"/>
    <x v="13"/>
    <n v="75"/>
    <x v="2"/>
    <n v="249"/>
  </r>
  <r>
    <n v="155"/>
    <s v="Castillo and Sons"/>
    <x v="0"/>
    <x v="6"/>
    <s v="Flask"/>
    <s v=" GCP"/>
    <s v=" Azure"/>
    <s v=" Reinforcement Learning"/>
    <s v=" PyTorch"/>
    <n v="88306"/>
    <m/>
    <s v="Mid"/>
    <x v="2"/>
    <s v="New Monicaborough"/>
    <s v=" KH"/>
    <n v="59563"/>
    <n v="117049"/>
    <d v="2024-06-04T00:00:00"/>
    <x v="1"/>
    <s v="MLflow"/>
    <s v=" PyTorch"/>
    <s v=" KDB+"/>
    <x v="16"/>
    <n v="86"/>
    <x v="6"/>
    <n v="259"/>
  </r>
  <r>
    <n v="156"/>
    <s v="Dixon-Fields"/>
    <x v="5"/>
    <x v="0"/>
    <s v="PyTorch"/>
    <s v=" Power BI"/>
    <s v=" TensorFlow"/>
    <s v=" Keras"/>
    <m/>
    <n v="169835.5"/>
    <m/>
    <s v="Senior"/>
    <x v="3"/>
    <s v="New Christinastad"/>
    <s v=" GY"/>
    <n v="124014"/>
    <n v="215657"/>
    <d v="2024-11-23T00:00:00"/>
    <x v="2"/>
    <s v="BigQuery"/>
    <s v=" KDB+"/>
    <m/>
    <x v="14"/>
    <n v="92"/>
    <x v="3"/>
    <n v="238"/>
  </r>
  <r>
    <n v="157"/>
    <s v="Ashley-Espinoza"/>
    <x v="3"/>
    <x v="1"/>
    <s v="Python"/>
    <s v=" LangChain"/>
    <s v=" Hugging Face"/>
    <s v=" Excel"/>
    <s v=" Flask"/>
    <n v="97376.5"/>
    <s v=" Reinforcement Learning"/>
    <s v="Senior"/>
    <x v="1"/>
    <s v="Elizabethchester"/>
    <s v=" KZ"/>
    <n v="82670"/>
    <n v="112083"/>
    <d v="2025-06-23T00:00:00"/>
    <x v="2"/>
    <s v="TensorFlow"/>
    <s v=" MLflow"/>
    <m/>
    <x v="5"/>
    <n v="94"/>
    <x v="2"/>
    <n v="249"/>
  </r>
  <r>
    <n v="158"/>
    <s v="Scott, Nelson and Cooke"/>
    <x v="3"/>
    <x v="6"/>
    <s v="Flask"/>
    <s v=" Keras"/>
    <s v=" Hugging Face"/>
    <s v=" Azure"/>
    <s v=" C++"/>
    <n v="144875"/>
    <s v=" SQL"/>
    <s v="Senior"/>
    <x v="3"/>
    <s v="Hayesberg"/>
    <s v=" AG"/>
    <n v="99523"/>
    <n v="190227"/>
    <d v="2025-01-02T00:00:00"/>
    <x v="1"/>
    <s v="MLflow"/>
    <s v=" Scikit-learn"/>
    <s v=" FastAPI"/>
    <x v="16"/>
    <n v="86"/>
    <x v="6"/>
    <n v="259"/>
  </r>
  <r>
    <n v="159"/>
    <s v="Wright-Pennington"/>
    <x v="2"/>
    <x v="4"/>
    <s v="R"/>
    <s v=" NumPy"/>
    <s v=" Keras"/>
    <s v=" TensorFlow"/>
    <s v=" Python"/>
    <n v="89652.5"/>
    <s v=" GCP"/>
    <s v="Mid"/>
    <x v="2"/>
    <s v="Bentonland"/>
    <s v=" BG"/>
    <n v="63560"/>
    <n v="115745"/>
    <d v="2025-09-14T00:00:00"/>
    <x v="0"/>
    <s v="Scikit-learn"/>
    <s v=" KDB+"/>
    <s v=" BigQuery"/>
    <x v="11"/>
    <n v="86"/>
    <x v="7"/>
    <n v="255"/>
  </r>
  <r>
    <n v="160"/>
    <s v="Garcia-Martinez"/>
    <x v="3"/>
    <x v="0"/>
    <s v="Power BI"/>
    <s v=" Flask"/>
    <s v=" LangChain"/>
    <s v=" Excel"/>
    <s v=" MLflow"/>
    <n v="111709"/>
    <m/>
    <s v="Mid"/>
    <x v="2"/>
    <s v="Michaeltown"/>
    <s v=" UY"/>
    <n v="96246"/>
    <n v="127172"/>
    <d v="2025-03-16T00:00:00"/>
    <x v="0"/>
    <s v="Scikit-learn"/>
    <s v=" BigQuery"/>
    <s v=" KDB+"/>
    <x v="18"/>
    <n v="96"/>
    <x v="7"/>
    <n v="255"/>
  </r>
  <r>
    <n v="161"/>
    <s v="Ryan-Ward"/>
    <x v="3"/>
    <x v="4"/>
    <s v="FastAPI"/>
    <s v=" Azure"/>
    <s v=" Power BI"/>
    <s v=" CUDA"/>
    <s v=" Flask"/>
    <n v="181709.5"/>
    <m/>
    <s v="Mid"/>
    <x v="1"/>
    <s v="Hernandezfurt"/>
    <s v=" MX"/>
    <n v="133411"/>
    <n v="230008"/>
    <d v="2024-02-05T00:00:00"/>
    <x v="1"/>
    <s v="KDB+"/>
    <s v=" BigQuery"/>
    <m/>
    <x v="20"/>
    <n v="111"/>
    <x v="0"/>
    <n v="247"/>
  </r>
  <r>
    <n v="162"/>
    <s v="Ross, Torres and Griffith"/>
    <x v="0"/>
    <x v="6"/>
    <s v="MLflow"/>
    <s v=" Excel"/>
    <s v=" LangChain"/>
    <m/>
    <m/>
    <n v="55813.5"/>
    <m/>
    <s v="Senior"/>
    <x v="2"/>
    <s v="Jessicamouth"/>
    <s v=" PS"/>
    <n v="44241"/>
    <n v="67386"/>
    <d v="2023-12-04T00:00:00"/>
    <x v="0"/>
    <s v="FastAPI"/>
    <s v=" PyTorch"/>
    <m/>
    <x v="3"/>
    <n v="80"/>
    <x v="1"/>
    <n v="251"/>
  </r>
  <r>
    <n v="163"/>
    <s v="Contreras, Taylor and Nelson"/>
    <x v="3"/>
    <x v="3"/>
    <s v="NumPy"/>
    <s v=" Scikit-learn"/>
    <s v=" AWS"/>
    <s v=" Power BI"/>
    <s v=" SQL"/>
    <n v="68090"/>
    <m/>
    <s v="Mid"/>
    <x v="1"/>
    <s v="North Danielfort"/>
    <s v=" LC"/>
    <n v="42621"/>
    <n v="93559"/>
    <d v="2025-03-16T00:00:00"/>
    <x v="2"/>
    <s v="Scikit-learn"/>
    <s v=" MLflow"/>
    <s v=" BigQuery"/>
    <x v="0"/>
    <n v="104"/>
    <x v="7"/>
    <n v="255"/>
  </r>
  <r>
    <n v="164"/>
    <s v="French Inc"/>
    <x v="2"/>
    <x v="6"/>
    <s v="R"/>
    <s v=" Keras"/>
    <s v=" NumPy"/>
    <s v=" FastAPI"/>
    <m/>
    <n v="123737"/>
    <m/>
    <s v="Entry"/>
    <x v="3"/>
    <s v="East Ritaburgh"/>
    <s v=" AM"/>
    <n v="75069"/>
    <n v="172405"/>
    <d v="2025-08-06T00:00:00"/>
    <x v="1"/>
    <s v="TensorFlow"/>
    <s v=" MLflow"/>
    <m/>
    <x v="11"/>
    <n v="86"/>
    <x v="2"/>
    <n v="249"/>
  </r>
  <r>
    <n v="165"/>
    <s v="Roth, Le and Hamilton"/>
    <x v="0"/>
    <x v="2"/>
    <s v="Keras"/>
    <s v=" GCP"/>
    <s v=" NumPy"/>
    <s v=" AWS"/>
    <m/>
    <n v="133328.5"/>
    <m/>
    <s v="Mid"/>
    <x v="0"/>
    <s v="Lake Eriktown"/>
    <s v=" TZ"/>
    <n v="110005"/>
    <n v="156652"/>
    <d v="2025-04-14T00:00:00"/>
    <x v="0"/>
    <s v="LangChain"/>
    <m/>
    <m/>
    <x v="7"/>
    <n v="96"/>
    <x v="4"/>
    <n v="268"/>
  </r>
  <r>
    <n v="166"/>
    <s v="Boyd, Gallagher and Thompson"/>
    <x v="0"/>
    <x v="1"/>
    <s v="Hugging Face"/>
    <s v=" Reinforcement Learning"/>
    <s v=" LangChain"/>
    <m/>
    <m/>
    <n v="142264.5"/>
    <m/>
    <s v="Senior"/>
    <x v="1"/>
    <s v="Brandonton"/>
    <s v=" RO"/>
    <n v="127733"/>
    <n v="156796"/>
    <d v="2025-09-16T00:00:00"/>
    <x v="0"/>
    <s v="BigQuery"/>
    <s v=" MLflow"/>
    <s v=" FastAPI"/>
    <x v="9"/>
    <n v="89"/>
    <x v="3"/>
    <n v="238"/>
  </r>
  <r>
    <n v="167"/>
    <s v="Benjamin-Nguyen"/>
    <x v="1"/>
    <x v="1"/>
    <s v="LangChain"/>
    <s v=" TensorFlow"/>
    <s v=" AWS"/>
    <s v=" Reinforcement Learning"/>
    <m/>
    <n v="107123.5"/>
    <m/>
    <s v="Senior"/>
    <x v="1"/>
    <s v="Barryborough"/>
    <s v=" JM"/>
    <n v="81580"/>
    <n v="132667"/>
    <d v="2024-04-16T00:00:00"/>
    <x v="2"/>
    <s v="TensorFlow"/>
    <s v=" BigQuery"/>
    <m/>
    <x v="12"/>
    <n v="100"/>
    <x v="2"/>
    <n v="249"/>
  </r>
  <r>
    <n v="168"/>
    <s v="Coleman-Jimenez"/>
    <x v="5"/>
    <x v="0"/>
    <s v="FastAPI"/>
    <s v=" Reinforcement Learning"/>
    <s v=" Hugging Face"/>
    <s v=" GCP"/>
    <s v=" R"/>
    <n v="60126.5"/>
    <m/>
    <s v="Entry"/>
    <x v="1"/>
    <s v="West Alexanderberg"/>
    <s v=" MG"/>
    <n v="46318"/>
    <n v="73935"/>
    <d v="2024-10-18T00:00:00"/>
    <x v="1"/>
    <s v="TensorFlow"/>
    <m/>
    <m/>
    <x v="20"/>
    <n v="111"/>
    <x v="2"/>
    <n v="249"/>
  </r>
  <r>
    <n v="169"/>
    <s v="Williams-Gross"/>
    <x v="2"/>
    <x v="0"/>
    <s v="Power BI"/>
    <s v=" Excel"/>
    <s v=" SQL"/>
    <s v=" AWS"/>
    <s v=" Azure"/>
    <n v="128378"/>
    <m/>
    <s v="Entry"/>
    <x v="0"/>
    <s v="Ericport"/>
    <s v=" BR"/>
    <n v="83360"/>
    <n v="173396"/>
    <d v="2024-12-11T00:00:00"/>
    <x v="2"/>
    <s v="FastAPI"/>
    <s v=" MLflow"/>
    <s v=" KDB+"/>
    <x v="18"/>
    <n v="96"/>
    <x v="1"/>
    <n v="251"/>
  </r>
  <r>
    <n v="170"/>
    <s v="Gonzalez Ltd"/>
    <x v="4"/>
    <x v="3"/>
    <s v="FastAPI"/>
    <s v=" AWS"/>
    <s v=" PyTorch"/>
    <m/>
    <m/>
    <n v="99926"/>
    <m/>
    <s v="Mid"/>
    <x v="3"/>
    <s v="Johnsonmouth"/>
    <s v=" BS"/>
    <n v="50841"/>
    <n v="149011"/>
    <d v="2025-05-02T00:00:00"/>
    <x v="1"/>
    <s v="LangChain"/>
    <m/>
    <m/>
    <x v="20"/>
    <n v="111"/>
    <x v="4"/>
    <n v="268"/>
  </r>
  <r>
    <n v="171"/>
    <s v="Hart-Miller"/>
    <x v="4"/>
    <x v="2"/>
    <s v="CUDA"/>
    <s v=" Python"/>
    <s v=" Keras"/>
    <m/>
    <m/>
    <n v="133959.5"/>
    <m/>
    <s v="Senior"/>
    <x v="1"/>
    <s v="South Gary"/>
    <s v=" BN"/>
    <n v="84196"/>
    <n v="183723"/>
    <d v="2025-03-15T00:00:00"/>
    <x v="2"/>
    <s v="FastAPI"/>
    <s v=" PyTorch"/>
    <s v=" TensorFlow"/>
    <x v="13"/>
    <n v="75"/>
    <x v="1"/>
    <n v="251"/>
  </r>
  <r>
    <n v="172"/>
    <s v="Kim Inc"/>
    <x v="1"/>
    <x v="7"/>
    <s v="Flask"/>
    <s v=" Azure"/>
    <s v=" Hugging Face"/>
    <s v=" FastAPI"/>
    <s v=" Excel"/>
    <n v="137107.5"/>
    <m/>
    <s v="Mid"/>
    <x v="2"/>
    <s v="West Ralphview"/>
    <s v=" SL"/>
    <n v="92704"/>
    <n v="181511"/>
    <d v="2024-05-25T00:00:00"/>
    <x v="1"/>
    <s v="PyTorch"/>
    <s v=" BigQuery"/>
    <m/>
    <x v="16"/>
    <n v="86"/>
    <x v="5"/>
    <n v="233"/>
  </r>
  <r>
    <n v="173"/>
    <s v="Horton LLC"/>
    <x v="1"/>
    <x v="5"/>
    <s v="TensorFlow"/>
    <s v=" CUDA"/>
    <s v=" Reinforcement Learning"/>
    <s v=" Flask"/>
    <s v=" R"/>
    <n v="97428.5"/>
    <m/>
    <s v="Entry"/>
    <x v="1"/>
    <s v="Debraview"/>
    <s v=" HU"/>
    <n v="61245"/>
    <n v="133612"/>
    <d v="2024-01-31T00:00:00"/>
    <x v="1"/>
    <s v="FastAPI"/>
    <s v=" PyTorch"/>
    <m/>
    <x v="19"/>
    <n v="95"/>
    <x v="1"/>
    <n v="251"/>
  </r>
  <r>
    <n v="174"/>
    <s v="Mendoza Ltd"/>
    <x v="6"/>
    <x v="2"/>
    <s v="NumPy"/>
    <s v=" MLflow"/>
    <s v=" Python"/>
    <s v=" C++"/>
    <s v=" Azure"/>
    <n v="122493"/>
    <m/>
    <s v="Mid"/>
    <x v="1"/>
    <s v="North Michael"/>
    <s v=" CU"/>
    <n v="91839"/>
    <n v="153147"/>
    <d v="2024-08-01T00:00:00"/>
    <x v="0"/>
    <s v="FastAPI"/>
    <s v=" MLflow"/>
    <m/>
    <x v="0"/>
    <n v="104"/>
    <x v="1"/>
    <n v="251"/>
  </r>
  <r>
    <n v="175"/>
    <s v="Alexander, Warner and Mendez"/>
    <x v="1"/>
    <x v="2"/>
    <s v="NumPy"/>
    <s v=" PyTorch"/>
    <s v=" C++"/>
    <s v=" MLflow"/>
    <s v=" TensorFlow"/>
    <n v="107572"/>
    <m/>
    <s v="Entry"/>
    <x v="2"/>
    <s v="Joneston"/>
    <s v=" TL"/>
    <n v="65330"/>
    <n v="149814"/>
    <d v="2025-01-24T00:00:00"/>
    <x v="1"/>
    <s v="TensorFlow"/>
    <s v=" KDB+"/>
    <s v=" MLflow"/>
    <x v="0"/>
    <n v="104"/>
    <x v="2"/>
    <n v="249"/>
  </r>
  <r>
    <n v="176"/>
    <s v="Williams Ltd"/>
    <x v="5"/>
    <x v="6"/>
    <s v="Power BI"/>
    <s v=" Azure"/>
    <s v=" FastAPI"/>
    <s v=" LangChain"/>
    <s v=" NumPy"/>
    <n v="176327.5"/>
    <m/>
    <s v="Mid"/>
    <x v="2"/>
    <s v="Port Ariel"/>
    <s v=" TR"/>
    <n v="142316"/>
    <n v="210339"/>
    <d v="2025-01-21T00:00:00"/>
    <x v="1"/>
    <s v="KDB+"/>
    <s v=" BigQuery"/>
    <m/>
    <x v="18"/>
    <n v="96"/>
    <x v="0"/>
    <n v="247"/>
  </r>
  <r>
    <n v="177"/>
    <s v="Mills Group"/>
    <x v="2"/>
    <x v="4"/>
    <s v="Excel"/>
    <s v=" Azure"/>
    <s v=" Python"/>
    <s v=" R"/>
    <s v=" Hugging Face"/>
    <n v="120114.5"/>
    <m/>
    <s v="Mid"/>
    <x v="1"/>
    <s v="Johnathanmouth"/>
    <s v=" HN"/>
    <n v="86369"/>
    <n v="153860"/>
    <d v="2025-04-29T00:00:00"/>
    <x v="1"/>
    <s v="PyTorch"/>
    <s v=" LangChain"/>
    <s v=" MLflow"/>
    <x v="2"/>
    <n v="101"/>
    <x v="5"/>
    <n v="233"/>
  </r>
  <r>
    <n v="178"/>
    <s v="Jordan-Graves"/>
    <x v="0"/>
    <x v="2"/>
    <s v="Power BI"/>
    <s v=" MLflow"/>
    <s v=" NumPy"/>
    <s v=" Pandas"/>
    <m/>
    <n v="163893.5"/>
    <m/>
    <s v="Senior"/>
    <x v="0"/>
    <s v="East Jennifer"/>
    <s v=" EE"/>
    <n v="123834"/>
    <n v="203953"/>
    <d v="2025-08-01T00:00:00"/>
    <x v="2"/>
    <s v="Scikit-learn"/>
    <s v=" PyTorch"/>
    <s v=" LangChain"/>
    <x v="18"/>
    <n v="96"/>
    <x v="7"/>
    <n v="255"/>
  </r>
  <r>
    <n v="179"/>
    <s v="Casey-Smith"/>
    <x v="5"/>
    <x v="2"/>
    <s v="LangChain"/>
    <s v=" R"/>
    <s v=" Hugging Face"/>
    <s v=" Scikit-learn"/>
    <m/>
    <n v="107416.5"/>
    <m/>
    <s v="Mid"/>
    <x v="3"/>
    <s v="Romerobury"/>
    <s v=" BI"/>
    <n v="86874"/>
    <n v="127959"/>
    <d v="2024-10-07T00:00:00"/>
    <x v="1"/>
    <s v="TensorFlow"/>
    <s v=" BigQuery"/>
    <s v=" KDB+"/>
    <x v="12"/>
    <n v="100"/>
    <x v="2"/>
    <n v="249"/>
  </r>
  <r>
    <n v="180"/>
    <s v="Melton-Turner"/>
    <x v="6"/>
    <x v="7"/>
    <s v="Power BI"/>
    <s v=" TensorFlow"/>
    <s v=" Azure"/>
    <s v=" CUDA"/>
    <s v=" GCP"/>
    <n v="117453.5"/>
    <s v=" Pandas"/>
    <s v="Entry"/>
    <x v="1"/>
    <s v="West Chelseafurt"/>
    <s v=" AU"/>
    <n v="91853"/>
    <n v="143054"/>
    <d v="2024-02-22T00:00:00"/>
    <x v="2"/>
    <s v="TensorFlow"/>
    <s v=" FastAPI"/>
    <m/>
    <x v="18"/>
    <n v="96"/>
    <x v="2"/>
    <n v="249"/>
  </r>
  <r>
    <n v="181"/>
    <s v="Gutierrez-Hernandez"/>
    <x v="4"/>
    <x v="0"/>
    <s v="Reinforcement Learning"/>
    <s v=" SQL"/>
    <s v=" Scikit-learn"/>
    <s v=" AWS"/>
    <m/>
    <n v="149154"/>
    <m/>
    <s v="Senior"/>
    <x v="3"/>
    <s v="Lake Thomas"/>
    <s v=" MD"/>
    <n v="115282"/>
    <n v="183026"/>
    <d v="2025-05-23T00:00:00"/>
    <x v="0"/>
    <s v="KDB+"/>
    <s v=" Scikit-learn"/>
    <s v=" PyTorch"/>
    <x v="21"/>
    <n v="104"/>
    <x v="0"/>
    <n v="247"/>
  </r>
  <r>
    <n v="182"/>
    <s v="Oliver, Tran and Jackson"/>
    <x v="2"/>
    <x v="6"/>
    <s v="Scikit-learn"/>
    <s v=" LangChain"/>
    <s v=" Hugging Face"/>
    <s v=" Python"/>
    <m/>
    <n v="140725"/>
    <m/>
    <s v="Mid"/>
    <x v="1"/>
    <s v="North Briannafort"/>
    <s v=" PH"/>
    <n v="100075"/>
    <n v="181375"/>
    <d v="2024-06-08T00:00:00"/>
    <x v="2"/>
    <s v="PyTorch"/>
    <m/>
    <m/>
    <x v="1"/>
    <n v="76"/>
    <x v="5"/>
    <n v="233"/>
  </r>
  <r>
    <n v="183"/>
    <s v="Diaz-Hardy"/>
    <x v="0"/>
    <x v="7"/>
    <s v="Python"/>
    <s v=" NumPy"/>
    <s v=" Flask"/>
    <s v=" LangChain"/>
    <s v=" R"/>
    <n v="119939"/>
    <m/>
    <s v="Entry"/>
    <x v="1"/>
    <s v="Davidstad"/>
    <s v=" BY"/>
    <n v="84286"/>
    <n v="155592"/>
    <d v="2024-08-22T00:00:00"/>
    <x v="2"/>
    <s v="BigQuery"/>
    <s v=" TensorFlow"/>
    <m/>
    <x v="5"/>
    <n v="94"/>
    <x v="3"/>
    <n v="238"/>
  </r>
  <r>
    <n v="184"/>
    <s v="White-Hayes"/>
    <x v="5"/>
    <x v="4"/>
    <s v="PyTorch"/>
    <s v=" Python"/>
    <s v=" GCP"/>
    <s v=" MLflow"/>
    <m/>
    <n v="114837.5"/>
    <m/>
    <s v="Senior"/>
    <x v="0"/>
    <s v="West Derek"/>
    <s v=" VU"/>
    <n v="81464"/>
    <n v="148211"/>
    <d v="2024-03-26T00:00:00"/>
    <x v="0"/>
    <s v="Scikit-learn"/>
    <s v=" BigQuery"/>
    <m/>
    <x v="14"/>
    <n v="92"/>
    <x v="7"/>
    <n v="255"/>
  </r>
  <r>
    <n v="185"/>
    <s v="Dominguez Ltd"/>
    <x v="3"/>
    <x v="1"/>
    <s v="Python"/>
    <s v=" MLflow"/>
    <s v=" Azure"/>
    <s v=" TensorFlow"/>
    <s v=" Power BI"/>
    <n v="164636"/>
    <m/>
    <s v="Entry"/>
    <x v="3"/>
    <s v="East Christopher"/>
    <s v=" EE"/>
    <n v="142464"/>
    <n v="186808"/>
    <d v="2025-01-29T00:00:00"/>
    <x v="1"/>
    <s v="TensorFlow"/>
    <m/>
    <m/>
    <x v="5"/>
    <n v="94"/>
    <x v="2"/>
    <n v="249"/>
  </r>
  <r>
    <n v="186"/>
    <s v="Welch, Green and Williams"/>
    <x v="4"/>
    <x v="0"/>
    <s v="NumPy"/>
    <s v=" R"/>
    <s v=" MLflow"/>
    <s v=" C++"/>
    <s v=" FastAPI"/>
    <n v="141388.5"/>
    <m/>
    <s v="Entry"/>
    <x v="2"/>
    <s v="Emmafurt"/>
    <s v=" GN"/>
    <n v="121357"/>
    <n v="161420"/>
    <d v="2024-10-21T00:00:00"/>
    <x v="0"/>
    <s v="BigQuery"/>
    <m/>
    <m/>
    <x v="0"/>
    <n v="104"/>
    <x v="3"/>
    <n v="238"/>
  </r>
  <r>
    <n v="187"/>
    <s v="Reed LLC"/>
    <x v="0"/>
    <x v="7"/>
    <s v="Excel"/>
    <s v=" CUDA"/>
    <s v=" Pandas"/>
    <m/>
    <m/>
    <n v="138735.5"/>
    <m/>
    <s v="Mid"/>
    <x v="0"/>
    <s v="Andreside"/>
    <s v=" GA"/>
    <n v="126266"/>
    <n v="151205"/>
    <d v="2024-01-20T00:00:00"/>
    <x v="0"/>
    <s v="LangChain"/>
    <s v=" MLflow"/>
    <m/>
    <x v="2"/>
    <n v="101"/>
    <x v="4"/>
    <n v="268"/>
  </r>
  <r>
    <n v="188"/>
    <s v="Brown and Sons"/>
    <x v="6"/>
    <x v="1"/>
    <s v="Scikit-learn"/>
    <s v=" SQL"/>
    <s v=" Keras"/>
    <s v=" GCP"/>
    <s v=" AWS"/>
    <n v="79599.5"/>
    <s v=" NumPy"/>
    <s v="Mid"/>
    <x v="3"/>
    <s v="New Donald"/>
    <s v=" CU"/>
    <n v="43986"/>
    <n v="115213"/>
    <d v="2024-09-14T00:00:00"/>
    <x v="0"/>
    <s v="KDB+"/>
    <m/>
    <m/>
    <x v="1"/>
    <n v="76"/>
    <x v="0"/>
    <n v="247"/>
  </r>
  <r>
    <n v="189"/>
    <s v="Gutierrez Group"/>
    <x v="5"/>
    <x v="5"/>
    <s v="PyTorch"/>
    <s v=" SQL"/>
    <s v=" Reinforcement Learning"/>
    <s v=" MLflow"/>
    <s v=" AWS"/>
    <n v="79193.5"/>
    <m/>
    <s v="Entry"/>
    <x v="1"/>
    <s v="New Andrea"/>
    <s v=" ST"/>
    <n v="62157"/>
    <n v="96230"/>
    <d v="2024-09-29T00:00:00"/>
    <x v="0"/>
    <s v="BigQuery"/>
    <m/>
    <m/>
    <x v="14"/>
    <n v="92"/>
    <x v="3"/>
    <n v="238"/>
  </r>
  <r>
    <n v="190"/>
    <s v="Robinson, Stafford and Hoffman"/>
    <x v="6"/>
    <x v="2"/>
    <s v="FastAPI"/>
    <s v=" GCP"/>
    <s v=" LangChain"/>
    <s v=" MLflow"/>
    <m/>
    <n v="111749.5"/>
    <m/>
    <s v="Entry"/>
    <x v="0"/>
    <s v="Palmerburgh"/>
    <s v=" CF"/>
    <n v="102546"/>
    <n v="120953"/>
    <d v="2024-05-30T00:00:00"/>
    <x v="0"/>
    <s v="PyTorch"/>
    <s v=" KDB+"/>
    <m/>
    <x v="20"/>
    <n v="111"/>
    <x v="5"/>
    <n v="233"/>
  </r>
  <r>
    <n v="191"/>
    <s v="Wu, Browning and Ramos"/>
    <x v="1"/>
    <x v="0"/>
    <s v="NumPy"/>
    <s v=" R"/>
    <s v=" Power BI"/>
    <s v=" CUDA"/>
    <m/>
    <n v="121696"/>
    <m/>
    <s v="Mid"/>
    <x v="1"/>
    <s v="North Louis"/>
    <s v=" UY"/>
    <n v="79611"/>
    <n v="163781"/>
    <d v="2024-10-28T00:00:00"/>
    <x v="1"/>
    <s v="MLflow"/>
    <s v=" LangChain"/>
    <s v=" FastAPI"/>
    <x v="0"/>
    <n v="104"/>
    <x v="6"/>
    <n v="259"/>
  </r>
  <r>
    <n v="192"/>
    <s v="Jones-Curtis"/>
    <x v="3"/>
    <x v="7"/>
    <s v="Pandas"/>
    <s v=" CUDA"/>
    <s v=" PyTorch"/>
    <m/>
    <m/>
    <n v="155486"/>
    <m/>
    <s v="Senior"/>
    <x v="0"/>
    <s v="North Nataliemouth"/>
    <s v=" SR"/>
    <n v="142867"/>
    <n v="168105"/>
    <d v="2024-01-25T00:00:00"/>
    <x v="1"/>
    <s v="FastAPI"/>
    <s v=" BigQuery"/>
    <m/>
    <x v="6"/>
    <n v="78"/>
    <x v="1"/>
    <n v="251"/>
  </r>
  <r>
    <n v="193"/>
    <s v="Lewis-Brooks"/>
    <x v="6"/>
    <x v="3"/>
    <s v="Azure"/>
    <s v=" Python"/>
    <s v=" Hugging Face"/>
    <s v=" SQL"/>
    <m/>
    <n v="82727"/>
    <m/>
    <s v="Mid"/>
    <x v="2"/>
    <s v="Owenshaven"/>
    <s v=" LY"/>
    <n v="63520"/>
    <n v="101934"/>
    <d v="2024-02-11T00:00:00"/>
    <x v="1"/>
    <s v="MLflow"/>
    <s v=" KDB+"/>
    <m/>
    <x v="15"/>
    <n v="90"/>
    <x v="6"/>
    <n v="259"/>
  </r>
  <r>
    <n v="194"/>
    <s v="Hobbs, Lawson and Robertson"/>
    <x v="6"/>
    <x v="5"/>
    <s v="MLflow"/>
    <s v=" PyTorch"/>
    <s v=" Scikit-learn"/>
    <m/>
    <m/>
    <n v="147706"/>
    <m/>
    <s v="Senior"/>
    <x v="1"/>
    <s v="Port Ricardo"/>
    <s v=" SR"/>
    <n v="116202"/>
    <n v="179210"/>
    <d v="2024-05-19T00:00:00"/>
    <x v="0"/>
    <s v="LangChain"/>
    <s v=" KDB+"/>
    <m/>
    <x v="3"/>
    <n v="80"/>
    <x v="4"/>
    <n v="268"/>
  </r>
  <r>
    <n v="195"/>
    <s v="Gonzales, Lane and Hart"/>
    <x v="0"/>
    <x v="4"/>
    <s v="Pandas"/>
    <s v=" Reinforcement Learning"/>
    <s v=" FastAPI"/>
    <m/>
    <m/>
    <n v="155547"/>
    <m/>
    <s v="Mid"/>
    <x v="1"/>
    <s v="Kaylaland"/>
    <s v=" DE"/>
    <n v="137620"/>
    <n v="173474"/>
    <d v="2023-11-04T00:00:00"/>
    <x v="1"/>
    <s v="Scikit-learn"/>
    <m/>
    <m/>
    <x v="6"/>
    <n v="78"/>
    <x v="7"/>
    <n v="255"/>
  </r>
  <r>
    <n v="196"/>
    <s v="Kim PLC"/>
    <x v="6"/>
    <x v="6"/>
    <s v="TensorFlow"/>
    <s v=" SQL"/>
    <s v=" NumPy"/>
    <m/>
    <m/>
    <n v="174884"/>
    <m/>
    <s v="Entry"/>
    <x v="1"/>
    <s v="North Jamietown"/>
    <s v=" KE"/>
    <n v="131485"/>
    <n v="218283"/>
    <d v="2024-12-08T00:00:00"/>
    <x v="1"/>
    <s v="BigQuery"/>
    <s v=" FastAPI"/>
    <m/>
    <x v="19"/>
    <n v="95"/>
    <x v="3"/>
    <n v="238"/>
  </r>
  <r>
    <n v="197"/>
    <s v="Vasquez, Fleming and Jones"/>
    <x v="1"/>
    <x v="2"/>
    <s v="Flask"/>
    <s v=" C++"/>
    <s v=" TensorFlow"/>
    <s v=" Reinforcement Learning"/>
    <s v=" R"/>
    <n v="138069"/>
    <m/>
    <s v="Entry"/>
    <x v="1"/>
    <s v="East Melindastad"/>
    <s v=" TO"/>
    <n v="117341"/>
    <n v="158797"/>
    <d v="2024-08-27T00:00:00"/>
    <x v="2"/>
    <s v="Scikit-learn"/>
    <s v=" TensorFlow"/>
    <s v=" FastAPI"/>
    <x v="16"/>
    <n v="86"/>
    <x v="7"/>
    <n v="255"/>
  </r>
  <r>
    <n v="198"/>
    <s v="Rice Inc"/>
    <x v="5"/>
    <x v="0"/>
    <s v="LangChain"/>
    <s v=" Python"/>
    <s v=" SQL"/>
    <m/>
    <m/>
    <n v="145668.5"/>
    <m/>
    <s v="Entry"/>
    <x v="1"/>
    <s v="East Linda"/>
    <s v=" KP"/>
    <n v="123706"/>
    <n v="167631"/>
    <d v="2024-08-15T00:00:00"/>
    <x v="1"/>
    <s v="BigQuery"/>
    <m/>
    <m/>
    <x v="12"/>
    <n v="100"/>
    <x v="3"/>
    <n v="238"/>
  </r>
  <r>
    <n v="199"/>
    <s v="Morris, Jensen and Hamilton"/>
    <x v="1"/>
    <x v="4"/>
    <s v="Azure"/>
    <s v=" Scikit-learn"/>
    <s v=" Keras"/>
    <s v=" R"/>
    <s v=" Hugging Face"/>
    <n v="70078.5"/>
    <m/>
    <s v="Mid"/>
    <x v="2"/>
    <s v="Port Mckenzie"/>
    <s v=" BO"/>
    <n v="43828"/>
    <n v="96329"/>
    <d v="2024-04-01T00:00:00"/>
    <x v="1"/>
    <s v="BigQuery"/>
    <s v=" KDB+"/>
    <m/>
    <x v="15"/>
    <n v="90"/>
    <x v="3"/>
    <n v="238"/>
  </r>
  <r>
    <n v="200"/>
    <s v="Gonzalez and Sons"/>
    <x v="3"/>
    <x v="2"/>
    <s v="NumPy"/>
    <s v=" AWS"/>
    <s v=" LangChain"/>
    <m/>
    <m/>
    <n v="150517.5"/>
    <m/>
    <s v="Entry"/>
    <x v="0"/>
    <s v="New Traceyborough"/>
    <s v=" BG"/>
    <n v="130984"/>
    <n v="170051"/>
    <d v="2025-06-17T00:00:00"/>
    <x v="2"/>
    <s v="PyTorch"/>
    <m/>
    <m/>
    <x v="0"/>
    <n v="104"/>
    <x v="5"/>
    <n v="233"/>
  </r>
  <r>
    <n v="201"/>
    <s v="Robinson-Hall"/>
    <x v="4"/>
    <x v="5"/>
    <s v="C++"/>
    <s v=" Scikit-learn"/>
    <s v=" CUDA"/>
    <s v=" LangChain"/>
    <m/>
    <n v="160398"/>
    <m/>
    <s v="Entry"/>
    <x v="1"/>
    <s v="Flowersberg"/>
    <s v=" MG"/>
    <n v="125831"/>
    <n v="194965"/>
    <d v="2024-12-31T00:00:00"/>
    <x v="0"/>
    <s v="BigQuery"/>
    <s v=" PyTorch"/>
    <m/>
    <x v="8"/>
    <n v="84"/>
    <x v="3"/>
    <n v="238"/>
  </r>
  <r>
    <n v="202"/>
    <s v="Mendoza Ltd"/>
    <x v="2"/>
    <x v="2"/>
    <s v="NumPy"/>
    <s v=" Excel"/>
    <s v=" Azure"/>
    <s v=" AWS"/>
    <m/>
    <n v="108857"/>
    <m/>
    <s v="Entry"/>
    <x v="2"/>
    <s v="Chandlerville"/>
    <s v=" RS"/>
    <n v="96628"/>
    <n v="121086"/>
    <d v="2024-11-07T00:00:00"/>
    <x v="1"/>
    <s v="PyTorch"/>
    <s v=" TensorFlow"/>
    <s v=" FastAPI"/>
    <x v="0"/>
    <n v="104"/>
    <x v="5"/>
    <n v="233"/>
  </r>
  <r>
    <n v="203"/>
    <s v="Richards-Barnes"/>
    <x v="2"/>
    <x v="6"/>
    <s v="Power BI"/>
    <s v=" GCP"/>
    <s v=" FastAPI"/>
    <s v=" C++"/>
    <s v=" Pandas"/>
    <n v="109295"/>
    <s v=" SQL"/>
    <s v="Entry"/>
    <x v="3"/>
    <s v="Williamton"/>
    <s v=" TM"/>
    <n v="85788"/>
    <n v="132802"/>
    <d v="2024-02-16T00:00:00"/>
    <x v="0"/>
    <s v="LangChain"/>
    <s v=" KDB+"/>
    <s v=" FastAPI"/>
    <x v="18"/>
    <n v="96"/>
    <x v="4"/>
    <n v="268"/>
  </r>
  <r>
    <n v="204"/>
    <s v="Bailey-Harris"/>
    <x v="5"/>
    <x v="4"/>
    <s v="MLflow"/>
    <s v=" Flask"/>
    <s v=" Azure"/>
    <s v=" CUDA"/>
    <s v=" FastAPI"/>
    <n v="197776.5"/>
    <m/>
    <s v="Mid"/>
    <x v="1"/>
    <s v="Lake Sarah"/>
    <s v=" SY"/>
    <n v="147975"/>
    <n v="247578"/>
    <d v="2025-05-12T00:00:00"/>
    <x v="2"/>
    <s v="TensorFlow"/>
    <m/>
    <m/>
    <x v="3"/>
    <n v="80"/>
    <x v="2"/>
    <n v="249"/>
  </r>
  <r>
    <n v="205"/>
    <s v="Soto and Sons"/>
    <x v="5"/>
    <x v="0"/>
    <s v="Pandas"/>
    <s v=" AWS"/>
    <s v=" R"/>
    <s v=" TensorFlow"/>
    <s v=" FastAPI"/>
    <n v="69148.5"/>
    <s v=" MLflow"/>
    <s v="Entry"/>
    <x v="2"/>
    <s v="East Johnton"/>
    <s v=" HR"/>
    <n v="48226"/>
    <n v="90071"/>
    <d v="2024-12-24T00:00:00"/>
    <x v="1"/>
    <s v="BigQuery"/>
    <m/>
    <m/>
    <x v="6"/>
    <n v="78"/>
    <x v="3"/>
    <n v="238"/>
  </r>
  <r>
    <n v="206"/>
    <s v="Williams Ltd"/>
    <x v="0"/>
    <x v="5"/>
    <s v="Python"/>
    <s v=" Power BI"/>
    <s v=" PyTorch"/>
    <m/>
    <m/>
    <n v="95757.5"/>
    <m/>
    <s v="Senior"/>
    <x v="0"/>
    <s v="Samuelhaven"/>
    <s v=" BO"/>
    <n v="62447"/>
    <n v="129068"/>
    <d v="2025-01-22T00:00:00"/>
    <x v="2"/>
    <s v="MLflow"/>
    <m/>
    <m/>
    <x v="5"/>
    <n v="94"/>
    <x v="6"/>
    <n v="259"/>
  </r>
  <r>
    <n v="207"/>
    <s v="Lane-Weaver"/>
    <x v="6"/>
    <x v="1"/>
    <s v="TensorFlow"/>
    <s v=" Python"/>
    <s v=" AWS"/>
    <s v=" Reinforcement Learning"/>
    <s v=" NumPy"/>
    <n v="119144.5"/>
    <s v=" CUDA"/>
    <s v="Senior"/>
    <x v="1"/>
    <s v="Garciamouth"/>
    <s v=" KI"/>
    <n v="110876"/>
    <n v="127413"/>
    <d v="2024-05-18T00:00:00"/>
    <x v="0"/>
    <s v="TensorFlow"/>
    <m/>
    <m/>
    <x v="19"/>
    <n v="95"/>
    <x v="2"/>
    <n v="249"/>
  </r>
  <r>
    <n v="208"/>
    <s v="Hernandez PLC"/>
    <x v="3"/>
    <x v="2"/>
    <s v="SQL"/>
    <s v=" MLflow"/>
    <s v=" R"/>
    <m/>
    <m/>
    <n v="97635.5"/>
    <m/>
    <s v="Senior"/>
    <x v="3"/>
    <s v="Lake Charlesmouth"/>
    <s v=" CL"/>
    <n v="85915"/>
    <n v="109356"/>
    <d v="2023-10-13T00:00:00"/>
    <x v="2"/>
    <s v="Scikit-learn"/>
    <m/>
    <m/>
    <x v="17"/>
    <n v="88"/>
    <x v="7"/>
    <n v="255"/>
  </r>
  <r>
    <n v="209"/>
    <s v="Ortiz-Mcfarland"/>
    <x v="2"/>
    <x v="2"/>
    <s v="NumPy"/>
    <s v=" Reinforcement Learning"/>
    <s v=" Azure"/>
    <s v=" C++"/>
    <s v=" R"/>
    <n v="152580"/>
    <m/>
    <s v="Entry"/>
    <x v="0"/>
    <s v="Reyesview"/>
    <s v=" NR"/>
    <n v="143326"/>
    <n v="161834"/>
    <d v="2024-01-09T00:00:00"/>
    <x v="0"/>
    <s v="Scikit-learn"/>
    <s v=" BigQuery"/>
    <s v=" FastAPI"/>
    <x v="0"/>
    <n v="104"/>
    <x v="7"/>
    <n v="255"/>
  </r>
  <r>
    <n v="210"/>
    <s v="Rice-Hendricks"/>
    <x v="0"/>
    <x v="5"/>
    <s v="Power BI"/>
    <s v=" Azure"/>
    <s v=" SQL"/>
    <s v=" C++"/>
    <s v=" Hugging Face"/>
    <n v="134504"/>
    <m/>
    <s v="Senior"/>
    <x v="0"/>
    <s v="East William"/>
    <s v=" NZ"/>
    <n v="89991"/>
    <n v="179017"/>
    <d v="2024-01-01T00:00:00"/>
    <x v="1"/>
    <s v="KDB+"/>
    <s v=" FastAPI"/>
    <s v=" PyTorch"/>
    <x v="18"/>
    <n v="96"/>
    <x v="0"/>
    <n v="247"/>
  </r>
  <r>
    <n v="211"/>
    <s v="Brown, Jackson and Carr"/>
    <x v="4"/>
    <x v="1"/>
    <s v="Python"/>
    <s v=" Pandas"/>
    <s v=" AWS"/>
    <s v=" TensorFlow"/>
    <s v=" SQL"/>
    <n v="112227"/>
    <m/>
    <s v="Senior"/>
    <x v="3"/>
    <s v="Greeneton"/>
    <s v=" LU"/>
    <n v="67897"/>
    <n v="156557"/>
    <d v="2023-11-08T00:00:00"/>
    <x v="1"/>
    <s v="KDB+"/>
    <s v=" FastAPI"/>
    <m/>
    <x v="5"/>
    <n v="94"/>
    <x v="0"/>
    <n v="247"/>
  </r>
  <r>
    <n v="212"/>
    <s v="Kelley, Steele and Bell"/>
    <x v="2"/>
    <x v="2"/>
    <s v="LangChain"/>
    <s v=" Flask"/>
    <s v=" PyTorch"/>
    <s v=" Python"/>
    <m/>
    <n v="72949.5"/>
    <m/>
    <s v="Entry"/>
    <x v="3"/>
    <s v="South Anthonyfurt"/>
    <s v=" BO"/>
    <n v="44318"/>
    <n v="101581"/>
    <d v="2024-01-16T00:00:00"/>
    <x v="1"/>
    <s v="FastAPI"/>
    <m/>
    <m/>
    <x v="12"/>
    <n v="100"/>
    <x v="1"/>
    <n v="251"/>
  </r>
  <r>
    <n v="213"/>
    <s v="Cline PLC"/>
    <x v="1"/>
    <x v="0"/>
    <s v="Keras"/>
    <s v=" Azure"/>
    <s v=" Excel"/>
    <s v=" TensorFlow"/>
    <m/>
    <n v="90295"/>
    <m/>
    <s v="Mid"/>
    <x v="1"/>
    <s v="Hannahside"/>
    <s v=" KI"/>
    <n v="67657"/>
    <n v="112933"/>
    <d v="2024-12-31T00:00:00"/>
    <x v="1"/>
    <s v="Scikit-learn"/>
    <s v=" MLflow"/>
    <m/>
    <x v="7"/>
    <n v="96"/>
    <x v="7"/>
    <n v="255"/>
  </r>
  <r>
    <n v="214"/>
    <s v="Shah-White"/>
    <x v="2"/>
    <x v="4"/>
    <s v="Keras"/>
    <s v=" CUDA"/>
    <s v=" PyTorch"/>
    <s v=" Power BI"/>
    <m/>
    <n v="125136.5"/>
    <m/>
    <s v="Entry"/>
    <x v="2"/>
    <s v="Lake Erikburgh"/>
    <s v=" ZM"/>
    <n v="97752"/>
    <n v="152521"/>
    <d v="2025-01-29T00:00:00"/>
    <x v="0"/>
    <s v="BigQuery"/>
    <m/>
    <m/>
    <x v="7"/>
    <n v="96"/>
    <x v="3"/>
    <n v="238"/>
  </r>
  <r>
    <n v="215"/>
    <s v="Davis-Butler"/>
    <x v="5"/>
    <x v="5"/>
    <s v="Scikit-learn"/>
    <s v=" Power BI"/>
    <s v=" PyTorch"/>
    <s v=" SQL"/>
    <s v=" Excel"/>
    <n v="131594"/>
    <s v=" AWS"/>
    <s v="Entry"/>
    <x v="1"/>
    <s v="South Zacharyburgh"/>
    <s v=" ES"/>
    <n v="93403"/>
    <n v="169785"/>
    <d v="2024-01-13T00:00:00"/>
    <x v="1"/>
    <s v="LangChain"/>
    <m/>
    <m/>
    <x v="1"/>
    <n v="76"/>
    <x v="4"/>
    <n v="268"/>
  </r>
  <r>
    <n v="216"/>
    <s v="Newton, Kelly and Martinez"/>
    <x v="5"/>
    <x v="6"/>
    <s v="Azure"/>
    <s v=" NumPy"/>
    <s v=" LangChain"/>
    <s v=" FastAPI"/>
    <s v=" Hugging Face"/>
    <n v="163002"/>
    <s v=" Keras"/>
    <s v="Senior"/>
    <x v="3"/>
    <s v="Lake Johnchester"/>
    <s v=" CG"/>
    <n v="143054"/>
    <n v="182950"/>
    <d v="2024-01-08T00:00:00"/>
    <x v="1"/>
    <s v="FastAPI"/>
    <s v=" PyTorch"/>
    <s v=" TensorFlow"/>
    <x v="15"/>
    <n v="90"/>
    <x v="1"/>
    <n v="251"/>
  </r>
  <r>
    <n v="217"/>
    <s v="Berry-Lewis"/>
    <x v="4"/>
    <x v="1"/>
    <s v="AWS"/>
    <s v=" Python"/>
    <s v=" Flask"/>
    <s v=" Pandas"/>
    <s v=" Azure"/>
    <n v="153083.5"/>
    <s v=" LangChain"/>
    <s v="Entry"/>
    <x v="1"/>
    <s v="Melissaton"/>
    <s v=" LA"/>
    <n v="123977"/>
    <n v="182190"/>
    <d v="2023-10-24T00:00:00"/>
    <x v="2"/>
    <s v="Scikit-learn"/>
    <m/>
    <m/>
    <x v="10"/>
    <n v="97"/>
    <x v="7"/>
    <n v="255"/>
  </r>
  <r>
    <n v="218"/>
    <s v="Brandt, Fuller and Cruz"/>
    <x v="2"/>
    <x v="7"/>
    <s v="Hugging Face"/>
    <s v=" R"/>
    <s v=" C++"/>
    <m/>
    <m/>
    <n v="146332.5"/>
    <m/>
    <s v="Mid"/>
    <x v="3"/>
    <s v="New Sydneyton"/>
    <s v=" PH"/>
    <n v="108708"/>
    <n v="183957"/>
    <d v="2024-07-09T00:00:00"/>
    <x v="0"/>
    <s v="TensorFlow"/>
    <s v=" LangChain"/>
    <s v=" FastAPI"/>
    <x v="9"/>
    <n v="89"/>
    <x v="2"/>
    <n v="249"/>
  </r>
  <r>
    <n v="219"/>
    <s v="Turner PLC"/>
    <x v="1"/>
    <x v="4"/>
    <s v="Python"/>
    <s v=" NumPy"/>
    <s v=" Excel"/>
    <s v=" Azure"/>
    <s v=" Scikit-learn"/>
    <n v="82120"/>
    <m/>
    <s v="Entry"/>
    <x v="2"/>
    <s v="Jasonfurt"/>
    <s v=" BW"/>
    <n v="42431"/>
    <n v="121809"/>
    <d v="2024-09-09T00:00:00"/>
    <x v="1"/>
    <s v="BigQuery"/>
    <s v=" PyTorch"/>
    <m/>
    <x v="5"/>
    <n v="94"/>
    <x v="3"/>
    <n v="238"/>
  </r>
  <r>
    <n v="220"/>
    <s v="Sanchez Ltd"/>
    <x v="5"/>
    <x v="7"/>
    <s v="Power BI"/>
    <s v=" GCP"/>
    <s v=" MLflow"/>
    <s v=" CUDA"/>
    <s v=" Flask"/>
    <n v="149394.5"/>
    <m/>
    <s v="Entry"/>
    <x v="0"/>
    <s v="Barnetthaven"/>
    <s v=" IN"/>
    <n v="129721"/>
    <n v="169068"/>
    <d v="2025-03-16T00:00:00"/>
    <x v="2"/>
    <s v="KDB+"/>
    <s v=" PyTorch"/>
    <m/>
    <x v="18"/>
    <n v="96"/>
    <x v="0"/>
    <n v="247"/>
  </r>
  <r>
    <n v="221"/>
    <s v="Crawford Group"/>
    <x v="5"/>
    <x v="3"/>
    <s v="PyTorch"/>
    <s v=" Reinforcement Learning"/>
    <s v=" Azure"/>
    <s v=" Python"/>
    <s v=" AWS"/>
    <n v="83216"/>
    <s v=" Hugging Face"/>
    <s v="Mid"/>
    <x v="2"/>
    <s v="Abbottmouth"/>
    <s v=" IN"/>
    <n v="51999"/>
    <n v="114433"/>
    <d v="2024-11-06T00:00:00"/>
    <x v="1"/>
    <s v="FastAPI"/>
    <s v=" LangChain"/>
    <s v=" TensorFlow"/>
    <x v="14"/>
    <n v="92"/>
    <x v="1"/>
    <n v="251"/>
  </r>
  <r>
    <n v="222"/>
    <s v="Humphrey, Barrett and Colon"/>
    <x v="4"/>
    <x v="5"/>
    <s v="Pandas"/>
    <s v=" MLflow"/>
    <s v=" Azure"/>
    <s v=" Reinforcement Learning"/>
    <s v=" FastAPI"/>
    <n v="181922"/>
    <s v=" R"/>
    <s v="Senior"/>
    <x v="0"/>
    <s v="Davidmouth"/>
    <s v=" IE"/>
    <n v="133703"/>
    <n v="230141"/>
    <d v="2024-06-20T00:00:00"/>
    <x v="0"/>
    <s v="MLflow"/>
    <s v=" PyTorch"/>
    <s v=" TensorFlow"/>
    <x v="6"/>
    <n v="78"/>
    <x v="6"/>
    <n v="259"/>
  </r>
  <r>
    <n v="223"/>
    <s v="Obrien PLC"/>
    <x v="3"/>
    <x v="4"/>
    <s v="Pandas"/>
    <s v=" AWS"/>
    <s v=" R"/>
    <s v=" PyTorch"/>
    <s v=" Power BI"/>
    <n v="100901"/>
    <s v=" NumPy"/>
    <s v="Senior"/>
    <x v="3"/>
    <s v="Mariochester"/>
    <s v=" BY"/>
    <n v="75109"/>
    <n v="126693"/>
    <d v="2025-06-17T00:00:00"/>
    <x v="0"/>
    <s v="MLflow"/>
    <m/>
    <m/>
    <x v="6"/>
    <n v="78"/>
    <x v="6"/>
    <n v="259"/>
  </r>
  <r>
    <n v="224"/>
    <s v="Stanton, Martin and Martin"/>
    <x v="5"/>
    <x v="0"/>
    <s v="C++"/>
    <s v=" NumPy"/>
    <s v=" Power BI"/>
    <s v=" MLflow"/>
    <s v=" CUDA"/>
    <n v="113216"/>
    <m/>
    <s v="Senior"/>
    <x v="2"/>
    <s v="West Sally"/>
    <s v=" GR"/>
    <n v="102227"/>
    <n v="124205"/>
    <d v="2024-06-06T00:00:00"/>
    <x v="0"/>
    <s v="BigQuery"/>
    <s v=" TensorFlow"/>
    <m/>
    <x v="8"/>
    <n v="84"/>
    <x v="3"/>
    <n v="238"/>
  </r>
  <r>
    <n v="225"/>
    <s v="James, Payne and Roth"/>
    <x v="3"/>
    <x v="7"/>
    <s v="Power BI"/>
    <s v=" Azure"/>
    <s v=" R"/>
    <m/>
    <m/>
    <n v="106855"/>
    <m/>
    <s v="Mid"/>
    <x v="3"/>
    <s v="West Ernest"/>
    <s v=" BY"/>
    <n v="77125"/>
    <n v="136585"/>
    <d v="2024-09-08T00:00:00"/>
    <x v="1"/>
    <s v="LangChain"/>
    <s v=" Scikit-learn"/>
    <s v=" FastAPI"/>
    <x v="18"/>
    <n v="96"/>
    <x v="4"/>
    <n v="268"/>
  </r>
  <r>
    <n v="226"/>
    <s v="Bowen, Flores and Williams"/>
    <x v="2"/>
    <x v="1"/>
    <s v="NumPy"/>
    <s v=" C++"/>
    <s v=" AWS"/>
    <s v=" SQL"/>
    <s v=" MLflow"/>
    <n v="132844.5"/>
    <m/>
    <s v="Senior"/>
    <x v="1"/>
    <s v="Alanside"/>
    <s v=" SK"/>
    <n v="114539"/>
    <n v="151150"/>
    <d v="2024-10-02T00:00:00"/>
    <x v="1"/>
    <s v="PyTorch"/>
    <s v=" Scikit-learn"/>
    <m/>
    <x v="0"/>
    <n v="104"/>
    <x v="5"/>
    <n v="233"/>
  </r>
  <r>
    <n v="227"/>
    <s v="Flynn LLC"/>
    <x v="6"/>
    <x v="4"/>
    <s v="Azure"/>
    <s v=" C++"/>
    <s v=" Reinforcement Learning"/>
    <m/>
    <m/>
    <n v="73922.5"/>
    <m/>
    <s v="Entry"/>
    <x v="2"/>
    <s v="Carrollview"/>
    <s v=" HN"/>
    <n v="42773"/>
    <n v="105072"/>
    <d v="2023-10-01T00:00:00"/>
    <x v="1"/>
    <s v="BigQuery"/>
    <s v=" Scikit-learn"/>
    <s v=" LangChain"/>
    <x v="15"/>
    <n v="90"/>
    <x v="3"/>
    <n v="238"/>
  </r>
  <r>
    <n v="228"/>
    <s v="Campos, Floyd and Clark"/>
    <x v="2"/>
    <x v="7"/>
    <s v="Power BI"/>
    <s v=" Hugging Face"/>
    <s v=" Keras"/>
    <s v=" Reinforcement Learning"/>
    <s v=" TensorFlow"/>
    <n v="165701"/>
    <s v=" Excel"/>
    <s v="Entry"/>
    <x v="2"/>
    <s v="Changside"/>
    <s v=" DJ"/>
    <n v="122640"/>
    <n v="208762"/>
    <d v="2024-05-13T00:00:00"/>
    <x v="1"/>
    <s v="LangChain"/>
    <m/>
    <m/>
    <x v="18"/>
    <n v="96"/>
    <x v="4"/>
    <n v="268"/>
  </r>
  <r>
    <n v="229"/>
    <s v="Henderson, Lynch and Lindsey"/>
    <x v="3"/>
    <x v="2"/>
    <s v="MLflow"/>
    <s v=" LangChain"/>
    <s v=" Hugging Face"/>
    <s v=" Azure"/>
    <s v=" Flask"/>
    <n v="121662.5"/>
    <m/>
    <s v="Mid"/>
    <x v="0"/>
    <s v="Thomasland"/>
    <s v=" NI"/>
    <n v="90611"/>
    <n v="152714"/>
    <d v="2024-04-23T00:00:00"/>
    <x v="1"/>
    <s v="TensorFlow"/>
    <m/>
    <m/>
    <x v="3"/>
    <n v="80"/>
    <x v="2"/>
    <n v="249"/>
  </r>
  <r>
    <n v="230"/>
    <s v="Mitchell-Peters"/>
    <x v="1"/>
    <x v="2"/>
    <s v="SQL"/>
    <s v=" Keras"/>
    <s v=" Scikit-learn"/>
    <s v=" NumPy"/>
    <m/>
    <n v="75202.5"/>
    <m/>
    <s v="Senior"/>
    <x v="1"/>
    <s v="Melissaview"/>
    <s v=" GN"/>
    <n v="61529"/>
    <n v="88876"/>
    <d v="2023-12-16T00:00:00"/>
    <x v="1"/>
    <s v="KDB+"/>
    <s v=" FastAPI"/>
    <m/>
    <x v="17"/>
    <n v="88"/>
    <x v="0"/>
    <n v="247"/>
  </r>
  <r>
    <n v="231"/>
    <s v="Mcfarland Inc"/>
    <x v="1"/>
    <x v="2"/>
    <s v="NumPy"/>
    <s v=" Pandas"/>
    <s v=" Hugging Face"/>
    <m/>
    <m/>
    <n v="101783.5"/>
    <m/>
    <s v="Mid"/>
    <x v="2"/>
    <s v="Gatesburgh"/>
    <s v=" ZM"/>
    <n v="62907"/>
    <n v="140660"/>
    <d v="2025-04-19T00:00:00"/>
    <x v="1"/>
    <s v="TensorFlow"/>
    <s v=" MLflow"/>
    <s v=" LangChain"/>
    <x v="0"/>
    <n v="104"/>
    <x v="2"/>
    <n v="249"/>
  </r>
  <r>
    <n v="232"/>
    <s v="Jones and Sons"/>
    <x v="2"/>
    <x v="2"/>
    <s v="Scikit-learn"/>
    <s v=" Keras"/>
    <s v=" C++"/>
    <m/>
    <m/>
    <n v="136174.5"/>
    <m/>
    <s v="Mid"/>
    <x v="1"/>
    <s v="Lake Jose"/>
    <s v=" ML"/>
    <n v="87618"/>
    <n v="184731"/>
    <d v="2024-05-01T00:00:00"/>
    <x v="1"/>
    <s v="BigQuery"/>
    <s v=" MLflow"/>
    <s v=" KDB+"/>
    <x v="1"/>
    <n v="76"/>
    <x v="3"/>
    <n v="238"/>
  </r>
  <r>
    <n v="233"/>
    <s v="Nash, Anderson and Brown"/>
    <x v="6"/>
    <x v="1"/>
    <s v="MLflow"/>
    <s v=" GCP"/>
    <s v=" TensorFlow"/>
    <s v=" AWS"/>
    <m/>
    <n v="149302.5"/>
    <m/>
    <s v="Senior"/>
    <x v="0"/>
    <s v="New Jeffrey"/>
    <s v=" SV"/>
    <n v="129185"/>
    <n v="169420"/>
    <d v="2025-04-11T00:00:00"/>
    <x v="2"/>
    <s v="TensorFlow"/>
    <s v=" LangChain"/>
    <s v=" BigQuery"/>
    <x v="3"/>
    <n v="80"/>
    <x v="2"/>
    <n v="249"/>
  </r>
  <r>
    <n v="234"/>
    <s v="Whitehead, Summers and Nelson"/>
    <x v="3"/>
    <x v="0"/>
    <s v="Flask"/>
    <s v=" Excel"/>
    <s v=" Keras"/>
    <s v=" PyTorch"/>
    <s v=" Python"/>
    <n v="157460"/>
    <m/>
    <s v="Entry"/>
    <x v="1"/>
    <s v="East Bryce"/>
    <s v=" IS"/>
    <n v="127161"/>
    <n v="187759"/>
    <d v="2024-12-21T00:00:00"/>
    <x v="2"/>
    <s v="Scikit-learn"/>
    <m/>
    <m/>
    <x v="16"/>
    <n v="86"/>
    <x v="7"/>
    <n v="255"/>
  </r>
  <r>
    <n v="235"/>
    <s v="Gonzalez-Thompson"/>
    <x v="3"/>
    <x v="6"/>
    <s v="SQL"/>
    <s v=" Python"/>
    <s v=" MLflow"/>
    <m/>
    <m/>
    <n v="100537.5"/>
    <m/>
    <s v="Senior"/>
    <x v="3"/>
    <s v="Graceville"/>
    <s v=" TO"/>
    <n v="91557"/>
    <n v="109518"/>
    <d v="2023-12-10T00:00:00"/>
    <x v="1"/>
    <s v="MLflow"/>
    <m/>
    <m/>
    <x v="17"/>
    <n v="88"/>
    <x v="6"/>
    <n v="259"/>
  </r>
  <r>
    <n v="236"/>
    <s v="Simon, Price and Dickson"/>
    <x v="1"/>
    <x v="2"/>
    <s v="PyTorch"/>
    <s v=" Excel"/>
    <s v=" Reinforcement Learning"/>
    <s v=" Scikit-learn"/>
    <s v=" Azure"/>
    <n v="129693"/>
    <m/>
    <s v="Entry"/>
    <x v="3"/>
    <s v="Williamsside"/>
    <s v=" NE"/>
    <n v="85776"/>
    <n v="173610"/>
    <d v="2024-09-11T00:00:00"/>
    <x v="1"/>
    <s v="BigQuery"/>
    <s v=" KDB+"/>
    <m/>
    <x v="14"/>
    <n v="92"/>
    <x v="3"/>
    <n v="238"/>
  </r>
  <r>
    <n v="237"/>
    <s v="Strickland-Stevenson"/>
    <x v="5"/>
    <x v="7"/>
    <s v="Excel"/>
    <s v=" Hugging Face"/>
    <s v=" PyTorch"/>
    <s v=" R"/>
    <s v=" SQL"/>
    <n v="127773.5"/>
    <s v=" Flask"/>
    <s v="Senior"/>
    <x v="1"/>
    <s v="East Mary"/>
    <s v=" LI"/>
    <n v="95255"/>
    <n v="160292"/>
    <d v="2024-09-09T00:00:00"/>
    <x v="1"/>
    <s v="TensorFlow"/>
    <s v=" PyTorch"/>
    <s v=" LangChain"/>
    <x v="2"/>
    <n v="101"/>
    <x v="2"/>
    <n v="249"/>
  </r>
  <r>
    <n v="238"/>
    <s v="Kramer Inc"/>
    <x v="5"/>
    <x v="7"/>
    <s v="Scikit-learn"/>
    <s v=" Hugging Face"/>
    <s v=" Pandas"/>
    <s v=" Keras"/>
    <s v=" TensorFlow"/>
    <n v="104121.5"/>
    <m/>
    <s v="Senior"/>
    <x v="3"/>
    <s v="Garzaside"/>
    <s v=" NA"/>
    <n v="70536"/>
    <n v="137707"/>
    <d v="2024-08-24T00:00:00"/>
    <x v="1"/>
    <s v="TensorFlow"/>
    <s v=" Scikit-learn"/>
    <m/>
    <x v="1"/>
    <n v="76"/>
    <x v="2"/>
    <n v="249"/>
  </r>
  <r>
    <n v="239"/>
    <s v="Mahoney-Collins"/>
    <x v="2"/>
    <x v="2"/>
    <s v="FastAPI"/>
    <s v=" MLflow"/>
    <s v=" LangChain"/>
    <s v=" Hugging Face"/>
    <s v=" Power BI"/>
    <n v="102831"/>
    <m/>
    <s v="Entry"/>
    <x v="3"/>
    <s v="Marktown"/>
    <s v=" AO"/>
    <n v="56526"/>
    <n v="149136"/>
    <d v="2023-10-29T00:00:00"/>
    <x v="2"/>
    <s v="TensorFlow"/>
    <s v=" KDB+"/>
    <s v=" BigQuery"/>
    <x v="20"/>
    <n v="111"/>
    <x v="2"/>
    <n v="249"/>
  </r>
  <r>
    <n v="240"/>
    <s v="Ortiz PLC"/>
    <x v="2"/>
    <x v="4"/>
    <s v="Pandas"/>
    <s v=" Keras"/>
    <s v=" Python"/>
    <s v=" NumPy"/>
    <s v=" GCP"/>
    <n v="82491.5"/>
    <m/>
    <s v="Senior"/>
    <x v="3"/>
    <s v="South Staceyport"/>
    <s v=" IN"/>
    <n v="40077"/>
    <n v="124906"/>
    <d v="2023-09-26T00:00:00"/>
    <x v="0"/>
    <s v="PyTorch"/>
    <s v=" MLflow"/>
    <m/>
    <x v="6"/>
    <n v="78"/>
    <x v="5"/>
    <n v="233"/>
  </r>
  <r>
    <n v="241"/>
    <s v="Donaldson, Cox and Lopez"/>
    <x v="2"/>
    <x v="0"/>
    <s v="Power BI"/>
    <s v=" Azure"/>
    <s v=" SQL"/>
    <s v=" Flask"/>
    <s v=" NumPy"/>
    <n v="156088.5"/>
    <s v=" CUDA"/>
    <s v="Entry"/>
    <x v="3"/>
    <s v="Port Marcusville"/>
    <s v=" US"/>
    <n v="136304"/>
    <n v="175873"/>
    <d v="2025-08-19T00:00:00"/>
    <x v="0"/>
    <s v="BigQuery"/>
    <s v=" Scikit-learn"/>
    <m/>
    <x v="18"/>
    <n v="96"/>
    <x v="3"/>
    <n v="238"/>
  </r>
  <r>
    <n v="242"/>
    <s v="Clark, Baker and Parks"/>
    <x v="5"/>
    <x v="1"/>
    <s v="Keras"/>
    <s v=" SQL"/>
    <s v=" FastAPI"/>
    <s v=" GCP"/>
    <s v=" Flask"/>
    <n v="54386"/>
    <m/>
    <s v="Mid"/>
    <x v="0"/>
    <s v="Singhfort"/>
    <s v=" PA"/>
    <n v="45264"/>
    <n v="63508"/>
    <d v="2025-08-17T00:00:00"/>
    <x v="1"/>
    <s v="LangChain"/>
    <s v=" BigQuery"/>
    <m/>
    <x v="7"/>
    <n v="96"/>
    <x v="4"/>
    <n v="268"/>
  </r>
  <r>
    <n v="243"/>
    <s v="Anderson-Gonzalez"/>
    <x v="4"/>
    <x v="1"/>
    <s v="Excel"/>
    <s v=" Keras"/>
    <s v=" Pandas"/>
    <s v=" CUDA"/>
    <s v=" SQL"/>
    <n v="79343"/>
    <s v=" Hugging Face"/>
    <s v="Senior"/>
    <x v="1"/>
    <s v="Samuelton"/>
    <s v=" DK"/>
    <n v="70448"/>
    <n v="88238"/>
    <d v="2024-05-05T00:00:00"/>
    <x v="2"/>
    <s v="MLflow"/>
    <s v=" KDB+"/>
    <s v=" BigQuery"/>
    <x v="2"/>
    <n v="101"/>
    <x v="6"/>
    <n v="259"/>
  </r>
  <r>
    <n v="244"/>
    <s v="Walker-Becker"/>
    <x v="6"/>
    <x v="0"/>
    <s v="CUDA"/>
    <s v=" PyTorch"/>
    <s v=" Excel"/>
    <m/>
    <m/>
    <n v="157281.5"/>
    <m/>
    <s v="Senior"/>
    <x v="1"/>
    <s v="Port Andrewside"/>
    <s v=" MT"/>
    <n v="132241"/>
    <n v="182322"/>
    <d v="2024-08-29T00:00:00"/>
    <x v="1"/>
    <s v="LangChain"/>
    <m/>
    <m/>
    <x v="13"/>
    <n v="75"/>
    <x v="4"/>
    <n v="268"/>
  </r>
  <r>
    <n v="245"/>
    <s v="Hall Group"/>
    <x v="2"/>
    <x v="5"/>
    <s v="Flask"/>
    <s v=" Scikit-learn"/>
    <s v=" FastAPI"/>
    <s v=" Power BI"/>
    <m/>
    <n v="120550"/>
    <m/>
    <s v="Senior"/>
    <x v="2"/>
    <s v="New Manuelbury"/>
    <s v=" LS"/>
    <n v="97077"/>
    <n v="144023"/>
    <d v="2023-12-13T00:00:00"/>
    <x v="1"/>
    <s v="PyTorch"/>
    <s v=" BigQuery"/>
    <m/>
    <x v="16"/>
    <n v="86"/>
    <x v="5"/>
    <n v="233"/>
  </r>
  <r>
    <n v="246"/>
    <s v="Blake-Daugherty"/>
    <x v="4"/>
    <x v="5"/>
    <s v="Flask"/>
    <s v=" C++"/>
    <s v=" CUDA"/>
    <s v=" R"/>
    <m/>
    <n v="124290"/>
    <m/>
    <s v="Senior"/>
    <x v="1"/>
    <s v="Lake Adamfurt"/>
    <s v=" BR"/>
    <n v="93070"/>
    <n v="155510"/>
    <d v="2024-04-10T00:00:00"/>
    <x v="2"/>
    <s v="LangChain"/>
    <s v=" Scikit-learn"/>
    <m/>
    <x v="16"/>
    <n v="86"/>
    <x v="4"/>
    <n v="268"/>
  </r>
  <r>
    <n v="247"/>
    <s v="Powers Group"/>
    <x v="3"/>
    <x v="4"/>
    <s v="R"/>
    <s v=" Pandas"/>
    <s v=" TensorFlow"/>
    <m/>
    <m/>
    <n v="153865"/>
    <m/>
    <s v="Senior"/>
    <x v="1"/>
    <s v="Grahamshire"/>
    <s v=" PH"/>
    <n v="110751"/>
    <n v="196979"/>
    <d v="2024-10-18T00:00:00"/>
    <x v="1"/>
    <s v="TensorFlow"/>
    <s v=" LangChain"/>
    <m/>
    <x v="11"/>
    <n v="86"/>
    <x v="2"/>
    <n v="249"/>
  </r>
  <r>
    <n v="248"/>
    <s v="Bernard-Herrera"/>
    <x v="3"/>
    <x v="5"/>
    <s v="MLflow"/>
    <s v=" Hugging Face"/>
    <s v=" FastAPI"/>
    <s v=" Azure"/>
    <m/>
    <n v="105729.5"/>
    <m/>
    <s v="Entry"/>
    <x v="1"/>
    <s v="Port Denise"/>
    <s v=" MV"/>
    <n v="57928"/>
    <n v="153531"/>
    <d v="2025-05-29T00:00:00"/>
    <x v="1"/>
    <s v="Scikit-learn"/>
    <s v=" KDB+"/>
    <m/>
    <x v="3"/>
    <n v="80"/>
    <x v="7"/>
    <n v="255"/>
  </r>
  <r>
    <n v="249"/>
    <s v="Thomas Group"/>
    <x v="3"/>
    <x v="2"/>
    <s v="NumPy"/>
    <s v=" MLflow"/>
    <s v=" PyTorch"/>
    <s v=" Pandas"/>
    <s v=" FastAPI"/>
    <n v="187422.5"/>
    <m/>
    <s v="Entry"/>
    <x v="1"/>
    <s v="New Melissa"/>
    <s v=" KM"/>
    <n v="139669"/>
    <n v="235176"/>
    <d v="2024-09-13T00:00:00"/>
    <x v="2"/>
    <s v="BigQuery"/>
    <m/>
    <m/>
    <x v="0"/>
    <n v="104"/>
    <x v="3"/>
    <n v="238"/>
  </r>
  <r>
    <n v="250"/>
    <s v="Phelps-Johnson"/>
    <x v="3"/>
    <x v="5"/>
    <s v="FastAPI"/>
    <s v=" TensorFlow"/>
    <s v=" Keras"/>
    <s v=" Excel"/>
    <s v=" Pandas"/>
    <n v="93502.5"/>
    <m/>
    <s v="Mid"/>
    <x v="0"/>
    <s v="Lake Kristen"/>
    <s v=" SY"/>
    <n v="76192"/>
    <n v="110813"/>
    <d v="2024-12-25T00:00:00"/>
    <x v="1"/>
    <s v="BigQuery"/>
    <m/>
    <m/>
    <x v="20"/>
    <n v="111"/>
    <x v="3"/>
    <n v="238"/>
  </r>
  <r>
    <n v="251"/>
    <s v="Young-Brown"/>
    <x v="0"/>
    <x v="7"/>
    <s v="Power BI"/>
    <s v=" C++"/>
    <s v=" Flask"/>
    <s v=" Keras"/>
    <s v=" Reinforcement Learning"/>
    <n v="115330.5"/>
    <s v=" SQL"/>
    <s v="Mid"/>
    <x v="3"/>
    <s v="North Samuel"/>
    <s v=" UY"/>
    <n v="86522"/>
    <n v="144139"/>
    <d v="2024-09-04T00:00:00"/>
    <x v="0"/>
    <s v="TensorFlow"/>
    <m/>
    <m/>
    <x v="18"/>
    <n v="96"/>
    <x v="2"/>
    <n v="249"/>
  </r>
  <r>
    <n v="252"/>
    <s v="Alvarez, Martinez and Miller"/>
    <x v="2"/>
    <x v="6"/>
    <s v="FastAPI"/>
    <s v=" MLflow"/>
    <s v=" Pandas"/>
    <s v=" R"/>
    <s v=" TensorFlow"/>
    <n v="67344.5"/>
    <m/>
    <s v="Mid"/>
    <x v="0"/>
    <s v="Kimberlyfort"/>
    <s v=" MN"/>
    <n v="40634"/>
    <n v="94055"/>
    <d v="2024-07-31T00:00:00"/>
    <x v="1"/>
    <s v="LangChain"/>
    <s v=" BigQuery"/>
    <m/>
    <x v="20"/>
    <n v="111"/>
    <x v="4"/>
    <n v="268"/>
  </r>
  <r>
    <n v="253"/>
    <s v="Phillips-Baker"/>
    <x v="3"/>
    <x v="1"/>
    <s v="R"/>
    <s v=" Keras"/>
    <s v=" PyTorch"/>
    <m/>
    <m/>
    <n v="56274.5"/>
    <m/>
    <s v="Entry"/>
    <x v="3"/>
    <s v="West James"/>
    <s v=" SG"/>
    <n v="50432"/>
    <n v="62117"/>
    <d v="2025-05-15T00:00:00"/>
    <x v="2"/>
    <s v="KDB+"/>
    <m/>
    <m/>
    <x v="11"/>
    <n v="86"/>
    <x v="0"/>
    <n v="247"/>
  </r>
  <r>
    <n v="254"/>
    <s v="Cochran-Bailey"/>
    <x v="6"/>
    <x v="5"/>
    <s v="Pandas"/>
    <s v=" GCP"/>
    <s v=" C++"/>
    <s v=" Reinforcement Learning"/>
    <m/>
    <n v="117722"/>
    <m/>
    <s v="Senior"/>
    <x v="1"/>
    <s v="West Andrew"/>
    <s v=" NA"/>
    <n v="92187"/>
    <n v="143257"/>
    <d v="2024-05-28T00:00:00"/>
    <x v="2"/>
    <s v="MLflow"/>
    <m/>
    <m/>
    <x v="6"/>
    <n v="78"/>
    <x v="6"/>
    <n v="259"/>
  </r>
  <r>
    <n v="255"/>
    <s v="Vazquez LLC"/>
    <x v="3"/>
    <x v="2"/>
    <s v="Azure"/>
    <s v=" LangChain"/>
    <s v=" Reinforcement Learning"/>
    <m/>
    <m/>
    <n v="179743.5"/>
    <m/>
    <s v="Mid"/>
    <x v="0"/>
    <s v="East Bruce"/>
    <s v=" AM"/>
    <n v="139231"/>
    <n v="220256"/>
    <d v="2025-03-21T00:00:00"/>
    <x v="2"/>
    <s v="PyTorch"/>
    <s v=" FastAPI"/>
    <m/>
    <x v="15"/>
    <n v="90"/>
    <x v="5"/>
    <n v="233"/>
  </r>
  <r>
    <n v="256"/>
    <s v="Carey and Sons"/>
    <x v="3"/>
    <x v="2"/>
    <s v="Keras"/>
    <s v=" Excel"/>
    <s v=" SQL"/>
    <s v=" Python"/>
    <s v=" Scikit-learn"/>
    <n v="121384"/>
    <m/>
    <s v="Entry"/>
    <x v="3"/>
    <s v="Robertfort"/>
    <s v=" LK"/>
    <n v="116281"/>
    <n v="126487"/>
    <d v="2024-06-19T00:00:00"/>
    <x v="1"/>
    <s v="FastAPI"/>
    <s v=" Scikit-learn"/>
    <s v=" MLflow"/>
    <x v="7"/>
    <n v="96"/>
    <x v="1"/>
    <n v="251"/>
  </r>
  <r>
    <n v="257"/>
    <s v="Marshall, Mccoy and Montgomery"/>
    <x v="0"/>
    <x v="2"/>
    <s v="Power BI"/>
    <s v=" C++"/>
    <s v=" NumPy"/>
    <m/>
    <m/>
    <n v="98814"/>
    <m/>
    <s v="Senior"/>
    <x v="1"/>
    <s v="Greggbury"/>
    <s v=" KI"/>
    <n v="66964"/>
    <n v="130664"/>
    <d v="2024-10-15T00:00:00"/>
    <x v="0"/>
    <s v="PyTorch"/>
    <s v=" BigQuery"/>
    <m/>
    <x v="18"/>
    <n v="96"/>
    <x v="5"/>
    <n v="233"/>
  </r>
  <r>
    <n v="258"/>
    <s v="Hart-Peterson"/>
    <x v="5"/>
    <x v="3"/>
    <s v="Excel"/>
    <s v=" FastAPI"/>
    <s v=" Hugging Face"/>
    <s v=" C++"/>
    <s v=" GCP"/>
    <n v="83146"/>
    <s v=" R"/>
    <s v="Senior"/>
    <x v="3"/>
    <s v="South Christopher"/>
    <s v=" CN"/>
    <n v="72900"/>
    <n v="93392"/>
    <d v="2023-10-21T00:00:00"/>
    <x v="1"/>
    <s v="Scikit-learn"/>
    <s v=" TensorFlow"/>
    <m/>
    <x v="2"/>
    <n v="101"/>
    <x v="7"/>
    <n v="255"/>
  </r>
  <r>
    <n v="259"/>
    <s v="Clark-Sharp"/>
    <x v="6"/>
    <x v="7"/>
    <s v="Reinforcement Learning"/>
    <s v=" MLflow"/>
    <s v=" Hugging Face"/>
    <s v=" CUDA"/>
    <s v=" Flask"/>
    <n v="170858.5"/>
    <m/>
    <s v="Senior"/>
    <x v="0"/>
    <s v="Lake Mark"/>
    <s v=" BN"/>
    <n v="122910"/>
    <n v="218807"/>
    <d v="2024-04-09T00:00:00"/>
    <x v="2"/>
    <s v="MLflow"/>
    <s v=" BigQuery"/>
    <s v=" LangChain"/>
    <x v="21"/>
    <n v="104"/>
    <x v="6"/>
    <n v="259"/>
  </r>
  <r>
    <n v="260"/>
    <s v="Daniels, Martinez and Brown"/>
    <x v="4"/>
    <x v="6"/>
    <s v="AWS"/>
    <s v=" Power BI"/>
    <s v=" GCP"/>
    <s v=" NumPy"/>
    <s v=" Flask"/>
    <n v="98847"/>
    <m/>
    <s v="Senior"/>
    <x v="3"/>
    <s v="Mariestad"/>
    <s v=" SG"/>
    <n v="60661"/>
    <n v="137033"/>
    <d v="2025-08-14T00:00:00"/>
    <x v="1"/>
    <s v="LangChain"/>
    <s v=" FastAPI"/>
    <m/>
    <x v="10"/>
    <n v="97"/>
    <x v="4"/>
    <n v="268"/>
  </r>
  <r>
    <n v="261"/>
    <s v="Lawson-Mitchell"/>
    <x v="2"/>
    <x v="0"/>
    <s v="Azure"/>
    <s v=" Flask"/>
    <s v=" CUDA"/>
    <s v=" TensorFlow"/>
    <m/>
    <n v="78700.5"/>
    <m/>
    <s v="Entry"/>
    <x v="0"/>
    <s v="Jacobchester"/>
    <s v=" PL"/>
    <n v="51191"/>
    <n v="106210"/>
    <d v="2024-09-02T00:00:00"/>
    <x v="0"/>
    <s v="Scikit-learn"/>
    <s v=" LangChain"/>
    <m/>
    <x v="15"/>
    <n v="90"/>
    <x v="7"/>
    <n v="255"/>
  </r>
  <r>
    <n v="262"/>
    <s v="James, Johnson and Pineda"/>
    <x v="3"/>
    <x v="5"/>
    <s v="FastAPI"/>
    <s v=" Pandas"/>
    <s v=" Scikit-learn"/>
    <m/>
    <m/>
    <n v="114860.5"/>
    <m/>
    <s v="Entry"/>
    <x v="2"/>
    <s v="Maxwellburgh"/>
    <s v=" JO"/>
    <n v="67972"/>
    <n v="161749"/>
    <d v="2025-07-22T00:00:00"/>
    <x v="0"/>
    <s v="Scikit-learn"/>
    <s v=" PyTorch"/>
    <m/>
    <x v="20"/>
    <n v="111"/>
    <x v="7"/>
    <n v="255"/>
  </r>
  <r>
    <n v="263"/>
    <s v="Allen-Parker"/>
    <x v="0"/>
    <x v="1"/>
    <s v="FastAPI"/>
    <s v=" Keras"/>
    <s v=" TensorFlow"/>
    <s v=" SQL"/>
    <s v=" C++"/>
    <n v="55294.5"/>
    <s v=" GCP"/>
    <s v="Mid"/>
    <x v="1"/>
    <s v="North Dakota"/>
    <s v=" BJ"/>
    <n v="43847"/>
    <n v="66742"/>
    <d v="2025-03-30T00:00:00"/>
    <x v="2"/>
    <s v="LangChain"/>
    <s v=" KDB+"/>
    <s v=" Scikit-learn"/>
    <x v="20"/>
    <n v="111"/>
    <x v="4"/>
    <n v="268"/>
  </r>
  <r>
    <n v="264"/>
    <s v="Russell and Sons"/>
    <x v="5"/>
    <x v="5"/>
    <s v="Excel"/>
    <s v=" CUDA"/>
    <s v=" Reinforcement Learning"/>
    <s v=" R"/>
    <s v=" FastAPI"/>
    <n v="75352.5"/>
    <s v=" Keras"/>
    <s v="Mid"/>
    <x v="3"/>
    <s v="Gallegosbury"/>
    <s v=" MG"/>
    <n v="66723"/>
    <n v="83982"/>
    <d v="2024-12-08T00:00:00"/>
    <x v="2"/>
    <s v="KDB+"/>
    <m/>
    <m/>
    <x v="2"/>
    <n v="101"/>
    <x v="0"/>
    <n v="247"/>
  </r>
  <r>
    <n v="265"/>
    <s v="Peters, Mcdaniel and Adams"/>
    <x v="4"/>
    <x v="0"/>
    <s v="Excel"/>
    <s v=" GCP"/>
    <s v=" CUDA"/>
    <s v=" Azure"/>
    <m/>
    <n v="174978"/>
    <m/>
    <s v="Entry"/>
    <x v="1"/>
    <s v="Pruittchester"/>
    <s v=" PG"/>
    <n v="149030"/>
    <n v="200926"/>
    <d v="2024-02-18T00:00:00"/>
    <x v="1"/>
    <s v="LangChain"/>
    <s v=" BigQuery"/>
    <s v=" MLflow"/>
    <x v="2"/>
    <n v="101"/>
    <x v="4"/>
    <n v="268"/>
  </r>
  <r>
    <n v="266"/>
    <s v="Jones PLC"/>
    <x v="6"/>
    <x v="4"/>
    <s v="Python"/>
    <s v=" PyTorch"/>
    <s v=" LangChain"/>
    <s v=" Hugging Face"/>
    <s v=" Power BI"/>
    <n v="54613"/>
    <s v=" Scikit-learn"/>
    <s v="Mid"/>
    <x v="2"/>
    <s v="West Ricky"/>
    <s v=" US"/>
    <n v="42247"/>
    <n v="66979"/>
    <d v="2024-11-13T00:00:00"/>
    <x v="2"/>
    <s v="LangChain"/>
    <s v=" PyTorch"/>
    <s v=" FastAPI"/>
    <x v="5"/>
    <n v="94"/>
    <x v="4"/>
    <n v="268"/>
  </r>
  <r>
    <n v="267"/>
    <s v="Taylor, Ruiz and Padilla"/>
    <x v="3"/>
    <x v="0"/>
    <s v="Scikit-learn"/>
    <s v=" Excel"/>
    <s v=" GCP"/>
    <s v=" Python"/>
    <m/>
    <n v="95912.5"/>
    <m/>
    <s v="Senior"/>
    <x v="0"/>
    <s v="Barnettburgh"/>
    <s v=" BO"/>
    <n v="57957"/>
    <n v="133868"/>
    <d v="2025-04-18T00:00:00"/>
    <x v="1"/>
    <s v="MLflow"/>
    <s v=" FastAPI"/>
    <m/>
    <x v="1"/>
    <n v="76"/>
    <x v="6"/>
    <n v="259"/>
  </r>
  <r>
    <n v="268"/>
    <s v="Johnson-Roberson"/>
    <x v="6"/>
    <x v="2"/>
    <s v="FastAPI"/>
    <s v=" MLflow"/>
    <s v=" Pandas"/>
    <s v=" Hugging Face"/>
    <s v=" GCP"/>
    <n v="124210.5"/>
    <s v=" C++"/>
    <s v="Mid"/>
    <x v="3"/>
    <s v="Port Rachel"/>
    <s v=" HT"/>
    <n v="91662"/>
    <n v="156759"/>
    <d v="2024-10-06T00:00:00"/>
    <x v="2"/>
    <s v="FastAPI"/>
    <s v=" MLflow"/>
    <s v=" Scikit-learn"/>
    <x v="20"/>
    <n v="111"/>
    <x v="1"/>
    <n v="251"/>
  </r>
  <r>
    <n v="269"/>
    <s v="Carey and Sons"/>
    <x v="0"/>
    <x v="7"/>
    <s v="MLflow"/>
    <s v=" Scikit-learn"/>
    <s v=" R"/>
    <m/>
    <m/>
    <n v="142079"/>
    <m/>
    <s v="Entry"/>
    <x v="2"/>
    <s v="Lindastad"/>
    <s v=" LB"/>
    <n v="123795"/>
    <n v="160363"/>
    <d v="2025-08-19T00:00:00"/>
    <x v="2"/>
    <s v="PyTorch"/>
    <m/>
    <m/>
    <x v="3"/>
    <n v="80"/>
    <x v="5"/>
    <n v="233"/>
  </r>
  <r>
    <n v="270"/>
    <s v="Willis, Smith and Norris"/>
    <x v="2"/>
    <x v="2"/>
    <s v="SQL"/>
    <s v=" Flask"/>
    <s v=" Reinforcement Learning"/>
    <s v=" C++"/>
    <m/>
    <n v="129249"/>
    <m/>
    <s v="Entry"/>
    <x v="3"/>
    <s v="South Aaron"/>
    <s v=" MT"/>
    <n v="92753"/>
    <n v="165745"/>
    <d v="2025-08-19T00:00:00"/>
    <x v="2"/>
    <s v="LangChain"/>
    <s v=" BigQuery"/>
    <m/>
    <x v="17"/>
    <n v="88"/>
    <x v="4"/>
    <n v="268"/>
  </r>
  <r>
    <n v="271"/>
    <s v="Gallagher Inc"/>
    <x v="4"/>
    <x v="7"/>
    <s v="LangChain"/>
    <s v=" Excel"/>
    <s v=" TensorFlow"/>
    <s v=" Scikit-learn"/>
    <m/>
    <n v="112582"/>
    <m/>
    <s v="Mid"/>
    <x v="1"/>
    <s v="Cathyton"/>
    <s v=" AL"/>
    <n v="94406"/>
    <n v="130758"/>
    <d v="2025-06-08T00:00:00"/>
    <x v="2"/>
    <s v="LangChain"/>
    <s v=" KDB+"/>
    <s v=" BigQuery"/>
    <x v="12"/>
    <n v="100"/>
    <x v="4"/>
    <n v="268"/>
  </r>
  <r>
    <n v="272"/>
    <s v="Jones Inc"/>
    <x v="4"/>
    <x v="1"/>
    <s v="AWS"/>
    <s v=" FastAPI"/>
    <s v=" MLflow"/>
    <m/>
    <m/>
    <n v="149923"/>
    <m/>
    <s v="Mid"/>
    <x v="3"/>
    <s v="North Thomas"/>
    <s v=" GM"/>
    <n v="105919"/>
    <n v="193927"/>
    <d v="2025-02-03T00:00:00"/>
    <x v="0"/>
    <s v="MLflow"/>
    <m/>
    <m/>
    <x v="10"/>
    <n v="97"/>
    <x v="6"/>
    <n v="259"/>
  </r>
  <r>
    <n v="273"/>
    <s v="Coleman-Yoder"/>
    <x v="3"/>
    <x v="5"/>
    <s v="Azure"/>
    <s v=" Hugging Face"/>
    <s v=" Python"/>
    <m/>
    <m/>
    <n v="170353"/>
    <m/>
    <s v="Entry"/>
    <x v="1"/>
    <s v="Maxwellchester"/>
    <s v=" LK"/>
    <n v="129469"/>
    <n v="211237"/>
    <d v="2024-02-19T00:00:00"/>
    <x v="0"/>
    <s v="Scikit-learn"/>
    <s v=" MLflow"/>
    <m/>
    <x v="15"/>
    <n v="90"/>
    <x v="7"/>
    <n v="255"/>
  </r>
  <r>
    <n v="274"/>
    <s v="Mcdonald Ltd"/>
    <x v="5"/>
    <x v="3"/>
    <s v="R"/>
    <s v=" AWS"/>
    <s v=" Azure"/>
    <m/>
    <m/>
    <n v="75601.5"/>
    <m/>
    <s v="Entry"/>
    <x v="3"/>
    <s v="New David"/>
    <s v=" MG"/>
    <n v="68792"/>
    <n v="82411"/>
    <d v="2025-06-14T00:00:00"/>
    <x v="0"/>
    <s v="Scikit-learn"/>
    <s v=" BigQuery"/>
    <m/>
    <x v="11"/>
    <n v="86"/>
    <x v="7"/>
    <n v="255"/>
  </r>
  <r>
    <n v="275"/>
    <s v="Anderson-Campbell"/>
    <x v="3"/>
    <x v="7"/>
    <s v="CUDA"/>
    <s v=" Power BI"/>
    <s v=" SQL"/>
    <s v=" Pandas"/>
    <m/>
    <n v="113281"/>
    <m/>
    <s v="Mid"/>
    <x v="2"/>
    <s v="Bestview"/>
    <s v=" AG"/>
    <n v="92739"/>
    <n v="133823"/>
    <d v="2025-04-10T00:00:00"/>
    <x v="1"/>
    <s v="Scikit-learn"/>
    <s v=" FastAPI"/>
    <s v=" KDB+"/>
    <x v="13"/>
    <n v="75"/>
    <x v="7"/>
    <n v="255"/>
  </r>
  <r>
    <n v="276"/>
    <s v="Garner, Massey and Lozano"/>
    <x v="4"/>
    <x v="1"/>
    <s v="Reinforcement Learning"/>
    <s v=" Scikit-learn"/>
    <s v=" Excel"/>
    <s v=" SQL"/>
    <m/>
    <n v="117429.5"/>
    <m/>
    <s v="Senior"/>
    <x v="1"/>
    <s v="New Douglasburgh"/>
    <s v=" TV"/>
    <n v="85651"/>
    <n v="149208"/>
    <d v="2025-04-29T00:00:00"/>
    <x v="2"/>
    <s v="MLflow"/>
    <s v=" BigQuery"/>
    <m/>
    <x v="21"/>
    <n v="104"/>
    <x v="6"/>
    <n v="259"/>
  </r>
  <r>
    <n v="277"/>
    <s v="White, Waters and Johnson"/>
    <x v="1"/>
    <x v="5"/>
    <s v="MLflow"/>
    <s v=" Keras"/>
    <s v=" LangChain"/>
    <m/>
    <m/>
    <n v="88078"/>
    <m/>
    <s v="Senior"/>
    <x v="2"/>
    <s v="Daleville"/>
    <s v=" CL"/>
    <n v="51635"/>
    <n v="124521"/>
    <d v="2025-03-04T00:00:00"/>
    <x v="2"/>
    <s v="PyTorch"/>
    <m/>
    <m/>
    <x v="3"/>
    <n v="80"/>
    <x v="5"/>
    <n v="233"/>
  </r>
  <r>
    <n v="278"/>
    <s v="Cox-Griffin"/>
    <x v="1"/>
    <x v="2"/>
    <s v="C++"/>
    <s v=" Scikit-learn"/>
    <s v=" PyTorch"/>
    <s v=" Pandas"/>
    <s v=" Flask"/>
    <n v="92363.5"/>
    <m/>
    <s v="Mid"/>
    <x v="2"/>
    <s v="East Melissatown"/>
    <s v=" IN"/>
    <n v="87231"/>
    <n v="97496"/>
    <d v="2023-12-26T00:00:00"/>
    <x v="1"/>
    <s v="MLflow"/>
    <m/>
    <m/>
    <x v="8"/>
    <n v="84"/>
    <x v="6"/>
    <n v="259"/>
  </r>
  <r>
    <n v="279"/>
    <s v="Smith Inc"/>
    <x v="1"/>
    <x v="6"/>
    <s v="AWS"/>
    <s v=" SQL"/>
    <s v=" Excel"/>
    <m/>
    <m/>
    <n v="130427.5"/>
    <m/>
    <s v="Entry"/>
    <x v="2"/>
    <s v="Perezfurt"/>
    <s v=" SZ"/>
    <n v="103271"/>
    <n v="157584"/>
    <d v="2025-09-19T00:00:00"/>
    <x v="2"/>
    <s v="MLflow"/>
    <s v=" LangChain"/>
    <s v=" FastAPI"/>
    <x v="10"/>
    <n v="97"/>
    <x v="6"/>
    <n v="259"/>
  </r>
  <r>
    <n v="280"/>
    <s v="Mason Inc"/>
    <x v="5"/>
    <x v="4"/>
    <s v="Reinforcement Learning"/>
    <s v=" MLflow"/>
    <s v=" TensorFlow"/>
    <s v=" PyTorch"/>
    <s v=" Keras"/>
    <n v="75276"/>
    <m/>
    <s v="Mid"/>
    <x v="2"/>
    <s v="Angelafurt"/>
    <s v=" BT"/>
    <n v="43405"/>
    <n v="107147"/>
    <d v="2025-02-14T00:00:00"/>
    <x v="0"/>
    <s v="PyTorch"/>
    <m/>
    <m/>
    <x v="21"/>
    <n v="104"/>
    <x v="5"/>
    <n v="233"/>
  </r>
  <r>
    <n v="281"/>
    <s v="Clark Group"/>
    <x v="1"/>
    <x v="0"/>
    <s v="Azure"/>
    <s v=" TensorFlow"/>
    <s v=" NumPy"/>
    <m/>
    <m/>
    <n v="74439"/>
    <m/>
    <s v="Mid"/>
    <x v="2"/>
    <s v="Lauraside"/>
    <s v=" US"/>
    <n v="55825"/>
    <n v="93053"/>
    <d v="2025-04-26T00:00:00"/>
    <x v="1"/>
    <s v="KDB+"/>
    <s v=" BigQuery"/>
    <s v=" MLflow"/>
    <x v="15"/>
    <n v="90"/>
    <x v="0"/>
    <n v="247"/>
  </r>
  <r>
    <n v="282"/>
    <s v="Sutton-Weber"/>
    <x v="5"/>
    <x v="0"/>
    <s v="FastAPI"/>
    <s v=" NumPy"/>
    <s v=" C++"/>
    <s v=" LangChain"/>
    <m/>
    <n v="145137.5"/>
    <m/>
    <s v="Senior"/>
    <x v="1"/>
    <s v="West Anna"/>
    <s v=" MK"/>
    <n v="96220"/>
    <n v="194055"/>
    <d v="2024-12-13T00:00:00"/>
    <x v="1"/>
    <s v="LangChain"/>
    <m/>
    <m/>
    <x v="20"/>
    <n v="111"/>
    <x v="4"/>
    <n v="268"/>
  </r>
  <r>
    <n v="283"/>
    <s v="Stevenson Ltd"/>
    <x v="6"/>
    <x v="1"/>
    <s v="Flask"/>
    <s v=" Excel"/>
    <s v=" PyTorch"/>
    <s v=" Scikit-learn"/>
    <s v=" FastAPI"/>
    <n v="145166"/>
    <s v=" Keras"/>
    <s v="Entry"/>
    <x v="2"/>
    <s v="Jeffreyport"/>
    <s v=" IS"/>
    <n v="123561"/>
    <n v="166771"/>
    <d v="2024-01-19T00:00:00"/>
    <x v="1"/>
    <s v="PyTorch"/>
    <s v=" TensorFlow"/>
    <s v=" MLflow"/>
    <x v="16"/>
    <n v="86"/>
    <x v="5"/>
    <n v="233"/>
  </r>
  <r>
    <n v="284"/>
    <s v="Scott-Wright"/>
    <x v="2"/>
    <x v="5"/>
    <s v="Keras"/>
    <s v=" MLflow"/>
    <s v=" Excel"/>
    <m/>
    <m/>
    <n v="106543"/>
    <m/>
    <s v="Senior"/>
    <x v="3"/>
    <s v="Lake Shelly"/>
    <s v=" CN"/>
    <n v="91175"/>
    <n v="121911"/>
    <d v="2025-08-03T00:00:00"/>
    <x v="0"/>
    <s v="LangChain"/>
    <s v=" KDB+"/>
    <m/>
    <x v="7"/>
    <n v="96"/>
    <x v="4"/>
    <n v="268"/>
  </r>
  <r>
    <n v="285"/>
    <s v="Gonzales-Charles"/>
    <x v="4"/>
    <x v="3"/>
    <s v="Azure"/>
    <s v=" PyTorch"/>
    <s v=" CUDA"/>
    <m/>
    <m/>
    <n v="128946"/>
    <m/>
    <s v="Entry"/>
    <x v="1"/>
    <s v="South Sarah"/>
    <s v=" JO"/>
    <n v="84664"/>
    <n v="173228"/>
    <d v="2024-09-12T00:00:00"/>
    <x v="2"/>
    <s v="KDB+"/>
    <s v=" TensorFlow"/>
    <s v=" LangChain"/>
    <x v="15"/>
    <n v="90"/>
    <x v="0"/>
    <n v="247"/>
  </r>
  <r>
    <n v="286"/>
    <s v="Saunders Inc"/>
    <x v="5"/>
    <x v="0"/>
    <s v="CUDA"/>
    <s v=" R"/>
    <s v=" Hugging Face"/>
    <s v=" PyTorch"/>
    <s v=" AWS"/>
    <n v="140656.5"/>
    <m/>
    <s v="Senior"/>
    <x v="0"/>
    <s v="Lake Lisafurt"/>
    <s v=" ER"/>
    <n v="109743"/>
    <n v="171570"/>
    <d v="2025-06-05T00:00:00"/>
    <x v="1"/>
    <s v="BigQuery"/>
    <m/>
    <m/>
    <x v="13"/>
    <n v="75"/>
    <x v="3"/>
    <n v="238"/>
  </r>
  <r>
    <n v="287"/>
    <s v="Park PLC"/>
    <x v="4"/>
    <x v="7"/>
    <s v="Pandas"/>
    <s v=" C++"/>
    <s v=" R"/>
    <s v=" MLflow"/>
    <m/>
    <n v="84673"/>
    <m/>
    <s v="Senior"/>
    <x v="1"/>
    <s v="Amandamouth"/>
    <s v=" LT"/>
    <n v="55502"/>
    <n v="113844"/>
    <d v="2024-02-22T00:00:00"/>
    <x v="2"/>
    <s v="FastAPI"/>
    <m/>
    <m/>
    <x v="6"/>
    <n v="78"/>
    <x v="1"/>
    <n v="251"/>
  </r>
  <r>
    <n v="288"/>
    <s v="Jimenez-Brown"/>
    <x v="0"/>
    <x v="0"/>
    <s v="Python"/>
    <s v=" Pandas"/>
    <s v=" R"/>
    <s v=" Flask"/>
    <m/>
    <n v="91839"/>
    <m/>
    <s v="Entry"/>
    <x v="2"/>
    <s v="Stuartfurt"/>
    <s v=" AL"/>
    <n v="47355"/>
    <n v="136323"/>
    <d v="2025-02-17T00:00:00"/>
    <x v="2"/>
    <s v="PyTorch"/>
    <s v=" MLflow"/>
    <m/>
    <x v="5"/>
    <n v="94"/>
    <x v="5"/>
    <n v="233"/>
  </r>
  <r>
    <n v="289"/>
    <s v="Mendoza-Smith"/>
    <x v="6"/>
    <x v="4"/>
    <s v="PyTorch"/>
    <s v=" TensorFlow"/>
    <s v=" Hugging Face"/>
    <m/>
    <m/>
    <n v="169983.5"/>
    <m/>
    <s v="Senior"/>
    <x v="3"/>
    <s v="South Amy"/>
    <s v=" FJ"/>
    <n v="143690"/>
    <n v="196277"/>
    <d v="2024-09-27T00:00:00"/>
    <x v="1"/>
    <s v="MLflow"/>
    <s v=" BigQuery"/>
    <s v=" KDB+"/>
    <x v="14"/>
    <n v="92"/>
    <x v="6"/>
    <n v="259"/>
  </r>
  <r>
    <n v="290"/>
    <s v="Hartman-Torres"/>
    <x v="1"/>
    <x v="3"/>
    <s v="Python"/>
    <s v=" AWS"/>
    <s v=" R"/>
    <s v=" Azure"/>
    <s v=" Scikit-learn"/>
    <n v="77083"/>
    <m/>
    <s v="Mid"/>
    <x v="0"/>
    <s v="Leeville"/>
    <s v=" GD"/>
    <n v="56560"/>
    <n v="97606"/>
    <d v="2025-02-11T00:00:00"/>
    <x v="0"/>
    <s v="LangChain"/>
    <m/>
    <m/>
    <x v="5"/>
    <n v="94"/>
    <x v="4"/>
    <n v="268"/>
  </r>
  <r>
    <n v="291"/>
    <s v="Johnson, Humphrey and Walsh"/>
    <x v="1"/>
    <x v="7"/>
    <s v="Excel"/>
    <s v=" NumPy"/>
    <s v=" AWS"/>
    <s v=" PyTorch"/>
    <s v=" Pandas"/>
    <n v="192467"/>
    <s v=" CUDA"/>
    <s v="Mid"/>
    <x v="2"/>
    <s v="Susanland"/>
    <s v=" GQ"/>
    <n v="149782"/>
    <n v="235152"/>
    <d v="2025-04-07T00:00:00"/>
    <x v="1"/>
    <s v="Scikit-learn"/>
    <m/>
    <m/>
    <x v="2"/>
    <n v="101"/>
    <x v="7"/>
    <n v="255"/>
  </r>
  <r>
    <n v="292"/>
    <s v="Rose, Miller and Gonzalez"/>
    <x v="5"/>
    <x v="2"/>
    <s v="LangChain"/>
    <s v=" Hugging Face"/>
    <s v=" NumPy"/>
    <s v=" Excel"/>
    <m/>
    <n v="141768.5"/>
    <m/>
    <s v="Entry"/>
    <x v="2"/>
    <s v="Perkinsbury"/>
    <s v=" ES"/>
    <n v="127612"/>
    <n v="155925"/>
    <d v="2023-10-22T00:00:00"/>
    <x v="0"/>
    <s v="Scikit-learn"/>
    <s v=" KDB+"/>
    <s v=" BigQuery"/>
    <x v="12"/>
    <n v="100"/>
    <x v="7"/>
    <n v="255"/>
  </r>
  <r>
    <n v="293"/>
    <s v="Meyer-Randall"/>
    <x v="3"/>
    <x v="7"/>
    <s v="FastAPI"/>
    <s v=" LangChain"/>
    <s v=" Pandas"/>
    <s v=" NumPy"/>
    <s v=" TensorFlow"/>
    <n v="114875.5"/>
    <m/>
    <s v="Entry"/>
    <x v="0"/>
    <s v="East Tyler"/>
    <s v=" UA"/>
    <n v="78409"/>
    <n v="151342"/>
    <d v="2025-06-12T00:00:00"/>
    <x v="1"/>
    <s v="LangChain"/>
    <s v=" FastAPI"/>
    <m/>
    <x v="20"/>
    <n v="111"/>
    <x v="4"/>
    <n v="268"/>
  </r>
  <r>
    <n v="294"/>
    <s v="Knox, Diaz and Fowler"/>
    <x v="3"/>
    <x v="0"/>
    <s v="AWS"/>
    <s v=" MLflow"/>
    <s v=" PyTorch"/>
    <m/>
    <m/>
    <n v="159274.5"/>
    <m/>
    <s v="Mid"/>
    <x v="1"/>
    <s v="New Monique"/>
    <s v=" NZ"/>
    <n v="149023"/>
    <n v="169526"/>
    <d v="2024-09-11T00:00:00"/>
    <x v="0"/>
    <s v="LangChain"/>
    <s v=" BigQuery"/>
    <s v=" TensorFlow"/>
    <x v="10"/>
    <n v="97"/>
    <x v="4"/>
    <n v="268"/>
  </r>
  <r>
    <n v="295"/>
    <s v="Arnold LLC"/>
    <x v="0"/>
    <x v="4"/>
    <s v="PyTorch"/>
    <s v=" Flask"/>
    <s v=" Scikit-learn"/>
    <s v=" AWS"/>
    <m/>
    <n v="105374.5"/>
    <m/>
    <s v="Senior"/>
    <x v="0"/>
    <s v="Kathymouth"/>
    <s v=" SB"/>
    <n v="64779"/>
    <n v="145970"/>
    <d v="2024-04-20T00:00:00"/>
    <x v="2"/>
    <s v="KDB+"/>
    <m/>
    <m/>
    <x v="14"/>
    <n v="92"/>
    <x v="0"/>
    <n v="247"/>
  </r>
  <r>
    <n v="296"/>
    <s v="Durham LLC"/>
    <x v="3"/>
    <x v="0"/>
    <s v="SQL"/>
    <s v=" TensorFlow"/>
    <s v=" AWS"/>
    <s v=" Reinforcement Learning"/>
    <s v=" GCP"/>
    <n v="91205.5"/>
    <s v=" NumPy"/>
    <s v="Senior"/>
    <x v="3"/>
    <s v="Lake David"/>
    <s v=" JO"/>
    <n v="69887"/>
    <n v="112524"/>
    <d v="2024-10-22T00:00:00"/>
    <x v="0"/>
    <s v="PyTorch"/>
    <m/>
    <m/>
    <x v="17"/>
    <n v="88"/>
    <x v="5"/>
    <n v="233"/>
  </r>
  <r>
    <n v="297"/>
    <s v="Robinson, Chang and Jimenez"/>
    <x v="6"/>
    <x v="5"/>
    <s v="Excel"/>
    <s v=" Hugging Face"/>
    <s v=" FastAPI"/>
    <s v=" CUDA"/>
    <s v=" MLflow"/>
    <n v="148675"/>
    <s v=" Flask"/>
    <s v="Entry"/>
    <x v="0"/>
    <s v="South Richardshire"/>
    <s v=" DM"/>
    <n v="119337"/>
    <n v="178013"/>
    <d v="2024-11-08T00:00:00"/>
    <x v="1"/>
    <s v="Scikit-learn"/>
    <s v=" FastAPI"/>
    <s v=" KDB+"/>
    <x v="2"/>
    <n v="101"/>
    <x v="7"/>
    <n v="255"/>
  </r>
  <r>
    <n v="298"/>
    <s v="Dunn, Anderson and Barber"/>
    <x v="1"/>
    <x v="0"/>
    <s v="FastAPI"/>
    <s v=" Pandas"/>
    <s v=" Scikit-learn"/>
    <s v=" PyTorch"/>
    <m/>
    <n v="166853.5"/>
    <m/>
    <s v="Entry"/>
    <x v="1"/>
    <s v="Melaniestad"/>
    <s v=" ET"/>
    <n v="139462"/>
    <n v="194245"/>
    <d v="2025-01-14T00:00:00"/>
    <x v="0"/>
    <s v="LangChain"/>
    <s v=" FastAPI"/>
    <m/>
    <x v="20"/>
    <n v="111"/>
    <x v="4"/>
    <n v="268"/>
  </r>
  <r>
    <n v="299"/>
    <s v="Lee Ltd"/>
    <x v="5"/>
    <x v="3"/>
    <s v="NumPy"/>
    <s v=" MLflow"/>
    <s v=" CUDA"/>
    <s v=" Azure"/>
    <s v=" C++"/>
    <n v="93009"/>
    <s v=" GCP"/>
    <s v="Entry"/>
    <x v="1"/>
    <s v="North Rebeccaton"/>
    <s v=" LB"/>
    <n v="68689"/>
    <n v="117329"/>
    <d v="2024-06-12T00:00:00"/>
    <x v="1"/>
    <s v="LangChain"/>
    <m/>
    <m/>
    <x v="0"/>
    <n v="104"/>
    <x v="4"/>
    <n v="268"/>
  </r>
  <r>
    <n v="300"/>
    <s v="Powell and Sons"/>
    <x v="5"/>
    <x v="7"/>
    <s v="C++"/>
    <s v=" Python"/>
    <s v=" TensorFlow"/>
    <s v=" Keras"/>
    <s v=" Excel"/>
    <n v="131419.5"/>
    <m/>
    <s v="Mid"/>
    <x v="2"/>
    <s v="South Angel"/>
    <s v=" AL"/>
    <n v="87545"/>
    <n v="175294"/>
    <d v="2025-02-14T00:00:00"/>
    <x v="1"/>
    <s v="BigQuery"/>
    <m/>
    <m/>
    <x v="8"/>
    <n v="84"/>
    <x v="3"/>
    <n v="238"/>
  </r>
  <r>
    <n v="301"/>
    <s v="Thompson, Bonilla and Caldwell"/>
    <x v="2"/>
    <x v="5"/>
    <s v="Keras"/>
    <s v=" FastAPI"/>
    <s v=" AWS"/>
    <s v=" SQL"/>
    <s v=" Excel"/>
    <n v="105064"/>
    <s v=" C++"/>
    <s v="Mid"/>
    <x v="2"/>
    <s v="Wellsport"/>
    <s v=" ER"/>
    <n v="96034"/>
    <n v="114094"/>
    <d v="2023-10-04T00:00:00"/>
    <x v="1"/>
    <s v="LangChain"/>
    <s v=" MLflow"/>
    <m/>
    <x v="7"/>
    <n v="96"/>
    <x v="4"/>
    <n v="268"/>
  </r>
  <r>
    <n v="302"/>
    <s v="Allen, Navarro and Palmer"/>
    <x v="6"/>
    <x v="4"/>
    <s v="Reinforcement Learning"/>
    <s v=" TensorFlow"/>
    <s v=" Azure"/>
    <s v=" CUDA"/>
    <s v=" GCP"/>
    <n v="89846.5"/>
    <s v=" Hugging Face"/>
    <s v="Mid"/>
    <x v="0"/>
    <s v="Millerton"/>
    <s v=" SA"/>
    <n v="71002"/>
    <n v="108691"/>
    <d v="2023-10-14T00:00:00"/>
    <x v="1"/>
    <s v="Scikit-learn"/>
    <s v=" LangChain"/>
    <s v=" BigQuery"/>
    <x v="21"/>
    <n v="104"/>
    <x v="7"/>
    <n v="255"/>
  </r>
  <r>
    <n v="303"/>
    <s v="Hunt-Richards"/>
    <x v="0"/>
    <x v="0"/>
    <s v="Pandas"/>
    <s v=" TensorFlow"/>
    <s v=" PyTorch"/>
    <s v=" Power BI"/>
    <s v=" GCP"/>
    <n v="88231"/>
    <m/>
    <s v="Mid"/>
    <x v="0"/>
    <s v="Michaelview"/>
    <s v=" TO"/>
    <n v="48576"/>
    <n v="127886"/>
    <d v="2023-11-25T00:00:00"/>
    <x v="2"/>
    <s v="Scikit-learn"/>
    <s v=" TensorFlow"/>
    <s v=" PyTorch"/>
    <x v="6"/>
    <n v="78"/>
    <x v="7"/>
    <n v="255"/>
  </r>
  <r>
    <n v="304"/>
    <s v="Malone-Rodriguez"/>
    <x v="6"/>
    <x v="6"/>
    <s v="Hugging Face"/>
    <s v=" FastAPI"/>
    <s v=" Python"/>
    <s v=" NumPy"/>
    <m/>
    <n v="142402"/>
    <m/>
    <s v="Senior"/>
    <x v="2"/>
    <s v="North Johnstad"/>
    <s v=" PY"/>
    <n v="133128"/>
    <n v="151676"/>
    <d v="2024-11-03T00:00:00"/>
    <x v="1"/>
    <s v="Scikit-learn"/>
    <s v=" TensorFlow"/>
    <s v=" MLflow"/>
    <x v="9"/>
    <n v="89"/>
    <x v="7"/>
    <n v="255"/>
  </r>
  <r>
    <n v="305"/>
    <s v="Shields Group"/>
    <x v="6"/>
    <x v="2"/>
    <s v="Azure"/>
    <s v=" SQL"/>
    <s v=" Hugging Face"/>
    <s v=" R"/>
    <s v=" LangChain"/>
    <n v="113454.5"/>
    <m/>
    <s v="Mid"/>
    <x v="3"/>
    <s v="West Savannahbury"/>
    <s v=" WS"/>
    <n v="72195"/>
    <n v="154714"/>
    <d v="2025-08-12T00:00:00"/>
    <x v="0"/>
    <s v="PyTorch"/>
    <s v=" TensorFlow"/>
    <m/>
    <x v="15"/>
    <n v="90"/>
    <x v="5"/>
    <n v="233"/>
  </r>
  <r>
    <n v="306"/>
    <s v="Ball, Vasquez and Morales"/>
    <x v="4"/>
    <x v="7"/>
    <s v="PyTorch"/>
    <s v=" AWS"/>
    <s v=" Python"/>
    <s v=" Scikit-learn"/>
    <m/>
    <n v="75883"/>
    <m/>
    <s v="Entry"/>
    <x v="1"/>
    <s v="West Dianastad"/>
    <s v=" KM"/>
    <n v="70554"/>
    <n v="81212"/>
    <d v="2025-07-09T00:00:00"/>
    <x v="1"/>
    <s v="BigQuery"/>
    <s v=" FastAPI"/>
    <m/>
    <x v="14"/>
    <n v="92"/>
    <x v="3"/>
    <n v="238"/>
  </r>
  <r>
    <n v="307"/>
    <s v="Johnson, Zuniga and Martinez"/>
    <x v="4"/>
    <x v="5"/>
    <s v="Azure"/>
    <s v=" AWS"/>
    <s v=" Keras"/>
    <s v=" R"/>
    <s v=" FastAPI"/>
    <n v="90819.5"/>
    <m/>
    <s v="Entry"/>
    <x v="1"/>
    <s v="Williamberg"/>
    <s v=" TG"/>
    <n v="72299"/>
    <n v="109340"/>
    <d v="2024-02-17T00:00:00"/>
    <x v="0"/>
    <s v="BigQuery"/>
    <s v=" MLflow"/>
    <s v=" LangChain"/>
    <x v="15"/>
    <n v="90"/>
    <x v="3"/>
    <n v="238"/>
  </r>
  <r>
    <n v="308"/>
    <s v="Bryan-Rios"/>
    <x v="1"/>
    <x v="1"/>
    <s v="Keras"/>
    <s v=" Azure"/>
    <s v=" Hugging Face"/>
    <s v=" CUDA"/>
    <s v=" MLflow"/>
    <n v="100867.5"/>
    <m/>
    <s v="Mid"/>
    <x v="0"/>
    <s v="Lake Williamton"/>
    <s v=" BT"/>
    <n v="80922"/>
    <n v="120813"/>
    <d v="2023-12-18T00:00:00"/>
    <x v="1"/>
    <s v="PyTorch"/>
    <m/>
    <m/>
    <x v="7"/>
    <n v="96"/>
    <x v="5"/>
    <n v="233"/>
  </r>
  <r>
    <n v="309"/>
    <s v="Williams, Garza and Hill"/>
    <x v="3"/>
    <x v="0"/>
    <s v="Reinforcement Learning"/>
    <s v=" SQL"/>
    <s v=" AWS"/>
    <s v=" FastAPI"/>
    <s v=" TensorFlow"/>
    <n v="125425"/>
    <s v=" PyTorch"/>
    <s v="Senior"/>
    <x v="1"/>
    <s v="Gateschester"/>
    <s v=" PW"/>
    <n v="115164"/>
    <n v="135686"/>
    <d v="2023-11-14T00:00:00"/>
    <x v="0"/>
    <s v="BigQuery"/>
    <s v=" MLflow"/>
    <m/>
    <x v="21"/>
    <n v="104"/>
    <x v="3"/>
    <n v="238"/>
  </r>
  <r>
    <n v="310"/>
    <s v="Graves Group"/>
    <x v="0"/>
    <x v="1"/>
    <s v="Pandas"/>
    <s v=" Scikit-learn"/>
    <s v=" Excel"/>
    <s v=" TensorFlow"/>
    <s v=" GCP"/>
    <n v="123220"/>
    <m/>
    <s v="Entry"/>
    <x v="3"/>
    <s v="Port Michael"/>
    <s v=" KM"/>
    <n v="100207"/>
    <n v="146233"/>
    <d v="2024-02-01T00:00:00"/>
    <x v="2"/>
    <s v="MLflow"/>
    <s v=" LangChain"/>
    <s v=" KDB+"/>
    <x v="6"/>
    <n v="78"/>
    <x v="6"/>
    <n v="259"/>
  </r>
  <r>
    <n v="311"/>
    <s v="Rogers, Davila and Ashley"/>
    <x v="1"/>
    <x v="1"/>
    <s v="FastAPI"/>
    <s v=" Keras"/>
    <s v=" PyTorch"/>
    <s v=" GCP"/>
    <s v=" Excel"/>
    <n v="157317"/>
    <m/>
    <s v="Senior"/>
    <x v="2"/>
    <s v="North Jamesstad"/>
    <s v=" BO"/>
    <n v="121180"/>
    <n v="193454"/>
    <d v="2023-12-06T00:00:00"/>
    <x v="2"/>
    <s v="KDB+"/>
    <s v=" Scikit-learn"/>
    <m/>
    <x v="20"/>
    <n v="111"/>
    <x v="0"/>
    <n v="247"/>
  </r>
  <r>
    <n v="312"/>
    <s v="Strickland-Werner"/>
    <x v="5"/>
    <x v="5"/>
    <s v="GCP"/>
    <s v=" Excel"/>
    <s v=" CUDA"/>
    <m/>
    <m/>
    <n v="102308.5"/>
    <m/>
    <s v="Mid"/>
    <x v="0"/>
    <s v="Port Alicia"/>
    <s v=" UY"/>
    <n v="71373"/>
    <n v="133244"/>
    <d v="2024-10-21T00:00:00"/>
    <x v="0"/>
    <s v="MLflow"/>
    <s v=" LangChain"/>
    <s v=" KDB+"/>
    <x v="4"/>
    <n v="78"/>
    <x v="6"/>
    <n v="259"/>
  </r>
  <r>
    <n v="313"/>
    <s v="Moreno, Wood and Murillo"/>
    <x v="4"/>
    <x v="5"/>
    <s v="SQL"/>
    <s v=" Flask"/>
    <s v=" AWS"/>
    <s v=" Reinforcement Learning"/>
    <s v=" FastAPI"/>
    <n v="79767.5"/>
    <s v=" LangChain"/>
    <s v="Mid"/>
    <x v="1"/>
    <s v="North Brittany"/>
    <s v=" TL"/>
    <n v="41433"/>
    <n v="118102"/>
    <d v="2024-05-03T00:00:00"/>
    <x v="2"/>
    <s v="LangChain"/>
    <s v=" KDB+"/>
    <s v=" PyTorch"/>
    <x v="17"/>
    <n v="88"/>
    <x v="4"/>
    <n v="268"/>
  </r>
  <r>
    <n v="314"/>
    <s v="Singleton, Simon and Harper"/>
    <x v="0"/>
    <x v="3"/>
    <s v="FastAPI"/>
    <s v=" Scikit-learn"/>
    <s v=" Pandas"/>
    <s v=" Azure"/>
    <s v=" Reinforcement Learning"/>
    <n v="143375"/>
    <m/>
    <s v="Entry"/>
    <x v="2"/>
    <s v="Padillashire"/>
    <s v=" KW"/>
    <n v="134278"/>
    <n v="152472"/>
    <d v="2024-11-30T00:00:00"/>
    <x v="0"/>
    <s v="KDB+"/>
    <m/>
    <m/>
    <x v="20"/>
    <n v="111"/>
    <x v="0"/>
    <n v="247"/>
  </r>
  <r>
    <n v="315"/>
    <s v="Dunn, Snyder and Nichols"/>
    <x v="2"/>
    <x v="7"/>
    <s v="LangChain"/>
    <s v=" Hugging Face"/>
    <s v=" Keras"/>
    <s v=" Azure"/>
    <s v=" Excel"/>
    <n v="61725"/>
    <s v=" FastAPI"/>
    <s v="Mid"/>
    <x v="1"/>
    <s v="Port John"/>
    <s v=" LA"/>
    <n v="52404"/>
    <n v="71046"/>
    <d v="2025-06-11T00:00:00"/>
    <x v="2"/>
    <s v="Scikit-learn"/>
    <m/>
    <m/>
    <x v="12"/>
    <n v="100"/>
    <x v="7"/>
    <n v="255"/>
  </r>
  <r>
    <n v="316"/>
    <s v="Wallace, Gonzales and Wilkins"/>
    <x v="5"/>
    <x v="6"/>
    <s v="R"/>
    <s v=" MLflow"/>
    <s v=" Azure"/>
    <s v=" Scikit-learn"/>
    <m/>
    <n v="121919"/>
    <m/>
    <s v="Entry"/>
    <x v="1"/>
    <s v="Josebury"/>
    <s v=" LY"/>
    <n v="98266"/>
    <n v="145572"/>
    <d v="2024-07-27T00:00:00"/>
    <x v="1"/>
    <s v="PyTorch"/>
    <m/>
    <m/>
    <x v="11"/>
    <n v="86"/>
    <x v="5"/>
    <n v="233"/>
  </r>
  <r>
    <n v="317"/>
    <s v="Turner-Mccarthy"/>
    <x v="2"/>
    <x v="0"/>
    <s v="NumPy"/>
    <s v=" R"/>
    <s v=" MLflow"/>
    <s v=" Flask"/>
    <s v=" TensorFlow"/>
    <n v="173442.5"/>
    <m/>
    <s v="Mid"/>
    <x v="2"/>
    <s v="Ryanberg"/>
    <s v=" MX"/>
    <n v="134179"/>
    <n v="212706"/>
    <d v="2025-03-12T00:00:00"/>
    <x v="1"/>
    <s v="Scikit-learn"/>
    <s v=" BigQuery"/>
    <s v=" MLflow"/>
    <x v="0"/>
    <n v="104"/>
    <x v="7"/>
    <n v="255"/>
  </r>
  <r>
    <n v="318"/>
    <s v="Reyes, Miller and Burke"/>
    <x v="6"/>
    <x v="3"/>
    <s v="Scikit-learn"/>
    <s v=" R"/>
    <s v=" TensorFlow"/>
    <s v=" Power BI"/>
    <s v=" Azure"/>
    <n v="73875"/>
    <m/>
    <s v="Mid"/>
    <x v="1"/>
    <s v="West Julie"/>
    <s v=" ZM"/>
    <n v="66368"/>
    <n v="81382"/>
    <d v="2024-06-22T00:00:00"/>
    <x v="1"/>
    <s v="PyTorch"/>
    <s v=" LangChain"/>
    <m/>
    <x v="1"/>
    <n v="76"/>
    <x v="5"/>
    <n v="233"/>
  </r>
  <r>
    <n v="319"/>
    <s v="Russell, Kim and Harris"/>
    <x v="6"/>
    <x v="2"/>
    <s v="Keras"/>
    <s v=" Python"/>
    <s v=" Reinforcement Learning"/>
    <s v=" Scikit-learn"/>
    <m/>
    <n v="165588"/>
    <m/>
    <s v="Mid"/>
    <x v="0"/>
    <s v="South Staceyview"/>
    <s v=" PY"/>
    <n v="115773"/>
    <n v="215403"/>
    <d v="2024-09-15T00:00:00"/>
    <x v="2"/>
    <s v="KDB+"/>
    <s v=" MLflow"/>
    <s v=" TensorFlow"/>
    <x v="7"/>
    <n v="96"/>
    <x v="0"/>
    <n v="247"/>
  </r>
  <r>
    <n v="320"/>
    <s v="Miller-Holland"/>
    <x v="4"/>
    <x v="6"/>
    <s v="Flask"/>
    <s v=" NumPy"/>
    <s v=" Keras"/>
    <s v=" AWS"/>
    <s v=" SQL"/>
    <n v="152382.5"/>
    <m/>
    <s v="Entry"/>
    <x v="2"/>
    <s v="Lake Nicole"/>
    <s v=" SB"/>
    <n v="130032"/>
    <n v="174733"/>
    <d v="2024-02-19T00:00:00"/>
    <x v="2"/>
    <s v="LangChain"/>
    <m/>
    <m/>
    <x v="16"/>
    <n v="86"/>
    <x v="4"/>
    <n v="268"/>
  </r>
  <r>
    <n v="321"/>
    <s v="Anthony-Gould"/>
    <x v="5"/>
    <x v="7"/>
    <s v="Hugging Face"/>
    <s v=" Azure"/>
    <s v=" NumPy"/>
    <s v=" Scikit-learn"/>
    <s v=" Pandas"/>
    <n v="138981.5"/>
    <m/>
    <s v="Senior"/>
    <x v="0"/>
    <s v="Davisstad"/>
    <s v=" HR"/>
    <n v="105292"/>
    <n v="172671"/>
    <d v="2024-09-22T00:00:00"/>
    <x v="0"/>
    <s v="PyTorch"/>
    <s v=" Scikit-learn"/>
    <s v=" FastAPI"/>
    <x v="9"/>
    <n v="89"/>
    <x v="5"/>
    <n v="233"/>
  </r>
  <r>
    <n v="322"/>
    <s v="Adams-Hill"/>
    <x v="5"/>
    <x v="6"/>
    <s v="Azure"/>
    <s v=" R"/>
    <s v=" CUDA"/>
    <m/>
    <m/>
    <n v="109009"/>
    <m/>
    <s v="Senior"/>
    <x v="0"/>
    <s v="Lewisville"/>
    <s v=" PW"/>
    <n v="98122"/>
    <n v="119896"/>
    <d v="2024-12-18T00:00:00"/>
    <x v="0"/>
    <s v="MLflow"/>
    <s v=" PyTorch"/>
    <s v=" FastAPI"/>
    <x v="15"/>
    <n v="90"/>
    <x v="6"/>
    <n v="259"/>
  </r>
  <r>
    <n v="323"/>
    <s v="Salas Inc"/>
    <x v="6"/>
    <x v="2"/>
    <s v="Excel"/>
    <s v=" Keras"/>
    <s v=" GCP"/>
    <s v=" MLflow"/>
    <m/>
    <n v="154653.5"/>
    <m/>
    <s v="Senior"/>
    <x v="0"/>
    <s v="West Veronica"/>
    <s v=" CN"/>
    <n v="122419"/>
    <n v="186888"/>
    <d v="2024-10-01T00:00:00"/>
    <x v="1"/>
    <s v="BigQuery"/>
    <s v=" TensorFlow"/>
    <s v=" FastAPI"/>
    <x v="2"/>
    <n v="101"/>
    <x v="3"/>
    <n v="238"/>
  </r>
  <r>
    <n v="324"/>
    <s v="Morrison-Patel"/>
    <x v="3"/>
    <x v="7"/>
    <s v="Pandas"/>
    <s v=" Excel"/>
    <s v=" NumPy"/>
    <s v=" LangChain"/>
    <m/>
    <n v="120583.5"/>
    <m/>
    <s v="Senior"/>
    <x v="1"/>
    <s v="South Brianfurt"/>
    <s v=" VE"/>
    <n v="73317"/>
    <n v="167850"/>
    <d v="2025-01-01T00:00:00"/>
    <x v="2"/>
    <s v="Scikit-learn"/>
    <s v=" FastAPI"/>
    <m/>
    <x v="6"/>
    <n v="78"/>
    <x v="7"/>
    <n v="255"/>
  </r>
  <r>
    <n v="325"/>
    <s v="Moyer-Simpson"/>
    <x v="0"/>
    <x v="5"/>
    <s v="Pandas"/>
    <s v=" FastAPI"/>
    <s v=" Scikit-learn"/>
    <s v=" AWS"/>
    <m/>
    <n v="91011"/>
    <m/>
    <s v="Mid"/>
    <x v="3"/>
    <s v="Lake Ricky"/>
    <s v=" CF"/>
    <n v="52740"/>
    <n v="129282"/>
    <d v="2025-01-25T00:00:00"/>
    <x v="1"/>
    <s v="MLflow"/>
    <s v=" TensorFlow"/>
    <m/>
    <x v="6"/>
    <n v="78"/>
    <x v="6"/>
    <n v="259"/>
  </r>
  <r>
    <n v="326"/>
    <s v="Jimenez PLC"/>
    <x v="2"/>
    <x v="2"/>
    <s v="MLflow"/>
    <s v=" Scikit-learn"/>
    <s v=" Python"/>
    <s v=" Reinforcement Learning"/>
    <s v=" C++"/>
    <n v="149901"/>
    <m/>
    <s v="Mid"/>
    <x v="2"/>
    <s v="East Sandra"/>
    <s v=" CR"/>
    <n v="130522"/>
    <n v="169280"/>
    <d v="2024-01-21T00:00:00"/>
    <x v="1"/>
    <s v="FastAPI"/>
    <s v=" Scikit-learn"/>
    <s v=" MLflow"/>
    <x v="3"/>
    <n v="80"/>
    <x v="1"/>
    <n v="251"/>
  </r>
  <r>
    <n v="327"/>
    <s v="Atkinson-Gonzales"/>
    <x v="1"/>
    <x v="6"/>
    <s v="FastAPI"/>
    <s v=" Azure"/>
    <s v=" LangChain"/>
    <s v=" GCP"/>
    <m/>
    <n v="155228"/>
    <m/>
    <s v="Entry"/>
    <x v="1"/>
    <s v="Jonathanland"/>
    <s v=" LB"/>
    <n v="146948"/>
    <n v="163508"/>
    <d v="2024-07-30T00:00:00"/>
    <x v="1"/>
    <s v="KDB+"/>
    <m/>
    <m/>
    <x v="20"/>
    <n v="111"/>
    <x v="0"/>
    <n v="247"/>
  </r>
  <r>
    <n v="328"/>
    <s v="Cook LLC"/>
    <x v="1"/>
    <x v="4"/>
    <s v="Reinforcement Learning"/>
    <s v=" Hugging Face"/>
    <s v=" Scikit-learn"/>
    <s v=" C++"/>
    <m/>
    <n v="110313.5"/>
    <m/>
    <s v="Senior"/>
    <x v="1"/>
    <s v="Erikastad"/>
    <s v=" TJ"/>
    <n v="63681"/>
    <n v="156946"/>
    <d v="2025-04-17T00:00:00"/>
    <x v="1"/>
    <s v="MLflow"/>
    <m/>
    <m/>
    <x v="21"/>
    <n v="104"/>
    <x v="6"/>
    <n v="259"/>
  </r>
  <r>
    <n v="329"/>
    <s v="Wagner Inc"/>
    <x v="1"/>
    <x v="4"/>
    <s v="Azure"/>
    <s v=" PyTorch"/>
    <s v=" Keras"/>
    <m/>
    <m/>
    <n v="139935.5"/>
    <m/>
    <s v="Mid"/>
    <x v="0"/>
    <s v="Lake Kelseystad"/>
    <s v=" LB"/>
    <n v="102993"/>
    <n v="176878"/>
    <d v="2024-08-06T00:00:00"/>
    <x v="1"/>
    <s v="TensorFlow"/>
    <s v=" MLflow"/>
    <s v=" FastAPI"/>
    <x v="15"/>
    <n v="90"/>
    <x v="2"/>
    <n v="249"/>
  </r>
  <r>
    <n v="330"/>
    <s v="Galloway-Martinez"/>
    <x v="1"/>
    <x v="3"/>
    <s v="Pandas"/>
    <s v=" FastAPI"/>
    <s v=" TensorFlow"/>
    <s v=" SQL"/>
    <m/>
    <n v="187345.5"/>
    <m/>
    <s v="Senior"/>
    <x v="0"/>
    <s v="Michaelland"/>
    <s v=" VC"/>
    <n v="146286"/>
    <n v="228405"/>
    <d v="2024-04-02T00:00:00"/>
    <x v="0"/>
    <s v="MLflow"/>
    <m/>
    <m/>
    <x v="6"/>
    <n v="78"/>
    <x v="6"/>
    <n v="259"/>
  </r>
  <r>
    <n v="331"/>
    <s v="Love-Rhodes"/>
    <x v="6"/>
    <x v="5"/>
    <s v="AWS"/>
    <s v=" Power BI"/>
    <s v=" R"/>
    <s v=" NumPy"/>
    <s v=" Scikit-learn"/>
    <n v="80437.5"/>
    <s v=" LangChain"/>
    <s v="Senior"/>
    <x v="1"/>
    <s v="Port Elizabeth"/>
    <s v=" CZ"/>
    <n v="55546"/>
    <n v="105329"/>
    <d v="2024-04-15T00:00:00"/>
    <x v="2"/>
    <s v="KDB+"/>
    <s v=" FastAPI"/>
    <s v=" LangChain"/>
    <x v="10"/>
    <n v="97"/>
    <x v="0"/>
    <n v="247"/>
  </r>
  <r>
    <n v="332"/>
    <s v="Stewart-Kennedy"/>
    <x v="4"/>
    <x v="5"/>
    <s v="C++"/>
    <s v=" AWS"/>
    <s v=" MLflow"/>
    <m/>
    <m/>
    <n v="90102.5"/>
    <m/>
    <s v="Senior"/>
    <x v="3"/>
    <s v="Lake Kathleenstad"/>
    <s v=" TZ"/>
    <n v="84124"/>
    <n v="96081"/>
    <d v="2024-10-16T00:00:00"/>
    <x v="2"/>
    <s v="LangChain"/>
    <m/>
    <m/>
    <x v="8"/>
    <n v="84"/>
    <x v="4"/>
    <n v="268"/>
  </r>
  <r>
    <n v="333"/>
    <s v="Sparks and Sons"/>
    <x v="1"/>
    <x v="6"/>
    <s v="Flask"/>
    <s v=" PyTorch"/>
    <s v=" C++"/>
    <s v=" Pandas"/>
    <s v=" TensorFlow"/>
    <n v="146770"/>
    <m/>
    <s v="Entry"/>
    <x v="0"/>
    <s v="North Emilymouth"/>
    <s v=" FR"/>
    <n v="105170"/>
    <n v="188370"/>
    <d v="2023-11-19T00:00:00"/>
    <x v="1"/>
    <s v="TensorFlow"/>
    <s v=" KDB+"/>
    <m/>
    <x v="16"/>
    <n v="86"/>
    <x v="2"/>
    <n v="249"/>
  </r>
  <r>
    <n v="334"/>
    <s v="White Inc"/>
    <x v="0"/>
    <x v="1"/>
    <s v="Azure"/>
    <s v=" PyTorch"/>
    <s v=" R"/>
    <s v=" Reinforcement Learning"/>
    <s v=" Flask"/>
    <n v="76979.5"/>
    <s v=" Keras"/>
    <s v="Mid"/>
    <x v="0"/>
    <s v="Port Robert"/>
    <s v=" MV"/>
    <n v="55923"/>
    <n v="98036"/>
    <d v="2023-10-07T00:00:00"/>
    <x v="1"/>
    <s v="Scikit-learn"/>
    <m/>
    <m/>
    <x v="15"/>
    <n v="90"/>
    <x v="7"/>
    <n v="255"/>
  </r>
  <r>
    <n v="335"/>
    <s v="Watson Ltd"/>
    <x v="4"/>
    <x v="7"/>
    <s v="Scikit-learn"/>
    <s v=" R"/>
    <s v=" TensorFlow"/>
    <s v=" PyTorch"/>
    <m/>
    <n v="142426"/>
    <m/>
    <s v="Senior"/>
    <x v="0"/>
    <s v="Port Justinfurt"/>
    <s v=" MK"/>
    <n v="120230"/>
    <n v="164622"/>
    <d v="2025-02-05T00:00:00"/>
    <x v="1"/>
    <s v="BigQuery"/>
    <s v=" LangChain"/>
    <s v=" MLflow"/>
    <x v="1"/>
    <n v="76"/>
    <x v="3"/>
    <n v="238"/>
  </r>
  <r>
    <n v="336"/>
    <s v="Clark-Bailey"/>
    <x v="3"/>
    <x v="0"/>
    <s v="MLflow"/>
    <s v=" Keras"/>
    <s v=" C++"/>
    <s v=" GCP"/>
    <s v=" NumPy"/>
    <n v="150564"/>
    <m/>
    <s v="Mid"/>
    <x v="1"/>
    <s v="North Shelly"/>
    <s v=" KZ"/>
    <n v="126208"/>
    <n v="174920"/>
    <d v="2025-06-22T00:00:00"/>
    <x v="0"/>
    <s v="BigQuery"/>
    <s v=" TensorFlow"/>
    <m/>
    <x v="3"/>
    <n v="80"/>
    <x v="3"/>
    <n v="238"/>
  </r>
  <r>
    <n v="337"/>
    <s v="Holland-Mcgee"/>
    <x v="3"/>
    <x v="4"/>
    <s v="GCP"/>
    <s v=" Power BI"/>
    <s v=" Python"/>
    <s v=" Azure"/>
    <s v=" Hugging Face"/>
    <n v="165633"/>
    <s v=" CUDA"/>
    <s v="Senior"/>
    <x v="3"/>
    <s v="East Christiebury"/>
    <s v=" LR"/>
    <n v="123659"/>
    <n v="207607"/>
    <d v="2024-09-28T00:00:00"/>
    <x v="2"/>
    <s v="LangChain"/>
    <s v=" Scikit-learn"/>
    <m/>
    <x v="4"/>
    <n v="78"/>
    <x v="4"/>
    <n v="268"/>
  </r>
  <r>
    <n v="338"/>
    <s v="Cummings, Schmidt and Clarke"/>
    <x v="1"/>
    <x v="5"/>
    <s v="C++"/>
    <s v=" Excel"/>
    <s v=" MLflow"/>
    <s v=" Pandas"/>
    <s v=" R"/>
    <n v="116551.5"/>
    <s v=" NumPy"/>
    <s v="Mid"/>
    <x v="2"/>
    <s v="Stevenmouth"/>
    <s v=" AD"/>
    <n v="78431"/>
    <n v="154672"/>
    <d v="2025-04-22T00:00:00"/>
    <x v="0"/>
    <s v="PyTorch"/>
    <s v=" BigQuery"/>
    <m/>
    <x v="8"/>
    <n v="84"/>
    <x v="5"/>
    <n v="233"/>
  </r>
  <r>
    <n v="339"/>
    <s v="Hines-Mckinney"/>
    <x v="4"/>
    <x v="1"/>
    <s v="Keras"/>
    <s v=" FastAPI"/>
    <s v=" Power BI"/>
    <s v=" MLflow"/>
    <m/>
    <n v="100045.5"/>
    <m/>
    <s v="Mid"/>
    <x v="2"/>
    <s v="Lake Christopher"/>
    <s v=" FR"/>
    <n v="60552"/>
    <n v="139539"/>
    <d v="2025-03-10T00:00:00"/>
    <x v="0"/>
    <s v="MLflow"/>
    <s v=" LangChain"/>
    <m/>
    <x v="7"/>
    <n v="96"/>
    <x v="6"/>
    <n v="259"/>
  </r>
  <r>
    <n v="340"/>
    <s v="Graves and Sons"/>
    <x v="0"/>
    <x v="5"/>
    <s v="Excel"/>
    <s v=" PyTorch"/>
    <s v=" R"/>
    <s v=" Power BI"/>
    <s v=" Flask"/>
    <n v="170571.5"/>
    <s v=" Pandas"/>
    <s v="Senior"/>
    <x v="1"/>
    <s v="West Sara"/>
    <s v=" BB"/>
    <n v="131559"/>
    <n v="209584"/>
    <d v="2024-11-24T00:00:00"/>
    <x v="2"/>
    <s v="TensorFlow"/>
    <m/>
    <m/>
    <x v="2"/>
    <n v="101"/>
    <x v="2"/>
    <n v="249"/>
  </r>
  <r>
    <n v="341"/>
    <s v="Walker-Davis"/>
    <x v="1"/>
    <x v="1"/>
    <s v="Power BI"/>
    <s v=" R"/>
    <s v=" Scikit-learn"/>
    <m/>
    <m/>
    <n v="158679"/>
    <m/>
    <s v="Mid"/>
    <x v="1"/>
    <s v="Erinton"/>
    <s v=" MH"/>
    <n v="122855"/>
    <n v="194503"/>
    <d v="2024-12-19T00:00:00"/>
    <x v="0"/>
    <s v="TensorFlow"/>
    <s v=" MLflow"/>
    <s v=" Scikit-learn"/>
    <x v="18"/>
    <n v="96"/>
    <x v="2"/>
    <n v="249"/>
  </r>
  <r>
    <n v="342"/>
    <s v="Finley, Bruce and Wheeler"/>
    <x v="0"/>
    <x v="3"/>
    <s v="Excel"/>
    <s v=" PyTorch"/>
    <s v=" LangChain"/>
    <s v=" Flask"/>
    <s v=" GCP"/>
    <n v="88776"/>
    <m/>
    <s v="Entry"/>
    <x v="0"/>
    <s v="West Donald"/>
    <s v=" CG"/>
    <n v="58087"/>
    <n v="119465"/>
    <d v="2024-09-12T00:00:00"/>
    <x v="1"/>
    <s v="KDB+"/>
    <m/>
    <m/>
    <x v="2"/>
    <n v="101"/>
    <x v="0"/>
    <n v="247"/>
  </r>
  <r>
    <n v="343"/>
    <s v="Simmons-Evans"/>
    <x v="1"/>
    <x v="2"/>
    <s v="Power BI"/>
    <s v=" Scikit-learn"/>
    <s v=" R"/>
    <s v=" Pandas"/>
    <m/>
    <n v="88446.5"/>
    <m/>
    <s v="Entry"/>
    <x v="3"/>
    <s v="Thompsonport"/>
    <s v=" BH"/>
    <n v="60085"/>
    <n v="116808"/>
    <d v="2024-08-31T00:00:00"/>
    <x v="2"/>
    <s v="FastAPI"/>
    <m/>
    <m/>
    <x v="18"/>
    <n v="96"/>
    <x v="1"/>
    <n v="251"/>
  </r>
  <r>
    <n v="344"/>
    <s v="Melton-Salazar"/>
    <x v="3"/>
    <x v="1"/>
    <s v="Reinforcement Learning"/>
    <s v=" Python"/>
    <s v=" NumPy"/>
    <s v=" LangChain"/>
    <m/>
    <n v="155805.5"/>
    <m/>
    <s v="Entry"/>
    <x v="1"/>
    <s v="Sanderston"/>
    <s v=" KG"/>
    <n v="146409"/>
    <n v="165202"/>
    <d v="2025-02-02T00:00:00"/>
    <x v="0"/>
    <s v="TensorFlow"/>
    <m/>
    <m/>
    <x v="21"/>
    <n v="104"/>
    <x v="2"/>
    <n v="249"/>
  </r>
  <r>
    <n v="345"/>
    <s v="Anthony, Miller and Russell"/>
    <x v="4"/>
    <x v="0"/>
    <s v="TensorFlow"/>
    <s v=" Keras"/>
    <s v=" PyTorch"/>
    <s v=" Reinforcement Learning"/>
    <m/>
    <n v="129663.5"/>
    <m/>
    <s v="Senior"/>
    <x v="1"/>
    <s v="East Linda"/>
    <s v=" NZ"/>
    <n v="120234"/>
    <n v="139093"/>
    <d v="2024-06-09T00:00:00"/>
    <x v="2"/>
    <s v="PyTorch"/>
    <s v=" Scikit-learn"/>
    <m/>
    <x v="19"/>
    <n v="95"/>
    <x v="5"/>
    <n v="233"/>
  </r>
  <r>
    <n v="346"/>
    <s v="Young-Anderson"/>
    <x v="3"/>
    <x v="7"/>
    <s v="NumPy"/>
    <s v=" GCP"/>
    <s v=" AWS"/>
    <s v=" Python"/>
    <s v=" Keras"/>
    <n v="150750.5"/>
    <m/>
    <s v="Senior"/>
    <x v="2"/>
    <s v="East Ryantown"/>
    <s v=" BZ"/>
    <n v="104105"/>
    <n v="197396"/>
    <d v="2024-10-19T00:00:00"/>
    <x v="2"/>
    <s v="Scikit-learn"/>
    <s v=" TensorFlow"/>
    <s v=" KDB+"/>
    <x v="0"/>
    <n v="104"/>
    <x v="7"/>
    <n v="255"/>
  </r>
  <r>
    <n v="347"/>
    <s v="Conway, Hernandez and Perez"/>
    <x v="2"/>
    <x v="6"/>
    <s v="MLflow"/>
    <s v=" Power BI"/>
    <s v=" Keras"/>
    <m/>
    <m/>
    <n v="163185.5"/>
    <m/>
    <s v="Entry"/>
    <x v="0"/>
    <s v="Nunezside"/>
    <s v=" TG"/>
    <n v="148487"/>
    <n v="177884"/>
    <d v="2023-11-18T00:00:00"/>
    <x v="0"/>
    <s v="PyTorch"/>
    <s v=" TensorFlow"/>
    <s v=" MLflow"/>
    <x v="3"/>
    <n v="80"/>
    <x v="5"/>
    <n v="233"/>
  </r>
  <r>
    <n v="348"/>
    <s v="Anderson and Sons"/>
    <x v="5"/>
    <x v="4"/>
    <s v="TensorFlow"/>
    <s v=" Power BI"/>
    <s v=" Python"/>
    <s v=" Keras"/>
    <s v=" AWS"/>
    <n v="90614"/>
    <m/>
    <s v="Senior"/>
    <x v="1"/>
    <s v="Jadeview"/>
    <s v=" BF"/>
    <n v="80455"/>
    <n v="100773"/>
    <d v="2023-11-30T00:00:00"/>
    <x v="0"/>
    <s v="Scikit-learn"/>
    <m/>
    <m/>
    <x v="19"/>
    <n v="95"/>
    <x v="7"/>
    <n v="255"/>
  </r>
  <r>
    <n v="349"/>
    <s v="Ware-Ellis"/>
    <x v="5"/>
    <x v="6"/>
    <s v="SQL"/>
    <s v=" MLflow"/>
    <s v=" Power BI"/>
    <s v=" FastAPI"/>
    <s v=" NumPy"/>
    <n v="148805"/>
    <m/>
    <s v="Senior"/>
    <x v="0"/>
    <s v="Leeview"/>
    <s v=" MA"/>
    <n v="115657"/>
    <n v="181953"/>
    <d v="2024-10-13T00:00:00"/>
    <x v="2"/>
    <s v="FastAPI"/>
    <s v=" BigQuery"/>
    <s v=" MLflow"/>
    <x v="17"/>
    <n v="88"/>
    <x v="1"/>
    <n v="251"/>
  </r>
  <r>
    <n v="350"/>
    <s v="Snyder, Simpson and Maxwell"/>
    <x v="1"/>
    <x v="2"/>
    <s v="FastAPI"/>
    <s v=" NumPy"/>
    <s v=" C++"/>
    <s v=" MLflow"/>
    <s v=" GCP"/>
    <n v="120936.5"/>
    <m/>
    <s v="Senior"/>
    <x v="2"/>
    <s v="East Robert"/>
    <s v=" CV"/>
    <n v="97381"/>
    <n v="144492"/>
    <d v="2024-01-16T00:00:00"/>
    <x v="0"/>
    <s v="Scikit-learn"/>
    <s v=" MLflow"/>
    <m/>
    <x v="20"/>
    <n v="111"/>
    <x v="7"/>
    <n v="255"/>
  </r>
  <r>
    <n v="351"/>
    <s v="Ellis Ltd"/>
    <x v="6"/>
    <x v="7"/>
    <s v="SQL"/>
    <s v=" Pandas"/>
    <s v=" Power BI"/>
    <s v=" FastAPI"/>
    <m/>
    <n v="94761.5"/>
    <m/>
    <s v="Entry"/>
    <x v="1"/>
    <s v="Bullockton"/>
    <s v=" KP"/>
    <n v="55751"/>
    <n v="133772"/>
    <d v="2023-12-25T00:00:00"/>
    <x v="2"/>
    <s v="MLflow"/>
    <m/>
    <m/>
    <x v="17"/>
    <n v="88"/>
    <x v="6"/>
    <n v="259"/>
  </r>
  <r>
    <n v="352"/>
    <s v="Blair, Ruiz and Sanchez"/>
    <x v="6"/>
    <x v="1"/>
    <s v="FastAPI"/>
    <s v=" Power BI"/>
    <s v=" Azure"/>
    <s v=" Python"/>
    <m/>
    <n v="139482"/>
    <m/>
    <s v="Entry"/>
    <x v="1"/>
    <s v="Perezview"/>
    <s v=" SN"/>
    <n v="90552"/>
    <n v="188412"/>
    <d v="2025-07-23T00:00:00"/>
    <x v="1"/>
    <s v="LangChain"/>
    <s v=" KDB+"/>
    <m/>
    <x v="20"/>
    <n v="111"/>
    <x v="4"/>
    <n v="268"/>
  </r>
  <r>
    <n v="353"/>
    <s v="Griffin-Dalton"/>
    <x v="3"/>
    <x v="3"/>
    <s v="Python"/>
    <s v=" PyTorch"/>
    <s v=" Excel"/>
    <m/>
    <m/>
    <n v="98936"/>
    <m/>
    <s v="Entry"/>
    <x v="2"/>
    <s v="Knightmouth"/>
    <s v=" AF"/>
    <n v="69230"/>
    <n v="128642"/>
    <d v="2024-01-02T00:00:00"/>
    <x v="0"/>
    <s v="LangChain"/>
    <s v=" BigQuery"/>
    <s v=" FastAPI"/>
    <x v="5"/>
    <n v="94"/>
    <x v="4"/>
    <n v="268"/>
  </r>
  <r>
    <n v="354"/>
    <s v="Alexander PLC"/>
    <x v="5"/>
    <x v="0"/>
    <s v="LangChain"/>
    <s v=" GCP"/>
    <s v=" R"/>
    <s v=" MLflow"/>
    <s v=" Scikit-learn"/>
    <n v="110496"/>
    <m/>
    <s v="Entry"/>
    <x v="2"/>
    <s v="Lake Marcia"/>
    <s v=" MT"/>
    <n v="71489"/>
    <n v="149503"/>
    <d v="2025-04-22T00:00:00"/>
    <x v="1"/>
    <s v="KDB+"/>
    <s v=" PyTorch"/>
    <m/>
    <x v="12"/>
    <n v="100"/>
    <x v="0"/>
    <n v="247"/>
  </r>
  <r>
    <n v="355"/>
    <s v="Velazquez, Brewer and Murphy"/>
    <x v="4"/>
    <x v="4"/>
    <s v="C++"/>
    <s v=" LangChain"/>
    <s v=" Power BI"/>
    <s v=" Pandas"/>
    <s v=" CUDA"/>
    <n v="66503"/>
    <s v=" TensorFlow"/>
    <s v="Senior"/>
    <x v="3"/>
    <s v="Mooreville"/>
    <s v=" NP"/>
    <n v="57739"/>
    <n v="75267"/>
    <d v="2025-05-22T00:00:00"/>
    <x v="2"/>
    <s v="FastAPI"/>
    <m/>
    <m/>
    <x v="8"/>
    <n v="84"/>
    <x v="1"/>
    <n v="251"/>
  </r>
  <r>
    <n v="356"/>
    <s v="Bean LLC"/>
    <x v="3"/>
    <x v="4"/>
    <s v="Excel"/>
    <s v=" Power BI"/>
    <s v=" Reinforcement Learning"/>
    <s v=" SQL"/>
    <s v=" NumPy"/>
    <n v="189067"/>
    <m/>
    <s v="Senior"/>
    <x v="1"/>
    <s v="Port Matthewhaven"/>
    <s v=" ST"/>
    <n v="149192"/>
    <n v="228942"/>
    <d v="2025-09-12T00:00:00"/>
    <x v="0"/>
    <s v="PyTorch"/>
    <s v=" TensorFlow"/>
    <s v=" MLflow"/>
    <x v="2"/>
    <n v="101"/>
    <x v="5"/>
    <n v="233"/>
  </r>
  <r>
    <n v="357"/>
    <s v="Rogers-Villanueva"/>
    <x v="4"/>
    <x v="3"/>
    <s v="Flask"/>
    <s v=" FastAPI"/>
    <s v=" CUDA"/>
    <m/>
    <m/>
    <n v="125824"/>
    <m/>
    <s v="Mid"/>
    <x v="1"/>
    <s v="New Kenneth"/>
    <s v=" DO"/>
    <n v="91346"/>
    <n v="160302"/>
    <d v="2024-06-09T00:00:00"/>
    <x v="0"/>
    <s v="TensorFlow"/>
    <s v=" FastAPI"/>
    <m/>
    <x v="16"/>
    <n v="86"/>
    <x v="2"/>
    <n v="249"/>
  </r>
  <r>
    <n v="358"/>
    <s v="Taylor PLC"/>
    <x v="1"/>
    <x v="0"/>
    <s v="Power BI"/>
    <s v=" MLflow"/>
    <s v=" TensorFlow"/>
    <s v=" AWS"/>
    <s v=" Hugging Face"/>
    <n v="101885"/>
    <m/>
    <s v="Senior"/>
    <x v="3"/>
    <s v="Schroederport"/>
    <s v=" DK"/>
    <n v="56886"/>
    <n v="146884"/>
    <d v="2024-05-10T00:00:00"/>
    <x v="1"/>
    <s v="FastAPI"/>
    <m/>
    <m/>
    <x v="18"/>
    <n v="96"/>
    <x v="1"/>
    <n v="251"/>
  </r>
  <r>
    <n v="359"/>
    <s v="Lee Group"/>
    <x v="1"/>
    <x v="4"/>
    <s v="Python"/>
    <s v=" Power BI"/>
    <s v=" Scikit-learn"/>
    <s v=" FastAPI"/>
    <s v=" Excel"/>
    <n v="82620.5"/>
    <s v=" SQL"/>
    <s v="Entry"/>
    <x v="0"/>
    <s v="Taylorstad"/>
    <s v=" MR"/>
    <n v="56258"/>
    <n v="108983"/>
    <d v="2024-12-18T00:00:00"/>
    <x v="0"/>
    <s v="PyTorch"/>
    <m/>
    <m/>
    <x v="5"/>
    <n v="94"/>
    <x v="5"/>
    <n v="233"/>
  </r>
  <r>
    <n v="360"/>
    <s v="Miller, Browning and Shaw"/>
    <x v="1"/>
    <x v="2"/>
    <s v="Reinforcement Learning"/>
    <s v=" CUDA"/>
    <s v=" NumPy"/>
    <m/>
    <m/>
    <n v="158028"/>
    <m/>
    <s v="Senior"/>
    <x v="0"/>
    <s v="Bryanburgh"/>
    <s v=" SK"/>
    <n v="139096"/>
    <n v="176960"/>
    <d v="2024-01-25T00:00:00"/>
    <x v="0"/>
    <s v="MLflow"/>
    <m/>
    <m/>
    <x v="21"/>
    <n v="104"/>
    <x v="6"/>
    <n v="259"/>
  </r>
  <r>
    <n v="361"/>
    <s v="Branch, Elliott and Ramirez"/>
    <x v="5"/>
    <x v="6"/>
    <s v="Power BI"/>
    <s v=" Keras"/>
    <s v=" TensorFlow"/>
    <s v=" FastAPI"/>
    <m/>
    <n v="126876.5"/>
    <m/>
    <s v="Entry"/>
    <x v="3"/>
    <s v="New Micheletown"/>
    <s v=" NZ"/>
    <n v="120316"/>
    <n v="133437"/>
    <d v="2025-08-21T00:00:00"/>
    <x v="0"/>
    <s v="MLflow"/>
    <s v=" TensorFlow"/>
    <s v=" FastAPI"/>
    <x v="18"/>
    <n v="96"/>
    <x v="6"/>
    <n v="259"/>
  </r>
  <r>
    <n v="362"/>
    <s v="Reyes, Vincent and Hayes"/>
    <x v="2"/>
    <x v="2"/>
    <s v="Hugging Face"/>
    <s v=" R"/>
    <s v=" LangChain"/>
    <m/>
    <m/>
    <n v="71705"/>
    <m/>
    <s v="Mid"/>
    <x v="1"/>
    <s v="Kathleenton"/>
    <s v=" IQ"/>
    <n v="48868"/>
    <n v="94542"/>
    <d v="2025-01-31T00:00:00"/>
    <x v="0"/>
    <s v="FastAPI"/>
    <m/>
    <m/>
    <x v="9"/>
    <n v="89"/>
    <x v="1"/>
    <n v="251"/>
  </r>
  <r>
    <n v="363"/>
    <s v="Rose Ltd"/>
    <x v="2"/>
    <x v="6"/>
    <s v="Pandas"/>
    <s v=" CUDA"/>
    <s v=" AWS"/>
    <s v=" TensorFlow"/>
    <s v=" Python"/>
    <n v="146010"/>
    <m/>
    <s v="Entry"/>
    <x v="0"/>
    <s v="South Brianmouth"/>
    <s v=" JM"/>
    <n v="108994"/>
    <n v="183026"/>
    <d v="2025-08-13T00:00:00"/>
    <x v="1"/>
    <s v="MLflow"/>
    <s v=" FastAPI"/>
    <s v=" BigQuery"/>
    <x v="6"/>
    <n v="78"/>
    <x v="6"/>
    <n v="259"/>
  </r>
  <r>
    <n v="364"/>
    <s v="Miller-Bishop"/>
    <x v="0"/>
    <x v="2"/>
    <s v="Hugging Face"/>
    <s v=" GCP"/>
    <s v=" Excel"/>
    <s v=" NumPy"/>
    <m/>
    <n v="155828.5"/>
    <m/>
    <s v="Senior"/>
    <x v="3"/>
    <s v="West Stephaniefort"/>
    <s v=" FR"/>
    <n v="118921"/>
    <n v="192736"/>
    <d v="2024-12-02T00:00:00"/>
    <x v="0"/>
    <s v="LangChain"/>
    <s v=" FastAPI"/>
    <m/>
    <x v="9"/>
    <n v="89"/>
    <x v="4"/>
    <n v="268"/>
  </r>
  <r>
    <n v="365"/>
    <s v="Krueger-Tanner"/>
    <x v="4"/>
    <x v="2"/>
    <s v="LangChain"/>
    <s v=" Reinforcement Learning"/>
    <s v=" FastAPI"/>
    <s v=" Power BI"/>
    <s v=" AWS"/>
    <n v="66371.5"/>
    <m/>
    <s v="Entry"/>
    <x v="1"/>
    <s v="Port Rebecca"/>
    <s v=" US"/>
    <n v="57113"/>
    <n v="75630"/>
    <d v="2024-03-25T00:00:00"/>
    <x v="1"/>
    <s v="KDB+"/>
    <s v=" TensorFlow"/>
    <s v=" PyTorch"/>
    <x v="12"/>
    <n v="100"/>
    <x v="0"/>
    <n v="247"/>
  </r>
  <r>
    <n v="366"/>
    <s v="Johnson, Castaneda and Duke"/>
    <x v="1"/>
    <x v="2"/>
    <s v="CUDA"/>
    <s v=" FastAPI"/>
    <s v=" Python"/>
    <m/>
    <m/>
    <n v="117808"/>
    <m/>
    <s v="Mid"/>
    <x v="0"/>
    <s v="Powellshire"/>
    <s v=" JM"/>
    <n v="70702"/>
    <n v="164914"/>
    <d v="2025-05-12T00:00:00"/>
    <x v="2"/>
    <s v="MLflow"/>
    <s v=" PyTorch"/>
    <m/>
    <x v="13"/>
    <n v="75"/>
    <x v="6"/>
    <n v="259"/>
  </r>
  <r>
    <n v="367"/>
    <s v="Riley, Beltran and Lucero"/>
    <x v="4"/>
    <x v="0"/>
    <s v="Flask"/>
    <s v=" TensorFlow"/>
    <s v=" Scikit-learn"/>
    <s v=" MLflow"/>
    <m/>
    <n v="149065.5"/>
    <m/>
    <s v="Entry"/>
    <x v="0"/>
    <s v="North Natalie"/>
    <s v=" EC"/>
    <n v="114639"/>
    <n v="183492"/>
    <d v="2025-06-09T00:00:00"/>
    <x v="2"/>
    <s v="LangChain"/>
    <m/>
    <m/>
    <x v="16"/>
    <n v="86"/>
    <x v="4"/>
    <n v="268"/>
  </r>
  <r>
    <n v="368"/>
    <s v="Perez-Williams"/>
    <x v="0"/>
    <x v="2"/>
    <s v="Scikit-learn"/>
    <s v=" SQL"/>
    <s v=" GCP"/>
    <s v=" Hugging Face"/>
    <m/>
    <n v="155923"/>
    <m/>
    <s v="Senior"/>
    <x v="2"/>
    <s v="West Denisetown"/>
    <s v=" VU"/>
    <n v="110697"/>
    <n v="201149"/>
    <d v="2024-06-04T00:00:00"/>
    <x v="1"/>
    <s v="MLflow"/>
    <m/>
    <m/>
    <x v="1"/>
    <n v="76"/>
    <x v="6"/>
    <n v="259"/>
  </r>
  <r>
    <n v="369"/>
    <s v="Silva-Russell"/>
    <x v="6"/>
    <x v="0"/>
    <s v="Reinforcement Learning"/>
    <s v=" MLflow"/>
    <s v=" PyTorch"/>
    <s v=" LangChain"/>
    <s v=" Hugging Face"/>
    <n v="102633.5"/>
    <s v=" AWS"/>
    <s v="Senior"/>
    <x v="3"/>
    <s v="Petersonchester"/>
    <s v=" UG"/>
    <n v="68664"/>
    <n v="136603"/>
    <d v="2024-09-13T00:00:00"/>
    <x v="1"/>
    <s v="TensorFlow"/>
    <s v=" PyTorch"/>
    <m/>
    <x v="21"/>
    <n v="104"/>
    <x v="2"/>
    <n v="249"/>
  </r>
  <r>
    <n v="370"/>
    <s v="Matthews, Bailey and Banks"/>
    <x v="3"/>
    <x v="6"/>
    <s v="R"/>
    <s v=" Python"/>
    <s v=" PyTorch"/>
    <s v=" CUDA"/>
    <m/>
    <n v="107531"/>
    <m/>
    <s v="Entry"/>
    <x v="3"/>
    <s v="Daughertyborough"/>
    <s v=" SA"/>
    <n v="64445"/>
    <n v="150617"/>
    <d v="2024-09-08T00:00:00"/>
    <x v="0"/>
    <s v="KDB+"/>
    <s v=" PyTorch"/>
    <s v=" FastAPI"/>
    <x v="11"/>
    <n v="86"/>
    <x v="0"/>
    <n v="247"/>
  </r>
  <r>
    <n v="371"/>
    <s v="Santiago-King"/>
    <x v="3"/>
    <x v="4"/>
    <s v="MLflow"/>
    <s v=" Keras"/>
    <s v=" TensorFlow"/>
    <s v=" CUDA"/>
    <s v=" Flask"/>
    <n v="94482"/>
    <m/>
    <s v="Entry"/>
    <x v="3"/>
    <s v="Lake Linda"/>
    <s v=" AT"/>
    <n v="74954"/>
    <n v="114010"/>
    <d v="2024-10-12T00:00:00"/>
    <x v="1"/>
    <s v="Scikit-learn"/>
    <s v=" PyTorch"/>
    <m/>
    <x v="3"/>
    <n v="80"/>
    <x v="7"/>
    <n v="255"/>
  </r>
  <r>
    <n v="372"/>
    <s v="Caldwell, Richardson and Hines"/>
    <x v="6"/>
    <x v="7"/>
    <s v="CUDA"/>
    <s v=" Power BI"/>
    <s v=" Hugging Face"/>
    <s v=" Pandas"/>
    <s v=" MLflow"/>
    <n v="96565"/>
    <m/>
    <s v="Senior"/>
    <x v="1"/>
    <s v="North Jesusfurt"/>
    <s v=" AL"/>
    <n v="83014"/>
    <n v="110116"/>
    <d v="2025-04-07T00:00:00"/>
    <x v="0"/>
    <s v="KDB+"/>
    <m/>
    <m/>
    <x v="13"/>
    <n v="75"/>
    <x v="0"/>
    <n v="247"/>
  </r>
  <r>
    <n v="373"/>
    <s v="Washington, Smith and Hicks"/>
    <x v="5"/>
    <x v="3"/>
    <s v="Flask"/>
    <s v=" PyTorch"/>
    <s v=" Reinforcement Learning"/>
    <s v=" MLflow"/>
    <m/>
    <n v="169268.5"/>
    <m/>
    <s v="Senior"/>
    <x v="2"/>
    <s v="West Regina"/>
    <s v=" AG"/>
    <n v="146097"/>
    <n v="192440"/>
    <d v="2024-08-22T00:00:00"/>
    <x v="2"/>
    <s v="LangChain"/>
    <s v=" PyTorch"/>
    <m/>
    <x v="16"/>
    <n v="86"/>
    <x v="4"/>
    <n v="268"/>
  </r>
  <r>
    <n v="374"/>
    <s v="Cummings, Ball and Owens"/>
    <x v="0"/>
    <x v="0"/>
    <s v="C++"/>
    <s v=" NumPy"/>
    <s v=" CUDA"/>
    <s v=" GCP"/>
    <s v=" TensorFlow"/>
    <n v="85793"/>
    <s v=" Hugging Face"/>
    <s v="Entry"/>
    <x v="0"/>
    <s v="Boydtown"/>
    <s v=" HT"/>
    <n v="50137"/>
    <n v="121449"/>
    <d v="2025-03-20T00:00:00"/>
    <x v="1"/>
    <s v="TensorFlow"/>
    <s v=" Scikit-learn"/>
    <s v=" PyTorch"/>
    <x v="8"/>
    <n v="84"/>
    <x v="2"/>
    <n v="249"/>
  </r>
  <r>
    <n v="375"/>
    <s v="Harrington, Gross and Kim"/>
    <x v="1"/>
    <x v="6"/>
    <s v="Flask"/>
    <s v=" CUDA"/>
    <s v=" AWS"/>
    <m/>
    <m/>
    <n v="136221.5"/>
    <m/>
    <s v="Senior"/>
    <x v="0"/>
    <s v="Lake Lisamouth"/>
    <s v=" CR"/>
    <n v="96091"/>
    <n v="176352"/>
    <d v="2024-11-25T00:00:00"/>
    <x v="2"/>
    <s v="Scikit-learn"/>
    <m/>
    <m/>
    <x v="16"/>
    <n v="86"/>
    <x v="7"/>
    <n v="255"/>
  </r>
  <r>
    <n v="376"/>
    <s v="Bryan, Harding and Hamilton"/>
    <x v="2"/>
    <x v="2"/>
    <s v="R"/>
    <s v=" Python"/>
    <s v=" PyTorch"/>
    <s v=" GCP"/>
    <s v=" Power BI"/>
    <n v="137660.5"/>
    <m/>
    <s v="Senior"/>
    <x v="2"/>
    <s v="Campbellburgh"/>
    <s v=" PL"/>
    <n v="118753"/>
    <n v="156568"/>
    <d v="2025-05-03T00:00:00"/>
    <x v="1"/>
    <s v="MLflow"/>
    <s v=" TensorFlow"/>
    <m/>
    <x v="11"/>
    <n v="86"/>
    <x v="6"/>
    <n v="259"/>
  </r>
  <r>
    <n v="377"/>
    <s v="Miller, Cox and Clark"/>
    <x v="1"/>
    <x v="4"/>
    <s v="Hugging Face"/>
    <s v=" MLflow"/>
    <s v=" CUDA"/>
    <m/>
    <m/>
    <n v="71703.5"/>
    <m/>
    <s v="Entry"/>
    <x v="2"/>
    <s v="Jacksonberg"/>
    <s v=" MR"/>
    <n v="56022"/>
    <n v="87385"/>
    <d v="2023-09-24T00:00:00"/>
    <x v="0"/>
    <s v="KDB+"/>
    <s v=" PyTorch"/>
    <m/>
    <x v="9"/>
    <n v="89"/>
    <x v="0"/>
    <n v="247"/>
  </r>
  <r>
    <n v="378"/>
    <s v="Watson-Boyle"/>
    <x v="3"/>
    <x v="6"/>
    <s v="FastAPI"/>
    <s v=" TensorFlow"/>
    <s v=" PyTorch"/>
    <m/>
    <m/>
    <n v="79692"/>
    <m/>
    <s v="Senior"/>
    <x v="0"/>
    <s v="Geraldville"/>
    <s v=" TT"/>
    <n v="65449"/>
    <n v="93935"/>
    <d v="2024-08-22T00:00:00"/>
    <x v="1"/>
    <s v="Scikit-learn"/>
    <s v=" PyTorch"/>
    <s v=" TensorFlow"/>
    <x v="20"/>
    <n v="111"/>
    <x v="7"/>
    <n v="255"/>
  </r>
  <r>
    <n v="379"/>
    <s v="Montoya, Chambers and Bennett"/>
    <x v="4"/>
    <x v="4"/>
    <s v="Excel"/>
    <s v=" CUDA"/>
    <s v=" Keras"/>
    <m/>
    <m/>
    <n v="94120.5"/>
    <m/>
    <s v="Entry"/>
    <x v="3"/>
    <s v="Odommouth"/>
    <s v=" JO"/>
    <n v="53432"/>
    <n v="134809"/>
    <d v="2024-02-09T00:00:00"/>
    <x v="2"/>
    <s v="PyTorch"/>
    <s v=" Scikit-learn"/>
    <m/>
    <x v="2"/>
    <n v="101"/>
    <x v="5"/>
    <n v="233"/>
  </r>
  <r>
    <n v="380"/>
    <s v="Fields, Porter and Martinez"/>
    <x v="2"/>
    <x v="4"/>
    <s v="Power BI"/>
    <s v=" FastAPI"/>
    <s v=" Azure"/>
    <s v=" MLflow"/>
    <s v=" CUDA"/>
    <n v="104384"/>
    <m/>
    <s v="Entry"/>
    <x v="0"/>
    <s v="New Dawn"/>
    <s v=" CV"/>
    <n v="91250"/>
    <n v="117518"/>
    <d v="2025-02-10T00:00:00"/>
    <x v="1"/>
    <s v="KDB+"/>
    <s v=" Scikit-learn"/>
    <s v=" FastAPI"/>
    <x v="18"/>
    <n v="96"/>
    <x v="0"/>
    <n v="247"/>
  </r>
  <r>
    <n v="381"/>
    <s v="Gallegos, Ruiz and Ross"/>
    <x v="4"/>
    <x v="5"/>
    <s v="Reinforcement Learning"/>
    <s v=" Hugging Face"/>
    <s v=" GCP"/>
    <s v=" Excel"/>
    <s v=" MLflow"/>
    <n v="93142.5"/>
    <s v=" CUDA"/>
    <s v="Senior"/>
    <x v="2"/>
    <s v="Proctorbury"/>
    <s v=" HR"/>
    <n v="56274"/>
    <n v="130011"/>
    <d v="2024-10-24T00:00:00"/>
    <x v="0"/>
    <s v="MLflow"/>
    <m/>
    <m/>
    <x v="21"/>
    <n v="104"/>
    <x v="6"/>
    <n v="259"/>
  </r>
  <r>
    <n v="382"/>
    <s v="Ingram LLC"/>
    <x v="6"/>
    <x v="1"/>
    <s v="Keras"/>
    <s v=" Excel"/>
    <s v=" Power BI"/>
    <s v=" SQL"/>
    <s v=" GCP"/>
    <n v="111984.5"/>
    <m/>
    <s v="Mid"/>
    <x v="1"/>
    <s v="Gonzalezbury"/>
    <s v=" TW"/>
    <n v="100532"/>
    <n v="123437"/>
    <d v="2025-07-28T00:00:00"/>
    <x v="0"/>
    <s v="KDB+"/>
    <s v=" TensorFlow"/>
    <m/>
    <x v="7"/>
    <n v="96"/>
    <x v="0"/>
    <n v="247"/>
  </r>
  <r>
    <n v="383"/>
    <s v="Moody Inc"/>
    <x v="4"/>
    <x v="2"/>
    <s v="LangChain"/>
    <s v=" Scikit-learn"/>
    <s v=" Keras"/>
    <s v=" Power BI"/>
    <s v=" Excel"/>
    <n v="138998.5"/>
    <m/>
    <s v="Senior"/>
    <x v="3"/>
    <s v="West Benjamin"/>
    <s v=" DJ"/>
    <n v="133743"/>
    <n v="144254"/>
    <d v="2023-11-13T00:00:00"/>
    <x v="1"/>
    <s v="Scikit-learn"/>
    <s v=" FastAPI"/>
    <m/>
    <x v="12"/>
    <n v="100"/>
    <x v="7"/>
    <n v="255"/>
  </r>
  <r>
    <n v="384"/>
    <s v="Walls-Kidd"/>
    <x v="1"/>
    <x v="2"/>
    <s v="SQL"/>
    <s v=" CUDA"/>
    <s v=" AWS"/>
    <m/>
    <m/>
    <n v="68634.5"/>
    <m/>
    <s v="Entry"/>
    <x v="3"/>
    <s v="Wheelermouth"/>
    <s v=" UY"/>
    <n v="44510"/>
    <n v="92759"/>
    <d v="2023-10-20T00:00:00"/>
    <x v="2"/>
    <s v="TensorFlow"/>
    <m/>
    <m/>
    <x v="17"/>
    <n v="88"/>
    <x v="2"/>
    <n v="249"/>
  </r>
  <r>
    <n v="385"/>
    <s v="Mullins Group"/>
    <x v="5"/>
    <x v="6"/>
    <s v="SQL"/>
    <s v=" C++"/>
    <s v=" CUDA"/>
    <s v=" GCP"/>
    <s v=" Flask"/>
    <n v="117930.5"/>
    <s v=" Reinforcement Learning"/>
    <s v="Entry"/>
    <x v="2"/>
    <s v="Brianview"/>
    <s v=" DJ"/>
    <n v="88577"/>
    <n v="147284"/>
    <d v="2025-05-16T00:00:00"/>
    <x v="1"/>
    <s v="BigQuery"/>
    <m/>
    <m/>
    <x v="17"/>
    <n v="88"/>
    <x v="3"/>
    <n v="238"/>
  </r>
  <r>
    <n v="386"/>
    <s v="King Group"/>
    <x v="0"/>
    <x v="6"/>
    <s v="C++"/>
    <s v=" Excel"/>
    <s v=" Scikit-learn"/>
    <s v=" FastAPI"/>
    <s v=" Power BI"/>
    <n v="173883"/>
    <m/>
    <s v="Mid"/>
    <x v="0"/>
    <s v="New Jeffreyhaven"/>
    <s v=" AE"/>
    <n v="129724"/>
    <n v="218042"/>
    <d v="2024-06-04T00:00:00"/>
    <x v="0"/>
    <s v="LangChain"/>
    <s v=" PyTorch"/>
    <m/>
    <x v="8"/>
    <n v="84"/>
    <x v="4"/>
    <n v="268"/>
  </r>
  <r>
    <n v="387"/>
    <s v="Hansen-Stone"/>
    <x v="6"/>
    <x v="4"/>
    <s v="C++"/>
    <s v=" CUDA"/>
    <s v=" Power BI"/>
    <s v=" Azure"/>
    <s v=" AWS"/>
    <n v="60868"/>
    <s v=" PyTorch"/>
    <s v="Entry"/>
    <x v="1"/>
    <s v="West William"/>
    <s v=" ID"/>
    <n v="41023"/>
    <n v="80713"/>
    <d v="2024-03-15T00:00:00"/>
    <x v="1"/>
    <s v="KDB+"/>
    <m/>
    <m/>
    <x v="8"/>
    <n v="84"/>
    <x v="0"/>
    <n v="247"/>
  </r>
  <r>
    <n v="388"/>
    <s v="Gardner Group"/>
    <x v="6"/>
    <x v="3"/>
    <s v="LangChain"/>
    <s v=" Pandas"/>
    <s v=" Scikit-learn"/>
    <s v=" CUDA"/>
    <s v=" Reinforcement Learning"/>
    <n v="116960.5"/>
    <s v=" TensorFlow"/>
    <s v="Entry"/>
    <x v="1"/>
    <s v="Port Monicaborough"/>
    <s v=" KW"/>
    <n v="106371"/>
    <n v="127550"/>
    <d v="2025-04-16T00:00:00"/>
    <x v="2"/>
    <s v="PyTorch"/>
    <m/>
    <m/>
    <x v="12"/>
    <n v="100"/>
    <x v="5"/>
    <n v="233"/>
  </r>
  <r>
    <n v="389"/>
    <s v="Leonard-Duke"/>
    <x v="6"/>
    <x v="7"/>
    <s v="Keras"/>
    <s v=" PyTorch"/>
    <s v=" AWS"/>
    <s v=" SQL"/>
    <m/>
    <n v="65772"/>
    <m/>
    <s v="Mid"/>
    <x v="1"/>
    <s v="Patrickfurt"/>
    <s v=" BD"/>
    <n v="56530"/>
    <n v="75014"/>
    <d v="2025-01-04T00:00:00"/>
    <x v="1"/>
    <s v="Scikit-learn"/>
    <m/>
    <m/>
    <x v="7"/>
    <n v="96"/>
    <x v="7"/>
    <n v="255"/>
  </r>
  <r>
    <n v="390"/>
    <s v="Patton and Sons"/>
    <x v="6"/>
    <x v="6"/>
    <s v="Power BI"/>
    <s v=" GCP"/>
    <s v=" TensorFlow"/>
    <s v=" CUDA"/>
    <s v=" MLflow"/>
    <n v="159655"/>
    <m/>
    <s v="Entry"/>
    <x v="1"/>
    <s v="West Melissa"/>
    <s v=" MH"/>
    <n v="119266"/>
    <n v="200044"/>
    <d v="2024-03-14T00:00:00"/>
    <x v="2"/>
    <s v="BigQuery"/>
    <s v=" LangChain"/>
    <s v=" Scikit-learn"/>
    <x v="18"/>
    <n v="96"/>
    <x v="3"/>
    <n v="238"/>
  </r>
  <r>
    <n v="391"/>
    <s v="Vazquez PLC"/>
    <x v="5"/>
    <x v="2"/>
    <s v="FastAPI"/>
    <s v=" NumPy"/>
    <s v=" R"/>
    <m/>
    <m/>
    <n v="179429"/>
    <m/>
    <s v="Senior"/>
    <x v="3"/>
    <s v="New Matthew"/>
    <s v=" SC"/>
    <n v="131807"/>
    <n v="227051"/>
    <d v="2025-03-20T00:00:00"/>
    <x v="0"/>
    <s v="PyTorch"/>
    <m/>
    <m/>
    <x v="20"/>
    <n v="111"/>
    <x v="5"/>
    <n v="233"/>
  </r>
  <r>
    <n v="392"/>
    <s v="Romero PLC"/>
    <x v="1"/>
    <x v="3"/>
    <s v="FastAPI"/>
    <s v=" NumPy"/>
    <s v=" R"/>
    <m/>
    <m/>
    <n v="79676"/>
    <m/>
    <s v="Senior"/>
    <x v="1"/>
    <s v="Christianland"/>
    <s v=" PT"/>
    <n v="50349"/>
    <n v="109003"/>
    <d v="2024-06-22T00:00:00"/>
    <x v="2"/>
    <s v="LangChain"/>
    <m/>
    <m/>
    <x v="20"/>
    <n v="111"/>
    <x v="4"/>
    <n v="268"/>
  </r>
  <r>
    <n v="393"/>
    <s v="Howell PLC"/>
    <x v="0"/>
    <x v="4"/>
    <s v="Flask"/>
    <s v=" PyTorch"/>
    <s v=" GCP"/>
    <m/>
    <m/>
    <n v="86752"/>
    <m/>
    <s v="Senior"/>
    <x v="2"/>
    <s v="Millermouth"/>
    <s v=" CF"/>
    <n v="56567"/>
    <n v="116937"/>
    <d v="2024-09-18T00:00:00"/>
    <x v="1"/>
    <s v="LangChain"/>
    <s v=" FastAPI"/>
    <s v=" TensorFlow"/>
    <x v="16"/>
    <n v="86"/>
    <x v="4"/>
    <n v="268"/>
  </r>
  <r>
    <n v="394"/>
    <s v="Beltran PLC"/>
    <x v="6"/>
    <x v="0"/>
    <s v="Azure"/>
    <s v=" PyTorch"/>
    <s v=" Pandas"/>
    <s v=" R"/>
    <s v=" GCP"/>
    <n v="171198.5"/>
    <m/>
    <s v="Entry"/>
    <x v="0"/>
    <s v="Alexiston"/>
    <s v=" UY"/>
    <n v="137094"/>
    <n v="205303"/>
    <d v="2025-04-09T00:00:00"/>
    <x v="0"/>
    <s v="FastAPI"/>
    <s v=" Scikit-learn"/>
    <m/>
    <x v="15"/>
    <n v="90"/>
    <x v="1"/>
    <n v="251"/>
  </r>
  <r>
    <n v="395"/>
    <s v="Browning Inc"/>
    <x v="0"/>
    <x v="3"/>
    <s v="PyTorch"/>
    <s v=" Azure"/>
    <s v=" LangChain"/>
    <s v=" Python"/>
    <m/>
    <n v="163536"/>
    <m/>
    <s v="Senior"/>
    <x v="1"/>
    <s v="Shariborough"/>
    <s v=" BO"/>
    <n v="123710"/>
    <n v="203362"/>
    <d v="2024-12-25T00:00:00"/>
    <x v="0"/>
    <s v="Scikit-learn"/>
    <s v=" MLflow"/>
    <m/>
    <x v="14"/>
    <n v="92"/>
    <x v="7"/>
    <n v="255"/>
  </r>
  <r>
    <n v="396"/>
    <s v="Strong-Davis"/>
    <x v="0"/>
    <x v="5"/>
    <s v="Reinforcement Learning"/>
    <s v=" Scikit-learn"/>
    <s v=" TensorFlow"/>
    <s v=" PyTorch"/>
    <s v=" Hugging Face"/>
    <n v="152211"/>
    <s v=" Flask"/>
    <s v="Mid"/>
    <x v="2"/>
    <s v="Jasonbury"/>
    <s v=" CD"/>
    <n v="120259"/>
    <n v="184163"/>
    <d v="2024-05-30T00:00:00"/>
    <x v="2"/>
    <s v="PyTorch"/>
    <m/>
    <m/>
    <x v="21"/>
    <n v="104"/>
    <x v="5"/>
    <n v="233"/>
  </r>
  <r>
    <n v="397"/>
    <s v="Richardson, Burton and Stephens"/>
    <x v="2"/>
    <x v="4"/>
    <s v="LangChain"/>
    <s v=" Pandas"/>
    <s v=" Power BI"/>
    <m/>
    <m/>
    <n v="149205.5"/>
    <m/>
    <s v="Entry"/>
    <x v="3"/>
    <s v="Timothyland"/>
    <s v=" LR"/>
    <n v="131912"/>
    <n v="166499"/>
    <d v="2024-09-23T00:00:00"/>
    <x v="1"/>
    <s v="TensorFlow"/>
    <s v=" FastAPI"/>
    <m/>
    <x v="12"/>
    <n v="100"/>
    <x v="2"/>
    <n v="249"/>
  </r>
  <r>
    <n v="398"/>
    <s v="Salinas-Taylor"/>
    <x v="6"/>
    <x v="6"/>
    <s v="PyTorch"/>
    <s v=" MLflow"/>
    <s v=" LangChain"/>
    <m/>
    <m/>
    <n v="80093"/>
    <m/>
    <s v="Entry"/>
    <x v="1"/>
    <s v="Georgeport"/>
    <s v=" CI"/>
    <n v="74468"/>
    <n v="85718"/>
    <d v="2025-09-13T00:00:00"/>
    <x v="1"/>
    <s v="KDB+"/>
    <m/>
    <m/>
    <x v="14"/>
    <n v="92"/>
    <x v="0"/>
    <n v="247"/>
  </r>
  <r>
    <n v="399"/>
    <s v="Hunt Ltd"/>
    <x v="2"/>
    <x v="0"/>
    <s v="SQL"/>
    <s v=" GCP"/>
    <s v=" PyTorch"/>
    <m/>
    <m/>
    <n v="85976.5"/>
    <m/>
    <s v="Entry"/>
    <x v="3"/>
    <s v="Jacksonfort"/>
    <s v=" PG"/>
    <n v="43013"/>
    <n v="128940"/>
    <d v="2025-09-13T00:00:00"/>
    <x v="2"/>
    <s v="KDB+"/>
    <s v=" TensorFlow"/>
    <s v=" PyTorch"/>
    <x v="17"/>
    <n v="88"/>
    <x v="0"/>
    <n v="247"/>
  </r>
  <r>
    <n v="400"/>
    <s v="Carr Group"/>
    <x v="3"/>
    <x v="5"/>
    <s v="C++"/>
    <s v=" GCP"/>
    <s v=" Reinforcement Learning"/>
    <s v=" R"/>
    <s v=" Python"/>
    <n v="62955"/>
    <s v=" Power BI"/>
    <s v="Entry"/>
    <x v="0"/>
    <s v="Murphymouth"/>
    <s v=" GM"/>
    <n v="55605"/>
    <n v="70305"/>
    <d v="2024-09-23T00:00:00"/>
    <x v="2"/>
    <s v="PyTorch"/>
    <s v=" KDB+"/>
    <s v=" LangChain"/>
    <x v="8"/>
    <n v="84"/>
    <x v="5"/>
    <n v="233"/>
  </r>
  <r>
    <n v="401"/>
    <s v="Harris LLC"/>
    <x v="4"/>
    <x v="6"/>
    <s v="Reinforcement Learning"/>
    <s v=" Pandas"/>
    <s v=" NumPy"/>
    <s v=" FastAPI"/>
    <m/>
    <n v="142721"/>
    <m/>
    <s v="Entry"/>
    <x v="0"/>
    <s v="South Randytown"/>
    <s v=" PA"/>
    <n v="99742"/>
    <n v="185700"/>
    <d v="2024-10-25T00:00:00"/>
    <x v="1"/>
    <s v="TensorFlow"/>
    <m/>
    <m/>
    <x v="21"/>
    <n v="104"/>
    <x v="2"/>
    <n v="249"/>
  </r>
  <r>
    <n v="402"/>
    <s v="Reyes-Lowery"/>
    <x v="5"/>
    <x v="2"/>
    <s v="Pandas"/>
    <s v=" Keras"/>
    <s v=" Scikit-learn"/>
    <s v=" TensorFlow"/>
    <m/>
    <n v="138534.5"/>
    <m/>
    <s v="Mid"/>
    <x v="1"/>
    <s v="Samanthaborough"/>
    <s v=" VA"/>
    <n v="103675"/>
    <n v="173394"/>
    <d v="2024-07-26T00:00:00"/>
    <x v="2"/>
    <s v="BigQuery"/>
    <m/>
    <m/>
    <x v="6"/>
    <n v="78"/>
    <x v="3"/>
    <n v="238"/>
  </r>
  <r>
    <n v="403"/>
    <s v="Charles, Henry and Stark"/>
    <x v="3"/>
    <x v="1"/>
    <s v="FastAPI"/>
    <s v=" AWS"/>
    <s v=" Hugging Face"/>
    <s v=" R"/>
    <m/>
    <n v="153913"/>
    <m/>
    <s v="Mid"/>
    <x v="3"/>
    <s v="Valenzuelaborough"/>
    <s v=" BF"/>
    <n v="126438"/>
    <n v="181388"/>
    <d v="2024-04-25T00:00:00"/>
    <x v="2"/>
    <s v="PyTorch"/>
    <m/>
    <m/>
    <x v="20"/>
    <n v="111"/>
    <x v="5"/>
    <n v="233"/>
  </r>
  <r>
    <n v="404"/>
    <s v="Hill, Lucas and Alvarez"/>
    <x v="0"/>
    <x v="6"/>
    <s v="C++"/>
    <s v=" PyTorch"/>
    <s v=" Flask"/>
    <m/>
    <m/>
    <n v="58430"/>
    <m/>
    <s v="Mid"/>
    <x v="3"/>
    <s v="Adamport"/>
    <s v=" LC"/>
    <n v="45855"/>
    <n v="71005"/>
    <d v="2025-01-16T00:00:00"/>
    <x v="1"/>
    <s v="KDB+"/>
    <m/>
    <m/>
    <x v="8"/>
    <n v="84"/>
    <x v="0"/>
    <n v="247"/>
  </r>
  <r>
    <n v="405"/>
    <s v="Stone-Lee"/>
    <x v="1"/>
    <x v="7"/>
    <s v="LangChain"/>
    <s v=" Pandas"/>
    <s v=" AWS"/>
    <m/>
    <m/>
    <n v="111669.5"/>
    <m/>
    <s v="Mid"/>
    <x v="2"/>
    <s v="North Rebecca"/>
    <s v=" LS"/>
    <n v="77831"/>
    <n v="145508"/>
    <d v="2024-06-24T00:00:00"/>
    <x v="0"/>
    <s v="FastAPI"/>
    <m/>
    <m/>
    <x v="12"/>
    <n v="100"/>
    <x v="1"/>
    <n v="251"/>
  </r>
  <r>
    <n v="406"/>
    <s v="Johnson, Williams and Perkins"/>
    <x v="2"/>
    <x v="4"/>
    <s v="AWS"/>
    <s v=" GCP"/>
    <s v=" Azure"/>
    <s v=" Scikit-learn"/>
    <s v=" Python"/>
    <n v="101060"/>
    <m/>
    <s v="Mid"/>
    <x v="1"/>
    <s v="Bennettland"/>
    <s v=" SN"/>
    <n v="91591"/>
    <n v="110529"/>
    <d v="2024-11-11T00:00:00"/>
    <x v="1"/>
    <s v="FastAPI"/>
    <s v=" TensorFlow"/>
    <m/>
    <x v="10"/>
    <n v="97"/>
    <x v="1"/>
    <n v="251"/>
  </r>
  <r>
    <n v="407"/>
    <s v="Hays-Smith"/>
    <x v="2"/>
    <x v="7"/>
    <s v="FastAPI"/>
    <s v=" NumPy"/>
    <s v=" Excel"/>
    <m/>
    <m/>
    <n v="127173.5"/>
    <m/>
    <s v="Entry"/>
    <x v="0"/>
    <s v="North Kristin"/>
    <s v=" LC"/>
    <n v="115140"/>
    <n v="139207"/>
    <d v="2024-04-21T00:00:00"/>
    <x v="1"/>
    <s v="MLflow"/>
    <s v=" TensorFlow"/>
    <m/>
    <x v="20"/>
    <n v="111"/>
    <x v="6"/>
    <n v="259"/>
  </r>
  <r>
    <n v="408"/>
    <s v="Hansen-Martin"/>
    <x v="0"/>
    <x v="3"/>
    <s v="Reinforcement Learning"/>
    <s v=" GCP"/>
    <s v=" PyTorch"/>
    <m/>
    <m/>
    <n v="67737"/>
    <m/>
    <s v="Senior"/>
    <x v="0"/>
    <s v="Jessicaborough"/>
    <s v=" BB"/>
    <n v="52749"/>
    <n v="82725"/>
    <d v="2024-11-08T00:00:00"/>
    <x v="2"/>
    <s v="LangChain"/>
    <s v=" MLflow"/>
    <s v=" Scikit-learn"/>
    <x v="21"/>
    <n v="104"/>
    <x v="4"/>
    <n v="268"/>
  </r>
  <r>
    <n v="409"/>
    <s v="Calderon Inc"/>
    <x v="6"/>
    <x v="4"/>
    <s v="GCP"/>
    <s v=" SQL"/>
    <s v=" R"/>
    <s v=" AWS"/>
    <m/>
    <n v="71007"/>
    <m/>
    <s v="Mid"/>
    <x v="3"/>
    <s v="Alexanderfort"/>
    <s v=" PT"/>
    <n v="59860"/>
    <n v="82154"/>
    <d v="2024-11-29T00:00:00"/>
    <x v="2"/>
    <s v="LangChain"/>
    <m/>
    <m/>
    <x v="4"/>
    <n v="78"/>
    <x v="4"/>
    <n v="268"/>
  </r>
  <r>
    <n v="410"/>
    <s v="Brown Group"/>
    <x v="0"/>
    <x v="7"/>
    <s v="CUDA"/>
    <s v=" SQL"/>
    <s v=" AWS"/>
    <s v=" Azure"/>
    <s v=" Python"/>
    <n v="166053"/>
    <m/>
    <s v="Senior"/>
    <x v="2"/>
    <s v="Jameston"/>
    <s v=" RO"/>
    <n v="134954"/>
    <n v="197152"/>
    <d v="2025-08-19T00:00:00"/>
    <x v="2"/>
    <s v="LangChain"/>
    <s v=" Scikit-learn"/>
    <m/>
    <x v="13"/>
    <n v="75"/>
    <x v="4"/>
    <n v="268"/>
  </r>
  <r>
    <n v="411"/>
    <s v="Robertson, Davis and Gray"/>
    <x v="1"/>
    <x v="0"/>
    <s v="Excel"/>
    <s v=" Scikit-learn"/>
    <s v=" Flask"/>
    <s v=" Power BI"/>
    <m/>
    <n v="134895.5"/>
    <m/>
    <s v="Senior"/>
    <x v="2"/>
    <s v="Martintown"/>
    <s v=" TW"/>
    <n v="89200"/>
    <n v="180591"/>
    <d v="2025-08-09T00:00:00"/>
    <x v="2"/>
    <s v="KDB+"/>
    <s v=" FastAPI"/>
    <m/>
    <x v="2"/>
    <n v="101"/>
    <x v="0"/>
    <n v="247"/>
  </r>
  <r>
    <n v="412"/>
    <s v="Anderson, Lawrence and Drake"/>
    <x v="5"/>
    <x v="7"/>
    <s v="FastAPI"/>
    <s v=" Azure"/>
    <s v=" Pandas"/>
    <s v=" NumPy"/>
    <m/>
    <n v="95372.5"/>
    <m/>
    <s v="Entry"/>
    <x v="0"/>
    <s v="Annastad"/>
    <s v=" AT"/>
    <n v="54169"/>
    <n v="136576"/>
    <d v="2025-06-28T00:00:00"/>
    <x v="2"/>
    <s v="BigQuery"/>
    <s v=" TensorFlow"/>
    <s v=" KDB+"/>
    <x v="20"/>
    <n v="111"/>
    <x v="3"/>
    <n v="238"/>
  </r>
  <r>
    <n v="413"/>
    <s v="Lynn-Burke"/>
    <x v="0"/>
    <x v="5"/>
    <s v="PyTorch"/>
    <s v=" Power BI"/>
    <s v=" Scikit-learn"/>
    <m/>
    <m/>
    <n v="114574.5"/>
    <m/>
    <s v="Entry"/>
    <x v="3"/>
    <s v="East Carolport"/>
    <s v=" BA"/>
    <n v="77375"/>
    <n v="151774"/>
    <d v="2024-12-17T00:00:00"/>
    <x v="2"/>
    <s v="LangChain"/>
    <s v=" MLflow"/>
    <m/>
    <x v="14"/>
    <n v="92"/>
    <x v="4"/>
    <n v="268"/>
  </r>
  <r>
    <n v="414"/>
    <s v="Travis-Glass"/>
    <x v="0"/>
    <x v="2"/>
    <s v="Hugging Face"/>
    <s v=" PyTorch"/>
    <s v=" Reinforcement Learning"/>
    <s v=" MLflow"/>
    <s v=" Scikit-learn"/>
    <n v="58636"/>
    <m/>
    <s v="Mid"/>
    <x v="1"/>
    <s v="Simmonsside"/>
    <s v=" MW"/>
    <n v="44125"/>
    <n v="73147"/>
    <d v="2025-08-11T00:00:00"/>
    <x v="0"/>
    <s v="MLflow"/>
    <s v=" Scikit-learn"/>
    <m/>
    <x v="9"/>
    <n v="89"/>
    <x v="6"/>
    <n v="259"/>
  </r>
  <r>
    <n v="415"/>
    <s v="Leonard LLC"/>
    <x v="3"/>
    <x v="0"/>
    <s v="LangChain"/>
    <s v=" Python"/>
    <s v=" MLflow"/>
    <s v=" TensorFlow"/>
    <s v=" FastAPI"/>
    <n v="81195.5"/>
    <m/>
    <s v="Entry"/>
    <x v="1"/>
    <s v="Bellfort"/>
    <s v=" MV"/>
    <n v="68767"/>
    <n v="93624"/>
    <d v="2025-02-05T00:00:00"/>
    <x v="1"/>
    <s v="FastAPI"/>
    <m/>
    <m/>
    <x v="12"/>
    <n v="100"/>
    <x v="1"/>
    <n v="251"/>
  </r>
  <r>
    <n v="416"/>
    <s v="Kim, Allison and Ryan"/>
    <x v="6"/>
    <x v="3"/>
    <s v="Keras"/>
    <s v=" Python"/>
    <s v=" SQL"/>
    <m/>
    <m/>
    <n v="72690"/>
    <m/>
    <s v="Mid"/>
    <x v="2"/>
    <s v="Bowersberg"/>
    <s v=" BD"/>
    <n v="43289"/>
    <n v="102091"/>
    <d v="2024-11-29T00:00:00"/>
    <x v="0"/>
    <s v="KDB+"/>
    <s v=" PyTorch"/>
    <m/>
    <x v="7"/>
    <n v="96"/>
    <x v="0"/>
    <n v="247"/>
  </r>
  <r>
    <n v="417"/>
    <s v="Ellis, Townsend and Harrison"/>
    <x v="2"/>
    <x v="2"/>
    <s v="SQL"/>
    <s v=" R"/>
    <s v=" TensorFlow"/>
    <s v=" Flask"/>
    <m/>
    <n v="112857.5"/>
    <m/>
    <s v="Entry"/>
    <x v="1"/>
    <s v="South Andreamouth"/>
    <s v=" AF"/>
    <n v="99708"/>
    <n v="126007"/>
    <d v="2024-05-19T00:00:00"/>
    <x v="1"/>
    <s v="KDB+"/>
    <s v=" LangChain"/>
    <m/>
    <x v="17"/>
    <n v="88"/>
    <x v="0"/>
    <n v="247"/>
  </r>
  <r>
    <n v="418"/>
    <s v="Steele, Aguilar and Jackson"/>
    <x v="2"/>
    <x v="3"/>
    <s v="Reinforcement Learning"/>
    <s v=" Keras"/>
    <s v=" NumPy"/>
    <s v=" Pandas"/>
    <s v=" Hugging Face"/>
    <n v="69724"/>
    <s v=" R"/>
    <s v="Entry"/>
    <x v="2"/>
    <s v="North Amandamouth"/>
    <s v=" IE"/>
    <n v="57692"/>
    <n v="81756"/>
    <d v="2025-04-06T00:00:00"/>
    <x v="0"/>
    <s v="TensorFlow"/>
    <m/>
    <m/>
    <x v="21"/>
    <n v="104"/>
    <x v="2"/>
    <n v="249"/>
  </r>
  <r>
    <n v="419"/>
    <s v="Peck Group"/>
    <x v="2"/>
    <x v="7"/>
    <s v="Python"/>
    <s v=" LangChain"/>
    <s v=" CUDA"/>
    <s v=" C++"/>
    <m/>
    <n v="101909"/>
    <m/>
    <s v="Mid"/>
    <x v="0"/>
    <s v="West Christopherville"/>
    <s v=" HR"/>
    <n v="54082"/>
    <n v="149736"/>
    <d v="2025-09-17T00:00:00"/>
    <x v="1"/>
    <s v="LangChain"/>
    <m/>
    <m/>
    <x v="5"/>
    <n v="94"/>
    <x v="4"/>
    <n v="268"/>
  </r>
  <r>
    <n v="420"/>
    <s v="Higgins-Hall"/>
    <x v="4"/>
    <x v="0"/>
    <s v="Keras"/>
    <s v=" R"/>
    <s v=" NumPy"/>
    <s v=" Reinforcement Learning"/>
    <m/>
    <n v="118564"/>
    <m/>
    <s v="Mid"/>
    <x v="2"/>
    <s v="Suttonland"/>
    <s v=" MV"/>
    <n v="101456"/>
    <n v="135672"/>
    <d v="2024-03-16T00:00:00"/>
    <x v="2"/>
    <s v="Scikit-learn"/>
    <s v=" KDB+"/>
    <s v=" MLflow"/>
    <x v="7"/>
    <n v="96"/>
    <x v="7"/>
    <n v="255"/>
  </r>
  <r>
    <n v="421"/>
    <s v="Hicks, Sullivan and Kline"/>
    <x v="3"/>
    <x v="7"/>
    <s v="TensorFlow"/>
    <s v=" Keras"/>
    <s v=" Python"/>
    <s v=" FastAPI"/>
    <m/>
    <n v="92841"/>
    <m/>
    <s v="Mid"/>
    <x v="2"/>
    <s v="Steveborough"/>
    <s v=" LR"/>
    <n v="77948"/>
    <n v="107734"/>
    <d v="2025-03-15T00:00:00"/>
    <x v="2"/>
    <s v="LangChain"/>
    <s v=" FastAPI"/>
    <s v=" TensorFlow"/>
    <x v="19"/>
    <n v="95"/>
    <x v="4"/>
    <n v="268"/>
  </r>
  <r>
    <n v="422"/>
    <s v="Marquez and Sons"/>
    <x v="6"/>
    <x v="7"/>
    <s v="Pandas"/>
    <s v=" C++"/>
    <s v=" PyTorch"/>
    <s v=" TensorFlow"/>
    <m/>
    <n v="167789"/>
    <m/>
    <s v="Mid"/>
    <x v="2"/>
    <s v="East Aaron"/>
    <s v=" IQ"/>
    <n v="143838"/>
    <n v="191740"/>
    <d v="2024-02-19T00:00:00"/>
    <x v="1"/>
    <s v="LangChain"/>
    <m/>
    <m/>
    <x v="6"/>
    <n v="78"/>
    <x v="4"/>
    <n v="268"/>
  </r>
  <r>
    <n v="423"/>
    <s v="Moore-Mann"/>
    <x v="3"/>
    <x v="4"/>
    <s v="FastAPI"/>
    <s v=" CUDA"/>
    <s v=" R"/>
    <s v=" Scikit-learn"/>
    <m/>
    <n v="88513.5"/>
    <m/>
    <s v="Entry"/>
    <x v="2"/>
    <s v="Melvintown"/>
    <s v=" HT"/>
    <n v="64090"/>
    <n v="112937"/>
    <d v="2024-02-20T00:00:00"/>
    <x v="0"/>
    <s v="TensorFlow"/>
    <s v=" PyTorch"/>
    <m/>
    <x v="20"/>
    <n v="111"/>
    <x v="2"/>
    <n v="249"/>
  </r>
  <r>
    <n v="424"/>
    <s v="Ramirez Ltd"/>
    <x v="2"/>
    <x v="3"/>
    <s v="LangChain"/>
    <s v=" MLflow"/>
    <s v=" Flask"/>
    <s v=" AWS"/>
    <m/>
    <n v="90584"/>
    <m/>
    <s v="Entry"/>
    <x v="1"/>
    <s v="South Jeremyton"/>
    <s v=" AM"/>
    <n v="67555"/>
    <n v="113613"/>
    <d v="2025-07-11T00:00:00"/>
    <x v="0"/>
    <s v="LangChain"/>
    <m/>
    <m/>
    <x v="12"/>
    <n v="100"/>
    <x v="4"/>
    <n v="268"/>
  </r>
  <r>
    <n v="425"/>
    <s v="Garcia, Drake and Gonzalez"/>
    <x v="2"/>
    <x v="1"/>
    <s v="Excel"/>
    <s v=" FastAPI"/>
    <s v=" Hugging Face"/>
    <s v=" LangChain"/>
    <s v=" Flask"/>
    <n v="111576"/>
    <m/>
    <s v="Senior"/>
    <x v="0"/>
    <s v="Jamesfurt"/>
    <s v=" BW"/>
    <n v="73755"/>
    <n v="149397"/>
    <d v="2024-12-14T00:00:00"/>
    <x v="2"/>
    <s v="BigQuery"/>
    <s v=" Scikit-learn"/>
    <m/>
    <x v="2"/>
    <n v="101"/>
    <x v="3"/>
    <n v="238"/>
  </r>
  <r>
    <n v="426"/>
    <s v="Edwards, Jackson and Baker"/>
    <x v="5"/>
    <x v="0"/>
    <s v="NumPy"/>
    <s v=" MLflow"/>
    <s v=" TensorFlow"/>
    <m/>
    <m/>
    <n v="185407.5"/>
    <m/>
    <s v="Entry"/>
    <x v="2"/>
    <s v="Sullivanshire"/>
    <s v=" WS"/>
    <n v="147219"/>
    <n v="223596"/>
    <d v="2024-11-11T00:00:00"/>
    <x v="0"/>
    <s v="PyTorch"/>
    <s v=" TensorFlow"/>
    <m/>
    <x v="0"/>
    <n v="104"/>
    <x v="5"/>
    <n v="233"/>
  </r>
  <r>
    <n v="427"/>
    <s v="Turner Group"/>
    <x v="4"/>
    <x v="6"/>
    <s v="TensorFlow"/>
    <s v=" Power BI"/>
    <s v=" GCP"/>
    <s v=" Flask"/>
    <s v=" Keras"/>
    <n v="142413.5"/>
    <s v=" Pandas"/>
    <s v="Entry"/>
    <x v="1"/>
    <s v="Mariaburgh"/>
    <s v=" AT"/>
    <n v="120574"/>
    <n v="164253"/>
    <d v="2025-02-13T00:00:00"/>
    <x v="1"/>
    <s v="FastAPI"/>
    <s v=" BigQuery"/>
    <s v=" TensorFlow"/>
    <x v="19"/>
    <n v="95"/>
    <x v="1"/>
    <n v="251"/>
  </r>
  <r>
    <n v="428"/>
    <s v="Castro PLC"/>
    <x v="3"/>
    <x v="4"/>
    <s v="TensorFlow"/>
    <s v=" GCP"/>
    <s v=" Reinforcement Learning"/>
    <s v=" Hugging Face"/>
    <m/>
    <n v="119542.5"/>
    <m/>
    <s v="Senior"/>
    <x v="1"/>
    <s v="West Tammie"/>
    <s v=" KW"/>
    <n v="76450"/>
    <n v="162635"/>
    <d v="2023-11-30T00:00:00"/>
    <x v="2"/>
    <s v="PyTorch"/>
    <s v=" TensorFlow"/>
    <s v=" KDB+"/>
    <x v="19"/>
    <n v="95"/>
    <x v="5"/>
    <n v="233"/>
  </r>
  <r>
    <n v="429"/>
    <s v="Coffey, Shannon and Mclean"/>
    <x v="5"/>
    <x v="3"/>
    <s v="MLflow"/>
    <s v=" Keras"/>
    <s v=" Reinforcement Learning"/>
    <s v=" Flask"/>
    <s v=" TensorFlow"/>
    <n v="133110.5"/>
    <s v=" R"/>
    <s v="Entry"/>
    <x v="0"/>
    <s v="Johnfurt"/>
    <s v=" MR"/>
    <n v="105179"/>
    <n v="161042"/>
    <d v="2025-05-30T00:00:00"/>
    <x v="2"/>
    <s v="PyTorch"/>
    <s v=" KDB+"/>
    <m/>
    <x v="3"/>
    <n v="80"/>
    <x v="5"/>
    <n v="233"/>
  </r>
  <r>
    <n v="430"/>
    <s v="Wilcox Ltd"/>
    <x v="5"/>
    <x v="1"/>
    <s v="FastAPI"/>
    <s v=" R"/>
    <s v=" Scikit-learn"/>
    <s v=" SQL"/>
    <m/>
    <n v="106059.5"/>
    <m/>
    <s v="Mid"/>
    <x v="0"/>
    <s v="Robertsonbury"/>
    <s v=" VN"/>
    <n v="100296"/>
    <n v="111823"/>
    <d v="2024-03-07T00:00:00"/>
    <x v="2"/>
    <s v="TensorFlow"/>
    <s v=" FastAPI"/>
    <m/>
    <x v="20"/>
    <n v="111"/>
    <x v="2"/>
    <n v="249"/>
  </r>
  <r>
    <n v="431"/>
    <s v="Mcbride-Skinner"/>
    <x v="4"/>
    <x v="2"/>
    <s v="PyTorch"/>
    <s v=" CUDA"/>
    <s v=" Reinforcement Learning"/>
    <s v=" C++"/>
    <m/>
    <n v="78558"/>
    <m/>
    <s v="Entry"/>
    <x v="0"/>
    <s v="Port Daleborough"/>
    <s v=" MW"/>
    <n v="53381"/>
    <n v="103735"/>
    <d v="2025-06-19T00:00:00"/>
    <x v="1"/>
    <s v="TensorFlow"/>
    <s v=" BigQuery"/>
    <s v=" LangChain"/>
    <x v="14"/>
    <n v="92"/>
    <x v="2"/>
    <n v="249"/>
  </r>
  <r>
    <n v="432"/>
    <s v="Alexander Inc"/>
    <x v="4"/>
    <x v="7"/>
    <s v="FastAPI"/>
    <s v=" C++"/>
    <s v=" MLflow"/>
    <s v=" Reinforcement Learning"/>
    <m/>
    <n v="165277"/>
    <m/>
    <s v="Senior"/>
    <x v="0"/>
    <s v="East Lynnchester"/>
    <s v=" FI"/>
    <n v="116301"/>
    <n v="214253"/>
    <d v="2024-06-27T00:00:00"/>
    <x v="0"/>
    <s v="TensorFlow"/>
    <s v=" MLflow"/>
    <m/>
    <x v="20"/>
    <n v="111"/>
    <x v="2"/>
    <n v="249"/>
  </r>
  <r>
    <n v="433"/>
    <s v="Ramsey-Barnes"/>
    <x v="1"/>
    <x v="7"/>
    <s v="LangChain"/>
    <s v=" Python"/>
    <s v=" AWS"/>
    <s v=" R"/>
    <s v=" Azure"/>
    <n v="161337"/>
    <s v=" Pandas"/>
    <s v="Entry"/>
    <x v="2"/>
    <s v="Jackburgh"/>
    <s v=" BB"/>
    <n v="140443"/>
    <n v="182231"/>
    <d v="2023-11-29T00:00:00"/>
    <x v="1"/>
    <s v="BigQuery"/>
    <s v=" MLflow"/>
    <s v=" KDB+"/>
    <x v="12"/>
    <n v="100"/>
    <x v="3"/>
    <n v="238"/>
  </r>
  <r>
    <n v="434"/>
    <s v="Clark and Sons"/>
    <x v="6"/>
    <x v="6"/>
    <s v="FastAPI"/>
    <s v=" NumPy"/>
    <s v=" C++"/>
    <s v=" Azure"/>
    <m/>
    <n v="125981"/>
    <m/>
    <s v="Entry"/>
    <x v="2"/>
    <s v="East Samuelfort"/>
    <s v=" PS"/>
    <n v="92799"/>
    <n v="159163"/>
    <d v="2024-07-10T00:00:00"/>
    <x v="1"/>
    <s v="MLflow"/>
    <s v=" KDB+"/>
    <s v=" FastAPI"/>
    <x v="20"/>
    <n v="111"/>
    <x v="6"/>
    <n v="259"/>
  </r>
  <r>
    <n v="435"/>
    <s v="Blair-Shaffer"/>
    <x v="1"/>
    <x v="2"/>
    <s v="Keras"/>
    <s v=" PyTorch"/>
    <s v=" R"/>
    <s v=" Hugging Face"/>
    <s v=" CUDA"/>
    <n v="62065"/>
    <m/>
    <s v="Entry"/>
    <x v="2"/>
    <s v="Lindseymouth"/>
    <s v=" CM"/>
    <n v="48181"/>
    <n v="75949"/>
    <d v="2024-08-29T00:00:00"/>
    <x v="2"/>
    <s v="BigQuery"/>
    <m/>
    <m/>
    <x v="7"/>
    <n v="96"/>
    <x v="3"/>
    <n v="238"/>
  </r>
  <r>
    <n v="436"/>
    <s v="Salazar-Clark"/>
    <x v="6"/>
    <x v="4"/>
    <s v="Reinforcement Learning"/>
    <s v=" AWS"/>
    <s v=" Azure"/>
    <s v=" Pandas"/>
    <s v=" Keras"/>
    <n v="120019"/>
    <s v=" Power BI"/>
    <s v="Entry"/>
    <x v="0"/>
    <s v="New Samanthaport"/>
    <s v=" MC"/>
    <n v="72489"/>
    <n v="167549"/>
    <d v="2024-03-21T00:00:00"/>
    <x v="1"/>
    <s v="TensorFlow"/>
    <s v=" BigQuery"/>
    <m/>
    <x v="21"/>
    <n v="104"/>
    <x v="2"/>
    <n v="249"/>
  </r>
  <r>
    <n v="437"/>
    <s v="Jones-Simpson"/>
    <x v="4"/>
    <x v="1"/>
    <s v="TensorFlow"/>
    <s v=" CUDA"/>
    <s v=" MLflow"/>
    <m/>
    <m/>
    <n v="185745.5"/>
    <m/>
    <s v="Senior"/>
    <x v="1"/>
    <s v="Charlottechester"/>
    <s v=" BZ"/>
    <n v="140658"/>
    <n v="230833"/>
    <d v="2023-11-08T00:00:00"/>
    <x v="1"/>
    <s v="TensorFlow"/>
    <s v=" BigQuery"/>
    <m/>
    <x v="19"/>
    <n v="95"/>
    <x v="2"/>
    <n v="249"/>
  </r>
  <r>
    <n v="438"/>
    <s v="Johnson-Jackson"/>
    <x v="2"/>
    <x v="5"/>
    <s v="R"/>
    <s v=" MLflow"/>
    <s v=" Reinforcement Learning"/>
    <s v=" Azure"/>
    <m/>
    <n v="148935"/>
    <m/>
    <s v="Entry"/>
    <x v="3"/>
    <s v="Lake Meganborough"/>
    <s v=" MX"/>
    <n v="130536"/>
    <n v="167334"/>
    <d v="2025-07-06T00:00:00"/>
    <x v="0"/>
    <s v="TensorFlow"/>
    <s v=" KDB+"/>
    <m/>
    <x v="11"/>
    <n v="86"/>
    <x v="2"/>
    <n v="249"/>
  </r>
  <r>
    <n v="439"/>
    <s v="Lane-Rodriguez"/>
    <x v="2"/>
    <x v="4"/>
    <s v="Scikit-learn"/>
    <s v=" Excel"/>
    <s v=" Azure"/>
    <s v=" Flask"/>
    <s v=" Hugging Face"/>
    <n v="107818"/>
    <s v=" Pandas"/>
    <s v="Senior"/>
    <x v="0"/>
    <s v="South Katherine"/>
    <s v=" DE"/>
    <n v="81950"/>
    <n v="133686"/>
    <d v="2024-03-30T00:00:00"/>
    <x v="2"/>
    <s v="PyTorch"/>
    <s v=" LangChain"/>
    <s v=" KDB+"/>
    <x v="1"/>
    <n v="76"/>
    <x v="5"/>
    <n v="233"/>
  </r>
  <r>
    <n v="440"/>
    <s v="Jones, Thompson and Gomez"/>
    <x v="3"/>
    <x v="4"/>
    <s v="Power BI"/>
    <s v=" Hugging Face"/>
    <s v=" GCP"/>
    <m/>
    <m/>
    <n v="153824"/>
    <m/>
    <s v="Senior"/>
    <x v="2"/>
    <s v="West Gregorychester"/>
    <s v=" ET"/>
    <n v="134169"/>
    <n v="173479"/>
    <d v="2024-05-04T00:00:00"/>
    <x v="0"/>
    <s v="Scikit-learn"/>
    <m/>
    <m/>
    <x v="18"/>
    <n v="96"/>
    <x v="7"/>
    <n v="255"/>
  </r>
  <r>
    <n v="441"/>
    <s v="Ho, Mitchell and King"/>
    <x v="5"/>
    <x v="3"/>
    <s v="NumPy"/>
    <s v=" LangChain"/>
    <s v=" R"/>
    <s v=" Scikit-learn"/>
    <m/>
    <n v="66730"/>
    <m/>
    <s v="Senior"/>
    <x v="2"/>
    <s v="Port Carolineside"/>
    <s v=" SG"/>
    <n v="40824"/>
    <n v="92636"/>
    <d v="2025-03-16T00:00:00"/>
    <x v="0"/>
    <s v="TensorFlow"/>
    <m/>
    <m/>
    <x v="0"/>
    <n v="104"/>
    <x v="2"/>
    <n v="249"/>
  </r>
  <r>
    <n v="442"/>
    <s v="Mathis-Davila"/>
    <x v="1"/>
    <x v="4"/>
    <s v="SQL"/>
    <s v=" Hugging Face"/>
    <s v=" Keras"/>
    <s v=" AWS"/>
    <s v=" MLflow"/>
    <n v="115892"/>
    <s v=" R"/>
    <s v="Mid"/>
    <x v="1"/>
    <s v="West Bethchester"/>
    <s v=" HR"/>
    <n v="94799"/>
    <n v="136985"/>
    <d v="2024-10-13T00:00:00"/>
    <x v="2"/>
    <s v="LangChain"/>
    <s v=" PyTorch"/>
    <s v=" FastAPI"/>
    <x v="17"/>
    <n v="88"/>
    <x v="4"/>
    <n v="268"/>
  </r>
  <r>
    <n v="443"/>
    <s v="Perez-Hawkins"/>
    <x v="5"/>
    <x v="1"/>
    <s v="Pandas"/>
    <s v=" Hugging Face"/>
    <s v=" Keras"/>
    <m/>
    <m/>
    <n v="89002.5"/>
    <m/>
    <s v="Mid"/>
    <x v="1"/>
    <s v="New Frederickstad"/>
    <s v=" NA"/>
    <n v="83771"/>
    <n v="94234"/>
    <d v="2025-07-28T00:00:00"/>
    <x v="0"/>
    <s v="FastAPI"/>
    <m/>
    <m/>
    <x v="6"/>
    <n v="78"/>
    <x v="1"/>
    <n v="251"/>
  </r>
  <r>
    <n v="444"/>
    <s v="Perez, Butler and Carroll"/>
    <x v="4"/>
    <x v="3"/>
    <s v="Excel"/>
    <s v=" Hugging Face"/>
    <s v=" SQL"/>
    <s v=" Azure"/>
    <m/>
    <n v="144885"/>
    <m/>
    <s v="Entry"/>
    <x v="2"/>
    <s v="Lauraland"/>
    <s v=" KZ"/>
    <n v="115058"/>
    <n v="174712"/>
    <d v="2025-04-29T00:00:00"/>
    <x v="1"/>
    <s v="KDB+"/>
    <m/>
    <m/>
    <x v="2"/>
    <n v="101"/>
    <x v="0"/>
    <n v="247"/>
  </r>
  <r>
    <n v="445"/>
    <s v="Ford PLC"/>
    <x v="4"/>
    <x v="1"/>
    <s v="FastAPI"/>
    <s v=" Scikit-learn"/>
    <s v=" Pandas"/>
    <s v=" NumPy"/>
    <s v=" Excel"/>
    <n v="158866.5"/>
    <s v=" CUDA"/>
    <s v="Mid"/>
    <x v="2"/>
    <s v="East Robert"/>
    <s v=" RS"/>
    <n v="119046"/>
    <n v="198687"/>
    <d v="2025-02-07T00:00:00"/>
    <x v="1"/>
    <s v="Scikit-learn"/>
    <s v=" KDB+"/>
    <s v=" MLflow"/>
    <x v="20"/>
    <n v="111"/>
    <x v="7"/>
    <n v="255"/>
  </r>
  <r>
    <n v="446"/>
    <s v="Rivera Ltd"/>
    <x v="6"/>
    <x v="1"/>
    <s v="Python"/>
    <s v=" PyTorch"/>
    <s v=" Keras"/>
    <s v=" Power BI"/>
    <s v=" Reinforcement Learning"/>
    <n v="123066"/>
    <m/>
    <s v="Senior"/>
    <x v="3"/>
    <s v="West Bonnieville"/>
    <s v=" CA"/>
    <n v="76496"/>
    <n v="169636"/>
    <d v="2024-03-16T00:00:00"/>
    <x v="2"/>
    <s v="BigQuery"/>
    <m/>
    <m/>
    <x v="5"/>
    <n v="94"/>
    <x v="3"/>
    <n v="238"/>
  </r>
  <r>
    <n v="447"/>
    <s v="Thompson-White"/>
    <x v="4"/>
    <x v="1"/>
    <s v="LangChain"/>
    <s v=" TensorFlow"/>
    <s v=" Pandas"/>
    <s v=" Flask"/>
    <m/>
    <n v="140628"/>
    <m/>
    <s v="Senior"/>
    <x v="3"/>
    <s v="Coryfurt"/>
    <s v=" KG"/>
    <n v="114726"/>
    <n v="166530"/>
    <d v="2025-01-02T00:00:00"/>
    <x v="0"/>
    <s v="FastAPI"/>
    <s v=" MLflow"/>
    <m/>
    <x v="12"/>
    <n v="100"/>
    <x v="1"/>
    <n v="251"/>
  </r>
  <r>
    <n v="448"/>
    <s v="Johnson, Foster and Martin"/>
    <x v="3"/>
    <x v="6"/>
    <s v="MLflow"/>
    <s v=" CUDA"/>
    <s v=" Power BI"/>
    <s v=" FastAPI"/>
    <m/>
    <n v="136044.5"/>
    <m/>
    <s v="Mid"/>
    <x v="3"/>
    <s v="Smithfurt"/>
    <s v=" SB"/>
    <n v="87007"/>
    <n v="185082"/>
    <d v="2023-10-22T00:00:00"/>
    <x v="2"/>
    <s v="FastAPI"/>
    <s v=" BigQuery"/>
    <m/>
    <x v="3"/>
    <n v="80"/>
    <x v="1"/>
    <n v="251"/>
  </r>
  <r>
    <n v="449"/>
    <s v="Solomon-Hartman"/>
    <x v="2"/>
    <x v="0"/>
    <s v="Pandas"/>
    <s v=" Azure"/>
    <s v=" Keras"/>
    <s v=" PyTorch"/>
    <s v=" AWS"/>
    <n v="134607"/>
    <s v=" Hugging Face"/>
    <s v="Mid"/>
    <x v="3"/>
    <s v="West Christopherfort"/>
    <s v=" GM"/>
    <n v="101003"/>
    <n v="168211"/>
    <d v="2024-08-24T00:00:00"/>
    <x v="2"/>
    <s v="BigQuery"/>
    <s v=" KDB+"/>
    <m/>
    <x v="6"/>
    <n v="78"/>
    <x v="3"/>
    <n v="238"/>
  </r>
  <r>
    <n v="450"/>
    <s v="Kelley, Adams and Robertson"/>
    <x v="5"/>
    <x v="3"/>
    <s v="Hugging Face"/>
    <s v=" SQL"/>
    <s v=" TensorFlow"/>
    <m/>
    <m/>
    <n v="155899"/>
    <m/>
    <s v="Entry"/>
    <x v="0"/>
    <s v="Port James"/>
    <s v=" LY"/>
    <n v="123063"/>
    <n v="188735"/>
    <d v="2024-08-13T00:00:00"/>
    <x v="1"/>
    <s v="Scikit-learn"/>
    <s v=" BigQuery"/>
    <m/>
    <x v="9"/>
    <n v="89"/>
    <x v="7"/>
    <n v="255"/>
  </r>
  <r>
    <n v="451"/>
    <s v="Johnson-Cabrera"/>
    <x v="0"/>
    <x v="3"/>
    <s v="TensorFlow"/>
    <s v=" PyTorch"/>
    <s v=" FastAPI"/>
    <s v=" Hugging Face"/>
    <s v=" LangChain"/>
    <n v="49666"/>
    <s v=" AWS"/>
    <s v="Senior"/>
    <x v="2"/>
    <s v="South Bryanberg"/>
    <s v=" GD"/>
    <n v="43723"/>
    <n v="55609"/>
    <d v="2024-05-12T00:00:00"/>
    <x v="0"/>
    <s v="TensorFlow"/>
    <s v=" PyTorch"/>
    <s v=" LangChain"/>
    <x v="19"/>
    <n v="95"/>
    <x v="2"/>
    <n v="249"/>
  </r>
  <r>
    <n v="452"/>
    <s v="Love, Liu and Flynn"/>
    <x v="1"/>
    <x v="4"/>
    <s v="Excel"/>
    <s v=" LangChain"/>
    <s v=" MLflow"/>
    <s v=" CUDA"/>
    <s v=" Reinforcement Learning"/>
    <n v="102275"/>
    <m/>
    <s v="Entry"/>
    <x v="0"/>
    <s v="Matthewshire"/>
    <s v=" FR"/>
    <n v="62280"/>
    <n v="142270"/>
    <d v="2025-03-25T00:00:00"/>
    <x v="2"/>
    <s v="MLflow"/>
    <m/>
    <m/>
    <x v="2"/>
    <n v="101"/>
    <x v="6"/>
    <n v="259"/>
  </r>
  <r>
    <n v="453"/>
    <s v="Mcdonald and Sons"/>
    <x v="6"/>
    <x v="4"/>
    <s v="TensorFlow"/>
    <s v=" AWS"/>
    <s v=" Azure"/>
    <m/>
    <m/>
    <n v="159685"/>
    <m/>
    <s v="Senior"/>
    <x v="3"/>
    <s v="Villanuevaberg"/>
    <s v=" KM"/>
    <n v="122800"/>
    <n v="196570"/>
    <d v="2025-05-01T00:00:00"/>
    <x v="0"/>
    <s v="FastAPI"/>
    <s v=" LangChain"/>
    <s v=" PyTorch"/>
    <x v="19"/>
    <n v="95"/>
    <x v="1"/>
    <n v="251"/>
  </r>
  <r>
    <n v="454"/>
    <s v="Le Ltd"/>
    <x v="2"/>
    <x v="2"/>
    <s v="R"/>
    <s v=" TensorFlow"/>
    <s v=" C++"/>
    <s v=" Hugging Face"/>
    <s v=" SQL"/>
    <n v="150884.5"/>
    <s v=" Flask"/>
    <s v="Entry"/>
    <x v="1"/>
    <s v="South Ginachester"/>
    <s v=" TV"/>
    <n v="109750"/>
    <n v="192019"/>
    <d v="2024-03-08T00:00:00"/>
    <x v="0"/>
    <s v="KDB+"/>
    <s v=" BigQuery"/>
    <m/>
    <x v="11"/>
    <n v="86"/>
    <x v="0"/>
    <n v="247"/>
  </r>
  <r>
    <n v="455"/>
    <s v="Larson-Moss"/>
    <x v="0"/>
    <x v="2"/>
    <s v="C++"/>
    <s v=" Reinforcement Learning"/>
    <s v=" NumPy"/>
    <s v=" LangChain"/>
    <m/>
    <n v="121822.5"/>
    <m/>
    <s v="Mid"/>
    <x v="1"/>
    <s v="South Williamfurt"/>
    <s v=" BB"/>
    <n v="92256"/>
    <n v="151389"/>
    <d v="2023-10-13T00:00:00"/>
    <x v="0"/>
    <s v="FastAPI"/>
    <m/>
    <m/>
    <x v="8"/>
    <n v="84"/>
    <x v="1"/>
    <n v="251"/>
  </r>
  <r>
    <n v="456"/>
    <s v="Farmer, Thompson and Smith"/>
    <x v="0"/>
    <x v="3"/>
    <s v="Flask"/>
    <s v=" SQL"/>
    <s v=" PyTorch"/>
    <s v=" C++"/>
    <s v=" TensorFlow"/>
    <n v="67826.5"/>
    <m/>
    <s v="Mid"/>
    <x v="0"/>
    <s v="New Daniel"/>
    <s v=" KP"/>
    <n v="62733"/>
    <n v="72920"/>
    <d v="2023-12-30T00:00:00"/>
    <x v="0"/>
    <s v="KDB+"/>
    <m/>
    <m/>
    <x v="16"/>
    <n v="86"/>
    <x v="0"/>
    <n v="247"/>
  </r>
  <r>
    <n v="457"/>
    <s v="Burns-Davis"/>
    <x v="0"/>
    <x v="6"/>
    <s v="Python"/>
    <s v=" AWS"/>
    <s v=" NumPy"/>
    <s v=" Power BI"/>
    <s v=" Hugging Face"/>
    <n v="54889.5"/>
    <m/>
    <s v="Senior"/>
    <x v="1"/>
    <s v="Nicholasshire"/>
    <s v=" PH"/>
    <n v="44536"/>
    <n v="65243"/>
    <d v="2024-01-03T00:00:00"/>
    <x v="0"/>
    <s v="FastAPI"/>
    <s v=" LangChain"/>
    <m/>
    <x v="5"/>
    <n v="94"/>
    <x v="1"/>
    <n v="251"/>
  </r>
  <r>
    <n v="458"/>
    <s v="Scott-Hernandez"/>
    <x v="6"/>
    <x v="3"/>
    <s v="CUDA"/>
    <s v=" Keras"/>
    <s v=" TensorFlow"/>
    <s v=" Scikit-learn"/>
    <m/>
    <n v="150066"/>
    <m/>
    <s v="Senior"/>
    <x v="0"/>
    <s v="Freemanland"/>
    <s v=" GD"/>
    <n v="117848"/>
    <n v="182284"/>
    <d v="2025-03-31T00:00:00"/>
    <x v="2"/>
    <s v="BigQuery"/>
    <m/>
    <m/>
    <x v="13"/>
    <n v="75"/>
    <x v="3"/>
    <n v="238"/>
  </r>
  <r>
    <n v="459"/>
    <s v="Lozano-Valencia"/>
    <x v="4"/>
    <x v="5"/>
    <s v="LangChain"/>
    <s v=" AWS"/>
    <s v=" Scikit-learn"/>
    <s v=" Flask"/>
    <m/>
    <n v="143454"/>
    <m/>
    <s v="Entry"/>
    <x v="1"/>
    <s v="Kelseybury"/>
    <s v=" US"/>
    <n v="126486"/>
    <n v="160422"/>
    <d v="2024-03-22T00:00:00"/>
    <x v="2"/>
    <s v="BigQuery"/>
    <s v=" KDB+"/>
    <m/>
    <x v="12"/>
    <n v="100"/>
    <x v="3"/>
    <n v="238"/>
  </r>
  <r>
    <n v="460"/>
    <s v="Watkins-Pearson"/>
    <x v="2"/>
    <x v="4"/>
    <s v="R"/>
    <s v=" SQL"/>
    <s v=" Hugging Face"/>
    <s v=" Keras"/>
    <s v=" Pandas"/>
    <n v="57737.5"/>
    <m/>
    <s v="Mid"/>
    <x v="3"/>
    <s v="East Rhondaview"/>
    <s v=" IL"/>
    <n v="47182"/>
    <n v="68293"/>
    <d v="2024-09-04T00:00:00"/>
    <x v="0"/>
    <s v="TensorFlow"/>
    <s v=" BigQuery"/>
    <s v=" LangChain"/>
    <x v="11"/>
    <n v="86"/>
    <x v="2"/>
    <n v="249"/>
  </r>
  <r>
    <n v="461"/>
    <s v="Lewis Inc"/>
    <x v="2"/>
    <x v="5"/>
    <s v="Hugging Face"/>
    <s v=" Pandas"/>
    <s v=" PyTorch"/>
    <s v=" SQL"/>
    <s v=" R"/>
    <n v="86399"/>
    <s v=" Excel"/>
    <s v="Senior"/>
    <x v="0"/>
    <s v="Lake Anthony"/>
    <s v=" MN"/>
    <n v="61782"/>
    <n v="111016"/>
    <d v="2024-02-15T00:00:00"/>
    <x v="2"/>
    <s v="LangChain"/>
    <s v=" TensorFlow"/>
    <m/>
    <x v="9"/>
    <n v="89"/>
    <x v="4"/>
    <n v="268"/>
  </r>
  <r>
    <n v="462"/>
    <s v="Moreno, Salazar and Sexton"/>
    <x v="2"/>
    <x v="5"/>
    <s v="Power BI"/>
    <s v=" Hugging Face"/>
    <s v=" TensorFlow"/>
    <m/>
    <m/>
    <n v="119568"/>
    <m/>
    <s v="Mid"/>
    <x v="0"/>
    <s v="North Johnstad"/>
    <s v=" TZ"/>
    <n v="80727"/>
    <n v="158409"/>
    <d v="2025-01-29T00:00:00"/>
    <x v="2"/>
    <s v="MLflow"/>
    <s v=" Scikit-learn"/>
    <m/>
    <x v="18"/>
    <n v="96"/>
    <x v="6"/>
    <n v="259"/>
  </r>
  <r>
    <n v="463"/>
    <s v="Lopez Ltd"/>
    <x v="1"/>
    <x v="7"/>
    <s v="Power BI"/>
    <s v=" R"/>
    <s v=" GCP"/>
    <m/>
    <m/>
    <n v="139391.5"/>
    <m/>
    <s v="Entry"/>
    <x v="0"/>
    <s v="East Deborahshire"/>
    <s v=" DZ"/>
    <n v="114829"/>
    <n v="163954"/>
    <d v="2025-05-19T00:00:00"/>
    <x v="1"/>
    <s v="PyTorch"/>
    <m/>
    <m/>
    <x v="18"/>
    <n v="96"/>
    <x v="5"/>
    <n v="233"/>
  </r>
  <r>
    <n v="464"/>
    <s v="Orozco-Tran"/>
    <x v="6"/>
    <x v="4"/>
    <s v="Reinforcement Learning"/>
    <s v=" Excel"/>
    <s v=" TensorFlow"/>
    <s v=" AWS"/>
    <s v=" C++"/>
    <n v="155436"/>
    <m/>
    <s v="Mid"/>
    <x v="1"/>
    <s v="Kevinton"/>
    <s v=" ZW"/>
    <n v="144070"/>
    <n v="166802"/>
    <d v="2024-01-09T00:00:00"/>
    <x v="0"/>
    <s v="KDB+"/>
    <s v=" MLflow"/>
    <s v=" TensorFlow"/>
    <x v="21"/>
    <n v="104"/>
    <x v="0"/>
    <n v="247"/>
  </r>
  <r>
    <n v="465"/>
    <s v="Allen-Miller"/>
    <x v="3"/>
    <x v="7"/>
    <s v="Hugging Face"/>
    <s v=" Power BI"/>
    <s v=" SQL"/>
    <s v=" Pandas"/>
    <s v=" Reinforcement Learning"/>
    <n v="80812"/>
    <m/>
    <s v="Senior"/>
    <x v="2"/>
    <s v="Elijahshire"/>
    <s v=" BJ"/>
    <n v="52942"/>
    <n v="108682"/>
    <d v="2025-08-06T00:00:00"/>
    <x v="0"/>
    <s v="Scikit-learn"/>
    <m/>
    <m/>
    <x v="9"/>
    <n v="89"/>
    <x v="7"/>
    <n v="255"/>
  </r>
  <r>
    <n v="466"/>
    <s v="Ray, Phillips and Kim"/>
    <x v="5"/>
    <x v="6"/>
    <s v="PyTorch"/>
    <s v=" Reinforcement Learning"/>
    <s v=" R"/>
    <s v=" NumPy"/>
    <m/>
    <n v="141771"/>
    <m/>
    <s v="Mid"/>
    <x v="1"/>
    <s v="West Shellymouth"/>
    <s v=" TG"/>
    <n v="113035"/>
    <n v="170507"/>
    <d v="2024-07-08T00:00:00"/>
    <x v="2"/>
    <s v="FastAPI"/>
    <s v=" PyTorch"/>
    <m/>
    <x v="14"/>
    <n v="92"/>
    <x v="1"/>
    <n v="251"/>
  </r>
  <r>
    <n v="467"/>
    <s v="Rodriguez-Williams"/>
    <x v="5"/>
    <x v="5"/>
    <s v="MLflow"/>
    <s v=" C++"/>
    <s v=" SQL"/>
    <m/>
    <m/>
    <n v="154256.5"/>
    <m/>
    <s v="Mid"/>
    <x v="1"/>
    <s v="New Jenniferfort"/>
    <s v=" YE"/>
    <n v="132860"/>
    <n v="175653"/>
    <d v="2024-11-16T00:00:00"/>
    <x v="2"/>
    <s v="MLflow"/>
    <m/>
    <m/>
    <x v="3"/>
    <n v="80"/>
    <x v="6"/>
    <n v="259"/>
  </r>
  <r>
    <n v="468"/>
    <s v="Randall-Sanchez"/>
    <x v="1"/>
    <x v="5"/>
    <s v="MLflow"/>
    <s v=" Azure"/>
    <s v=" GCP"/>
    <s v=" Flask"/>
    <s v=" AWS"/>
    <n v="166891.5"/>
    <m/>
    <s v="Mid"/>
    <x v="2"/>
    <s v="West Julieland"/>
    <s v=" CO"/>
    <n v="117504"/>
    <n v="216279"/>
    <d v="2024-12-26T00:00:00"/>
    <x v="1"/>
    <s v="LangChain"/>
    <m/>
    <m/>
    <x v="3"/>
    <n v="80"/>
    <x v="4"/>
    <n v="268"/>
  </r>
  <r>
    <n v="469"/>
    <s v="Mendoza, Chung and Burnett"/>
    <x v="4"/>
    <x v="1"/>
    <s v="Python"/>
    <s v=" PyTorch"/>
    <s v=" R"/>
    <s v=" LangChain"/>
    <m/>
    <n v="167099.5"/>
    <m/>
    <s v="Mid"/>
    <x v="3"/>
    <s v="New Jacob"/>
    <s v=" KG"/>
    <n v="119974"/>
    <n v="214225"/>
    <d v="2024-09-20T00:00:00"/>
    <x v="0"/>
    <s v="TensorFlow"/>
    <m/>
    <m/>
    <x v="5"/>
    <n v="94"/>
    <x v="2"/>
    <n v="249"/>
  </r>
  <r>
    <n v="470"/>
    <s v="Odom PLC"/>
    <x v="0"/>
    <x v="6"/>
    <s v="TensorFlow"/>
    <s v=" Python"/>
    <s v=" CUDA"/>
    <m/>
    <m/>
    <n v="126317.5"/>
    <m/>
    <s v="Senior"/>
    <x v="2"/>
    <s v="South Jacobshire"/>
    <s v=" BE"/>
    <n v="89679"/>
    <n v="162956"/>
    <d v="2025-07-09T00:00:00"/>
    <x v="1"/>
    <s v="PyTorch"/>
    <s v=" MLflow"/>
    <m/>
    <x v="19"/>
    <n v="95"/>
    <x v="5"/>
    <n v="233"/>
  </r>
  <r>
    <n v="471"/>
    <s v="Miller, Jimenez and Walker"/>
    <x v="3"/>
    <x v="1"/>
    <s v="C++"/>
    <s v=" Pandas"/>
    <s v=" Hugging Face"/>
    <s v=" SQL"/>
    <s v=" LangChain"/>
    <n v="141279.5"/>
    <s v=" Python"/>
    <s v="Senior"/>
    <x v="1"/>
    <s v="Lake Patriciaview"/>
    <s v=" LY"/>
    <n v="92350"/>
    <n v="190209"/>
    <d v="2024-09-29T00:00:00"/>
    <x v="1"/>
    <s v="MLflow"/>
    <m/>
    <m/>
    <x v="8"/>
    <n v="84"/>
    <x v="6"/>
    <n v="259"/>
  </r>
  <r>
    <n v="472"/>
    <s v="Valdez-Williams"/>
    <x v="5"/>
    <x v="3"/>
    <s v="NumPy"/>
    <s v=" AWS"/>
    <s v=" Excel"/>
    <m/>
    <m/>
    <n v="128469"/>
    <m/>
    <s v="Mid"/>
    <x v="2"/>
    <s v="Port Charles"/>
    <s v=" BE"/>
    <n v="100745"/>
    <n v="156193"/>
    <d v="2024-05-19T00:00:00"/>
    <x v="0"/>
    <s v="TensorFlow"/>
    <m/>
    <m/>
    <x v="0"/>
    <n v="104"/>
    <x v="2"/>
    <n v="249"/>
  </r>
  <r>
    <n v="473"/>
    <s v="Rodriguez, West and Erickson"/>
    <x v="1"/>
    <x v="3"/>
    <s v="PyTorch"/>
    <s v=" Reinforcement Learning"/>
    <s v=" FastAPI"/>
    <s v=" R"/>
    <s v=" C++"/>
    <n v="191811"/>
    <m/>
    <s v="Entry"/>
    <x v="0"/>
    <s v="Lake Joshuastad"/>
    <s v=" QA"/>
    <n v="144980"/>
    <n v="238642"/>
    <d v="2024-05-01T00:00:00"/>
    <x v="2"/>
    <s v="BigQuery"/>
    <m/>
    <m/>
    <x v="14"/>
    <n v="92"/>
    <x v="3"/>
    <n v="238"/>
  </r>
  <r>
    <n v="474"/>
    <s v="Church-Young"/>
    <x v="5"/>
    <x v="0"/>
    <s v="Keras"/>
    <s v=" LangChain"/>
    <s v=" CUDA"/>
    <m/>
    <m/>
    <n v="93707.5"/>
    <m/>
    <s v="Mid"/>
    <x v="2"/>
    <s v="West Paulshire"/>
    <s v=" PE"/>
    <n v="43750"/>
    <n v="143665"/>
    <d v="2025-05-17T00:00:00"/>
    <x v="2"/>
    <s v="FastAPI"/>
    <s v=" Scikit-learn"/>
    <s v=" TensorFlow"/>
    <x v="7"/>
    <n v="96"/>
    <x v="1"/>
    <n v="251"/>
  </r>
  <r>
    <n v="475"/>
    <s v="Ramirez PLC"/>
    <x v="0"/>
    <x v="7"/>
    <s v="GCP"/>
    <s v=" PyTorch"/>
    <s v=" Flask"/>
    <m/>
    <m/>
    <n v="132396.5"/>
    <m/>
    <s v="Entry"/>
    <x v="0"/>
    <s v="East Jason"/>
    <s v=" IL"/>
    <n v="123991"/>
    <n v="140802"/>
    <d v="2024-02-14T00:00:00"/>
    <x v="1"/>
    <s v="MLflow"/>
    <s v=" KDB+"/>
    <s v=" LangChain"/>
    <x v="4"/>
    <n v="78"/>
    <x v="6"/>
    <n v="259"/>
  </r>
  <r>
    <n v="476"/>
    <s v="Simmons PLC"/>
    <x v="5"/>
    <x v="7"/>
    <s v="AWS"/>
    <s v=" Excel"/>
    <s v=" R"/>
    <m/>
    <m/>
    <n v="90786"/>
    <m/>
    <s v="Entry"/>
    <x v="1"/>
    <s v="Peterland"/>
    <s v=" IL"/>
    <n v="82447"/>
    <n v="99125"/>
    <d v="2024-02-18T00:00:00"/>
    <x v="1"/>
    <s v="MLflow"/>
    <m/>
    <m/>
    <x v="10"/>
    <n v="97"/>
    <x v="6"/>
    <n v="259"/>
  </r>
  <r>
    <n v="477"/>
    <s v="Miller, Simmons and Johnson"/>
    <x v="0"/>
    <x v="1"/>
    <s v="FastAPI"/>
    <s v=" LangChain"/>
    <s v=" SQL"/>
    <s v=" TensorFlow"/>
    <s v=" R"/>
    <n v="59575"/>
    <m/>
    <s v="Mid"/>
    <x v="3"/>
    <s v="Obrienshire"/>
    <s v=" UZ"/>
    <n v="40493"/>
    <n v="78657"/>
    <d v="2024-04-11T00:00:00"/>
    <x v="2"/>
    <s v="BigQuery"/>
    <m/>
    <m/>
    <x v="20"/>
    <n v="111"/>
    <x v="3"/>
    <n v="238"/>
  </r>
  <r>
    <n v="478"/>
    <s v="Stevens, Ball and Tyler"/>
    <x v="5"/>
    <x v="0"/>
    <s v="Keras"/>
    <s v=" LangChain"/>
    <s v=" R"/>
    <s v=" MLflow"/>
    <s v=" Azure"/>
    <n v="134557.5"/>
    <s v=" TensorFlow"/>
    <s v="Senior"/>
    <x v="3"/>
    <s v="Dennischester"/>
    <s v=" BH"/>
    <n v="123525"/>
    <n v="145590"/>
    <d v="2024-08-19T00:00:00"/>
    <x v="1"/>
    <s v="TensorFlow"/>
    <s v=" BigQuery"/>
    <s v=" LangChain"/>
    <x v="7"/>
    <n v="96"/>
    <x v="2"/>
    <n v="249"/>
  </r>
  <r>
    <n v="479"/>
    <s v="Hunt, Scott and Schneider"/>
    <x v="6"/>
    <x v="4"/>
    <s v="SQL"/>
    <s v=" R"/>
    <s v=" Keras"/>
    <m/>
    <m/>
    <n v="66068"/>
    <m/>
    <s v="Mid"/>
    <x v="3"/>
    <s v="Jessicaside"/>
    <s v=" CH"/>
    <n v="48593"/>
    <n v="83543"/>
    <d v="2024-10-12T00:00:00"/>
    <x v="0"/>
    <s v="KDB+"/>
    <s v=" MLflow"/>
    <m/>
    <x v="17"/>
    <n v="88"/>
    <x v="0"/>
    <n v="247"/>
  </r>
  <r>
    <n v="480"/>
    <s v="Wright, Diaz and Rosario"/>
    <x v="3"/>
    <x v="2"/>
    <s v="Power BI"/>
    <s v=" CUDA"/>
    <s v=" Scikit-learn"/>
    <m/>
    <m/>
    <n v="111332.5"/>
    <m/>
    <s v="Entry"/>
    <x v="3"/>
    <s v="East Bernardfurt"/>
    <s v=" CY"/>
    <n v="84439"/>
    <n v="138226"/>
    <d v="2025-03-13T00:00:00"/>
    <x v="2"/>
    <s v="MLflow"/>
    <s v=" PyTorch"/>
    <m/>
    <x v="18"/>
    <n v="96"/>
    <x v="6"/>
    <n v="259"/>
  </r>
  <r>
    <n v="481"/>
    <s v="Dean, Reid and Johnson"/>
    <x v="2"/>
    <x v="7"/>
    <s v="AWS"/>
    <s v=" CUDA"/>
    <s v=" GCP"/>
    <s v=" Scikit-learn"/>
    <s v=" Azure"/>
    <n v="169804"/>
    <m/>
    <s v="Mid"/>
    <x v="1"/>
    <s v="Santostown"/>
    <s v=" TL"/>
    <n v="132748"/>
    <n v="206860"/>
    <d v="2024-07-17T00:00:00"/>
    <x v="0"/>
    <s v="Scikit-learn"/>
    <s v=" KDB+"/>
    <m/>
    <x v="10"/>
    <n v="97"/>
    <x v="7"/>
    <n v="255"/>
  </r>
  <r>
    <n v="482"/>
    <s v="Rose, Simon and Cruz"/>
    <x v="3"/>
    <x v="4"/>
    <s v="SQL"/>
    <s v=" Hugging Face"/>
    <s v=" Azure"/>
    <s v=" C++"/>
    <s v=" Keras"/>
    <n v="140207"/>
    <s v=" Flask"/>
    <s v="Senior"/>
    <x v="2"/>
    <s v="Haasview"/>
    <s v=" PY"/>
    <n v="127247"/>
    <n v="153167"/>
    <d v="2025-09-01T00:00:00"/>
    <x v="1"/>
    <s v="KDB+"/>
    <m/>
    <m/>
    <x v="17"/>
    <n v="88"/>
    <x v="0"/>
    <n v="247"/>
  </r>
  <r>
    <n v="483"/>
    <s v="Russo Inc"/>
    <x v="5"/>
    <x v="4"/>
    <s v="Excel"/>
    <s v=" Power BI"/>
    <s v=" GCP"/>
    <s v=" CUDA"/>
    <s v=" PyTorch"/>
    <n v="106998"/>
    <s v=" Keras"/>
    <s v="Mid"/>
    <x v="2"/>
    <s v="Munozside"/>
    <s v=" MA"/>
    <n v="72261"/>
    <n v="141735"/>
    <d v="2025-08-21T00:00:00"/>
    <x v="1"/>
    <s v="Scikit-learn"/>
    <m/>
    <m/>
    <x v="2"/>
    <n v="101"/>
    <x v="7"/>
    <n v="255"/>
  </r>
  <r>
    <n v="484"/>
    <s v="Short, Hodge and Castillo"/>
    <x v="1"/>
    <x v="0"/>
    <s v="Keras"/>
    <s v=" C++"/>
    <s v=" Scikit-learn"/>
    <s v=" Flask"/>
    <s v=" PyTorch"/>
    <n v="168413"/>
    <s v=" Pandas"/>
    <s v="Mid"/>
    <x v="1"/>
    <s v="Lake Jasonville"/>
    <s v=" LV"/>
    <n v="129504"/>
    <n v="207322"/>
    <d v="2024-02-01T00:00:00"/>
    <x v="1"/>
    <s v="MLflow"/>
    <s v=" PyTorch"/>
    <m/>
    <x v="7"/>
    <n v="96"/>
    <x v="6"/>
    <n v="259"/>
  </r>
  <r>
    <n v="485"/>
    <s v="Bauer Group"/>
    <x v="4"/>
    <x v="2"/>
    <s v="TensorFlow"/>
    <s v=" Power BI"/>
    <s v=" Reinforcement Learning"/>
    <s v=" NumPy"/>
    <s v=" CUDA"/>
    <n v="145832"/>
    <s v=" Excel"/>
    <s v="Mid"/>
    <x v="3"/>
    <s v="South Jaredview"/>
    <s v=" PW"/>
    <n v="116697"/>
    <n v="174967"/>
    <d v="2024-02-02T00:00:00"/>
    <x v="2"/>
    <s v="LangChain"/>
    <s v=" Scikit-learn"/>
    <s v=" FastAPI"/>
    <x v="19"/>
    <n v="95"/>
    <x v="4"/>
    <n v="268"/>
  </r>
  <r>
    <n v="486"/>
    <s v="Petty PLC"/>
    <x v="6"/>
    <x v="1"/>
    <s v="Python"/>
    <s v=" Azure"/>
    <s v=" R"/>
    <s v=" TensorFlow"/>
    <s v=" GCP"/>
    <n v="89313"/>
    <m/>
    <s v="Entry"/>
    <x v="3"/>
    <s v="Castrobury"/>
    <s v=" ES"/>
    <n v="46832"/>
    <n v="131794"/>
    <d v="2024-07-18T00:00:00"/>
    <x v="2"/>
    <s v="MLflow"/>
    <s v=" BigQuery"/>
    <s v=" Scikit-learn"/>
    <x v="5"/>
    <n v="94"/>
    <x v="6"/>
    <n v="259"/>
  </r>
  <r>
    <n v="487"/>
    <s v="Stuart and Sons"/>
    <x v="0"/>
    <x v="5"/>
    <s v="Hugging Face"/>
    <s v=" C++"/>
    <s v=" PyTorch"/>
    <s v=" Reinforcement Learning"/>
    <s v=" TensorFlow"/>
    <n v="143759"/>
    <m/>
    <s v="Mid"/>
    <x v="1"/>
    <s v="Lake Randychester"/>
    <s v=" TR"/>
    <n v="135983"/>
    <n v="151535"/>
    <d v="2025-03-04T00:00:00"/>
    <x v="0"/>
    <s v="PyTorch"/>
    <s v=" BigQuery"/>
    <m/>
    <x v="9"/>
    <n v="89"/>
    <x v="5"/>
    <n v="233"/>
  </r>
  <r>
    <n v="488"/>
    <s v="Barker, Monroe and Ortega"/>
    <x v="3"/>
    <x v="2"/>
    <s v="Reinforcement Learning"/>
    <s v=" GCP"/>
    <s v=" NumPy"/>
    <m/>
    <m/>
    <n v="103103"/>
    <m/>
    <s v="Senior"/>
    <x v="0"/>
    <s v="Robertsonfort"/>
    <s v=" MU"/>
    <n v="86380"/>
    <n v="119826"/>
    <d v="2023-11-27T00:00:00"/>
    <x v="2"/>
    <s v="Scikit-learn"/>
    <s v=" TensorFlow"/>
    <s v=" BigQuery"/>
    <x v="21"/>
    <n v="104"/>
    <x v="7"/>
    <n v="255"/>
  </r>
  <r>
    <n v="489"/>
    <s v="Chambers-Santiago"/>
    <x v="2"/>
    <x v="2"/>
    <s v="Reinforcement Learning"/>
    <s v=" NumPy"/>
    <s v=" Scikit-learn"/>
    <m/>
    <m/>
    <n v="145152.5"/>
    <m/>
    <s v="Entry"/>
    <x v="2"/>
    <s v="Halefurt"/>
    <s v=" JO"/>
    <n v="97354"/>
    <n v="192951"/>
    <d v="2023-10-17T00:00:00"/>
    <x v="2"/>
    <s v="LangChain"/>
    <s v=" BigQuery"/>
    <m/>
    <x v="21"/>
    <n v="104"/>
    <x v="4"/>
    <n v="268"/>
  </r>
  <r>
    <n v="490"/>
    <s v="Nolan-Brown"/>
    <x v="4"/>
    <x v="4"/>
    <s v="PyTorch"/>
    <s v=" Hugging Face"/>
    <s v=" GCP"/>
    <s v=" Flask"/>
    <m/>
    <n v="139494"/>
    <m/>
    <s v="Mid"/>
    <x v="0"/>
    <s v="Karenville"/>
    <s v=" GA"/>
    <n v="130041"/>
    <n v="148947"/>
    <d v="2024-06-16T00:00:00"/>
    <x v="0"/>
    <s v="Scikit-learn"/>
    <m/>
    <m/>
    <x v="14"/>
    <n v="92"/>
    <x v="7"/>
    <n v="255"/>
  </r>
  <r>
    <n v="491"/>
    <s v="Cox, Fitzgerald and Wong"/>
    <x v="2"/>
    <x v="5"/>
    <s v="R"/>
    <s v=" FastAPI"/>
    <s v=" AWS"/>
    <m/>
    <m/>
    <n v="144822"/>
    <m/>
    <s v="Mid"/>
    <x v="1"/>
    <s v="Davidtown"/>
    <s v=" ID"/>
    <n v="98664"/>
    <n v="190980"/>
    <d v="2023-09-29T00:00:00"/>
    <x v="0"/>
    <s v="PyTorch"/>
    <s v=" LangChain"/>
    <m/>
    <x v="11"/>
    <n v="86"/>
    <x v="5"/>
    <n v="233"/>
  </r>
  <r>
    <n v="492"/>
    <s v="Zhang-Williams"/>
    <x v="5"/>
    <x v="0"/>
    <s v="MLflow"/>
    <s v=" CUDA"/>
    <s v=" C++"/>
    <m/>
    <m/>
    <n v="137949.5"/>
    <m/>
    <s v="Entry"/>
    <x v="2"/>
    <s v="East Henryfort"/>
    <s v=" CA"/>
    <n v="112236"/>
    <n v="163663"/>
    <d v="2024-11-09T00:00:00"/>
    <x v="0"/>
    <s v="LangChain"/>
    <s v=" TensorFlow"/>
    <m/>
    <x v="3"/>
    <n v="80"/>
    <x v="4"/>
    <n v="268"/>
  </r>
  <r>
    <n v="493"/>
    <s v="Henry-Grimes"/>
    <x v="3"/>
    <x v="5"/>
    <s v="CUDA"/>
    <s v=" AWS"/>
    <s v=" NumPy"/>
    <s v=" Azure"/>
    <s v=" Power BI"/>
    <n v="125710"/>
    <m/>
    <s v="Entry"/>
    <x v="3"/>
    <s v="Port Biancachester"/>
    <s v=" DE"/>
    <n v="89452"/>
    <n v="161968"/>
    <d v="2023-10-16T00:00:00"/>
    <x v="0"/>
    <s v="TensorFlow"/>
    <s v=" Scikit-learn"/>
    <s v=" FastAPI"/>
    <x v="13"/>
    <n v="75"/>
    <x v="2"/>
    <n v="249"/>
  </r>
  <r>
    <n v="494"/>
    <s v="Garcia, Lowery and Alexander"/>
    <x v="2"/>
    <x v="7"/>
    <s v="Keras"/>
    <s v=" NumPy"/>
    <s v=" Python"/>
    <s v=" AWS"/>
    <s v=" Flask"/>
    <n v="78828.5"/>
    <s v=" Azure"/>
    <s v="Mid"/>
    <x v="3"/>
    <s v="East Kennethfurt"/>
    <s v=" MT"/>
    <n v="41836"/>
    <n v="115821"/>
    <d v="2024-01-04T00:00:00"/>
    <x v="0"/>
    <s v="Scikit-learn"/>
    <s v=" LangChain"/>
    <m/>
    <x v="7"/>
    <n v="96"/>
    <x v="7"/>
    <n v="255"/>
  </r>
  <r>
    <n v="495"/>
    <s v="Turner PLC"/>
    <x v="0"/>
    <x v="4"/>
    <s v="Azure"/>
    <s v=" Flask"/>
    <s v=" MLflow"/>
    <s v=" GCP"/>
    <m/>
    <n v="87487.5"/>
    <m/>
    <s v="Senior"/>
    <x v="0"/>
    <s v="East Sandrabury"/>
    <s v=" TL"/>
    <n v="80778"/>
    <n v="94197"/>
    <d v="2025-03-08T00:00:00"/>
    <x v="0"/>
    <s v="PyTorch"/>
    <s v=" KDB+"/>
    <m/>
    <x v="15"/>
    <n v="90"/>
    <x v="5"/>
    <n v="233"/>
  </r>
  <r>
    <n v="496"/>
    <s v="Davis LLC"/>
    <x v="1"/>
    <x v="2"/>
    <s v="FastAPI"/>
    <s v=" CUDA"/>
    <s v=" R"/>
    <m/>
    <m/>
    <n v="77880.5"/>
    <m/>
    <s v="Entry"/>
    <x v="3"/>
    <s v="Sarahburgh"/>
    <s v=" VA"/>
    <n v="68580"/>
    <n v="87181"/>
    <d v="2025-07-21T00:00:00"/>
    <x v="1"/>
    <s v="KDB+"/>
    <m/>
    <m/>
    <x v="20"/>
    <n v="111"/>
    <x v="0"/>
    <n v="247"/>
  </r>
  <r>
    <n v="497"/>
    <s v="Foster-Stephens"/>
    <x v="3"/>
    <x v="5"/>
    <s v="AWS"/>
    <s v=" CUDA"/>
    <s v=" MLflow"/>
    <s v=" Python"/>
    <m/>
    <n v="63829.5"/>
    <m/>
    <s v="Senior"/>
    <x v="1"/>
    <s v="Robinsonport"/>
    <s v=" IQ"/>
    <n v="41323"/>
    <n v="86336"/>
    <d v="2025-08-10T00:00:00"/>
    <x v="1"/>
    <s v="KDB+"/>
    <s v=" PyTorch"/>
    <s v=" FastAPI"/>
    <x v="10"/>
    <n v="97"/>
    <x v="0"/>
    <n v="247"/>
  </r>
  <r>
    <n v="498"/>
    <s v="Ho, Scott and Martinez"/>
    <x v="3"/>
    <x v="2"/>
    <s v="Flask"/>
    <s v=" SQL"/>
    <s v=" PyTorch"/>
    <s v=" Azure"/>
    <s v=" AWS"/>
    <n v="149163"/>
    <m/>
    <s v="Senior"/>
    <x v="0"/>
    <s v="Lyonsland"/>
    <s v=" MK"/>
    <n v="127995"/>
    <n v="170331"/>
    <d v="2025-04-24T00:00:00"/>
    <x v="2"/>
    <s v="LangChain"/>
    <m/>
    <m/>
    <x v="16"/>
    <n v="86"/>
    <x v="4"/>
    <n v="268"/>
  </r>
  <r>
    <n v="499"/>
    <s v="Green PLC"/>
    <x v="6"/>
    <x v="1"/>
    <s v="C++"/>
    <s v=" SQL"/>
    <s v=" Python"/>
    <s v=" MLflow"/>
    <s v=" Power BI"/>
    <n v="117621"/>
    <s v=" FastAPI"/>
    <s v="Mid"/>
    <x v="3"/>
    <s v="Gutierrezport"/>
    <s v=" NO"/>
    <n v="91343"/>
    <n v="143899"/>
    <d v="2025-03-27T00:00:00"/>
    <x v="0"/>
    <s v="LangChain"/>
    <m/>
    <m/>
    <x v="8"/>
    <n v="84"/>
    <x v="4"/>
    <n v="268"/>
  </r>
  <r>
    <n v="500"/>
    <s v="Hudson Group"/>
    <x v="4"/>
    <x v="1"/>
    <s v="CUDA"/>
    <s v=" SQL"/>
    <s v=" Keras"/>
    <s v=" C++"/>
    <m/>
    <n v="90096.5"/>
    <m/>
    <s v="Mid"/>
    <x v="3"/>
    <s v="New Shawnberg"/>
    <s v=" SE"/>
    <n v="58872"/>
    <n v="121321"/>
    <d v="2024-05-16T00:00:00"/>
    <x v="1"/>
    <s v="FastAPI"/>
    <s v=" Scikit-learn"/>
    <s v=" TensorFlow"/>
    <x v="13"/>
    <n v="75"/>
    <x v="1"/>
    <n v="251"/>
  </r>
  <r>
    <n v="501"/>
    <s v="Pham, Mathews and Gray"/>
    <x v="5"/>
    <x v="2"/>
    <s v="MLflow"/>
    <s v=" TensorFlow"/>
    <s v=" NumPy"/>
    <s v=" Pandas"/>
    <m/>
    <n v="88491.5"/>
    <m/>
    <s v="Mid"/>
    <x v="3"/>
    <s v="South Crystalshire"/>
    <s v=" FR"/>
    <n v="59652"/>
    <n v="117331"/>
    <d v="2023-10-30T00:00:00"/>
    <x v="0"/>
    <s v="TensorFlow"/>
    <m/>
    <m/>
    <x v="3"/>
    <n v="80"/>
    <x v="2"/>
    <n v="249"/>
  </r>
  <r>
    <n v="502"/>
    <s v="Saunders, Howell and Martinez"/>
    <x v="0"/>
    <x v="1"/>
    <s v="TensorFlow"/>
    <s v=" NumPy"/>
    <s v=" Pandas"/>
    <s v=" PyTorch"/>
    <s v=" Azure"/>
    <n v="78827.5"/>
    <m/>
    <s v="Senior"/>
    <x v="0"/>
    <s v="West Wandaside"/>
    <s v=" KE"/>
    <n v="64588"/>
    <n v="93067"/>
    <d v="2024-08-14T00:00:00"/>
    <x v="1"/>
    <s v="KDB+"/>
    <s v=" FastAPI"/>
    <s v=" Scikit-learn"/>
    <x v="19"/>
    <n v="95"/>
    <x v="0"/>
    <n v="247"/>
  </r>
  <r>
    <n v="503"/>
    <s v="King LLC"/>
    <x v="5"/>
    <x v="1"/>
    <s v="FastAPI"/>
    <s v=" Keras"/>
    <s v=" CUDA"/>
    <s v=" PyTorch"/>
    <s v=" LangChain"/>
    <n v="68463.5"/>
    <m/>
    <s v="Senior"/>
    <x v="1"/>
    <s v="Ruizton"/>
    <s v=" CI"/>
    <n v="62963"/>
    <n v="73964"/>
    <d v="2024-11-28T00:00:00"/>
    <x v="2"/>
    <s v="BigQuery"/>
    <s v=" MLflow"/>
    <m/>
    <x v="20"/>
    <n v="111"/>
    <x v="3"/>
    <n v="238"/>
  </r>
  <r>
    <n v="504"/>
    <s v="Anthony Group"/>
    <x v="1"/>
    <x v="6"/>
    <s v="PyTorch"/>
    <s v=" Azure"/>
    <s v=" Reinforcement Learning"/>
    <s v=" TensorFlow"/>
    <s v=" Pandas"/>
    <n v="172856"/>
    <s v=" FastAPI"/>
    <s v="Mid"/>
    <x v="2"/>
    <s v="Lisaborough"/>
    <s v=" MG"/>
    <n v="147083"/>
    <n v="198629"/>
    <d v="2025-04-17T00:00:00"/>
    <x v="0"/>
    <s v="PyTorch"/>
    <m/>
    <m/>
    <x v="14"/>
    <n v="92"/>
    <x v="5"/>
    <n v="233"/>
  </r>
  <r>
    <n v="505"/>
    <s v="Kim, Peterson and Schaefer"/>
    <x v="5"/>
    <x v="7"/>
    <s v="GCP"/>
    <s v=" MLflow"/>
    <s v=" PyTorch"/>
    <m/>
    <m/>
    <n v="169158.5"/>
    <m/>
    <s v="Entry"/>
    <x v="2"/>
    <s v="Ericksonport"/>
    <s v=" NZ"/>
    <n v="124727"/>
    <n v="213590"/>
    <d v="2025-07-02T00:00:00"/>
    <x v="0"/>
    <s v="PyTorch"/>
    <s v=" MLflow"/>
    <s v=" LangChain"/>
    <x v="4"/>
    <n v="78"/>
    <x v="5"/>
    <n v="233"/>
  </r>
  <r>
    <n v="506"/>
    <s v="Parrish-Small"/>
    <x v="6"/>
    <x v="6"/>
    <s v="Python"/>
    <s v=" Flask"/>
    <s v=" LangChain"/>
    <s v=" AWS"/>
    <s v=" Keras"/>
    <n v="142484.5"/>
    <m/>
    <s v="Senior"/>
    <x v="2"/>
    <s v="Perryland"/>
    <s v=" MA"/>
    <n v="103756"/>
    <n v="181213"/>
    <d v="2025-08-05T00:00:00"/>
    <x v="2"/>
    <s v="FastAPI"/>
    <s v=" Scikit-learn"/>
    <s v=" PyTorch"/>
    <x v="5"/>
    <n v="94"/>
    <x v="1"/>
    <n v="251"/>
  </r>
  <r>
    <n v="507"/>
    <s v="Shaw, Myers and Smith"/>
    <x v="2"/>
    <x v="5"/>
    <s v="Azure"/>
    <s v=" TensorFlow"/>
    <s v=" C++"/>
    <m/>
    <m/>
    <n v="141250.5"/>
    <m/>
    <s v="Mid"/>
    <x v="0"/>
    <s v="Brookeport"/>
    <s v=" TV"/>
    <n v="97542"/>
    <n v="184959"/>
    <d v="2024-05-21T00:00:00"/>
    <x v="2"/>
    <s v="TensorFlow"/>
    <m/>
    <m/>
    <x v="15"/>
    <n v="90"/>
    <x v="2"/>
    <n v="249"/>
  </r>
  <r>
    <n v="508"/>
    <s v="Smith-Huynh"/>
    <x v="5"/>
    <x v="3"/>
    <s v="Scikit-learn"/>
    <s v=" Hugging Face"/>
    <s v=" TensorFlow"/>
    <m/>
    <m/>
    <n v="89141"/>
    <m/>
    <s v="Entry"/>
    <x v="2"/>
    <s v="South Dawnfort"/>
    <s v=" AE"/>
    <n v="80381"/>
    <n v="97901"/>
    <d v="2024-09-21T00:00:00"/>
    <x v="2"/>
    <s v="TensorFlow"/>
    <s v=" BigQuery"/>
    <m/>
    <x v="1"/>
    <n v="76"/>
    <x v="2"/>
    <n v="249"/>
  </r>
  <r>
    <n v="509"/>
    <s v="Cardenas-Williams"/>
    <x v="3"/>
    <x v="5"/>
    <s v="Python"/>
    <s v=" Azure"/>
    <s v=" Reinforcement Learning"/>
    <s v=" LangChain"/>
    <s v=" AWS"/>
    <n v="167293"/>
    <s v=" Hugging Face"/>
    <s v="Senior"/>
    <x v="3"/>
    <s v="West Michael"/>
    <s v=" PW"/>
    <n v="147604"/>
    <n v="186982"/>
    <d v="2024-12-20T00:00:00"/>
    <x v="2"/>
    <s v="LangChain"/>
    <s v=" TensorFlow"/>
    <s v=" KDB+"/>
    <x v="5"/>
    <n v="94"/>
    <x v="4"/>
    <n v="268"/>
  </r>
  <r>
    <n v="510"/>
    <s v="Davis Inc"/>
    <x v="0"/>
    <x v="0"/>
    <s v="MLflow"/>
    <s v=" Python"/>
    <s v=" TensorFlow"/>
    <s v=" LangChain"/>
    <m/>
    <n v="73812.5"/>
    <m/>
    <s v="Entry"/>
    <x v="0"/>
    <s v="Taylorland"/>
    <s v=" PL"/>
    <n v="56981"/>
    <n v="90644"/>
    <d v="2024-12-27T00:00:00"/>
    <x v="1"/>
    <s v="TensorFlow"/>
    <s v=" PyTorch"/>
    <s v=" KDB+"/>
    <x v="3"/>
    <n v="80"/>
    <x v="2"/>
    <n v="249"/>
  </r>
  <r>
    <n v="511"/>
    <s v="Davis-Hudson"/>
    <x v="6"/>
    <x v="0"/>
    <s v="GCP"/>
    <s v=" Scikit-learn"/>
    <s v=" Flask"/>
    <s v=" AWS"/>
    <s v=" Excel"/>
    <n v="150315.5"/>
    <s v=" Power BI"/>
    <s v="Entry"/>
    <x v="3"/>
    <s v="South Thomasview"/>
    <s v=" BR"/>
    <n v="116148"/>
    <n v="184483"/>
    <d v="2025-08-13T00:00:00"/>
    <x v="2"/>
    <s v="PyTorch"/>
    <m/>
    <m/>
    <x v="4"/>
    <n v="78"/>
    <x v="5"/>
    <n v="233"/>
  </r>
  <r>
    <n v="512"/>
    <s v="Mcdonald, Carey and Cruz"/>
    <x v="0"/>
    <x v="7"/>
    <s v="TensorFlow"/>
    <s v=" R"/>
    <s v=" FastAPI"/>
    <s v=" Pandas"/>
    <s v=" Power BI"/>
    <n v="64953"/>
    <m/>
    <s v="Mid"/>
    <x v="2"/>
    <s v="Kingburgh"/>
    <s v=" ER"/>
    <n v="49163"/>
    <n v="80743"/>
    <d v="2023-09-23T00:00:00"/>
    <x v="0"/>
    <s v="MLflow"/>
    <s v=" Scikit-learn"/>
    <m/>
    <x v="19"/>
    <n v="95"/>
    <x v="6"/>
    <n v="259"/>
  </r>
  <r>
    <n v="513"/>
    <s v="Williams LLC"/>
    <x v="0"/>
    <x v="2"/>
    <s v="Python"/>
    <s v=" Hugging Face"/>
    <s v=" Scikit-learn"/>
    <s v=" GCP"/>
    <m/>
    <n v="85317.5"/>
    <m/>
    <s v="Entry"/>
    <x v="2"/>
    <s v="Jeremytown"/>
    <s v=" GQ"/>
    <n v="51721"/>
    <n v="118914"/>
    <d v="2025-01-04T00:00:00"/>
    <x v="0"/>
    <s v="MLflow"/>
    <s v=" KDB+"/>
    <m/>
    <x v="5"/>
    <n v="94"/>
    <x v="6"/>
    <n v="259"/>
  </r>
  <r>
    <n v="514"/>
    <s v="Cooper PLC"/>
    <x v="3"/>
    <x v="4"/>
    <s v="Azure"/>
    <s v=" Pandas"/>
    <s v=" TensorFlow"/>
    <s v=" AWS"/>
    <m/>
    <n v="160279.5"/>
    <m/>
    <s v="Mid"/>
    <x v="3"/>
    <s v="Michaelbury"/>
    <s v=" FM"/>
    <n v="143486"/>
    <n v="177073"/>
    <d v="2024-06-27T00:00:00"/>
    <x v="0"/>
    <s v="BigQuery"/>
    <s v=" Scikit-learn"/>
    <s v=" PyTorch"/>
    <x v="15"/>
    <n v="90"/>
    <x v="3"/>
    <n v="238"/>
  </r>
  <r>
    <n v="515"/>
    <s v="Graham, Ramirez and Haas"/>
    <x v="5"/>
    <x v="0"/>
    <s v="R"/>
    <s v=" Reinforcement Learning"/>
    <s v=" Scikit-learn"/>
    <s v=" PyTorch"/>
    <s v=" GCP"/>
    <n v="183808"/>
    <m/>
    <s v="Entry"/>
    <x v="3"/>
    <s v="East Tammy"/>
    <s v=" SY"/>
    <n v="141494"/>
    <n v="226122"/>
    <d v="2024-10-08T00:00:00"/>
    <x v="1"/>
    <s v="BigQuery"/>
    <s v=" TensorFlow"/>
    <s v=" FastAPI"/>
    <x v="11"/>
    <n v="86"/>
    <x v="3"/>
    <n v="238"/>
  </r>
  <r>
    <n v="516"/>
    <s v="Lowe, Schmidt and Harris"/>
    <x v="1"/>
    <x v="6"/>
    <s v="Excel"/>
    <s v=" Hugging Face"/>
    <s v=" AWS"/>
    <s v=" TensorFlow"/>
    <s v=" R"/>
    <n v="89730"/>
    <s v=" Power BI"/>
    <s v="Entry"/>
    <x v="2"/>
    <s v="Dannyborough"/>
    <s v=" MA"/>
    <n v="40667"/>
    <n v="138793"/>
    <d v="2025-07-22T00:00:00"/>
    <x v="1"/>
    <s v="TensorFlow"/>
    <m/>
    <m/>
    <x v="2"/>
    <n v="101"/>
    <x v="2"/>
    <n v="249"/>
  </r>
  <r>
    <n v="517"/>
    <s v="Kemp, Young and Stewart"/>
    <x v="4"/>
    <x v="1"/>
    <s v="Python"/>
    <s v=" Pandas"/>
    <s v=" Excel"/>
    <s v=" TensorFlow"/>
    <s v=" Azure"/>
    <n v="80276"/>
    <m/>
    <s v="Entry"/>
    <x v="3"/>
    <s v="Tracyborough"/>
    <s v=" CZ"/>
    <n v="45587"/>
    <n v="114965"/>
    <d v="2024-05-08T00:00:00"/>
    <x v="2"/>
    <s v="TensorFlow"/>
    <s v=" PyTorch"/>
    <m/>
    <x v="5"/>
    <n v="94"/>
    <x v="2"/>
    <n v="249"/>
  </r>
  <r>
    <n v="518"/>
    <s v="Hodges, Allen and Washington"/>
    <x v="5"/>
    <x v="0"/>
    <s v="PyTorch"/>
    <s v=" Pandas"/>
    <s v=" Reinforcement Learning"/>
    <m/>
    <m/>
    <n v="57532.5"/>
    <m/>
    <s v="Mid"/>
    <x v="2"/>
    <s v="Davidside"/>
    <s v=" JO"/>
    <n v="50145"/>
    <n v="64920"/>
    <d v="2024-05-03T00:00:00"/>
    <x v="1"/>
    <s v="KDB+"/>
    <m/>
    <m/>
    <x v="14"/>
    <n v="92"/>
    <x v="0"/>
    <n v="247"/>
  </r>
  <r>
    <n v="519"/>
    <s v="Blair PLC"/>
    <x v="4"/>
    <x v="0"/>
    <s v="NumPy"/>
    <s v=" Keras"/>
    <s v=" PyTorch"/>
    <s v=" TensorFlow"/>
    <s v=" Flask"/>
    <n v="133540"/>
    <s v=" Excel"/>
    <s v="Senior"/>
    <x v="2"/>
    <s v="Hernandezshire"/>
    <s v=" LU"/>
    <n v="125963"/>
    <n v="141117"/>
    <d v="2024-11-06T00:00:00"/>
    <x v="0"/>
    <s v="FastAPI"/>
    <s v=" PyTorch"/>
    <s v=" BigQuery"/>
    <x v="0"/>
    <n v="104"/>
    <x v="1"/>
    <n v="251"/>
  </r>
  <r>
    <n v="520"/>
    <s v="Cruz, Patrick and King"/>
    <x v="4"/>
    <x v="7"/>
    <s v="R"/>
    <s v=" TensorFlow"/>
    <s v=" AWS"/>
    <m/>
    <m/>
    <n v="133751"/>
    <m/>
    <s v="Mid"/>
    <x v="3"/>
    <s v="Walshstad"/>
    <s v=" KG"/>
    <n v="117682"/>
    <n v="149820"/>
    <d v="2025-04-26T00:00:00"/>
    <x v="2"/>
    <s v="PyTorch"/>
    <s v=" KDB+"/>
    <m/>
    <x v="11"/>
    <n v="86"/>
    <x v="5"/>
    <n v="233"/>
  </r>
  <r>
    <n v="521"/>
    <s v="Rivers, Jones and Cameron"/>
    <x v="4"/>
    <x v="3"/>
    <s v="SQL"/>
    <s v=" NumPy"/>
    <s v=" Scikit-learn"/>
    <m/>
    <m/>
    <n v="136008.5"/>
    <m/>
    <s v="Entry"/>
    <x v="0"/>
    <s v="Nelsonchester"/>
    <s v=" NE"/>
    <n v="108359"/>
    <n v="163658"/>
    <d v="2024-11-02T00:00:00"/>
    <x v="0"/>
    <s v="TensorFlow"/>
    <s v=" LangChain"/>
    <m/>
    <x v="17"/>
    <n v="88"/>
    <x v="2"/>
    <n v="249"/>
  </r>
  <r>
    <n v="522"/>
    <s v="Lindsey-Chan"/>
    <x v="2"/>
    <x v="2"/>
    <s v="MLflow"/>
    <s v=" Flask"/>
    <s v=" Keras"/>
    <s v=" Scikit-learn"/>
    <s v=" LangChain"/>
    <n v="60422"/>
    <m/>
    <s v="Entry"/>
    <x v="2"/>
    <s v="Albertport"/>
    <s v=" RW"/>
    <n v="46169"/>
    <n v="74675"/>
    <d v="2024-07-18T00:00:00"/>
    <x v="1"/>
    <s v="TensorFlow"/>
    <m/>
    <m/>
    <x v="3"/>
    <n v="80"/>
    <x v="2"/>
    <n v="249"/>
  </r>
  <r>
    <n v="523"/>
    <s v="Hess Inc"/>
    <x v="0"/>
    <x v="0"/>
    <s v="FastAPI"/>
    <s v=" Excel"/>
    <s v=" PyTorch"/>
    <s v=" Flask"/>
    <s v=" Reinforcement Learning"/>
    <n v="120392"/>
    <m/>
    <s v="Mid"/>
    <x v="3"/>
    <s v="East Kathrynchester"/>
    <s v=" FJ"/>
    <n v="109531"/>
    <n v="131253"/>
    <d v="2024-08-26T00:00:00"/>
    <x v="1"/>
    <s v="BigQuery"/>
    <s v=" PyTorch"/>
    <s v=" FastAPI"/>
    <x v="20"/>
    <n v="111"/>
    <x v="3"/>
    <n v="238"/>
  </r>
  <r>
    <n v="524"/>
    <s v="Williams Ltd"/>
    <x v="6"/>
    <x v="3"/>
    <s v="Hugging Face"/>
    <s v=" GCP"/>
    <s v=" Scikit-learn"/>
    <m/>
    <m/>
    <n v="183549"/>
    <m/>
    <s v="Entry"/>
    <x v="2"/>
    <s v="Lake Patrick"/>
    <s v=" ST"/>
    <n v="146291"/>
    <n v="220807"/>
    <d v="2024-02-27T00:00:00"/>
    <x v="1"/>
    <s v="Scikit-learn"/>
    <s v=" PyTorch"/>
    <s v=" LangChain"/>
    <x v="9"/>
    <n v="89"/>
    <x v="7"/>
    <n v="255"/>
  </r>
  <r>
    <n v="525"/>
    <s v="Moore, Fields and Valdez"/>
    <x v="1"/>
    <x v="2"/>
    <s v="SQL"/>
    <s v=" Python"/>
    <s v=" Excel"/>
    <s v=" Flask"/>
    <m/>
    <n v="88199.5"/>
    <m/>
    <s v="Entry"/>
    <x v="2"/>
    <s v="Marcusstad"/>
    <s v=" GT"/>
    <n v="60309"/>
    <n v="116090"/>
    <d v="2025-08-31T00:00:00"/>
    <x v="1"/>
    <s v="TensorFlow"/>
    <s v=" KDB+"/>
    <s v=" BigQuery"/>
    <x v="17"/>
    <n v="88"/>
    <x v="2"/>
    <n v="249"/>
  </r>
  <r>
    <n v="526"/>
    <s v="Todd-Wright"/>
    <x v="5"/>
    <x v="5"/>
    <s v="SQL"/>
    <s v=" Keras"/>
    <s v=" Pandas"/>
    <s v=" GCP"/>
    <m/>
    <n v="166076"/>
    <m/>
    <s v="Senior"/>
    <x v="2"/>
    <s v="Port Thomas"/>
    <s v=" IQ"/>
    <n v="135243"/>
    <n v="196909"/>
    <d v="2024-03-12T00:00:00"/>
    <x v="2"/>
    <s v="FastAPI"/>
    <s v=" KDB+"/>
    <m/>
    <x v="17"/>
    <n v="88"/>
    <x v="1"/>
    <n v="251"/>
  </r>
  <r>
    <n v="527"/>
    <s v="Morrison and Sons"/>
    <x v="4"/>
    <x v="3"/>
    <s v="CUDA"/>
    <s v=" Power BI"/>
    <s v=" AWS"/>
    <s v=" FastAPI"/>
    <s v=" C++"/>
    <n v="154278.5"/>
    <m/>
    <s v="Senior"/>
    <x v="1"/>
    <s v="Richardfurt"/>
    <s v=" JM"/>
    <n v="141909"/>
    <n v="166648"/>
    <d v="2024-11-04T00:00:00"/>
    <x v="1"/>
    <s v="TensorFlow"/>
    <m/>
    <m/>
    <x v="13"/>
    <n v="75"/>
    <x v="2"/>
    <n v="249"/>
  </r>
  <r>
    <n v="528"/>
    <s v="Barrett, Bennett and Stokes"/>
    <x v="3"/>
    <x v="3"/>
    <s v="C++"/>
    <s v=" CUDA"/>
    <s v=" Azure"/>
    <m/>
    <m/>
    <n v="155360"/>
    <m/>
    <s v="Entry"/>
    <x v="3"/>
    <s v="New John"/>
    <s v=" JP"/>
    <n v="110795"/>
    <n v="199925"/>
    <d v="2025-03-22T00:00:00"/>
    <x v="2"/>
    <s v="LangChain"/>
    <s v=" MLflow"/>
    <m/>
    <x v="8"/>
    <n v="84"/>
    <x v="4"/>
    <n v="268"/>
  </r>
  <r>
    <n v="529"/>
    <s v="Jefferson, Orr and Gonzalez"/>
    <x v="6"/>
    <x v="6"/>
    <s v="LangChain"/>
    <s v=" GCP"/>
    <s v=" Reinforcement Learning"/>
    <s v=" Excel"/>
    <s v=" FastAPI"/>
    <n v="107952"/>
    <s v=" Power BI"/>
    <s v="Mid"/>
    <x v="3"/>
    <s v="Lake Matthewhaven"/>
    <s v=" RO"/>
    <n v="97755"/>
    <n v="118149"/>
    <d v="2024-01-24T00:00:00"/>
    <x v="0"/>
    <s v="KDB+"/>
    <s v=" PyTorch"/>
    <m/>
    <x v="12"/>
    <n v="100"/>
    <x v="0"/>
    <n v="247"/>
  </r>
  <r>
    <n v="530"/>
    <s v="Davis, Chambers and Lee"/>
    <x v="0"/>
    <x v="0"/>
    <s v="Excel"/>
    <s v=" Power BI"/>
    <s v=" PyTorch"/>
    <s v=" Hugging Face"/>
    <s v=" R"/>
    <n v="165210"/>
    <m/>
    <s v="Senior"/>
    <x v="3"/>
    <s v="Davidton"/>
    <s v=" VN"/>
    <n v="141037"/>
    <n v="189383"/>
    <d v="2024-02-02T00:00:00"/>
    <x v="1"/>
    <s v="Scikit-learn"/>
    <s v=" BigQuery"/>
    <s v=" MLflow"/>
    <x v="2"/>
    <n v="101"/>
    <x v="7"/>
    <n v="255"/>
  </r>
  <r>
    <n v="531"/>
    <s v="Guerra-Hall"/>
    <x v="0"/>
    <x v="2"/>
    <s v="GCP"/>
    <s v=" Reinforcement Learning"/>
    <s v=" Keras"/>
    <s v=" Pandas"/>
    <m/>
    <n v="158271"/>
    <m/>
    <s v="Mid"/>
    <x v="3"/>
    <s v="New Ronald"/>
    <s v=" PA"/>
    <n v="128537"/>
    <n v="188005"/>
    <d v="2024-09-24T00:00:00"/>
    <x v="1"/>
    <s v="FastAPI"/>
    <m/>
    <m/>
    <x v="4"/>
    <n v="78"/>
    <x v="1"/>
    <n v="251"/>
  </r>
  <r>
    <n v="532"/>
    <s v="Brooks Ltd"/>
    <x v="0"/>
    <x v="2"/>
    <s v="Keras"/>
    <s v=" FastAPI"/>
    <s v=" C++"/>
    <s v=" Hugging Face"/>
    <m/>
    <n v="81453.5"/>
    <m/>
    <s v="Senior"/>
    <x v="0"/>
    <s v="West Elizabeth"/>
    <s v=" DE"/>
    <n v="56606"/>
    <n v="106301"/>
    <d v="2025-02-05T00:00:00"/>
    <x v="1"/>
    <s v="Scikit-learn"/>
    <s v=" PyTorch"/>
    <m/>
    <x v="7"/>
    <n v="96"/>
    <x v="7"/>
    <n v="255"/>
  </r>
  <r>
    <n v="533"/>
    <s v="Nolan, Jones and Nelson"/>
    <x v="1"/>
    <x v="3"/>
    <s v="Python"/>
    <s v=" PyTorch"/>
    <s v=" SQL"/>
    <s v=" FastAPI"/>
    <m/>
    <n v="85361"/>
    <m/>
    <s v="Mid"/>
    <x v="2"/>
    <s v="Hillfurt"/>
    <s v=" BO"/>
    <n v="54795"/>
    <n v="115927"/>
    <d v="2023-12-05T00:00:00"/>
    <x v="2"/>
    <s v="MLflow"/>
    <s v=" FastAPI"/>
    <s v=" Scikit-learn"/>
    <x v="5"/>
    <n v="94"/>
    <x v="6"/>
    <n v="259"/>
  </r>
  <r>
    <n v="534"/>
    <s v="Davidson, Walsh and Meyers"/>
    <x v="2"/>
    <x v="0"/>
    <s v="Keras"/>
    <s v=" Python"/>
    <s v=" Hugging Face"/>
    <s v=" Flask"/>
    <m/>
    <n v="87312.5"/>
    <m/>
    <s v="Senior"/>
    <x v="1"/>
    <s v="Susanfort"/>
    <s v=" IQ"/>
    <n v="68706"/>
    <n v="105919"/>
    <d v="2024-06-06T00:00:00"/>
    <x v="1"/>
    <s v="TensorFlow"/>
    <s v=" FastAPI"/>
    <m/>
    <x v="7"/>
    <n v="96"/>
    <x v="2"/>
    <n v="249"/>
  </r>
  <r>
    <n v="535"/>
    <s v="Burgess-Barrera"/>
    <x v="2"/>
    <x v="6"/>
    <s v="Hugging Face"/>
    <s v=" Azure"/>
    <s v=" PyTorch"/>
    <s v=" GCP"/>
    <m/>
    <n v="124700"/>
    <m/>
    <s v="Senior"/>
    <x v="2"/>
    <s v="Leebury"/>
    <s v=" SC"/>
    <n v="107190"/>
    <n v="142210"/>
    <d v="2025-09-13T00:00:00"/>
    <x v="0"/>
    <s v="FastAPI"/>
    <m/>
    <m/>
    <x v="9"/>
    <n v="89"/>
    <x v="1"/>
    <n v="251"/>
  </r>
  <r>
    <n v="536"/>
    <s v="Anderson LLC"/>
    <x v="0"/>
    <x v="3"/>
    <s v="TensorFlow"/>
    <s v=" LangChain"/>
    <s v=" Keras"/>
    <s v=" Scikit-learn"/>
    <s v=" Excel"/>
    <n v="92378"/>
    <s v=" C++"/>
    <s v="Entry"/>
    <x v="2"/>
    <s v="South Briannafort"/>
    <s v=" MZ"/>
    <n v="65172"/>
    <n v="119584"/>
    <d v="2024-01-22T00:00:00"/>
    <x v="1"/>
    <s v="MLflow"/>
    <m/>
    <m/>
    <x v="19"/>
    <n v="95"/>
    <x v="6"/>
    <n v="259"/>
  </r>
  <r>
    <n v="537"/>
    <s v="Cameron, Carter and Smith"/>
    <x v="0"/>
    <x v="7"/>
    <s v="Scikit-learn"/>
    <s v=" Azure"/>
    <s v=" GCP"/>
    <m/>
    <m/>
    <n v="104701"/>
    <m/>
    <s v="Mid"/>
    <x v="0"/>
    <s v="Blakebury"/>
    <s v=" CL"/>
    <n v="58475"/>
    <n v="150927"/>
    <d v="2025-06-18T00:00:00"/>
    <x v="0"/>
    <s v="PyTorch"/>
    <s v=" MLflow"/>
    <m/>
    <x v="1"/>
    <n v="76"/>
    <x v="5"/>
    <n v="233"/>
  </r>
  <r>
    <n v="538"/>
    <s v="Christensen LLC"/>
    <x v="2"/>
    <x v="2"/>
    <s v="FastAPI"/>
    <s v=" TensorFlow"/>
    <s v=" Keras"/>
    <m/>
    <m/>
    <n v="129507.5"/>
    <m/>
    <s v="Entry"/>
    <x v="2"/>
    <s v="New Codystad"/>
    <s v=" HU"/>
    <n v="89065"/>
    <n v="169950"/>
    <d v="2024-08-02T00:00:00"/>
    <x v="0"/>
    <s v="MLflow"/>
    <m/>
    <m/>
    <x v="20"/>
    <n v="111"/>
    <x v="6"/>
    <n v="259"/>
  </r>
  <r>
    <n v="539"/>
    <s v="Clark-Dennis"/>
    <x v="2"/>
    <x v="6"/>
    <s v="R"/>
    <s v=" NumPy"/>
    <s v=" Scikit-learn"/>
    <m/>
    <m/>
    <n v="153250"/>
    <m/>
    <s v="Mid"/>
    <x v="3"/>
    <s v="North Brianhaven"/>
    <s v=" IT"/>
    <n v="140046"/>
    <n v="166454"/>
    <d v="2024-08-08T00:00:00"/>
    <x v="1"/>
    <s v="BigQuery"/>
    <s v=" PyTorch"/>
    <m/>
    <x v="11"/>
    <n v="86"/>
    <x v="3"/>
    <n v="238"/>
  </r>
  <r>
    <n v="540"/>
    <s v="Obrien and Sons"/>
    <x v="5"/>
    <x v="7"/>
    <s v="Python"/>
    <s v=" MLflow"/>
    <s v=" SQL"/>
    <m/>
    <m/>
    <n v="55346.5"/>
    <m/>
    <s v="Mid"/>
    <x v="1"/>
    <s v="North Joannaberg"/>
    <s v=" VC"/>
    <n v="50054"/>
    <n v="60639"/>
    <d v="2024-06-30T00:00:00"/>
    <x v="0"/>
    <s v="Scikit-learn"/>
    <s v=" MLflow"/>
    <s v=" FastAPI"/>
    <x v="5"/>
    <n v="94"/>
    <x v="7"/>
    <n v="255"/>
  </r>
  <r>
    <n v="541"/>
    <s v="Gomez PLC"/>
    <x v="4"/>
    <x v="3"/>
    <s v="R"/>
    <s v=" Scikit-learn"/>
    <s v=" Power BI"/>
    <m/>
    <m/>
    <n v="122735.5"/>
    <m/>
    <s v="Senior"/>
    <x v="1"/>
    <s v="Stevenshire"/>
    <s v=" BE"/>
    <n v="84367"/>
    <n v="161104"/>
    <d v="2025-04-05T00:00:00"/>
    <x v="2"/>
    <s v="MLflow"/>
    <m/>
    <m/>
    <x v="11"/>
    <n v="86"/>
    <x v="6"/>
    <n v="259"/>
  </r>
  <r>
    <n v="542"/>
    <s v="Rogers-Shaw"/>
    <x v="4"/>
    <x v="3"/>
    <s v="Pandas"/>
    <s v=" LangChain"/>
    <s v=" Python"/>
    <s v=" Keras"/>
    <m/>
    <n v="149377.5"/>
    <m/>
    <s v="Senior"/>
    <x v="1"/>
    <s v="Ginafurt"/>
    <s v=" PW"/>
    <n v="106747"/>
    <n v="192008"/>
    <d v="2025-01-13T00:00:00"/>
    <x v="2"/>
    <s v="KDB+"/>
    <s v=" Scikit-learn"/>
    <s v=" TensorFlow"/>
    <x v="6"/>
    <n v="78"/>
    <x v="0"/>
    <n v="247"/>
  </r>
  <r>
    <n v="543"/>
    <s v="Gardner-Murphy"/>
    <x v="3"/>
    <x v="6"/>
    <s v="Hugging Face"/>
    <s v=" R"/>
    <s v=" Azure"/>
    <s v=" Power BI"/>
    <s v=" Excel"/>
    <n v="163822.5"/>
    <m/>
    <s v="Senior"/>
    <x v="0"/>
    <s v="Phillipsmouth"/>
    <s v=" BE"/>
    <n v="134658"/>
    <n v="192987"/>
    <d v="2024-01-16T00:00:00"/>
    <x v="1"/>
    <s v="LangChain"/>
    <s v=" FastAPI"/>
    <m/>
    <x v="9"/>
    <n v="89"/>
    <x v="4"/>
    <n v="268"/>
  </r>
  <r>
    <n v="544"/>
    <s v="Brooks, Morales and Parker"/>
    <x v="5"/>
    <x v="4"/>
    <s v="Pandas"/>
    <s v=" FastAPI"/>
    <s v=" Hugging Face"/>
    <s v=" PyTorch"/>
    <s v=" Power BI"/>
    <n v="74424.5"/>
    <m/>
    <s v="Senior"/>
    <x v="0"/>
    <s v="South Chelseamouth"/>
    <s v=" MR"/>
    <n v="67982"/>
    <n v="80867"/>
    <d v="2024-08-25T00:00:00"/>
    <x v="2"/>
    <s v="LangChain"/>
    <m/>
    <m/>
    <x v="6"/>
    <n v="78"/>
    <x v="4"/>
    <n v="268"/>
  </r>
  <r>
    <n v="545"/>
    <s v="Harrison, Nelson and Butler"/>
    <x v="1"/>
    <x v="0"/>
    <s v="GCP"/>
    <s v=" Pandas"/>
    <s v=" FastAPI"/>
    <s v=" C++"/>
    <s v=" Excel"/>
    <n v="96035.5"/>
    <m/>
    <s v="Mid"/>
    <x v="1"/>
    <s v="North Darren"/>
    <s v=" PG"/>
    <n v="66502"/>
    <n v="125569"/>
    <d v="2025-06-25T00:00:00"/>
    <x v="1"/>
    <s v="FastAPI"/>
    <s v=" MLflow"/>
    <m/>
    <x v="4"/>
    <n v="78"/>
    <x v="1"/>
    <n v="251"/>
  </r>
  <r>
    <n v="546"/>
    <s v="Boyd, Manning and Smith"/>
    <x v="4"/>
    <x v="3"/>
    <s v="Excel"/>
    <s v=" Pandas"/>
    <s v=" CUDA"/>
    <m/>
    <m/>
    <n v="141983"/>
    <m/>
    <s v="Mid"/>
    <x v="0"/>
    <s v="Walshmouth"/>
    <s v=" EG"/>
    <n v="129492"/>
    <n v="154474"/>
    <d v="2024-10-28T00:00:00"/>
    <x v="2"/>
    <s v="PyTorch"/>
    <m/>
    <m/>
    <x v="2"/>
    <n v="101"/>
    <x v="5"/>
    <n v="233"/>
  </r>
  <r>
    <n v="547"/>
    <s v="Morgan Group"/>
    <x v="4"/>
    <x v="5"/>
    <s v="Reinforcement Learning"/>
    <s v=" Hugging Face"/>
    <s v=" Pandas"/>
    <s v=" Excel"/>
    <m/>
    <n v="86518.5"/>
    <m/>
    <s v="Mid"/>
    <x v="2"/>
    <s v="East Robertbury"/>
    <s v=" PS"/>
    <n v="46778"/>
    <n v="126259"/>
    <d v="2025-05-02T00:00:00"/>
    <x v="2"/>
    <s v="FastAPI"/>
    <s v=" PyTorch"/>
    <m/>
    <x v="21"/>
    <n v="104"/>
    <x v="1"/>
    <n v="251"/>
  </r>
  <r>
    <n v="548"/>
    <s v="Sutton, Rivera and Mcintyre"/>
    <x v="3"/>
    <x v="5"/>
    <s v="Reinforcement Learning"/>
    <s v=" LangChain"/>
    <s v=" C++"/>
    <m/>
    <m/>
    <n v="172244"/>
    <m/>
    <s v="Entry"/>
    <x v="1"/>
    <s v="Port Briannaview"/>
    <s v=" MM"/>
    <n v="139140"/>
    <n v="205348"/>
    <d v="2025-09-07T00:00:00"/>
    <x v="2"/>
    <s v="LangChain"/>
    <s v=" FastAPI"/>
    <m/>
    <x v="21"/>
    <n v="104"/>
    <x v="4"/>
    <n v="268"/>
  </r>
  <r>
    <n v="549"/>
    <s v="Lee Inc"/>
    <x v="3"/>
    <x v="2"/>
    <s v="FastAPI"/>
    <s v=" Excel"/>
    <s v=" AWS"/>
    <s v=" LangChain"/>
    <s v=" Python"/>
    <n v="90179.5"/>
    <m/>
    <s v="Entry"/>
    <x v="2"/>
    <s v="Bradshawport"/>
    <s v=" TW"/>
    <n v="81090"/>
    <n v="99269"/>
    <d v="2024-10-25T00:00:00"/>
    <x v="2"/>
    <s v="KDB+"/>
    <s v=" MLflow"/>
    <m/>
    <x v="20"/>
    <n v="111"/>
    <x v="0"/>
    <n v="247"/>
  </r>
  <r>
    <n v="550"/>
    <s v="Clark-Stevens"/>
    <x v="1"/>
    <x v="6"/>
    <s v="Power BI"/>
    <s v=" C++"/>
    <s v=" R"/>
    <m/>
    <m/>
    <n v="170093.5"/>
    <m/>
    <s v="Senior"/>
    <x v="2"/>
    <s v="Port Isabellaport"/>
    <s v=" BB"/>
    <n v="134343"/>
    <n v="205844"/>
    <d v="2024-01-17T00:00:00"/>
    <x v="2"/>
    <s v="BigQuery"/>
    <m/>
    <m/>
    <x v="18"/>
    <n v="96"/>
    <x v="3"/>
    <n v="238"/>
  </r>
  <r>
    <n v="551"/>
    <s v="Young LLC"/>
    <x v="3"/>
    <x v="1"/>
    <s v="C++"/>
    <s v=" Hugging Face"/>
    <s v=" Flask"/>
    <s v=" Python"/>
    <s v=" NumPy"/>
    <n v="114040.5"/>
    <s v=" Scikit-learn"/>
    <s v="Senior"/>
    <x v="0"/>
    <s v="South Evan"/>
    <s v=" ZM"/>
    <n v="72912"/>
    <n v="155169"/>
    <d v="2024-02-12T00:00:00"/>
    <x v="0"/>
    <s v="Scikit-learn"/>
    <s v=" FastAPI"/>
    <s v=" LangChain"/>
    <x v="8"/>
    <n v="84"/>
    <x v="7"/>
    <n v="255"/>
  </r>
  <r>
    <n v="552"/>
    <s v="Shaffer Inc"/>
    <x v="3"/>
    <x v="5"/>
    <s v="FastAPI"/>
    <s v=" Azure"/>
    <s v=" TensorFlow"/>
    <m/>
    <m/>
    <n v="169855"/>
    <m/>
    <s v="Mid"/>
    <x v="1"/>
    <s v="West Adammouth"/>
    <s v=" MZ"/>
    <n v="123639"/>
    <n v="216071"/>
    <d v="2024-06-08T00:00:00"/>
    <x v="1"/>
    <s v="TensorFlow"/>
    <m/>
    <m/>
    <x v="20"/>
    <n v="111"/>
    <x v="2"/>
    <n v="249"/>
  </r>
  <r>
    <n v="553"/>
    <s v="Powers, Lee and Graves"/>
    <x v="0"/>
    <x v="6"/>
    <s v="MLflow"/>
    <s v=" Reinforcement Learning"/>
    <s v=" Python"/>
    <m/>
    <m/>
    <n v="79692.5"/>
    <m/>
    <s v="Mid"/>
    <x v="1"/>
    <s v="North Cindy"/>
    <s v=" CZ"/>
    <n v="71107"/>
    <n v="88278"/>
    <d v="2025-08-18T00:00:00"/>
    <x v="1"/>
    <s v="PyTorch"/>
    <s v=" TensorFlow"/>
    <m/>
    <x v="3"/>
    <n v="80"/>
    <x v="5"/>
    <n v="233"/>
  </r>
  <r>
    <n v="554"/>
    <s v="Williams-White"/>
    <x v="1"/>
    <x v="3"/>
    <s v="CUDA"/>
    <s v=" R"/>
    <s v=" Reinforcement Learning"/>
    <m/>
    <m/>
    <n v="153307.5"/>
    <m/>
    <s v="Entry"/>
    <x v="0"/>
    <s v="Amyside"/>
    <s v=" CH"/>
    <n v="139426"/>
    <n v="167189"/>
    <d v="2025-02-09T00:00:00"/>
    <x v="2"/>
    <s v="MLflow"/>
    <s v=" PyTorch"/>
    <s v=" KDB+"/>
    <x v="13"/>
    <n v="75"/>
    <x v="6"/>
    <n v="259"/>
  </r>
  <r>
    <n v="555"/>
    <s v="Smith-Green"/>
    <x v="2"/>
    <x v="0"/>
    <s v="Python"/>
    <s v=" AWS"/>
    <s v=" FastAPI"/>
    <m/>
    <m/>
    <n v="71298.5"/>
    <m/>
    <s v="Entry"/>
    <x v="0"/>
    <s v="East Mariahberg"/>
    <s v=" NL"/>
    <n v="41327"/>
    <n v="101270"/>
    <d v="2024-08-18T00:00:00"/>
    <x v="1"/>
    <s v="FastAPI"/>
    <m/>
    <m/>
    <x v="5"/>
    <n v="94"/>
    <x v="1"/>
    <n v="251"/>
  </r>
  <r>
    <n v="556"/>
    <s v="Miller and Sons"/>
    <x v="1"/>
    <x v="7"/>
    <s v="MLflow"/>
    <s v=" AWS"/>
    <s v=" SQL"/>
    <s v=" Python"/>
    <m/>
    <n v="139914"/>
    <m/>
    <s v="Mid"/>
    <x v="0"/>
    <s v="North Michele"/>
    <s v=" BZ"/>
    <n v="132842"/>
    <n v="146986"/>
    <d v="2024-01-03T00:00:00"/>
    <x v="1"/>
    <s v="TensorFlow"/>
    <s v=" FastAPI"/>
    <m/>
    <x v="3"/>
    <n v="80"/>
    <x v="2"/>
    <n v="249"/>
  </r>
  <r>
    <n v="557"/>
    <s v="Thomas-Howell"/>
    <x v="3"/>
    <x v="5"/>
    <s v="MLflow"/>
    <s v=" Azure"/>
    <s v=" Python"/>
    <m/>
    <m/>
    <n v="98580.5"/>
    <m/>
    <s v="Senior"/>
    <x v="1"/>
    <s v="Matthewshire"/>
    <s v=" HN"/>
    <n v="61018"/>
    <n v="136143"/>
    <d v="2023-12-19T00:00:00"/>
    <x v="1"/>
    <s v="TensorFlow"/>
    <s v=" KDB+"/>
    <m/>
    <x v="3"/>
    <n v="80"/>
    <x v="2"/>
    <n v="249"/>
  </r>
  <r>
    <n v="558"/>
    <s v="Velez, Foley and Walker"/>
    <x v="4"/>
    <x v="4"/>
    <s v="Excel"/>
    <s v=" Flask"/>
    <s v=" Power BI"/>
    <s v=" PyTorch"/>
    <s v=" SQL"/>
    <n v="161932"/>
    <s v=" CUDA"/>
    <s v="Senior"/>
    <x v="1"/>
    <s v="Lake Joseph"/>
    <s v=" SN"/>
    <n v="129013"/>
    <n v="194851"/>
    <d v="2024-08-21T00:00:00"/>
    <x v="1"/>
    <s v="LangChain"/>
    <s v=" BigQuery"/>
    <s v=" FastAPI"/>
    <x v="2"/>
    <n v="101"/>
    <x v="4"/>
    <n v="268"/>
  </r>
  <r>
    <n v="559"/>
    <s v="Mccoy Group"/>
    <x v="1"/>
    <x v="3"/>
    <s v="Scikit-learn"/>
    <s v=" AWS"/>
    <s v=" CUDA"/>
    <s v=" Azure"/>
    <s v=" Hugging Face"/>
    <n v="76046.5"/>
    <m/>
    <s v="Senior"/>
    <x v="0"/>
    <s v="North Tamara"/>
    <s v=" SM"/>
    <n v="53336"/>
    <n v="98757"/>
    <d v="2024-10-16T00:00:00"/>
    <x v="2"/>
    <s v="FastAPI"/>
    <s v=" TensorFlow"/>
    <s v=" LangChain"/>
    <x v="1"/>
    <n v="76"/>
    <x v="1"/>
    <n v="251"/>
  </r>
  <r>
    <n v="560"/>
    <s v="Hall Ltd"/>
    <x v="4"/>
    <x v="6"/>
    <s v="LangChain"/>
    <s v=" Python"/>
    <s v=" AWS"/>
    <s v=" R"/>
    <s v=" Keras"/>
    <n v="96298"/>
    <m/>
    <s v="Entry"/>
    <x v="3"/>
    <s v="Jamesview"/>
    <s v=" HT"/>
    <n v="60072"/>
    <n v="132524"/>
    <d v="2025-05-31T00:00:00"/>
    <x v="2"/>
    <s v="LangChain"/>
    <s v=" BigQuery"/>
    <m/>
    <x v="12"/>
    <n v="100"/>
    <x v="4"/>
    <n v="268"/>
  </r>
  <r>
    <n v="561"/>
    <s v="Dixon-Sanchez"/>
    <x v="1"/>
    <x v="2"/>
    <s v="Excel"/>
    <s v=" Azure"/>
    <s v=" Pandas"/>
    <s v=" PyTorch"/>
    <s v=" SQL"/>
    <n v="130793"/>
    <m/>
    <s v="Mid"/>
    <x v="3"/>
    <s v="Adamsshire"/>
    <s v=" AZ"/>
    <n v="95822"/>
    <n v="165764"/>
    <d v="2025-05-21T00:00:00"/>
    <x v="2"/>
    <s v="PyTorch"/>
    <s v=" TensorFlow"/>
    <s v=" KDB+"/>
    <x v="2"/>
    <n v="101"/>
    <x v="5"/>
    <n v="233"/>
  </r>
  <r>
    <n v="562"/>
    <s v="Goodman and Sons"/>
    <x v="5"/>
    <x v="5"/>
    <s v="NumPy"/>
    <s v=" Excel"/>
    <s v=" LangChain"/>
    <m/>
    <m/>
    <n v="164737"/>
    <m/>
    <s v="Entry"/>
    <x v="2"/>
    <s v="Zacharyfurt"/>
    <s v=" ST"/>
    <n v="123940"/>
    <n v="205534"/>
    <d v="2024-10-21T00:00:00"/>
    <x v="1"/>
    <s v="MLflow"/>
    <s v=" Scikit-learn"/>
    <s v=" FastAPI"/>
    <x v="0"/>
    <n v="104"/>
    <x v="6"/>
    <n v="259"/>
  </r>
  <r>
    <n v="563"/>
    <s v="Garcia, Moss and Mccormick"/>
    <x v="1"/>
    <x v="4"/>
    <s v="TensorFlow"/>
    <s v=" Flask"/>
    <s v=" NumPy"/>
    <s v=" GCP"/>
    <m/>
    <n v="129018.5"/>
    <m/>
    <s v="Mid"/>
    <x v="1"/>
    <s v="New Bettyborough"/>
    <s v=" GR"/>
    <n v="93765"/>
    <n v="164272"/>
    <d v="2024-02-16T00:00:00"/>
    <x v="1"/>
    <s v="TensorFlow"/>
    <m/>
    <m/>
    <x v="19"/>
    <n v="95"/>
    <x v="2"/>
    <n v="249"/>
  </r>
  <r>
    <n v="564"/>
    <s v="Mccullough-Fields"/>
    <x v="0"/>
    <x v="7"/>
    <s v="Hugging Face"/>
    <s v=" Flask"/>
    <s v=" Pandas"/>
    <s v=" Scikit-learn"/>
    <m/>
    <n v="116154.5"/>
    <m/>
    <s v="Senior"/>
    <x v="3"/>
    <s v="Georgeview"/>
    <s v=" LB"/>
    <n v="107143"/>
    <n v="125166"/>
    <d v="2024-07-31T00:00:00"/>
    <x v="1"/>
    <s v="BigQuery"/>
    <s v=" MLflow"/>
    <m/>
    <x v="9"/>
    <n v="89"/>
    <x v="3"/>
    <n v="238"/>
  </r>
  <r>
    <n v="565"/>
    <s v="Green, Stewart and Nelson"/>
    <x v="0"/>
    <x v="7"/>
    <s v="Python"/>
    <s v=" Pandas"/>
    <s v=" R"/>
    <s v=" Scikit-learn"/>
    <m/>
    <n v="122818"/>
    <m/>
    <s v="Entry"/>
    <x v="1"/>
    <s v="Carmenbury"/>
    <s v=" TV"/>
    <n v="78028"/>
    <n v="167608"/>
    <d v="2025-09-02T00:00:00"/>
    <x v="0"/>
    <s v="LangChain"/>
    <s v=" TensorFlow"/>
    <s v=" BigQuery"/>
    <x v="5"/>
    <n v="94"/>
    <x v="4"/>
    <n v="268"/>
  </r>
  <r>
    <n v="566"/>
    <s v="Montgomery and Sons"/>
    <x v="1"/>
    <x v="1"/>
    <s v="Excel"/>
    <s v=" TensorFlow"/>
    <s v=" Azure"/>
    <s v=" Reinforcement Learning"/>
    <m/>
    <n v="74570"/>
    <m/>
    <s v="Entry"/>
    <x v="2"/>
    <s v="New Josemouth"/>
    <s v=" KE"/>
    <n v="65169"/>
    <n v="83971"/>
    <d v="2024-04-11T00:00:00"/>
    <x v="0"/>
    <s v="BigQuery"/>
    <s v=" FastAPI"/>
    <m/>
    <x v="2"/>
    <n v="101"/>
    <x v="3"/>
    <n v="238"/>
  </r>
  <r>
    <n v="567"/>
    <s v="Fuentes LLC"/>
    <x v="4"/>
    <x v="0"/>
    <s v="Hugging Face"/>
    <s v=" Keras"/>
    <s v=" FastAPI"/>
    <s v=" Power BI"/>
    <m/>
    <n v="101978.5"/>
    <m/>
    <s v="Senior"/>
    <x v="2"/>
    <s v="Lake Christophershire"/>
    <s v=" UZ"/>
    <n v="70715"/>
    <n v="133242"/>
    <d v="2025-01-29T00:00:00"/>
    <x v="2"/>
    <s v="LangChain"/>
    <s v=" PyTorch"/>
    <s v=" MLflow"/>
    <x v="9"/>
    <n v="89"/>
    <x v="4"/>
    <n v="268"/>
  </r>
  <r>
    <n v="568"/>
    <s v="Farmer-Higgins"/>
    <x v="3"/>
    <x v="0"/>
    <s v="Reinforcement Learning"/>
    <s v=" Pandas"/>
    <s v=" AWS"/>
    <m/>
    <m/>
    <n v="156929.5"/>
    <m/>
    <s v="Senior"/>
    <x v="3"/>
    <s v="East Cindy"/>
    <s v=" IL"/>
    <n v="119460"/>
    <n v="194399"/>
    <d v="2024-04-17T00:00:00"/>
    <x v="1"/>
    <s v="FastAPI"/>
    <s v=" KDB+"/>
    <s v=" BigQuery"/>
    <x v="21"/>
    <n v="104"/>
    <x v="1"/>
    <n v="251"/>
  </r>
  <r>
    <n v="569"/>
    <s v="Lyons-Dunlap"/>
    <x v="3"/>
    <x v="6"/>
    <s v="Keras"/>
    <s v=" Python"/>
    <s v=" PyTorch"/>
    <s v=" GCP"/>
    <s v=" C++"/>
    <n v="127601"/>
    <m/>
    <s v="Mid"/>
    <x v="2"/>
    <s v="Jamesshire"/>
    <s v=" BN"/>
    <n v="91699"/>
    <n v="163503"/>
    <d v="2024-08-03T00:00:00"/>
    <x v="0"/>
    <s v="Scikit-learn"/>
    <s v=" TensorFlow"/>
    <s v=" PyTorch"/>
    <x v="7"/>
    <n v="96"/>
    <x v="7"/>
    <n v="255"/>
  </r>
  <r>
    <n v="570"/>
    <s v="Moore, Whitney and Davis"/>
    <x v="1"/>
    <x v="3"/>
    <s v="PyTorch"/>
    <s v=" Flask"/>
    <s v=" CUDA"/>
    <s v=" NumPy"/>
    <s v=" AWS"/>
    <n v="89763"/>
    <s v=" SQL"/>
    <s v="Senior"/>
    <x v="0"/>
    <s v="East Jamie"/>
    <s v=" BO"/>
    <n v="67161"/>
    <n v="112365"/>
    <d v="2025-06-01T00:00:00"/>
    <x v="2"/>
    <s v="Scikit-learn"/>
    <s v=" PyTorch"/>
    <s v=" FastAPI"/>
    <x v="14"/>
    <n v="92"/>
    <x v="7"/>
    <n v="255"/>
  </r>
  <r>
    <n v="571"/>
    <s v="Glass and Sons"/>
    <x v="0"/>
    <x v="6"/>
    <s v="LangChain"/>
    <s v=" TensorFlow"/>
    <s v=" Azure"/>
    <m/>
    <m/>
    <n v="146118"/>
    <m/>
    <s v="Mid"/>
    <x v="1"/>
    <s v="Jenniferfurt"/>
    <s v=" RO"/>
    <n v="106546"/>
    <n v="185690"/>
    <d v="2023-10-12T00:00:00"/>
    <x v="0"/>
    <s v="MLflow"/>
    <s v=" BigQuery"/>
    <m/>
    <x v="12"/>
    <n v="100"/>
    <x v="6"/>
    <n v="259"/>
  </r>
  <r>
    <n v="572"/>
    <s v="Gaines Ltd"/>
    <x v="1"/>
    <x v="4"/>
    <s v="TensorFlow"/>
    <s v=" FastAPI"/>
    <s v=" PyTorch"/>
    <s v=" Hugging Face"/>
    <s v=" Pandas"/>
    <n v="154335.5"/>
    <m/>
    <s v="Mid"/>
    <x v="0"/>
    <s v="Jacquelineville"/>
    <s v=" GE"/>
    <n v="137451"/>
    <n v="171220"/>
    <d v="2024-11-29T00:00:00"/>
    <x v="1"/>
    <s v="TensorFlow"/>
    <s v=" LangChain"/>
    <s v=" Scikit-learn"/>
    <x v="19"/>
    <n v="95"/>
    <x v="2"/>
    <n v="249"/>
  </r>
  <r>
    <n v="573"/>
    <s v="Garcia-Cannon"/>
    <x v="3"/>
    <x v="2"/>
    <s v="Keras"/>
    <s v=" NumPy"/>
    <s v=" R"/>
    <s v=" LangChain"/>
    <s v=" Reinforcement Learning"/>
    <n v="141615"/>
    <m/>
    <s v="Senior"/>
    <x v="2"/>
    <s v="Port Shannon"/>
    <s v=" TV"/>
    <n v="109614"/>
    <n v="173616"/>
    <d v="2025-03-09T00:00:00"/>
    <x v="2"/>
    <s v="KDB+"/>
    <s v=" BigQuery"/>
    <m/>
    <x v="7"/>
    <n v="96"/>
    <x v="0"/>
    <n v="247"/>
  </r>
  <r>
    <n v="574"/>
    <s v="Robbins, Luna and Wiggins"/>
    <x v="3"/>
    <x v="0"/>
    <s v="SQL"/>
    <s v=" LangChain"/>
    <s v=" MLflow"/>
    <s v=" AWS"/>
    <s v=" Reinforcement Learning"/>
    <n v="163111.5"/>
    <m/>
    <s v="Mid"/>
    <x v="2"/>
    <s v="Tonyburgh"/>
    <s v=" BO"/>
    <n v="123263"/>
    <n v="202960"/>
    <d v="2023-12-12T00:00:00"/>
    <x v="2"/>
    <s v="MLflow"/>
    <m/>
    <m/>
    <x v="17"/>
    <n v="88"/>
    <x v="6"/>
    <n v="259"/>
  </r>
  <r>
    <n v="575"/>
    <s v="Green-Poole"/>
    <x v="6"/>
    <x v="0"/>
    <s v="Flask"/>
    <s v=" LangChain"/>
    <s v=" FastAPI"/>
    <m/>
    <m/>
    <n v="75520.5"/>
    <m/>
    <s v="Senior"/>
    <x v="0"/>
    <s v="Lake Timothyville"/>
    <s v=" LB"/>
    <n v="40293"/>
    <n v="110748"/>
    <d v="2025-02-24T00:00:00"/>
    <x v="2"/>
    <s v="FastAPI"/>
    <s v=" BigQuery"/>
    <s v=" MLflow"/>
    <x v="16"/>
    <n v="86"/>
    <x v="1"/>
    <n v="251"/>
  </r>
  <r>
    <n v="576"/>
    <s v="Shaw-Bell"/>
    <x v="3"/>
    <x v="4"/>
    <s v="LangChain"/>
    <s v=" SQL"/>
    <s v=" Reinforcement Learning"/>
    <m/>
    <m/>
    <n v="147292.5"/>
    <m/>
    <s v="Senior"/>
    <x v="1"/>
    <s v="Rodriguezfort"/>
    <s v=" NZ"/>
    <n v="127698"/>
    <n v="166887"/>
    <d v="2024-10-16T00:00:00"/>
    <x v="2"/>
    <s v="PyTorch"/>
    <s v=" LangChain"/>
    <s v=" KDB+"/>
    <x v="12"/>
    <n v="100"/>
    <x v="5"/>
    <n v="233"/>
  </r>
  <r>
    <n v="577"/>
    <s v="Mason, Gonzalez and Miller"/>
    <x v="4"/>
    <x v="6"/>
    <s v="Power BI"/>
    <s v=" AWS"/>
    <s v=" TensorFlow"/>
    <s v=" Keras"/>
    <s v=" CUDA"/>
    <n v="149964.5"/>
    <s v=" Pandas"/>
    <s v="Mid"/>
    <x v="1"/>
    <s v="Garciamouth"/>
    <s v=" DE"/>
    <n v="136999"/>
    <n v="162930"/>
    <d v="2025-05-23T00:00:00"/>
    <x v="1"/>
    <s v="KDB+"/>
    <s v=" Scikit-learn"/>
    <m/>
    <x v="18"/>
    <n v="96"/>
    <x v="0"/>
    <n v="247"/>
  </r>
  <r>
    <n v="578"/>
    <s v="Carroll-Carroll"/>
    <x v="2"/>
    <x v="7"/>
    <s v="Power BI"/>
    <s v=" Pandas"/>
    <s v=" CUDA"/>
    <m/>
    <m/>
    <n v="188156.5"/>
    <m/>
    <s v="Mid"/>
    <x v="3"/>
    <s v="Lake Andrewbury"/>
    <s v=" ZA"/>
    <n v="140731"/>
    <n v="235582"/>
    <d v="2023-12-03T00:00:00"/>
    <x v="0"/>
    <s v="TensorFlow"/>
    <m/>
    <m/>
    <x v="18"/>
    <n v="96"/>
    <x v="2"/>
    <n v="249"/>
  </r>
  <r>
    <n v="579"/>
    <s v="Fisher, Davis and Kelly"/>
    <x v="2"/>
    <x v="3"/>
    <s v="Pandas"/>
    <s v=" GCP"/>
    <s v=" Hugging Face"/>
    <m/>
    <m/>
    <n v="157521.5"/>
    <m/>
    <s v="Entry"/>
    <x v="0"/>
    <s v="North Kevin"/>
    <s v=" VA"/>
    <n v="108142"/>
    <n v="206901"/>
    <d v="2023-10-20T00:00:00"/>
    <x v="0"/>
    <s v="LangChain"/>
    <s v=" BigQuery"/>
    <m/>
    <x v="6"/>
    <n v="78"/>
    <x v="4"/>
    <n v="268"/>
  </r>
  <r>
    <n v="580"/>
    <s v="Hughes Ltd"/>
    <x v="5"/>
    <x v="4"/>
    <s v="AWS"/>
    <s v=" Power BI"/>
    <s v=" MLflow"/>
    <s v=" Python"/>
    <s v=" GCP"/>
    <n v="103429.5"/>
    <m/>
    <s v="Entry"/>
    <x v="1"/>
    <s v="East Lisa"/>
    <s v=" GY"/>
    <n v="92863"/>
    <n v="113996"/>
    <d v="2024-01-11T00:00:00"/>
    <x v="0"/>
    <s v="MLflow"/>
    <s v=" LangChain"/>
    <s v=" BigQuery"/>
    <x v="10"/>
    <n v="97"/>
    <x v="6"/>
    <n v="259"/>
  </r>
  <r>
    <n v="581"/>
    <s v="Mcneil Ltd"/>
    <x v="3"/>
    <x v="0"/>
    <s v="Pandas"/>
    <s v=" R"/>
    <s v=" AWS"/>
    <s v=" PyTorch"/>
    <m/>
    <n v="95606.5"/>
    <m/>
    <s v="Senior"/>
    <x v="0"/>
    <s v="Brandonshire"/>
    <s v=" MU"/>
    <n v="49202"/>
    <n v="142011"/>
    <d v="2024-11-17T00:00:00"/>
    <x v="0"/>
    <s v="LangChain"/>
    <m/>
    <m/>
    <x v="6"/>
    <n v="78"/>
    <x v="4"/>
    <n v="268"/>
  </r>
  <r>
    <n v="582"/>
    <s v="Clark, Garcia and Smith"/>
    <x v="3"/>
    <x v="3"/>
    <s v="Hugging Face"/>
    <s v=" Python"/>
    <s v=" Pandas"/>
    <m/>
    <m/>
    <n v="136434"/>
    <m/>
    <s v="Entry"/>
    <x v="2"/>
    <s v="East Laurenland"/>
    <s v=" UA"/>
    <n v="117905"/>
    <n v="154963"/>
    <d v="2023-12-27T00:00:00"/>
    <x v="2"/>
    <s v="FastAPI"/>
    <s v=" Scikit-learn"/>
    <s v=" PyTorch"/>
    <x v="9"/>
    <n v="89"/>
    <x v="1"/>
    <n v="251"/>
  </r>
  <r>
    <n v="583"/>
    <s v="Robinson-Murphy"/>
    <x v="5"/>
    <x v="7"/>
    <s v="Power BI"/>
    <s v=" Python"/>
    <s v=" GCP"/>
    <s v=" C++"/>
    <m/>
    <n v="79460"/>
    <m/>
    <s v="Mid"/>
    <x v="0"/>
    <s v="East Raymond"/>
    <s v=" NR"/>
    <n v="69967"/>
    <n v="88953"/>
    <d v="2024-03-26T00:00:00"/>
    <x v="0"/>
    <s v="Scikit-learn"/>
    <s v=" FastAPI"/>
    <s v=" TensorFlow"/>
    <x v="18"/>
    <n v="96"/>
    <x v="7"/>
    <n v="255"/>
  </r>
  <r>
    <n v="584"/>
    <s v="Jenkins, Shelton and Galloway"/>
    <x v="1"/>
    <x v="0"/>
    <s v="CUDA"/>
    <s v=" AWS"/>
    <s v=" Scikit-learn"/>
    <m/>
    <m/>
    <n v="166912.5"/>
    <m/>
    <s v="Mid"/>
    <x v="1"/>
    <s v="Port Jenniferhaven"/>
    <s v=" DM"/>
    <n v="117659"/>
    <n v="216166"/>
    <d v="2024-05-26T00:00:00"/>
    <x v="1"/>
    <s v="MLflow"/>
    <m/>
    <m/>
    <x v="13"/>
    <n v="75"/>
    <x v="6"/>
    <n v="259"/>
  </r>
  <r>
    <n v="585"/>
    <s v="Oconnor, Montgomery and Figueroa"/>
    <x v="6"/>
    <x v="4"/>
    <s v="Python"/>
    <s v=" LangChain"/>
    <s v=" Pandas"/>
    <s v=" TensorFlow"/>
    <m/>
    <n v="97518"/>
    <m/>
    <s v="Mid"/>
    <x v="1"/>
    <s v="Lake Elizabeth"/>
    <s v=" BA"/>
    <n v="59894"/>
    <n v="135142"/>
    <d v="2023-12-12T00:00:00"/>
    <x v="2"/>
    <s v="MLflow"/>
    <m/>
    <m/>
    <x v="5"/>
    <n v="94"/>
    <x v="6"/>
    <n v="259"/>
  </r>
  <r>
    <n v="586"/>
    <s v="Lin-Robinson"/>
    <x v="5"/>
    <x v="7"/>
    <s v="Hugging Face"/>
    <s v=" Azure"/>
    <s v=" NumPy"/>
    <m/>
    <m/>
    <n v="174446.5"/>
    <m/>
    <s v="Senior"/>
    <x v="0"/>
    <s v="Jamesmouth"/>
    <s v=" TO"/>
    <n v="137561"/>
    <n v="211332"/>
    <d v="2025-07-19T00:00:00"/>
    <x v="1"/>
    <s v="LangChain"/>
    <s v=" Scikit-learn"/>
    <s v=" MLflow"/>
    <x v="9"/>
    <n v="89"/>
    <x v="4"/>
    <n v="268"/>
  </r>
  <r>
    <n v="587"/>
    <s v="Thompson, Mosley and Mitchell"/>
    <x v="4"/>
    <x v="3"/>
    <s v="R"/>
    <s v=" Scikit-learn"/>
    <s v=" SQL"/>
    <s v=" LangChain"/>
    <m/>
    <n v="143745"/>
    <m/>
    <s v="Entry"/>
    <x v="1"/>
    <s v="Lake April"/>
    <s v=" UA"/>
    <n v="116335"/>
    <n v="171155"/>
    <d v="2024-02-13T00:00:00"/>
    <x v="2"/>
    <s v="PyTorch"/>
    <m/>
    <m/>
    <x v="11"/>
    <n v="86"/>
    <x v="5"/>
    <n v="233"/>
  </r>
  <r>
    <n v="588"/>
    <s v="Austin-Burke"/>
    <x v="6"/>
    <x v="6"/>
    <s v="FastAPI"/>
    <s v=" SQL"/>
    <s v=" Scikit-learn"/>
    <s v=" NumPy"/>
    <s v=" Excel"/>
    <n v="122910"/>
    <s v=" PyTorch"/>
    <s v="Senior"/>
    <x v="3"/>
    <s v="South Christophermouth"/>
    <s v=" PW"/>
    <n v="96083"/>
    <n v="149737"/>
    <d v="2024-05-16T00:00:00"/>
    <x v="1"/>
    <s v="PyTorch"/>
    <s v=" BigQuery"/>
    <m/>
    <x v="20"/>
    <n v="111"/>
    <x v="5"/>
    <n v="233"/>
  </r>
  <r>
    <n v="589"/>
    <s v="Smith-Webster"/>
    <x v="4"/>
    <x v="6"/>
    <s v="Power BI"/>
    <s v=" Scikit-learn"/>
    <s v=" R"/>
    <s v=" Python"/>
    <s v=" Keras"/>
    <n v="160519"/>
    <m/>
    <s v="Senior"/>
    <x v="2"/>
    <s v="West Karen"/>
    <s v=" DK"/>
    <n v="143953"/>
    <n v="177085"/>
    <d v="2025-02-28T00:00:00"/>
    <x v="0"/>
    <s v="TensorFlow"/>
    <s v=" KDB+"/>
    <s v=" MLflow"/>
    <x v="18"/>
    <n v="96"/>
    <x v="2"/>
    <n v="249"/>
  </r>
  <r>
    <n v="590"/>
    <s v="Bennett and Sons"/>
    <x v="3"/>
    <x v="5"/>
    <s v="C++"/>
    <s v=" Reinforcement Learning"/>
    <s v=" Azure"/>
    <s v=" CUDA"/>
    <s v=" MLflow"/>
    <n v="83648.5"/>
    <m/>
    <s v="Entry"/>
    <x v="0"/>
    <s v="Burnetttown"/>
    <s v=" KE"/>
    <n v="75110"/>
    <n v="92187"/>
    <d v="2024-05-13T00:00:00"/>
    <x v="2"/>
    <s v="BigQuery"/>
    <m/>
    <m/>
    <x v="8"/>
    <n v="84"/>
    <x v="3"/>
    <n v="238"/>
  </r>
  <r>
    <n v="591"/>
    <s v="Hess-Hobbs"/>
    <x v="0"/>
    <x v="5"/>
    <s v="Keras"/>
    <s v=" AWS"/>
    <s v=" NumPy"/>
    <s v=" MLflow"/>
    <s v=" TensorFlow"/>
    <n v="130611"/>
    <s v=" Flask"/>
    <s v="Mid"/>
    <x v="2"/>
    <s v="Jacquelineview"/>
    <s v=" MN"/>
    <n v="121197"/>
    <n v="140025"/>
    <d v="2025-02-06T00:00:00"/>
    <x v="0"/>
    <s v="Scikit-learn"/>
    <s v=" KDB+"/>
    <s v=" MLflow"/>
    <x v="7"/>
    <n v="96"/>
    <x v="7"/>
    <n v="255"/>
  </r>
  <r>
    <n v="592"/>
    <s v="Scott-Garcia"/>
    <x v="1"/>
    <x v="6"/>
    <s v="Flask"/>
    <s v=" Power BI"/>
    <s v=" LangChain"/>
    <s v=" Excel"/>
    <s v=" MLflow"/>
    <n v="67021"/>
    <s v=" R"/>
    <s v="Senior"/>
    <x v="3"/>
    <s v="Raymondville"/>
    <s v=" SR"/>
    <n v="54151"/>
    <n v="79891"/>
    <d v="2024-03-03T00:00:00"/>
    <x v="1"/>
    <s v="FastAPI"/>
    <s v=" TensorFlow"/>
    <s v=" MLflow"/>
    <x v="16"/>
    <n v="86"/>
    <x v="1"/>
    <n v="251"/>
  </r>
  <r>
    <n v="593"/>
    <s v="Scott Ltd"/>
    <x v="5"/>
    <x v="4"/>
    <s v="Hugging Face"/>
    <s v=" MLflow"/>
    <s v=" CUDA"/>
    <s v=" Python"/>
    <s v=" Keras"/>
    <n v="174908"/>
    <s v=" SQL"/>
    <s v="Senior"/>
    <x v="2"/>
    <s v="Lake Colleenmouth"/>
    <s v=" NA"/>
    <n v="149692"/>
    <n v="200124"/>
    <d v="2024-12-29T00:00:00"/>
    <x v="0"/>
    <s v="TensorFlow"/>
    <s v=" FastAPI"/>
    <s v=" Scikit-learn"/>
    <x v="9"/>
    <n v="89"/>
    <x v="2"/>
    <n v="249"/>
  </r>
  <r>
    <n v="594"/>
    <s v="Wheeler, Thompson and Rivera"/>
    <x v="2"/>
    <x v="1"/>
    <s v="Pandas"/>
    <s v=" MLflow"/>
    <s v=" TensorFlow"/>
    <s v=" Power BI"/>
    <m/>
    <n v="98020"/>
    <m/>
    <s v="Mid"/>
    <x v="3"/>
    <s v="Jacobland"/>
    <s v=" BR"/>
    <n v="59190"/>
    <n v="136850"/>
    <d v="2025-04-27T00:00:00"/>
    <x v="2"/>
    <s v="LangChain"/>
    <s v=" KDB+"/>
    <s v=" BigQuery"/>
    <x v="6"/>
    <n v="78"/>
    <x v="4"/>
    <n v="268"/>
  </r>
  <r>
    <n v="595"/>
    <s v="Collins LLC"/>
    <x v="2"/>
    <x v="3"/>
    <s v="R"/>
    <s v=" CUDA"/>
    <s v=" TensorFlow"/>
    <m/>
    <m/>
    <n v="159668"/>
    <m/>
    <s v="Senior"/>
    <x v="1"/>
    <s v="Ryanfort"/>
    <s v=" SB"/>
    <n v="109704"/>
    <n v="209632"/>
    <d v="2024-12-26T00:00:00"/>
    <x v="0"/>
    <s v="PyTorch"/>
    <s v=" LangChain"/>
    <m/>
    <x v="11"/>
    <n v="86"/>
    <x v="5"/>
    <n v="233"/>
  </r>
  <r>
    <n v="596"/>
    <s v="Decker, Wilson and Daniel"/>
    <x v="3"/>
    <x v="6"/>
    <s v="Azure"/>
    <s v=" Excel"/>
    <s v=" Power BI"/>
    <s v=" SQL"/>
    <m/>
    <n v="63059"/>
    <m/>
    <s v="Entry"/>
    <x v="0"/>
    <s v="North Elizabeth"/>
    <s v=" VU"/>
    <n v="56774"/>
    <n v="69344"/>
    <d v="2024-09-30T00:00:00"/>
    <x v="2"/>
    <s v="Scikit-learn"/>
    <s v=" BigQuery"/>
    <s v=" MLflow"/>
    <x v="15"/>
    <n v="90"/>
    <x v="7"/>
    <n v="255"/>
  </r>
  <r>
    <n v="597"/>
    <s v="Erickson-Hill"/>
    <x v="2"/>
    <x v="3"/>
    <s v="LangChain"/>
    <s v=" Reinforcement Learning"/>
    <s v=" CUDA"/>
    <s v=" R"/>
    <s v=" SQL"/>
    <n v="54564"/>
    <s v=" Excel"/>
    <s v="Senior"/>
    <x v="1"/>
    <s v="Aaronview"/>
    <s v=" AZ"/>
    <n v="48914"/>
    <n v="60214"/>
    <d v="2024-10-13T00:00:00"/>
    <x v="1"/>
    <s v="KDB+"/>
    <m/>
    <m/>
    <x v="12"/>
    <n v="100"/>
    <x v="0"/>
    <n v="247"/>
  </r>
  <r>
    <n v="598"/>
    <s v="Harrison, Miller and Vasquez"/>
    <x v="1"/>
    <x v="0"/>
    <s v="Flask"/>
    <s v=" Reinforcement Learning"/>
    <s v=" Pandas"/>
    <s v=" CUDA"/>
    <s v=" Azure"/>
    <n v="77386"/>
    <m/>
    <s v="Mid"/>
    <x v="1"/>
    <s v="East Laceyville"/>
    <s v=" FI"/>
    <n v="47206"/>
    <n v="107566"/>
    <d v="2024-10-21T00:00:00"/>
    <x v="0"/>
    <s v="LangChain"/>
    <s v=" Scikit-learn"/>
    <s v=" FastAPI"/>
    <x v="16"/>
    <n v="86"/>
    <x v="4"/>
    <n v="268"/>
  </r>
  <r>
    <n v="599"/>
    <s v="Avery-Randall"/>
    <x v="1"/>
    <x v="7"/>
    <s v="TensorFlow"/>
    <s v=" Power BI"/>
    <s v=" PyTorch"/>
    <m/>
    <m/>
    <n v="95808"/>
    <m/>
    <s v="Mid"/>
    <x v="1"/>
    <s v="Thomasborough"/>
    <s v=" SR"/>
    <n v="49463"/>
    <n v="142153"/>
    <d v="2025-07-27T00:00:00"/>
    <x v="1"/>
    <s v="BigQuery"/>
    <m/>
    <m/>
    <x v="19"/>
    <n v="95"/>
    <x v="3"/>
    <n v="238"/>
  </r>
  <r>
    <n v="600"/>
    <s v="Gonzalez LLC"/>
    <x v="1"/>
    <x v="1"/>
    <s v="C++"/>
    <s v=" Hugging Face"/>
    <s v=" PyTorch"/>
    <s v=" SQL"/>
    <m/>
    <n v="108206"/>
    <m/>
    <s v="Mid"/>
    <x v="0"/>
    <s v="Lake Kaylaport"/>
    <s v=" VU"/>
    <n v="77762"/>
    <n v="138650"/>
    <d v="2024-03-26T00:00:00"/>
    <x v="0"/>
    <s v="MLflow"/>
    <s v=" LangChain"/>
    <s v=" KDB+"/>
    <x v="8"/>
    <n v="84"/>
    <x v="6"/>
    <n v="259"/>
  </r>
  <r>
    <n v="601"/>
    <s v="Rodriguez LLC"/>
    <x v="4"/>
    <x v="7"/>
    <s v="LangChain"/>
    <s v=" AWS"/>
    <s v=" Hugging Face"/>
    <s v=" Flask"/>
    <s v=" R"/>
    <n v="107305.5"/>
    <m/>
    <s v="Entry"/>
    <x v="0"/>
    <s v="Lake Jamesberg"/>
    <s v=" JM"/>
    <n v="67646"/>
    <n v="146965"/>
    <d v="2025-06-17T00:00:00"/>
    <x v="1"/>
    <s v="KDB+"/>
    <s v=" BigQuery"/>
    <m/>
    <x v="12"/>
    <n v="100"/>
    <x v="0"/>
    <n v="247"/>
  </r>
  <r>
    <n v="602"/>
    <s v="Diaz PLC"/>
    <x v="6"/>
    <x v="7"/>
    <s v="Python"/>
    <s v=" TensorFlow"/>
    <s v=" GCP"/>
    <s v=" R"/>
    <m/>
    <n v="90615"/>
    <m/>
    <s v="Senior"/>
    <x v="0"/>
    <s v="Harrismouth"/>
    <s v=" TR"/>
    <n v="66539"/>
    <n v="114691"/>
    <d v="2025-08-05T00:00:00"/>
    <x v="1"/>
    <s v="Scikit-learn"/>
    <s v=" MLflow"/>
    <m/>
    <x v="5"/>
    <n v="94"/>
    <x v="7"/>
    <n v="255"/>
  </r>
  <r>
    <n v="603"/>
    <s v="Perez-Herman"/>
    <x v="3"/>
    <x v="6"/>
    <s v="C++"/>
    <s v=" GCP"/>
    <s v=" Keras"/>
    <s v=" AWS"/>
    <s v=" TensorFlow"/>
    <n v="125660"/>
    <s v=" LangChain"/>
    <s v="Mid"/>
    <x v="2"/>
    <s v="Michaelside"/>
    <s v=" NA"/>
    <n v="79160"/>
    <n v="172160"/>
    <d v="2024-12-08T00:00:00"/>
    <x v="2"/>
    <s v="FastAPI"/>
    <s v=" KDB+"/>
    <m/>
    <x v="8"/>
    <n v="84"/>
    <x v="1"/>
    <n v="251"/>
  </r>
  <r>
    <n v="604"/>
    <s v="Reese Inc"/>
    <x v="5"/>
    <x v="7"/>
    <s v="Python"/>
    <s v=" PyTorch"/>
    <s v=" Hugging Face"/>
    <s v=" CUDA"/>
    <s v=" Azure"/>
    <n v="182329.5"/>
    <s v=" MLflow"/>
    <s v="Mid"/>
    <x v="0"/>
    <s v="Webbmouth"/>
    <s v=" NA"/>
    <n v="147705"/>
    <n v="216954"/>
    <d v="2025-03-07T00:00:00"/>
    <x v="2"/>
    <s v="BigQuery"/>
    <s v=" LangChain"/>
    <m/>
    <x v="5"/>
    <n v="94"/>
    <x v="3"/>
    <n v="238"/>
  </r>
  <r>
    <n v="605"/>
    <s v="Yang-Ross"/>
    <x v="4"/>
    <x v="2"/>
    <s v="GCP"/>
    <s v=" Power BI"/>
    <s v=" Azure"/>
    <s v=" Python"/>
    <m/>
    <n v="83187"/>
    <m/>
    <s v="Senior"/>
    <x v="2"/>
    <s v="Andrewschester"/>
    <s v=" IQ"/>
    <n v="59811"/>
    <n v="106563"/>
    <d v="2024-11-06T00:00:00"/>
    <x v="1"/>
    <s v="KDB+"/>
    <s v=" TensorFlow"/>
    <s v=" Scikit-learn"/>
    <x v="4"/>
    <n v="78"/>
    <x v="0"/>
    <n v="247"/>
  </r>
  <r>
    <n v="606"/>
    <s v="Arnold, Burns and Garcia"/>
    <x v="6"/>
    <x v="3"/>
    <s v="C++"/>
    <s v=" FastAPI"/>
    <s v=" Scikit-learn"/>
    <m/>
    <m/>
    <n v="104716"/>
    <m/>
    <s v="Senior"/>
    <x v="3"/>
    <s v="Deniseport"/>
    <s v=" NE"/>
    <n v="61213"/>
    <n v="148219"/>
    <d v="2025-03-17T00:00:00"/>
    <x v="1"/>
    <s v="PyTorch"/>
    <s v=" BigQuery"/>
    <s v=" Scikit-learn"/>
    <x v="8"/>
    <n v="84"/>
    <x v="5"/>
    <n v="233"/>
  </r>
  <r>
    <n v="607"/>
    <s v="Blankenship-Ferguson"/>
    <x v="3"/>
    <x v="6"/>
    <s v="FastAPI"/>
    <s v=" AWS"/>
    <s v=" Power BI"/>
    <s v=" Flask"/>
    <s v=" SQL"/>
    <n v="138047.5"/>
    <s v=" MLflow"/>
    <s v="Senior"/>
    <x v="3"/>
    <s v="Aarontown"/>
    <s v=" TO"/>
    <n v="127524"/>
    <n v="148571"/>
    <d v="2025-05-01T00:00:00"/>
    <x v="2"/>
    <s v="FastAPI"/>
    <s v=" BigQuery"/>
    <m/>
    <x v="20"/>
    <n v="111"/>
    <x v="1"/>
    <n v="251"/>
  </r>
  <r>
    <n v="608"/>
    <s v="Acosta, Roy and Gutierrez"/>
    <x v="0"/>
    <x v="4"/>
    <s v="Python"/>
    <s v=" AWS"/>
    <s v=" R"/>
    <s v=" Pandas"/>
    <s v=" Power BI"/>
    <n v="98151.5"/>
    <s v=" TensorFlow"/>
    <s v="Senior"/>
    <x v="1"/>
    <s v="East Erica"/>
    <s v=" GY"/>
    <n v="53455"/>
    <n v="142848"/>
    <d v="2025-06-22T00:00:00"/>
    <x v="2"/>
    <s v="FastAPI"/>
    <s v=" Scikit-learn"/>
    <s v=" LangChain"/>
    <x v="5"/>
    <n v="94"/>
    <x v="1"/>
    <n v="251"/>
  </r>
  <r>
    <n v="609"/>
    <s v="Barton, Guzman and Jones"/>
    <x v="2"/>
    <x v="3"/>
    <s v="Pandas"/>
    <s v=" R"/>
    <s v=" LangChain"/>
    <m/>
    <m/>
    <n v="107741"/>
    <m/>
    <s v="Mid"/>
    <x v="0"/>
    <s v="East Eric"/>
    <s v=" FI"/>
    <n v="84521"/>
    <n v="130961"/>
    <d v="2025-04-30T00:00:00"/>
    <x v="1"/>
    <s v="LangChain"/>
    <s v=" PyTorch"/>
    <m/>
    <x v="6"/>
    <n v="78"/>
    <x v="4"/>
    <n v="268"/>
  </r>
  <r>
    <n v="610"/>
    <s v="Miller-Schultz"/>
    <x v="6"/>
    <x v="5"/>
    <s v="Flask"/>
    <s v=" C++"/>
    <s v=" NumPy"/>
    <s v=" Python"/>
    <s v=" GCP"/>
    <n v="101711"/>
    <m/>
    <s v="Entry"/>
    <x v="0"/>
    <s v="Beckerburgh"/>
    <s v=" GA"/>
    <n v="68321"/>
    <n v="135101"/>
    <d v="2024-04-15T00:00:00"/>
    <x v="0"/>
    <s v="TensorFlow"/>
    <m/>
    <m/>
    <x v="16"/>
    <n v="86"/>
    <x v="2"/>
    <n v="249"/>
  </r>
  <r>
    <n v="611"/>
    <s v="Hendricks Group"/>
    <x v="1"/>
    <x v="3"/>
    <s v="Hugging Face"/>
    <s v=" Flask"/>
    <s v=" MLflow"/>
    <m/>
    <m/>
    <n v="88592.5"/>
    <m/>
    <s v="Mid"/>
    <x v="2"/>
    <s v="West Julie"/>
    <s v=" MX"/>
    <n v="73192"/>
    <n v="103993"/>
    <d v="2025-06-20T00:00:00"/>
    <x v="2"/>
    <s v="BigQuery"/>
    <s v=" PyTorch"/>
    <m/>
    <x v="9"/>
    <n v="89"/>
    <x v="3"/>
    <n v="238"/>
  </r>
  <r>
    <n v="612"/>
    <s v="Burke, Paul and Conner"/>
    <x v="3"/>
    <x v="0"/>
    <s v="Excel"/>
    <s v=" Reinforcement Learning"/>
    <s v=" Pandas"/>
    <s v=" GCP"/>
    <s v=" FastAPI"/>
    <n v="71120.5"/>
    <m/>
    <s v="Entry"/>
    <x v="2"/>
    <s v="New Jerome"/>
    <s v=" BA"/>
    <n v="43069"/>
    <n v="99172"/>
    <d v="2025-01-26T00:00:00"/>
    <x v="2"/>
    <s v="LangChain"/>
    <m/>
    <m/>
    <x v="2"/>
    <n v="101"/>
    <x v="4"/>
    <n v="268"/>
  </r>
  <r>
    <n v="613"/>
    <s v="Glenn-Rodriguez"/>
    <x v="2"/>
    <x v="0"/>
    <s v="SQL"/>
    <s v=" GCP"/>
    <s v=" Scikit-learn"/>
    <m/>
    <m/>
    <n v="133701.5"/>
    <m/>
    <s v="Senior"/>
    <x v="1"/>
    <s v="Maryton"/>
    <s v=" TH"/>
    <n v="103638"/>
    <n v="163765"/>
    <d v="2024-05-10T00:00:00"/>
    <x v="2"/>
    <s v="Scikit-learn"/>
    <s v=" MLflow"/>
    <m/>
    <x v="17"/>
    <n v="88"/>
    <x v="7"/>
    <n v="255"/>
  </r>
  <r>
    <n v="614"/>
    <s v="Schaefer-Anderson"/>
    <x v="1"/>
    <x v="1"/>
    <s v="C++"/>
    <s v=" Python"/>
    <s v=" GCP"/>
    <m/>
    <m/>
    <n v="191409"/>
    <m/>
    <s v="Entry"/>
    <x v="1"/>
    <s v="New Natalieview"/>
    <s v=" SE"/>
    <n v="148791"/>
    <n v="234027"/>
    <d v="2025-05-26T00:00:00"/>
    <x v="0"/>
    <s v="FastAPI"/>
    <s v=" Scikit-learn"/>
    <s v=" PyTorch"/>
    <x v="8"/>
    <n v="84"/>
    <x v="1"/>
    <n v="251"/>
  </r>
  <r>
    <n v="615"/>
    <s v="Harris, Hopkins and Miranda"/>
    <x v="2"/>
    <x v="1"/>
    <s v="NumPy"/>
    <s v=" Pandas"/>
    <s v=" Reinforcement Learning"/>
    <m/>
    <m/>
    <n v="104414"/>
    <m/>
    <s v="Entry"/>
    <x v="0"/>
    <s v="Brooksmouth"/>
    <s v=" TR"/>
    <n v="81873"/>
    <n v="126955"/>
    <d v="2024-10-19T00:00:00"/>
    <x v="2"/>
    <s v="PyTorch"/>
    <s v=" Scikit-learn"/>
    <s v=" TensorFlow"/>
    <x v="0"/>
    <n v="104"/>
    <x v="5"/>
    <n v="233"/>
  </r>
  <r>
    <n v="616"/>
    <s v="Reyes LLC"/>
    <x v="6"/>
    <x v="2"/>
    <s v="Reinforcement Learning"/>
    <s v=" Python"/>
    <s v=" MLflow"/>
    <s v=" Flask"/>
    <m/>
    <n v="145050"/>
    <m/>
    <s v="Mid"/>
    <x v="3"/>
    <s v="West Lynnbury"/>
    <s v=" BB"/>
    <n v="107701"/>
    <n v="182399"/>
    <d v="2025-08-20T00:00:00"/>
    <x v="2"/>
    <s v="LangChain"/>
    <m/>
    <m/>
    <x v="21"/>
    <n v="104"/>
    <x v="4"/>
    <n v="268"/>
  </r>
  <r>
    <n v="617"/>
    <s v="Smith, Adkins and Peterson"/>
    <x v="6"/>
    <x v="1"/>
    <s v="Scikit-learn"/>
    <s v=" LangChain"/>
    <s v=" MLflow"/>
    <s v=" FastAPI"/>
    <m/>
    <n v="88304.5"/>
    <m/>
    <s v="Entry"/>
    <x v="0"/>
    <s v="South Gregory"/>
    <s v=" BO"/>
    <n v="44261"/>
    <n v="132348"/>
    <d v="2024-10-24T00:00:00"/>
    <x v="0"/>
    <s v="KDB+"/>
    <s v=" FastAPI"/>
    <m/>
    <x v="1"/>
    <n v="76"/>
    <x v="0"/>
    <n v="247"/>
  </r>
  <r>
    <n v="618"/>
    <s v="Guerra and Sons"/>
    <x v="1"/>
    <x v="0"/>
    <s v="Azure"/>
    <s v=" MLflow"/>
    <s v=" Pandas"/>
    <s v=" PyTorch"/>
    <m/>
    <n v="161544.5"/>
    <m/>
    <s v="Mid"/>
    <x v="2"/>
    <s v="North Timothy"/>
    <s v=" SC"/>
    <n v="144418"/>
    <n v="178671"/>
    <d v="2024-08-17T00:00:00"/>
    <x v="0"/>
    <s v="MLflow"/>
    <s v=" PyTorch"/>
    <s v=" LangChain"/>
    <x v="15"/>
    <n v="90"/>
    <x v="6"/>
    <n v="259"/>
  </r>
  <r>
    <n v="619"/>
    <s v="Smith Inc"/>
    <x v="4"/>
    <x v="2"/>
    <s v="AWS"/>
    <s v=" Keras"/>
    <s v=" Flask"/>
    <s v=" R"/>
    <s v=" PyTorch"/>
    <n v="92565.5"/>
    <s v=" Python"/>
    <s v="Senior"/>
    <x v="0"/>
    <s v="Bryanttown"/>
    <s v=" ET"/>
    <n v="59575"/>
    <n v="125556"/>
    <d v="2024-02-24T00:00:00"/>
    <x v="1"/>
    <s v="PyTorch"/>
    <s v=" FastAPI"/>
    <m/>
    <x v="10"/>
    <n v="97"/>
    <x v="5"/>
    <n v="233"/>
  </r>
  <r>
    <n v="620"/>
    <s v="Rodriguez-Mcgrath"/>
    <x v="4"/>
    <x v="5"/>
    <s v="GCP"/>
    <s v=" Keras"/>
    <s v=" LangChain"/>
    <m/>
    <m/>
    <n v="162486"/>
    <m/>
    <s v="Mid"/>
    <x v="0"/>
    <s v="Bonnieview"/>
    <s v=" SN"/>
    <n v="133037"/>
    <n v="191935"/>
    <d v="2025-01-21T00:00:00"/>
    <x v="0"/>
    <s v="KDB+"/>
    <s v=" FastAPI"/>
    <m/>
    <x v="4"/>
    <n v="78"/>
    <x v="0"/>
    <n v="247"/>
  </r>
  <r>
    <n v="621"/>
    <s v="Mullen, Chaney and Morris"/>
    <x v="5"/>
    <x v="3"/>
    <s v="R"/>
    <s v=" Pandas"/>
    <s v=" TensorFlow"/>
    <s v=" Hugging Face"/>
    <s v=" Python"/>
    <n v="149044"/>
    <m/>
    <s v="Entry"/>
    <x v="1"/>
    <s v="Simmonston"/>
    <s v=" HT"/>
    <n v="125183"/>
    <n v="172905"/>
    <d v="2024-09-09T00:00:00"/>
    <x v="0"/>
    <s v="LangChain"/>
    <s v=" KDB+"/>
    <m/>
    <x v="11"/>
    <n v="86"/>
    <x v="4"/>
    <n v="268"/>
  </r>
  <r>
    <n v="622"/>
    <s v="Walker, Welch and Alexander"/>
    <x v="2"/>
    <x v="4"/>
    <s v="SQL"/>
    <s v=" Excel"/>
    <s v=" Azure"/>
    <s v=" PyTorch"/>
    <s v=" Scikit-learn"/>
    <n v="146938"/>
    <m/>
    <s v="Mid"/>
    <x v="2"/>
    <s v="South Alyssaview"/>
    <s v=" DK"/>
    <n v="98205"/>
    <n v="195671"/>
    <d v="2024-04-11T00:00:00"/>
    <x v="2"/>
    <s v="Scikit-learn"/>
    <s v=" LangChain"/>
    <s v=" TensorFlow"/>
    <x v="17"/>
    <n v="88"/>
    <x v="7"/>
    <n v="255"/>
  </r>
  <r>
    <n v="623"/>
    <s v="Cochran Ltd"/>
    <x v="3"/>
    <x v="3"/>
    <s v="SQL"/>
    <s v=" NumPy"/>
    <s v=" Python"/>
    <s v=" Power BI"/>
    <s v=" Scikit-learn"/>
    <n v="121584.5"/>
    <m/>
    <s v="Senior"/>
    <x v="2"/>
    <s v="Robinsonland"/>
    <s v=" BR"/>
    <n v="83577"/>
    <n v="159592"/>
    <d v="2024-08-26T00:00:00"/>
    <x v="0"/>
    <s v="FastAPI"/>
    <m/>
    <m/>
    <x v="17"/>
    <n v="88"/>
    <x v="1"/>
    <n v="251"/>
  </r>
  <r>
    <n v="624"/>
    <s v="Wells PLC"/>
    <x v="1"/>
    <x v="6"/>
    <s v="Pandas"/>
    <s v=" CUDA"/>
    <s v=" R"/>
    <s v=" Python"/>
    <s v=" FastAPI"/>
    <n v="153788.5"/>
    <s v=" SQL"/>
    <s v="Entry"/>
    <x v="1"/>
    <s v="Kevinfurt"/>
    <s v=" FM"/>
    <n v="126480"/>
    <n v="181097"/>
    <d v="2025-04-06T00:00:00"/>
    <x v="1"/>
    <s v="MLflow"/>
    <s v=" LangChain"/>
    <s v=" KDB+"/>
    <x v="6"/>
    <n v="78"/>
    <x v="6"/>
    <n v="259"/>
  </r>
  <r>
    <n v="625"/>
    <s v="Knight PLC"/>
    <x v="1"/>
    <x v="5"/>
    <s v="LangChain"/>
    <s v=" Pandas"/>
    <s v=" Flask"/>
    <s v=" AWS"/>
    <m/>
    <n v="124048"/>
    <m/>
    <s v="Senior"/>
    <x v="3"/>
    <s v="Woodberg"/>
    <s v=" PL"/>
    <n v="95492"/>
    <n v="152604"/>
    <d v="2024-05-12T00:00:00"/>
    <x v="1"/>
    <s v="Scikit-learn"/>
    <s v=" BigQuery"/>
    <m/>
    <x v="12"/>
    <n v="100"/>
    <x v="7"/>
    <n v="255"/>
  </r>
  <r>
    <n v="626"/>
    <s v="Rivers-Bautista"/>
    <x v="4"/>
    <x v="0"/>
    <s v="Power BI"/>
    <s v=" NumPy"/>
    <s v=" LangChain"/>
    <s v=" CUDA"/>
    <s v=" Reinforcement Learning"/>
    <n v="123360.5"/>
    <s v=" Excel"/>
    <s v="Senior"/>
    <x v="2"/>
    <s v="Port Austinport"/>
    <s v=" AT"/>
    <n v="102113"/>
    <n v="144608"/>
    <d v="2023-09-30T00:00:00"/>
    <x v="0"/>
    <s v="Scikit-learn"/>
    <s v=" BigQuery"/>
    <m/>
    <x v="18"/>
    <n v="96"/>
    <x v="7"/>
    <n v="255"/>
  </r>
  <r>
    <n v="627"/>
    <s v="Cabrera, Schultz and Walker"/>
    <x v="4"/>
    <x v="0"/>
    <s v="Keras"/>
    <s v=" Scikit-learn"/>
    <s v=" MLflow"/>
    <s v=" Python"/>
    <s v=" SQL"/>
    <n v="164179"/>
    <s v=" Excel"/>
    <s v="Senior"/>
    <x v="0"/>
    <s v="Jessicaland"/>
    <s v=" MX"/>
    <n v="143450"/>
    <n v="184908"/>
    <d v="2024-04-12T00:00:00"/>
    <x v="0"/>
    <s v="TensorFlow"/>
    <s v=" LangChain"/>
    <s v=" MLflow"/>
    <x v="7"/>
    <n v="96"/>
    <x v="2"/>
    <n v="249"/>
  </r>
  <r>
    <n v="628"/>
    <s v="Morgan, Novak and Sullivan"/>
    <x v="3"/>
    <x v="3"/>
    <s v="GCP"/>
    <s v=" SQL"/>
    <s v=" TensorFlow"/>
    <s v=" Keras"/>
    <s v=" Reinforcement Learning"/>
    <n v="96490"/>
    <m/>
    <s v="Entry"/>
    <x v="3"/>
    <s v="North Ashley"/>
    <s v=" KI"/>
    <n v="72389"/>
    <n v="120591"/>
    <d v="2025-07-09T00:00:00"/>
    <x v="1"/>
    <s v="BigQuery"/>
    <s v=" MLflow"/>
    <m/>
    <x v="4"/>
    <n v="78"/>
    <x v="3"/>
    <n v="238"/>
  </r>
  <r>
    <n v="629"/>
    <s v="Hall, Oconnell and Wilson"/>
    <x v="5"/>
    <x v="2"/>
    <s v="Power BI"/>
    <s v=" R"/>
    <s v=" C++"/>
    <s v=" TensorFlow"/>
    <s v=" Python"/>
    <n v="60307.5"/>
    <m/>
    <s v="Mid"/>
    <x v="0"/>
    <s v="Careyland"/>
    <s v=" MN"/>
    <n v="45843"/>
    <n v="74772"/>
    <d v="2024-09-24T00:00:00"/>
    <x v="1"/>
    <s v="Scikit-learn"/>
    <m/>
    <m/>
    <x v="18"/>
    <n v="96"/>
    <x v="7"/>
    <n v="255"/>
  </r>
  <r>
    <n v="630"/>
    <s v="Harris Ltd"/>
    <x v="5"/>
    <x v="0"/>
    <s v="PyTorch"/>
    <s v=" FastAPI"/>
    <s v=" MLflow"/>
    <s v=" C++"/>
    <s v=" Pandas"/>
    <n v="152302"/>
    <s v=" NumPy"/>
    <s v="Entry"/>
    <x v="1"/>
    <s v="South Keith"/>
    <s v=" UY"/>
    <n v="132168"/>
    <n v="172436"/>
    <d v="2024-07-18T00:00:00"/>
    <x v="2"/>
    <s v="MLflow"/>
    <s v=" Scikit-learn"/>
    <m/>
    <x v="14"/>
    <n v="92"/>
    <x v="6"/>
    <n v="259"/>
  </r>
  <r>
    <n v="631"/>
    <s v="Barajas-Wilson"/>
    <x v="0"/>
    <x v="4"/>
    <s v="AWS"/>
    <s v=" Pandas"/>
    <s v=" FastAPI"/>
    <s v=" R"/>
    <m/>
    <n v="182144.5"/>
    <m/>
    <s v="Mid"/>
    <x v="0"/>
    <s v="West Christopher"/>
    <s v=" AR"/>
    <n v="140975"/>
    <n v="223314"/>
    <d v="2024-07-18T00:00:00"/>
    <x v="0"/>
    <s v="KDB+"/>
    <s v=" LangChain"/>
    <s v=" Scikit-learn"/>
    <x v="10"/>
    <n v="97"/>
    <x v="0"/>
    <n v="247"/>
  </r>
  <r>
    <n v="632"/>
    <s v="Olsen and Sons"/>
    <x v="2"/>
    <x v="4"/>
    <s v="Pandas"/>
    <s v=" Hugging Face"/>
    <s v=" LangChain"/>
    <s v=" Reinforcement Learning"/>
    <m/>
    <n v="98668"/>
    <m/>
    <s v="Senior"/>
    <x v="0"/>
    <s v="Michelleview"/>
    <s v=" AE"/>
    <n v="72912"/>
    <n v="124424"/>
    <d v="2024-02-21T00:00:00"/>
    <x v="2"/>
    <s v="MLflow"/>
    <s v=" PyTorch"/>
    <s v=" Scikit-learn"/>
    <x v="6"/>
    <n v="78"/>
    <x v="6"/>
    <n v="259"/>
  </r>
  <r>
    <n v="633"/>
    <s v="Adams-Bautista"/>
    <x v="3"/>
    <x v="5"/>
    <s v="Excel"/>
    <s v=" Power BI"/>
    <s v=" Azure"/>
    <s v=" NumPy"/>
    <s v=" Hugging Face"/>
    <n v="135912"/>
    <s v=" LangChain"/>
    <s v="Mid"/>
    <x v="0"/>
    <s v="South Maryshire"/>
    <s v=" DO"/>
    <n v="92203"/>
    <n v="179621"/>
    <d v="2025-05-24T00:00:00"/>
    <x v="1"/>
    <s v="Scikit-learn"/>
    <m/>
    <m/>
    <x v="2"/>
    <n v="101"/>
    <x v="7"/>
    <n v="255"/>
  </r>
  <r>
    <n v="634"/>
    <s v="Montgomery-Bell"/>
    <x v="0"/>
    <x v="3"/>
    <s v="Power BI"/>
    <s v=" TensorFlow"/>
    <s v=" Python"/>
    <s v=" Azure"/>
    <s v=" C++"/>
    <n v="155566.5"/>
    <s v=" SQL"/>
    <s v="Mid"/>
    <x v="2"/>
    <s v="Carpenterfurt"/>
    <s v=" MV"/>
    <n v="132423"/>
    <n v="178710"/>
    <d v="2025-04-27T00:00:00"/>
    <x v="1"/>
    <s v="FastAPI"/>
    <s v=" MLflow"/>
    <s v=" LangChain"/>
    <x v="18"/>
    <n v="96"/>
    <x v="1"/>
    <n v="251"/>
  </r>
  <r>
    <n v="635"/>
    <s v="Case PLC"/>
    <x v="0"/>
    <x v="4"/>
    <s v="MLflow"/>
    <s v=" PyTorch"/>
    <s v=" Azure"/>
    <s v=" R"/>
    <s v=" Python"/>
    <n v="92827"/>
    <s v=" GCP"/>
    <s v="Mid"/>
    <x v="1"/>
    <s v="Millerborough"/>
    <s v=" MH"/>
    <n v="43526"/>
    <n v="142128"/>
    <d v="2024-08-24T00:00:00"/>
    <x v="0"/>
    <s v="LangChain"/>
    <s v=" KDB+"/>
    <s v=" Scikit-learn"/>
    <x v="3"/>
    <n v="80"/>
    <x v="4"/>
    <n v="268"/>
  </r>
  <r>
    <n v="636"/>
    <s v="Fisher LLC"/>
    <x v="6"/>
    <x v="0"/>
    <s v="Pandas"/>
    <s v=" AWS"/>
    <s v=" MLflow"/>
    <s v=" TensorFlow"/>
    <m/>
    <n v="138134"/>
    <m/>
    <s v="Mid"/>
    <x v="0"/>
    <s v="Jacquelineburgh"/>
    <s v=" ME"/>
    <n v="100197"/>
    <n v="176071"/>
    <d v="2024-12-08T00:00:00"/>
    <x v="2"/>
    <s v="TensorFlow"/>
    <m/>
    <m/>
    <x v="6"/>
    <n v="78"/>
    <x v="2"/>
    <n v="249"/>
  </r>
  <r>
    <n v="637"/>
    <s v="Morgan Group"/>
    <x v="5"/>
    <x v="0"/>
    <s v="Keras"/>
    <s v=" FastAPI"/>
    <s v=" Python"/>
    <s v=" Excel"/>
    <s v=" AWS"/>
    <n v="131482.5"/>
    <m/>
    <s v="Senior"/>
    <x v="1"/>
    <s v="South Jameshaven"/>
    <s v=" TT"/>
    <n v="104596"/>
    <n v="158369"/>
    <d v="2025-06-13T00:00:00"/>
    <x v="2"/>
    <s v="PyTorch"/>
    <s v=" TensorFlow"/>
    <s v=" Scikit-learn"/>
    <x v="7"/>
    <n v="96"/>
    <x v="5"/>
    <n v="233"/>
  </r>
  <r>
    <n v="638"/>
    <s v="Weiss Inc"/>
    <x v="3"/>
    <x v="2"/>
    <s v="Power BI"/>
    <s v=" MLflow"/>
    <s v=" FastAPI"/>
    <s v=" R"/>
    <s v=" TensorFlow"/>
    <n v="136295.5"/>
    <s v=" NumPy"/>
    <s v="Mid"/>
    <x v="0"/>
    <s v="North John"/>
    <s v=" IE"/>
    <n v="128933"/>
    <n v="143658"/>
    <d v="2024-02-29T00:00:00"/>
    <x v="2"/>
    <s v="TensorFlow"/>
    <s v=" FastAPI"/>
    <s v=" LangChain"/>
    <x v="18"/>
    <n v="96"/>
    <x v="2"/>
    <n v="249"/>
  </r>
  <r>
    <n v="639"/>
    <s v="Mendoza, Bishop and Wade"/>
    <x v="5"/>
    <x v="6"/>
    <s v="GCP"/>
    <s v=" FastAPI"/>
    <s v=" Excel"/>
    <m/>
    <m/>
    <n v="147818"/>
    <m/>
    <s v="Senior"/>
    <x v="0"/>
    <s v="South Omarshire"/>
    <s v=" DO"/>
    <n v="111144"/>
    <n v="184492"/>
    <d v="2024-05-07T00:00:00"/>
    <x v="1"/>
    <s v="MLflow"/>
    <s v=" TensorFlow"/>
    <m/>
    <x v="4"/>
    <n v="78"/>
    <x v="6"/>
    <n v="259"/>
  </r>
  <r>
    <n v="640"/>
    <s v="Stephenson and Sons"/>
    <x v="0"/>
    <x v="6"/>
    <s v="AWS"/>
    <s v=" C++"/>
    <s v=" MLflow"/>
    <m/>
    <m/>
    <n v="165886"/>
    <m/>
    <s v="Entry"/>
    <x v="0"/>
    <s v="Thomasshire"/>
    <s v=" TT"/>
    <n v="147850"/>
    <n v="183922"/>
    <d v="2025-02-11T00:00:00"/>
    <x v="0"/>
    <s v="MLflow"/>
    <m/>
    <m/>
    <x v="10"/>
    <n v="97"/>
    <x v="6"/>
    <n v="259"/>
  </r>
  <r>
    <n v="641"/>
    <s v="Hernandez-Robles"/>
    <x v="5"/>
    <x v="7"/>
    <s v="Keras"/>
    <s v=" TensorFlow"/>
    <s v=" R"/>
    <s v=" Azure"/>
    <m/>
    <n v="172673"/>
    <m/>
    <s v="Mid"/>
    <x v="2"/>
    <s v="Craigside"/>
    <s v=" JM"/>
    <n v="140539"/>
    <n v="204807"/>
    <d v="2024-12-31T00:00:00"/>
    <x v="1"/>
    <s v="BigQuery"/>
    <s v=" LangChain"/>
    <m/>
    <x v="7"/>
    <n v="96"/>
    <x v="3"/>
    <n v="238"/>
  </r>
  <r>
    <n v="642"/>
    <s v="Carter, Gordon and Hurst"/>
    <x v="2"/>
    <x v="3"/>
    <s v="AWS"/>
    <s v=" Azure"/>
    <s v=" Flask"/>
    <s v=" Reinforcement Learning"/>
    <s v=" TensorFlow"/>
    <n v="73378.5"/>
    <s v=" Excel"/>
    <s v="Senior"/>
    <x v="2"/>
    <s v="South Cynthia"/>
    <s v=" GB"/>
    <n v="60724"/>
    <n v="86033"/>
    <d v="2024-02-12T00:00:00"/>
    <x v="2"/>
    <s v="FastAPI"/>
    <s v=" KDB+"/>
    <s v=" TensorFlow"/>
    <x v="10"/>
    <n v="97"/>
    <x v="1"/>
    <n v="251"/>
  </r>
  <r>
    <n v="643"/>
    <s v="Thomas and Sons"/>
    <x v="4"/>
    <x v="6"/>
    <s v="Excel"/>
    <s v=" Flask"/>
    <s v=" Hugging Face"/>
    <s v=" TensorFlow"/>
    <m/>
    <n v="89244.5"/>
    <m/>
    <s v="Entry"/>
    <x v="2"/>
    <s v="Garzashire"/>
    <s v=" BT"/>
    <n v="71064"/>
    <n v="107425"/>
    <d v="2025-03-21T00:00:00"/>
    <x v="1"/>
    <s v="MLflow"/>
    <m/>
    <m/>
    <x v="2"/>
    <n v="101"/>
    <x v="6"/>
    <n v="259"/>
  </r>
  <r>
    <n v="644"/>
    <s v="Love LLC"/>
    <x v="3"/>
    <x v="7"/>
    <s v="CUDA"/>
    <s v=" TensorFlow"/>
    <s v=" FastAPI"/>
    <s v=" Power BI"/>
    <s v=" LangChain"/>
    <n v="90329.5"/>
    <s v=" MLflow"/>
    <s v="Entry"/>
    <x v="2"/>
    <s v="North Dianaland"/>
    <s v=" GR"/>
    <n v="41074"/>
    <n v="139585"/>
    <d v="2024-06-03T00:00:00"/>
    <x v="2"/>
    <s v="KDB+"/>
    <m/>
    <m/>
    <x v="13"/>
    <n v="75"/>
    <x v="0"/>
    <n v="247"/>
  </r>
  <r>
    <n v="645"/>
    <s v="Ingram-Long"/>
    <x v="1"/>
    <x v="3"/>
    <s v="R"/>
    <s v=" AWS"/>
    <s v=" Python"/>
    <s v=" MLflow"/>
    <m/>
    <n v="114685.5"/>
    <m/>
    <s v="Entry"/>
    <x v="1"/>
    <s v="Johnstad"/>
    <s v=" MK"/>
    <n v="88875"/>
    <n v="140496"/>
    <d v="2024-04-05T00:00:00"/>
    <x v="1"/>
    <s v="FastAPI"/>
    <s v=" BigQuery"/>
    <s v=" PyTorch"/>
    <x v="11"/>
    <n v="86"/>
    <x v="1"/>
    <n v="251"/>
  </r>
  <r>
    <n v="646"/>
    <s v="Zavala, Jones and Williams"/>
    <x v="1"/>
    <x v="7"/>
    <s v="Python"/>
    <s v=" FastAPI"/>
    <s v=" MLflow"/>
    <s v=" LangChain"/>
    <m/>
    <n v="78521.5"/>
    <m/>
    <s v="Mid"/>
    <x v="1"/>
    <s v="Hallport"/>
    <s v=" BE"/>
    <n v="42720"/>
    <n v="114323"/>
    <d v="2023-10-19T00:00:00"/>
    <x v="0"/>
    <s v="PyTorch"/>
    <m/>
    <m/>
    <x v="5"/>
    <n v="94"/>
    <x v="5"/>
    <n v="233"/>
  </r>
  <r>
    <n v="647"/>
    <s v="Leon, May and Wilson"/>
    <x v="3"/>
    <x v="3"/>
    <s v="LangChain"/>
    <s v=" Python"/>
    <s v=" AWS"/>
    <m/>
    <m/>
    <n v="73192.5"/>
    <m/>
    <s v="Entry"/>
    <x v="0"/>
    <s v="Jessicamouth"/>
    <s v=" MY"/>
    <n v="48928"/>
    <n v="97457"/>
    <d v="2024-10-10T00:00:00"/>
    <x v="0"/>
    <s v="PyTorch"/>
    <s v=" LangChain"/>
    <s v=" KDB+"/>
    <x v="12"/>
    <n v="100"/>
    <x v="5"/>
    <n v="233"/>
  </r>
  <r>
    <n v="648"/>
    <s v="Norton-Flores"/>
    <x v="4"/>
    <x v="4"/>
    <s v="LangChain"/>
    <s v=" R"/>
    <s v=" Azure"/>
    <s v=" CUDA"/>
    <m/>
    <n v="90356"/>
    <m/>
    <s v="Entry"/>
    <x v="2"/>
    <s v="Sanchezfurt"/>
    <s v=" TJ"/>
    <n v="62352"/>
    <n v="118360"/>
    <d v="2023-10-19T00:00:00"/>
    <x v="2"/>
    <s v="Scikit-learn"/>
    <s v=" BigQuery"/>
    <s v=" PyTorch"/>
    <x v="12"/>
    <n v="100"/>
    <x v="7"/>
    <n v="255"/>
  </r>
  <r>
    <n v="649"/>
    <s v="Brown, Ross and Wright"/>
    <x v="6"/>
    <x v="5"/>
    <s v="Hugging Face"/>
    <s v=" Scikit-learn"/>
    <s v=" Excel"/>
    <s v=" SQL"/>
    <m/>
    <n v="99580.5"/>
    <m/>
    <s v="Entry"/>
    <x v="0"/>
    <s v="Jillfort"/>
    <s v=" JM"/>
    <n v="71987"/>
    <n v="127174"/>
    <d v="2023-11-28T00:00:00"/>
    <x v="1"/>
    <s v="TensorFlow"/>
    <m/>
    <m/>
    <x v="9"/>
    <n v="89"/>
    <x v="2"/>
    <n v="249"/>
  </r>
  <r>
    <n v="650"/>
    <s v="Townsend, Jenkins and Johnson"/>
    <x v="1"/>
    <x v="4"/>
    <s v="Reinforcement Learning"/>
    <s v=" LangChain"/>
    <s v=" CUDA"/>
    <m/>
    <m/>
    <n v="128117"/>
    <m/>
    <s v="Senior"/>
    <x v="1"/>
    <s v="West Joshuabury"/>
    <s v=" KN"/>
    <n v="96588"/>
    <n v="159646"/>
    <d v="2024-04-29T00:00:00"/>
    <x v="2"/>
    <s v="BigQuery"/>
    <s v=" Scikit-learn"/>
    <s v=" FastAPI"/>
    <x v="21"/>
    <n v="104"/>
    <x v="3"/>
    <n v="238"/>
  </r>
  <r>
    <n v="651"/>
    <s v="Riddle, Hicks and Thompson"/>
    <x v="4"/>
    <x v="6"/>
    <s v="Keras"/>
    <s v=" C++"/>
    <s v=" Azure"/>
    <s v=" FastAPI"/>
    <s v=" CUDA"/>
    <n v="150943.5"/>
    <s v=" Scikit-learn"/>
    <s v="Entry"/>
    <x v="3"/>
    <s v="Lake Melissafort"/>
    <s v=" DJ"/>
    <n v="112609"/>
    <n v="189278"/>
    <d v="2023-12-16T00:00:00"/>
    <x v="1"/>
    <s v="Scikit-learn"/>
    <m/>
    <m/>
    <x v="7"/>
    <n v="96"/>
    <x v="7"/>
    <n v="255"/>
  </r>
  <r>
    <n v="652"/>
    <s v="Herrera, Moore and Braun"/>
    <x v="5"/>
    <x v="2"/>
    <s v="CUDA"/>
    <s v=" C++"/>
    <s v=" Excel"/>
    <m/>
    <m/>
    <n v="81549.5"/>
    <m/>
    <s v="Senior"/>
    <x v="0"/>
    <s v="North Kyleborough"/>
    <s v=" BB"/>
    <n v="63732"/>
    <n v="99367"/>
    <d v="2025-07-15T00:00:00"/>
    <x v="1"/>
    <s v="BigQuery"/>
    <s v=" TensorFlow"/>
    <s v=" FastAPI"/>
    <x v="13"/>
    <n v="75"/>
    <x v="3"/>
    <n v="238"/>
  </r>
  <r>
    <n v="653"/>
    <s v="Jones LLC"/>
    <x v="0"/>
    <x v="2"/>
    <s v="R"/>
    <s v=" Hugging Face"/>
    <s v=" Excel"/>
    <s v=" Keras"/>
    <m/>
    <n v="182196.5"/>
    <m/>
    <s v="Entry"/>
    <x v="3"/>
    <s v="Mariabury"/>
    <s v=" GQ"/>
    <n v="139447"/>
    <n v="224946"/>
    <d v="2024-12-07T00:00:00"/>
    <x v="1"/>
    <s v="FastAPI"/>
    <m/>
    <m/>
    <x v="11"/>
    <n v="86"/>
    <x v="1"/>
    <n v="251"/>
  </r>
  <r>
    <n v="654"/>
    <s v="Jones-Ortiz"/>
    <x v="3"/>
    <x v="3"/>
    <s v="LangChain"/>
    <s v=" TensorFlow"/>
    <s v=" C++"/>
    <s v=" Power BI"/>
    <s v=" MLflow"/>
    <n v="136828"/>
    <s v=" AWS"/>
    <s v="Mid"/>
    <x v="2"/>
    <s v="West Michaelview"/>
    <s v=" MN"/>
    <n v="130455"/>
    <n v="143201"/>
    <d v="2024-02-25T00:00:00"/>
    <x v="0"/>
    <s v="LangChain"/>
    <s v=" Scikit-learn"/>
    <s v=" PyTorch"/>
    <x v="12"/>
    <n v="100"/>
    <x v="4"/>
    <n v="268"/>
  </r>
  <r>
    <n v="655"/>
    <s v="Howe-Gallagher"/>
    <x v="0"/>
    <x v="1"/>
    <s v="Python"/>
    <s v=" Keras"/>
    <s v=" CUDA"/>
    <s v=" PyTorch"/>
    <s v=" MLflow"/>
    <n v="81691"/>
    <s v=" NumPy"/>
    <s v="Mid"/>
    <x v="3"/>
    <s v="Gilbertbury"/>
    <s v=" DE"/>
    <n v="69015"/>
    <n v="94367"/>
    <d v="2024-07-17T00:00:00"/>
    <x v="1"/>
    <s v="PyTorch"/>
    <m/>
    <m/>
    <x v="5"/>
    <n v="94"/>
    <x v="5"/>
    <n v="233"/>
  </r>
  <r>
    <n v="656"/>
    <s v="Ellis-Bailey"/>
    <x v="1"/>
    <x v="4"/>
    <s v="C++"/>
    <s v=" Power BI"/>
    <s v=" Pandas"/>
    <m/>
    <m/>
    <n v="78434.5"/>
    <m/>
    <s v="Mid"/>
    <x v="0"/>
    <s v="New Kristenburgh"/>
    <s v=" VN"/>
    <n v="70351"/>
    <n v="86518"/>
    <d v="2025-06-11T00:00:00"/>
    <x v="0"/>
    <s v="BigQuery"/>
    <m/>
    <m/>
    <x v="8"/>
    <n v="84"/>
    <x v="3"/>
    <n v="238"/>
  </r>
  <r>
    <n v="657"/>
    <s v="Robinson Group"/>
    <x v="3"/>
    <x v="6"/>
    <s v="Scikit-learn"/>
    <s v=" PyTorch"/>
    <s v=" R"/>
    <s v=" FastAPI"/>
    <s v=" Excel"/>
    <n v="57113"/>
    <s v=" NumPy"/>
    <s v="Mid"/>
    <x v="1"/>
    <s v="South Daniel"/>
    <s v=" OM"/>
    <n v="49069"/>
    <n v="65157"/>
    <d v="2025-06-01T00:00:00"/>
    <x v="1"/>
    <s v="KDB+"/>
    <s v=" BigQuery"/>
    <s v=" FastAPI"/>
    <x v="1"/>
    <n v="76"/>
    <x v="0"/>
    <n v="247"/>
  </r>
  <r>
    <n v="658"/>
    <s v="Goodwin-Ramirez"/>
    <x v="3"/>
    <x v="6"/>
    <s v="Hugging Face"/>
    <s v=" FastAPI"/>
    <s v=" C++"/>
    <s v=" CUDA"/>
    <m/>
    <n v="89075.5"/>
    <m/>
    <s v="Mid"/>
    <x v="1"/>
    <s v="New Vanessa"/>
    <s v=" JO"/>
    <n v="74463"/>
    <n v="103688"/>
    <d v="2024-11-16T00:00:00"/>
    <x v="2"/>
    <s v="BigQuery"/>
    <m/>
    <m/>
    <x v="9"/>
    <n v="89"/>
    <x v="3"/>
    <n v="238"/>
  </r>
  <r>
    <n v="659"/>
    <s v="Bennett-Jackson"/>
    <x v="0"/>
    <x v="4"/>
    <s v="Reinforcement Learning"/>
    <s v=" TensorFlow"/>
    <s v=" SQL"/>
    <s v=" Flask"/>
    <s v=" C++"/>
    <n v="155592.5"/>
    <s v=" Keras"/>
    <s v="Entry"/>
    <x v="1"/>
    <s v="Whitemouth"/>
    <s v=" ZM"/>
    <n v="137479"/>
    <n v="173706"/>
    <d v="2025-06-28T00:00:00"/>
    <x v="0"/>
    <s v="LangChain"/>
    <s v=" MLflow"/>
    <s v=" KDB+"/>
    <x v="21"/>
    <n v="104"/>
    <x v="4"/>
    <n v="268"/>
  </r>
  <r>
    <n v="660"/>
    <s v="Bean-Chavez"/>
    <x v="2"/>
    <x v="2"/>
    <s v="Pandas"/>
    <s v=" NumPy"/>
    <s v=" TensorFlow"/>
    <s v=" R"/>
    <m/>
    <n v="61675"/>
    <m/>
    <s v="Entry"/>
    <x v="1"/>
    <s v="Jordanside"/>
    <s v=" KR"/>
    <n v="51735"/>
    <n v="71615"/>
    <d v="2025-06-13T00:00:00"/>
    <x v="0"/>
    <s v="TensorFlow"/>
    <s v=" LangChain"/>
    <m/>
    <x v="6"/>
    <n v="78"/>
    <x v="2"/>
    <n v="249"/>
  </r>
  <r>
    <n v="661"/>
    <s v="Goodwin, Harrison and Lopez"/>
    <x v="3"/>
    <x v="3"/>
    <s v="Azure"/>
    <s v=" PyTorch"/>
    <s v=" R"/>
    <s v=" Scikit-learn"/>
    <s v=" AWS"/>
    <n v="120895.5"/>
    <s v=" Excel"/>
    <s v="Mid"/>
    <x v="1"/>
    <s v="Davidtown"/>
    <s v=" AM"/>
    <n v="105183"/>
    <n v="136608"/>
    <d v="2025-01-24T00:00:00"/>
    <x v="2"/>
    <s v="BigQuery"/>
    <m/>
    <m/>
    <x v="15"/>
    <n v="90"/>
    <x v="3"/>
    <n v="238"/>
  </r>
  <r>
    <n v="662"/>
    <s v="Gardner-Li"/>
    <x v="2"/>
    <x v="3"/>
    <s v="Excel"/>
    <s v=" SQL"/>
    <s v=" GCP"/>
    <s v=" Hugging Face"/>
    <s v=" R"/>
    <n v="104723.5"/>
    <m/>
    <s v="Entry"/>
    <x v="1"/>
    <s v="Dustinberg"/>
    <s v=" UZ"/>
    <n v="80869"/>
    <n v="128578"/>
    <d v="2024-12-21T00:00:00"/>
    <x v="2"/>
    <s v="FastAPI"/>
    <s v=" LangChain"/>
    <m/>
    <x v="2"/>
    <n v="101"/>
    <x v="1"/>
    <n v="251"/>
  </r>
  <r>
    <n v="663"/>
    <s v="Robinson-Hill"/>
    <x v="0"/>
    <x v="1"/>
    <s v="Excel"/>
    <s v=" CUDA"/>
    <s v=" GCP"/>
    <s v=" Reinforcement Learning"/>
    <s v=" TensorFlow"/>
    <n v="131496.5"/>
    <m/>
    <s v="Senior"/>
    <x v="1"/>
    <s v="Lake Melissahaven"/>
    <s v=" TM"/>
    <n v="94999"/>
    <n v="167994"/>
    <d v="2025-01-15T00:00:00"/>
    <x v="0"/>
    <s v="KDB+"/>
    <m/>
    <m/>
    <x v="2"/>
    <n v="101"/>
    <x v="0"/>
    <n v="247"/>
  </r>
  <r>
    <n v="664"/>
    <s v="Moore Inc"/>
    <x v="5"/>
    <x v="7"/>
    <s v="Keras"/>
    <s v=" Hugging Face"/>
    <s v=" R"/>
    <m/>
    <m/>
    <n v="132588"/>
    <m/>
    <s v="Senior"/>
    <x v="1"/>
    <s v="Aimeestad"/>
    <s v=" KM"/>
    <n v="98295"/>
    <n v="166881"/>
    <d v="2025-03-28T00:00:00"/>
    <x v="2"/>
    <s v="FastAPI"/>
    <m/>
    <m/>
    <x v="7"/>
    <n v="96"/>
    <x v="1"/>
    <n v="251"/>
  </r>
  <r>
    <n v="665"/>
    <s v="Fisher, Miller and Duarte"/>
    <x v="5"/>
    <x v="7"/>
    <s v="Azure"/>
    <s v=" Scikit-learn"/>
    <s v=" Python"/>
    <s v=" AWS"/>
    <s v=" LangChain"/>
    <n v="119475"/>
    <s v=" C++"/>
    <s v="Entry"/>
    <x v="0"/>
    <s v="West Cassie"/>
    <s v=" MD"/>
    <n v="84355"/>
    <n v="154595"/>
    <d v="2023-11-09T00:00:00"/>
    <x v="2"/>
    <s v="TensorFlow"/>
    <m/>
    <m/>
    <x v="15"/>
    <n v="90"/>
    <x v="2"/>
    <n v="249"/>
  </r>
  <r>
    <n v="666"/>
    <s v="Clayton, Pratt and Stone"/>
    <x v="0"/>
    <x v="6"/>
    <s v="PyTorch"/>
    <s v=" Excel"/>
    <s v=" Scikit-learn"/>
    <s v=" TensorFlow"/>
    <m/>
    <n v="119864.5"/>
    <m/>
    <s v="Entry"/>
    <x v="1"/>
    <s v="Stephanieside"/>
    <s v=" AF"/>
    <n v="108703"/>
    <n v="131026"/>
    <d v="2025-05-03T00:00:00"/>
    <x v="1"/>
    <s v="BigQuery"/>
    <m/>
    <m/>
    <x v="14"/>
    <n v="92"/>
    <x v="3"/>
    <n v="238"/>
  </r>
  <r>
    <n v="667"/>
    <s v="Jones, Spencer and Bowers"/>
    <x v="6"/>
    <x v="5"/>
    <s v="Scikit-learn"/>
    <s v=" GCP"/>
    <s v=" AWS"/>
    <s v=" FastAPI"/>
    <s v=" Excel"/>
    <n v="64942.5"/>
    <s v=" Pandas"/>
    <s v="Entry"/>
    <x v="1"/>
    <s v="Mooreside"/>
    <s v=" GB"/>
    <n v="45561"/>
    <n v="84324"/>
    <d v="2025-01-31T00:00:00"/>
    <x v="0"/>
    <s v="Scikit-learn"/>
    <m/>
    <m/>
    <x v="1"/>
    <n v="76"/>
    <x v="7"/>
    <n v="255"/>
  </r>
  <r>
    <n v="668"/>
    <s v="Lyons Inc"/>
    <x v="2"/>
    <x v="6"/>
    <s v="CUDA"/>
    <s v=" R"/>
    <s v=" GCP"/>
    <m/>
    <m/>
    <n v="98471.5"/>
    <m/>
    <s v="Senior"/>
    <x v="3"/>
    <s v="Wangside"/>
    <s v=" UZ"/>
    <n v="50662"/>
    <n v="146281"/>
    <d v="2024-11-13T00:00:00"/>
    <x v="0"/>
    <s v="BigQuery"/>
    <s v=" KDB+"/>
    <m/>
    <x v="13"/>
    <n v="75"/>
    <x v="3"/>
    <n v="238"/>
  </r>
  <r>
    <n v="669"/>
    <s v="Robinson PLC"/>
    <x v="3"/>
    <x v="0"/>
    <s v="FastAPI"/>
    <s v=" C++"/>
    <s v=" Azure"/>
    <s v=" Reinforcement Learning"/>
    <s v=" CUDA"/>
    <n v="97053.5"/>
    <m/>
    <s v="Senior"/>
    <x v="1"/>
    <s v="West Brittanyland"/>
    <s v=" MW"/>
    <n v="75939"/>
    <n v="118168"/>
    <d v="2025-02-10T00:00:00"/>
    <x v="0"/>
    <s v="PyTorch"/>
    <s v=" BigQuery"/>
    <m/>
    <x v="20"/>
    <n v="111"/>
    <x v="5"/>
    <n v="233"/>
  </r>
  <r>
    <n v="670"/>
    <s v="Lopez, Davis and Greene"/>
    <x v="5"/>
    <x v="3"/>
    <s v="LangChain"/>
    <s v=" Azure"/>
    <s v=" CUDA"/>
    <s v=" GCP"/>
    <m/>
    <n v="115333.5"/>
    <m/>
    <s v="Entry"/>
    <x v="0"/>
    <s v="Johnsonland"/>
    <s v=" SM"/>
    <n v="75976"/>
    <n v="154691"/>
    <d v="2024-08-10T00:00:00"/>
    <x v="1"/>
    <s v="KDB+"/>
    <s v=" LangChain"/>
    <s v=" PyTorch"/>
    <x v="12"/>
    <n v="100"/>
    <x v="0"/>
    <n v="247"/>
  </r>
  <r>
    <n v="671"/>
    <s v="Williams, Romero and Goodwin"/>
    <x v="5"/>
    <x v="5"/>
    <s v="Azure"/>
    <s v=" PyTorch"/>
    <s v=" Excel"/>
    <s v=" R"/>
    <s v=" NumPy"/>
    <n v="79436.5"/>
    <m/>
    <s v="Entry"/>
    <x v="3"/>
    <s v="Gregorybury"/>
    <s v=" MM"/>
    <n v="58623"/>
    <n v="100250"/>
    <d v="2023-10-15T00:00:00"/>
    <x v="2"/>
    <s v="PyTorch"/>
    <s v=" Scikit-learn"/>
    <s v=" KDB+"/>
    <x v="15"/>
    <n v="90"/>
    <x v="5"/>
    <n v="233"/>
  </r>
  <r>
    <n v="672"/>
    <s v="Martinez LLC"/>
    <x v="4"/>
    <x v="1"/>
    <s v="R"/>
    <s v=" MLflow"/>
    <s v=" AWS"/>
    <s v=" Flask"/>
    <s v=" C++"/>
    <n v="108357.5"/>
    <m/>
    <s v="Senior"/>
    <x v="1"/>
    <s v="Timothytown"/>
    <s v=" KZ"/>
    <n v="95737"/>
    <n v="120978"/>
    <d v="2025-07-27T00:00:00"/>
    <x v="0"/>
    <s v="TensorFlow"/>
    <s v=" FastAPI"/>
    <m/>
    <x v="11"/>
    <n v="86"/>
    <x v="2"/>
    <n v="249"/>
  </r>
  <r>
    <n v="673"/>
    <s v="Lopez-Hughes"/>
    <x v="4"/>
    <x v="4"/>
    <s v="AWS"/>
    <s v=" Reinforcement Learning"/>
    <s v=" TensorFlow"/>
    <s v=" FastAPI"/>
    <s v=" SQL"/>
    <n v="101626"/>
    <s v=" Power BI"/>
    <s v="Senior"/>
    <x v="3"/>
    <s v="Kentville"/>
    <s v=" BT"/>
    <n v="86038"/>
    <n v="117214"/>
    <d v="2025-01-12T00:00:00"/>
    <x v="2"/>
    <s v="LangChain"/>
    <s v=" PyTorch"/>
    <s v=" BigQuery"/>
    <x v="10"/>
    <n v="97"/>
    <x v="4"/>
    <n v="268"/>
  </r>
  <r>
    <n v="674"/>
    <s v="Palmer, Moody and Wallace"/>
    <x v="1"/>
    <x v="6"/>
    <s v="CUDA"/>
    <s v=" NumPy"/>
    <s v=" Power BI"/>
    <s v=" Azure"/>
    <s v=" C++"/>
    <n v="100551.5"/>
    <m/>
    <s v="Entry"/>
    <x v="1"/>
    <s v="South Amanda"/>
    <s v=" BE"/>
    <n v="52929"/>
    <n v="148174"/>
    <d v="2024-12-30T00:00:00"/>
    <x v="2"/>
    <s v="PyTorch"/>
    <s v=" MLflow"/>
    <s v=" KDB+"/>
    <x v="13"/>
    <n v="75"/>
    <x v="5"/>
    <n v="233"/>
  </r>
  <r>
    <n v="675"/>
    <s v="Lawrence PLC"/>
    <x v="6"/>
    <x v="1"/>
    <s v="SQL"/>
    <s v=" Flask"/>
    <s v=" FastAPI"/>
    <s v=" Pandas"/>
    <s v=" Power BI"/>
    <n v="137700.5"/>
    <m/>
    <s v="Senior"/>
    <x v="2"/>
    <s v="Saraview"/>
    <s v=" BR"/>
    <n v="94926"/>
    <n v="180475"/>
    <d v="2025-08-12T00:00:00"/>
    <x v="1"/>
    <s v="FastAPI"/>
    <s v=" PyTorch"/>
    <s v=" MLflow"/>
    <x v="17"/>
    <n v="88"/>
    <x v="1"/>
    <n v="251"/>
  </r>
  <r>
    <n v="676"/>
    <s v="Harrison-Stevenson"/>
    <x v="3"/>
    <x v="6"/>
    <s v="GCP"/>
    <s v=" Excel"/>
    <s v=" NumPy"/>
    <s v=" Azure"/>
    <s v=" R"/>
    <n v="102361.5"/>
    <s v=" Pandas"/>
    <s v="Mid"/>
    <x v="1"/>
    <s v="Barberfurt"/>
    <s v=" AD"/>
    <n v="80350"/>
    <n v="124373"/>
    <d v="2024-01-26T00:00:00"/>
    <x v="0"/>
    <s v="MLflow"/>
    <s v=" BigQuery"/>
    <m/>
    <x v="4"/>
    <n v="78"/>
    <x v="6"/>
    <n v="259"/>
  </r>
  <r>
    <n v="677"/>
    <s v="Webb-Garcia"/>
    <x v="6"/>
    <x v="3"/>
    <s v="Python"/>
    <s v=" MLflow"/>
    <s v=" Reinforcement Learning"/>
    <s v=" Power BI"/>
    <s v=" Flask"/>
    <n v="165557"/>
    <m/>
    <s v="Mid"/>
    <x v="1"/>
    <s v="Andreaton"/>
    <s v=" RO"/>
    <n v="141317"/>
    <n v="189797"/>
    <d v="2025-07-31T00:00:00"/>
    <x v="0"/>
    <s v="LangChain"/>
    <m/>
    <m/>
    <x v="5"/>
    <n v="94"/>
    <x v="4"/>
    <n v="268"/>
  </r>
  <r>
    <n v="678"/>
    <s v="Williams-Leonard"/>
    <x v="1"/>
    <x v="5"/>
    <s v="Flask"/>
    <s v=" GCP"/>
    <s v=" MLflow"/>
    <s v=" Keras"/>
    <s v=" CUDA"/>
    <n v="193761"/>
    <s v=" AWS"/>
    <s v="Mid"/>
    <x v="1"/>
    <s v="Samuelside"/>
    <s v=" BI"/>
    <n v="144921"/>
    <n v="242601"/>
    <d v="2024-01-25T00:00:00"/>
    <x v="0"/>
    <s v="KDB+"/>
    <m/>
    <m/>
    <x v="16"/>
    <n v="86"/>
    <x v="0"/>
    <n v="247"/>
  </r>
  <r>
    <n v="679"/>
    <s v="Fox Group"/>
    <x v="5"/>
    <x v="7"/>
    <s v="TensorFlow"/>
    <s v=" C++"/>
    <s v=" AWS"/>
    <s v=" GCP"/>
    <m/>
    <n v="108195"/>
    <m/>
    <s v="Entry"/>
    <x v="2"/>
    <s v="West Madisonchester"/>
    <s v=" NP"/>
    <n v="78021"/>
    <n v="138369"/>
    <d v="2024-06-30T00:00:00"/>
    <x v="0"/>
    <s v="BigQuery"/>
    <s v=" MLflow"/>
    <m/>
    <x v="19"/>
    <n v="95"/>
    <x v="3"/>
    <n v="238"/>
  </r>
  <r>
    <n v="680"/>
    <s v="Taylor, Ruiz and Hernandez"/>
    <x v="3"/>
    <x v="2"/>
    <s v="Azure"/>
    <s v=" LangChain"/>
    <s v=" C++"/>
    <s v=" NumPy"/>
    <s v=" MLflow"/>
    <n v="117295"/>
    <m/>
    <s v="Senior"/>
    <x v="2"/>
    <s v="East Davidbury"/>
    <s v=" SK"/>
    <n v="69902"/>
    <n v="164688"/>
    <d v="2025-03-15T00:00:00"/>
    <x v="0"/>
    <s v="Scikit-learn"/>
    <s v=" LangChain"/>
    <s v=" TensorFlow"/>
    <x v="15"/>
    <n v="90"/>
    <x v="7"/>
    <n v="255"/>
  </r>
  <r>
    <n v="681"/>
    <s v="Taylor, Thompson and Good"/>
    <x v="6"/>
    <x v="1"/>
    <s v="Scikit-learn"/>
    <s v=" C++"/>
    <s v=" LangChain"/>
    <s v=" CUDA"/>
    <s v=" Excel"/>
    <n v="185144"/>
    <s v=" Flask"/>
    <s v="Entry"/>
    <x v="3"/>
    <s v="South Patriciaport"/>
    <s v=" RS"/>
    <n v="149757"/>
    <n v="220531"/>
    <d v="2025-02-08T00:00:00"/>
    <x v="2"/>
    <s v="PyTorch"/>
    <m/>
    <m/>
    <x v="1"/>
    <n v="76"/>
    <x v="5"/>
    <n v="233"/>
  </r>
  <r>
    <n v="682"/>
    <s v="Wheeler, Hall and Gonzalez"/>
    <x v="0"/>
    <x v="7"/>
    <s v="Excel"/>
    <s v=" AWS"/>
    <s v=" Flask"/>
    <s v=" NumPy"/>
    <m/>
    <n v="131284"/>
    <m/>
    <s v="Entry"/>
    <x v="3"/>
    <s v="New Devinview"/>
    <s v=" AG"/>
    <n v="115186"/>
    <n v="147382"/>
    <d v="2025-05-09T00:00:00"/>
    <x v="1"/>
    <s v="LangChain"/>
    <m/>
    <m/>
    <x v="2"/>
    <n v="101"/>
    <x v="4"/>
    <n v="268"/>
  </r>
  <r>
    <n v="683"/>
    <s v="Bell, Jones and Munoz"/>
    <x v="0"/>
    <x v="2"/>
    <s v="FastAPI"/>
    <s v=" Keras"/>
    <s v=" MLflow"/>
    <m/>
    <m/>
    <n v="70332.5"/>
    <m/>
    <s v="Mid"/>
    <x v="0"/>
    <s v="Angelastad"/>
    <s v=" DE"/>
    <n v="48248"/>
    <n v="92417"/>
    <d v="2023-10-18T00:00:00"/>
    <x v="0"/>
    <s v="FastAPI"/>
    <m/>
    <m/>
    <x v="20"/>
    <n v="111"/>
    <x v="1"/>
    <n v="251"/>
  </r>
  <r>
    <n v="684"/>
    <s v="Moyer, Nelson and Johnston"/>
    <x v="0"/>
    <x v="1"/>
    <s v="Keras"/>
    <s v=" PyTorch"/>
    <s v=" TensorFlow"/>
    <s v=" Scikit-learn"/>
    <s v=" Azure"/>
    <n v="125729"/>
    <m/>
    <s v="Mid"/>
    <x v="0"/>
    <s v="Jordanport"/>
    <s v=" NG"/>
    <n v="111819"/>
    <n v="139639"/>
    <d v="2024-02-09T00:00:00"/>
    <x v="0"/>
    <s v="KDB+"/>
    <m/>
    <m/>
    <x v="7"/>
    <n v="96"/>
    <x v="0"/>
    <n v="247"/>
  </r>
  <r>
    <n v="685"/>
    <s v="Shepard, Anderson and Robinson"/>
    <x v="6"/>
    <x v="4"/>
    <s v="Excel"/>
    <s v=" CUDA"/>
    <s v=" Reinforcement Learning"/>
    <m/>
    <m/>
    <n v="146478"/>
    <m/>
    <s v="Mid"/>
    <x v="0"/>
    <s v="Lake Stacey"/>
    <s v=" SE"/>
    <n v="129844"/>
    <n v="163112"/>
    <d v="2024-10-13T00:00:00"/>
    <x v="2"/>
    <s v="TensorFlow"/>
    <s v=" LangChain"/>
    <s v=" PyTorch"/>
    <x v="2"/>
    <n v="101"/>
    <x v="2"/>
    <n v="249"/>
  </r>
  <r>
    <n v="686"/>
    <s v="Smith and Sons"/>
    <x v="5"/>
    <x v="7"/>
    <s v="Hugging Face"/>
    <s v=" GCP"/>
    <s v=" Azure"/>
    <m/>
    <m/>
    <n v="161360.5"/>
    <m/>
    <s v="Entry"/>
    <x v="0"/>
    <s v="Collinsland"/>
    <s v=" MA"/>
    <n v="121208"/>
    <n v="201513"/>
    <d v="2024-09-10T00:00:00"/>
    <x v="1"/>
    <s v="MLflow"/>
    <m/>
    <m/>
    <x v="9"/>
    <n v="89"/>
    <x v="6"/>
    <n v="259"/>
  </r>
  <r>
    <n v="687"/>
    <s v="Mathews, Chavez and Scott"/>
    <x v="0"/>
    <x v="4"/>
    <s v="LangChain"/>
    <s v=" AWS"/>
    <s v=" NumPy"/>
    <s v=" Flask"/>
    <s v=" GCP"/>
    <n v="151997"/>
    <s v=" Excel"/>
    <s v="Senior"/>
    <x v="0"/>
    <s v="Hamiltonport"/>
    <s v=" WS"/>
    <n v="107216"/>
    <n v="196778"/>
    <d v="2025-01-12T00:00:00"/>
    <x v="2"/>
    <s v="LangChain"/>
    <m/>
    <m/>
    <x v="12"/>
    <n v="100"/>
    <x v="4"/>
    <n v="268"/>
  </r>
  <r>
    <n v="688"/>
    <s v="Wiley LLC"/>
    <x v="6"/>
    <x v="7"/>
    <s v="SQL"/>
    <s v=" NumPy"/>
    <s v=" Excel"/>
    <s v=" Pandas"/>
    <s v=" Python"/>
    <n v="89251.5"/>
    <m/>
    <s v="Mid"/>
    <x v="1"/>
    <s v="West Manuel"/>
    <s v=" RW"/>
    <n v="41764"/>
    <n v="136739"/>
    <d v="2025-07-11T00:00:00"/>
    <x v="2"/>
    <s v="LangChain"/>
    <m/>
    <m/>
    <x v="17"/>
    <n v="88"/>
    <x v="4"/>
    <n v="268"/>
  </r>
  <r>
    <n v="689"/>
    <s v="Lawrence, Smith and Powell"/>
    <x v="1"/>
    <x v="0"/>
    <s v="Reinforcement Learning"/>
    <s v=" Flask"/>
    <s v=" CUDA"/>
    <m/>
    <m/>
    <n v="172014.5"/>
    <m/>
    <s v="Senior"/>
    <x v="2"/>
    <s v="North Jessicamouth"/>
    <s v=" BT"/>
    <n v="147895"/>
    <n v="196134"/>
    <d v="2024-01-15T00:00:00"/>
    <x v="0"/>
    <s v="BigQuery"/>
    <m/>
    <m/>
    <x v="21"/>
    <n v="104"/>
    <x v="3"/>
    <n v="238"/>
  </r>
  <r>
    <n v="690"/>
    <s v="Allen, Harvey and Jordan"/>
    <x v="6"/>
    <x v="6"/>
    <s v="C++"/>
    <s v=" GCP"/>
    <s v=" Pandas"/>
    <s v=" MLflow"/>
    <s v=" TensorFlow"/>
    <n v="96135"/>
    <m/>
    <s v="Senior"/>
    <x v="0"/>
    <s v="Montoyabury"/>
    <s v=" AR"/>
    <n v="47192"/>
    <n v="145078"/>
    <d v="2025-06-29T00:00:00"/>
    <x v="0"/>
    <s v="TensorFlow"/>
    <m/>
    <m/>
    <x v="8"/>
    <n v="84"/>
    <x v="2"/>
    <n v="249"/>
  </r>
  <r>
    <n v="691"/>
    <s v="Shaw-Knapp"/>
    <x v="5"/>
    <x v="2"/>
    <s v="Reinforcement Learning"/>
    <s v=" C++"/>
    <s v=" PyTorch"/>
    <s v=" AWS"/>
    <s v=" Azure"/>
    <n v="67997"/>
    <m/>
    <s v="Mid"/>
    <x v="1"/>
    <s v="North Williamside"/>
    <s v=" FJ"/>
    <n v="48979"/>
    <n v="87015"/>
    <d v="2024-07-28T00:00:00"/>
    <x v="0"/>
    <s v="FastAPI"/>
    <s v=" LangChain"/>
    <s v=" KDB+"/>
    <x v="21"/>
    <n v="104"/>
    <x v="1"/>
    <n v="251"/>
  </r>
  <r>
    <n v="692"/>
    <s v="Phillips Ltd"/>
    <x v="5"/>
    <x v="1"/>
    <s v="LangChain"/>
    <s v=" PyTorch"/>
    <s v=" GCP"/>
    <s v=" AWS"/>
    <s v=" C++"/>
    <n v="103639"/>
    <s v=" Azure"/>
    <s v="Mid"/>
    <x v="0"/>
    <s v="North Davidshire"/>
    <s v=" WS"/>
    <n v="70473"/>
    <n v="136805"/>
    <d v="2025-03-16T00:00:00"/>
    <x v="2"/>
    <s v="TensorFlow"/>
    <s v=" PyTorch"/>
    <m/>
    <x v="12"/>
    <n v="100"/>
    <x v="2"/>
    <n v="249"/>
  </r>
  <r>
    <n v="693"/>
    <s v="Lang-Hill"/>
    <x v="6"/>
    <x v="1"/>
    <s v="Hugging Face"/>
    <s v=" Flask"/>
    <s v=" LangChain"/>
    <s v=" TensorFlow"/>
    <s v=" Pandas"/>
    <n v="126795"/>
    <s v=" FastAPI"/>
    <s v="Entry"/>
    <x v="0"/>
    <s v="Stephanieville"/>
    <s v=" DE"/>
    <n v="101941"/>
    <n v="151649"/>
    <d v="2024-09-02T00:00:00"/>
    <x v="1"/>
    <s v="TensorFlow"/>
    <s v=" BigQuery"/>
    <s v=" FastAPI"/>
    <x v="9"/>
    <n v="89"/>
    <x v="2"/>
    <n v="249"/>
  </r>
  <r>
    <n v="694"/>
    <s v="Hernandez LLC"/>
    <x v="1"/>
    <x v="1"/>
    <s v="PyTorch"/>
    <s v=" C++"/>
    <s v=" Python"/>
    <s v=" TensorFlow"/>
    <s v=" Power BI"/>
    <n v="105224.5"/>
    <m/>
    <s v="Mid"/>
    <x v="2"/>
    <s v="Danielberg"/>
    <s v=" DZ"/>
    <n v="79422"/>
    <n v="131027"/>
    <d v="2025-03-24T00:00:00"/>
    <x v="0"/>
    <s v="Scikit-learn"/>
    <s v=" BigQuery"/>
    <m/>
    <x v="14"/>
    <n v="92"/>
    <x v="7"/>
    <n v="255"/>
  </r>
  <r>
    <n v="695"/>
    <s v="Bradford, Ryan and Edwards"/>
    <x v="5"/>
    <x v="6"/>
    <s v="FastAPI"/>
    <s v=" Excel"/>
    <s v=" TensorFlow"/>
    <m/>
    <m/>
    <n v="151434"/>
    <m/>
    <s v="Senior"/>
    <x v="0"/>
    <s v="Port Austinfort"/>
    <s v=" SZ"/>
    <n v="104607"/>
    <n v="198261"/>
    <d v="2024-01-19T00:00:00"/>
    <x v="0"/>
    <s v="LangChain"/>
    <s v=" Scikit-learn"/>
    <s v=" KDB+"/>
    <x v="20"/>
    <n v="111"/>
    <x v="4"/>
    <n v="268"/>
  </r>
  <r>
    <n v="696"/>
    <s v="Lang PLC"/>
    <x v="3"/>
    <x v="0"/>
    <s v="Power BI"/>
    <s v=" TensorFlow"/>
    <s v=" Keras"/>
    <m/>
    <m/>
    <n v="186466"/>
    <m/>
    <s v="Entry"/>
    <x v="0"/>
    <s v="Jaredberg"/>
    <s v=" LT"/>
    <n v="142297"/>
    <n v="230635"/>
    <d v="2023-11-25T00:00:00"/>
    <x v="0"/>
    <s v="FastAPI"/>
    <m/>
    <m/>
    <x v="18"/>
    <n v="96"/>
    <x v="1"/>
    <n v="251"/>
  </r>
  <r>
    <n v="697"/>
    <s v="Rivas Inc"/>
    <x v="0"/>
    <x v="0"/>
    <s v="Pandas"/>
    <s v=" TensorFlow"/>
    <s v=" Keras"/>
    <s v=" Python"/>
    <s v=" Excel"/>
    <n v="156624.5"/>
    <m/>
    <s v="Mid"/>
    <x v="0"/>
    <s v="West Rick"/>
    <s v=" CY"/>
    <n v="129959"/>
    <n v="183290"/>
    <d v="2024-11-11T00:00:00"/>
    <x v="1"/>
    <s v="BigQuery"/>
    <m/>
    <m/>
    <x v="6"/>
    <n v="78"/>
    <x v="3"/>
    <n v="238"/>
  </r>
  <r>
    <n v="698"/>
    <s v="Spencer-Watson"/>
    <x v="5"/>
    <x v="6"/>
    <s v="MLflow"/>
    <s v=" C++"/>
    <s v=" Excel"/>
    <m/>
    <m/>
    <n v="85619"/>
    <m/>
    <s v="Senior"/>
    <x v="3"/>
    <s v="Wilsonfurt"/>
    <s v=" VU"/>
    <n v="78350"/>
    <n v="92888"/>
    <d v="2025-02-19T00:00:00"/>
    <x v="2"/>
    <s v="FastAPI"/>
    <m/>
    <m/>
    <x v="3"/>
    <n v="80"/>
    <x v="1"/>
    <n v="251"/>
  </r>
  <r>
    <n v="699"/>
    <s v="Ward, Morton and Taylor"/>
    <x v="3"/>
    <x v="2"/>
    <s v="Azure"/>
    <s v=" Flask"/>
    <s v=" Keras"/>
    <s v=" Scikit-learn"/>
    <s v=" Reinforcement Learning"/>
    <n v="120475"/>
    <s v=" GCP"/>
    <s v="Mid"/>
    <x v="0"/>
    <s v="Lisaview"/>
    <s v=" GM"/>
    <n v="76271"/>
    <n v="164679"/>
    <d v="2024-06-11T00:00:00"/>
    <x v="2"/>
    <s v="KDB+"/>
    <s v=" MLflow"/>
    <s v=" Scikit-learn"/>
    <x v="15"/>
    <n v="90"/>
    <x v="0"/>
    <n v="247"/>
  </r>
  <r>
    <n v="700"/>
    <s v="Deleon, Waters and Perez"/>
    <x v="1"/>
    <x v="4"/>
    <s v="NumPy"/>
    <s v=" PyTorch"/>
    <s v=" R"/>
    <s v=" Flask"/>
    <s v=" Python"/>
    <n v="76767"/>
    <s v=" Keras"/>
    <s v="Senior"/>
    <x v="1"/>
    <s v="Lake Michael"/>
    <s v=" AU"/>
    <n v="55587"/>
    <n v="97947"/>
    <d v="2024-04-18T00:00:00"/>
    <x v="2"/>
    <s v="PyTorch"/>
    <m/>
    <m/>
    <x v="0"/>
    <n v="104"/>
    <x v="5"/>
    <n v="233"/>
  </r>
  <r>
    <n v="701"/>
    <s v="Thomas, Park and Smith"/>
    <x v="0"/>
    <x v="4"/>
    <s v="CUDA"/>
    <s v=" Excel"/>
    <s v=" Azure"/>
    <s v=" NumPy"/>
    <m/>
    <n v="137389"/>
    <m/>
    <s v="Senior"/>
    <x v="1"/>
    <s v="North Shaneland"/>
    <s v=" LB"/>
    <n v="127145"/>
    <n v="147633"/>
    <d v="2024-01-07T00:00:00"/>
    <x v="1"/>
    <s v="TensorFlow"/>
    <s v=" MLflow"/>
    <s v=" KDB+"/>
    <x v="13"/>
    <n v="75"/>
    <x v="2"/>
    <n v="249"/>
  </r>
  <r>
    <n v="702"/>
    <s v="Wilcox PLC"/>
    <x v="1"/>
    <x v="0"/>
    <s v="NumPy"/>
    <s v=" Pandas"/>
    <s v=" Excel"/>
    <m/>
    <m/>
    <n v="185318"/>
    <m/>
    <s v="Mid"/>
    <x v="3"/>
    <s v="East Leonard"/>
    <s v=" CM"/>
    <n v="143724"/>
    <n v="226912"/>
    <d v="2024-07-21T00:00:00"/>
    <x v="1"/>
    <s v="PyTorch"/>
    <s v=" FastAPI"/>
    <s v=" BigQuery"/>
    <x v="0"/>
    <n v="104"/>
    <x v="5"/>
    <n v="233"/>
  </r>
  <r>
    <n v="703"/>
    <s v="Sanders-English"/>
    <x v="4"/>
    <x v="6"/>
    <s v="NumPy"/>
    <s v=" AWS"/>
    <s v=" Reinforcement Learning"/>
    <s v=" Scikit-learn"/>
    <s v=" MLflow"/>
    <n v="116557"/>
    <m/>
    <s v="Entry"/>
    <x v="2"/>
    <s v="Jeanettefurt"/>
    <s v=" SL"/>
    <n v="89162"/>
    <n v="143952"/>
    <d v="2024-12-26T00:00:00"/>
    <x v="1"/>
    <s v="FastAPI"/>
    <m/>
    <m/>
    <x v="0"/>
    <n v="104"/>
    <x v="1"/>
    <n v="251"/>
  </r>
  <r>
    <n v="704"/>
    <s v="Jackson-Johnson"/>
    <x v="3"/>
    <x v="4"/>
    <s v="Flask"/>
    <s v=" Keras"/>
    <s v=" FastAPI"/>
    <s v=" Azure"/>
    <s v=" TensorFlow"/>
    <n v="104128"/>
    <m/>
    <s v="Mid"/>
    <x v="1"/>
    <s v="Smithton"/>
    <s v=" BH"/>
    <n v="91063"/>
    <n v="117193"/>
    <d v="2024-04-25T00:00:00"/>
    <x v="1"/>
    <s v="PyTorch"/>
    <s v=" KDB+"/>
    <s v=" MLflow"/>
    <x v="16"/>
    <n v="86"/>
    <x v="5"/>
    <n v="233"/>
  </r>
  <r>
    <n v="705"/>
    <s v="Morgan, Moore and Ramirez"/>
    <x v="5"/>
    <x v="4"/>
    <s v="SQL"/>
    <s v=" Excel"/>
    <s v=" GCP"/>
    <s v=" Keras"/>
    <s v=" FastAPI"/>
    <n v="153512"/>
    <s v=" MLflow"/>
    <s v="Mid"/>
    <x v="3"/>
    <s v="Alexanderfurt"/>
    <s v=" BE"/>
    <n v="141577"/>
    <n v="165447"/>
    <d v="2024-12-16T00:00:00"/>
    <x v="2"/>
    <s v="KDB+"/>
    <s v=" MLflow"/>
    <s v=" TensorFlow"/>
    <x v="17"/>
    <n v="88"/>
    <x v="0"/>
    <n v="247"/>
  </r>
  <r>
    <n v="706"/>
    <s v="Ellis PLC"/>
    <x v="0"/>
    <x v="4"/>
    <s v="Hugging Face"/>
    <s v=" MLflow"/>
    <s v=" Reinforcement Learning"/>
    <m/>
    <m/>
    <n v="71333.5"/>
    <m/>
    <s v="Entry"/>
    <x v="2"/>
    <s v="Youngton"/>
    <s v=" WS"/>
    <n v="54193"/>
    <n v="88474"/>
    <d v="2023-10-06T00:00:00"/>
    <x v="0"/>
    <s v="LangChain"/>
    <m/>
    <m/>
    <x v="9"/>
    <n v="89"/>
    <x v="4"/>
    <n v="268"/>
  </r>
  <r>
    <n v="707"/>
    <s v="Rojas-Mckinney"/>
    <x v="1"/>
    <x v="3"/>
    <s v="FastAPI"/>
    <s v=" Reinforcement Learning"/>
    <s v=" PyTorch"/>
    <m/>
    <m/>
    <n v="148202.5"/>
    <m/>
    <s v="Senior"/>
    <x v="2"/>
    <s v="East Anthony"/>
    <s v=" CM"/>
    <n v="112652"/>
    <n v="183753"/>
    <d v="2025-04-13T00:00:00"/>
    <x v="2"/>
    <s v="Scikit-learn"/>
    <s v=" TensorFlow"/>
    <m/>
    <x v="20"/>
    <n v="111"/>
    <x v="7"/>
    <n v="255"/>
  </r>
  <r>
    <n v="708"/>
    <s v="Gilbert-Gonzalez"/>
    <x v="1"/>
    <x v="4"/>
    <s v="CUDA"/>
    <s v=" NumPy"/>
    <s v=" Flask"/>
    <s v=" LangChain"/>
    <s v=" Power BI"/>
    <n v="106785.5"/>
    <s v=" Azure"/>
    <s v="Senior"/>
    <x v="0"/>
    <s v="West Anthonyfurt"/>
    <s v=" CV"/>
    <n v="92645"/>
    <n v="120926"/>
    <d v="2025-02-09T00:00:00"/>
    <x v="2"/>
    <s v="LangChain"/>
    <m/>
    <m/>
    <x v="13"/>
    <n v="75"/>
    <x v="4"/>
    <n v="268"/>
  </r>
  <r>
    <n v="709"/>
    <s v="Martinez-Martin"/>
    <x v="4"/>
    <x v="0"/>
    <s v="Power BI"/>
    <s v=" Pandas"/>
    <s v=" CUDA"/>
    <m/>
    <m/>
    <n v="92000"/>
    <m/>
    <s v="Mid"/>
    <x v="0"/>
    <s v="Port Brian"/>
    <s v=" LC"/>
    <n v="64523"/>
    <n v="119477"/>
    <d v="2025-01-14T00:00:00"/>
    <x v="0"/>
    <s v="FastAPI"/>
    <m/>
    <m/>
    <x v="18"/>
    <n v="96"/>
    <x v="1"/>
    <n v="251"/>
  </r>
  <r>
    <n v="710"/>
    <s v="Ayers-Davis"/>
    <x v="3"/>
    <x v="1"/>
    <s v="Hugging Face"/>
    <s v=" Flask"/>
    <s v=" Power BI"/>
    <s v=" Pandas"/>
    <s v=" Excel"/>
    <n v="128558.5"/>
    <m/>
    <s v="Senior"/>
    <x v="0"/>
    <s v="Tracyshire"/>
    <s v=" SC"/>
    <n v="118063"/>
    <n v="139054"/>
    <d v="2024-11-02T00:00:00"/>
    <x v="2"/>
    <s v="Scikit-learn"/>
    <m/>
    <m/>
    <x v="9"/>
    <n v="89"/>
    <x v="7"/>
    <n v="255"/>
  </r>
  <r>
    <n v="711"/>
    <s v="Mcintosh Inc"/>
    <x v="5"/>
    <x v="1"/>
    <s v="R"/>
    <s v=" PyTorch"/>
    <s v=" Flask"/>
    <s v=" GCP"/>
    <s v=" Hugging Face"/>
    <n v="153933"/>
    <m/>
    <s v="Senior"/>
    <x v="0"/>
    <s v="Jameshaven"/>
    <s v=" CF"/>
    <n v="136125"/>
    <n v="171741"/>
    <d v="2024-08-27T00:00:00"/>
    <x v="1"/>
    <s v="MLflow"/>
    <s v=" KDB+"/>
    <m/>
    <x v="11"/>
    <n v="86"/>
    <x v="6"/>
    <n v="259"/>
  </r>
  <r>
    <n v="712"/>
    <s v="Barnes, Cervantes and Ramos"/>
    <x v="6"/>
    <x v="6"/>
    <s v="PyTorch"/>
    <s v=" Scikit-learn"/>
    <s v=" C++"/>
    <s v=" Azure"/>
    <m/>
    <n v="129082"/>
    <m/>
    <s v="Senior"/>
    <x v="3"/>
    <s v="Kristinaville"/>
    <s v=" LT"/>
    <n v="89832"/>
    <n v="168332"/>
    <d v="2023-12-21T00:00:00"/>
    <x v="1"/>
    <s v="LangChain"/>
    <s v=" MLflow"/>
    <m/>
    <x v="14"/>
    <n v="92"/>
    <x v="4"/>
    <n v="268"/>
  </r>
  <r>
    <n v="713"/>
    <s v="Harris-Flores"/>
    <x v="5"/>
    <x v="4"/>
    <s v="PyTorch"/>
    <s v=" MLflow"/>
    <s v=" Scikit-learn"/>
    <m/>
    <m/>
    <n v="65242"/>
    <m/>
    <s v="Entry"/>
    <x v="1"/>
    <s v="Donnaland"/>
    <s v=" FJ"/>
    <n v="58051"/>
    <n v="72433"/>
    <d v="2024-04-10T00:00:00"/>
    <x v="2"/>
    <s v="MLflow"/>
    <s v=" LangChain"/>
    <s v=" PyTorch"/>
    <x v="14"/>
    <n v="92"/>
    <x v="6"/>
    <n v="259"/>
  </r>
  <r>
    <n v="714"/>
    <s v="Montgomery, Bradley and Brandt"/>
    <x v="3"/>
    <x v="7"/>
    <s v="Azure"/>
    <s v=" Reinforcement Learning"/>
    <s v=" SQL"/>
    <s v=" LangChain"/>
    <m/>
    <n v="149251.5"/>
    <m/>
    <s v="Entry"/>
    <x v="3"/>
    <s v="North Royborough"/>
    <s v=" IR"/>
    <n v="118098"/>
    <n v="180405"/>
    <d v="2024-03-13T00:00:00"/>
    <x v="2"/>
    <s v="MLflow"/>
    <s v=" BigQuery"/>
    <m/>
    <x v="15"/>
    <n v="90"/>
    <x v="6"/>
    <n v="259"/>
  </r>
  <r>
    <n v="715"/>
    <s v="Wright-Ochoa"/>
    <x v="4"/>
    <x v="6"/>
    <s v="R"/>
    <s v=" C++"/>
    <s v=" Keras"/>
    <m/>
    <m/>
    <n v="146476"/>
    <m/>
    <s v="Mid"/>
    <x v="0"/>
    <s v="Williamsfort"/>
    <s v=" BZ"/>
    <n v="130644"/>
    <n v="162308"/>
    <d v="2025-05-01T00:00:00"/>
    <x v="2"/>
    <s v="PyTorch"/>
    <s v=" FastAPI"/>
    <s v=" TensorFlow"/>
    <x v="11"/>
    <n v="86"/>
    <x v="5"/>
    <n v="233"/>
  </r>
  <r>
    <n v="716"/>
    <s v="Sanders Group"/>
    <x v="2"/>
    <x v="6"/>
    <s v="C++"/>
    <s v=" Pandas"/>
    <s v=" FastAPI"/>
    <s v=" MLflow"/>
    <s v=" Excel"/>
    <n v="90608.5"/>
    <m/>
    <s v="Entry"/>
    <x v="1"/>
    <s v="Port Robinchester"/>
    <s v=" NG"/>
    <n v="44826"/>
    <n v="136391"/>
    <d v="2024-10-08T00:00:00"/>
    <x v="0"/>
    <s v="TensorFlow"/>
    <m/>
    <m/>
    <x v="8"/>
    <n v="84"/>
    <x v="2"/>
    <n v="249"/>
  </r>
  <r>
    <n v="717"/>
    <s v="Meadows Group"/>
    <x v="6"/>
    <x v="5"/>
    <s v="AWS"/>
    <s v=" Flask"/>
    <s v=" Keras"/>
    <s v=" Hugging Face"/>
    <s v=" NumPy"/>
    <n v="166578.5"/>
    <s v=" Scikit-learn"/>
    <s v="Senior"/>
    <x v="1"/>
    <s v="Joshuamouth"/>
    <s v=" TN"/>
    <n v="143864"/>
    <n v="189293"/>
    <d v="2023-10-30T00:00:00"/>
    <x v="0"/>
    <s v="LangChain"/>
    <m/>
    <m/>
    <x v="10"/>
    <n v="97"/>
    <x v="4"/>
    <n v="268"/>
  </r>
  <r>
    <n v="718"/>
    <s v="Thompson-Patterson"/>
    <x v="6"/>
    <x v="7"/>
    <s v="AWS"/>
    <s v=" Hugging Face"/>
    <s v=" GCP"/>
    <s v=" Power BI"/>
    <s v=" Keras"/>
    <n v="145066.5"/>
    <m/>
    <s v="Mid"/>
    <x v="1"/>
    <s v="Michaelville"/>
    <s v=" BG"/>
    <n v="119984"/>
    <n v="170149"/>
    <d v="2024-09-15T00:00:00"/>
    <x v="0"/>
    <s v="TensorFlow"/>
    <s v=" PyTorch"/>
    <s v=" FastAPI"/>
    <x v="10"/>
    <n v="97"/>
    <x v="2"/>
    <n v="249"/>
  </r>
  <r>
    <n v="719"/>
    <s v="Edwards, Moore and Miller"/>
    <x v="4"/>
    <x v="0"/>
    <s v="GCP"/>
    <s v=" R"/>
    <s v=" Reinforcement Learning"/>
    <s v=" PyTorch"/>
    <s v=" Hugging Face"/>
    <n v="118037.5"/>
    <s v=" Excel"/>
    <s v="Senior"/>
    <x v="0"/>
    <s v="North Justinmouth"/>
    <s v=" MG"/>
    <n v="84432"/>
    <n v="151643"/>
    <d v="2024-07-30T00:00:00"/>
    <x v="2"/>
    <s v="MLflow"/>
    <m/>
    <m/>
    <x v="4"/>
    <n v="78"/>
    <x v="6"/>
    <n v="259"/>
  </r>
  <r>
    <n v="720"/>
    <s v="Martinez and Sons"/>
    <x v="1"/>
    <x v="6"/>
    <s v="PyTorch"/>
    <s v=" GCP"/>
    <s v=" Keras"/>
    <s v=" NumPy"/>
    <s v=" Flask"/>
    <n v="107905"/>
    <m/>
    <s v="Entry"/>
    <x v="0"/>
    <s v="Cooperport"/>
    <s v=" WS"/>
    <n v="78737"/>
    <n v="137073"/>
    <d v="2025-05-05T00:00:00"/>
    <x v="2"/>
    <s v="MLflow"/>
    <s v=" TensorFlow"/>
    <m/>
    <x v="14"/>
    <n v="92"/>
    <x v="6"/>
    <n v="259"/>
  </r>
  <r>
    <n v="721"/>
    <s v="Shepard-Kelly"/>
    <x v="5"/>
    <x v="0"/>
    <s v="TensorFlow"/>
    <s v=" MLflow"/>
    <s v=" C++"/>
    <s v=" Flask"/>
    <s v=" SQL"/>
    <n v="168659"/>
    <s v=" GCP"/>
    <s v="Entry"/>
    <x v="1"/>
    <s v="New Susan"/>
    <s v=" FJ"/>
    <n v="125708"/>
    <n v="211610"/>
    <d v="2024-09-26T00:00:00"/>
    <x v="1"/>
    <s v="BigQuery"/>
    <s v=" MLflow"/>
    <m/>
    <x v="19"/>
    <n v="95"/>
    <x v="3"/>
    <n v="238"/>
  </r>
  <r>
    <n v="722"/>
    <s v="Lambert Inc"/>
    <x v="0"/>
    <x v="3"/>
    <s v="C++"/>
    <s v=" Pandas"/>
    <s v=" Flask"/>
    <s v=" Hugging Face"/>
    <s v=" Excel"/>
    <n v="108499"/>
    <m/>
    <s v="Mid"/>
    <x v="3"/>
    <s v="West Ericshire"/>
    <s v=" ZA"/>
    <n v="66588"/>
    <n v="150410"/>
    <d v="2024-02-17T00:00:00"/>
    <x v="0"/>
    <s v="MLflow"/>
    <s v=" BigQuery"/>
    <m/>
    <x v="8"/>
    <n v="84"/>
    <x v="6"/>
    <n v="259"/>
  </r>
  <r>
    <n v="723"/>
    <s v="Blankenship, Greer and Hernandez"/>
    <x v="3"/>
    <x v="0"/>
    <s v="R"/>
    <s v=" CUDA"/>
    <s v=" Pandas"/>
    <s v=" TensorFlow"/>
    <s v=" Azure"/>
    <n v="91813"/>
    <s v=" PyTorch"/>
    <s v="Senior"/>
    <x v="2"/>
    <s v="Port Jessica"/>
    <s v=" PG"/>
    <n v="54873"/>
    <n v="128753"/>
    <d v="2023-12-04T00:00:00"/>
    <x v="0"/>
    <s v="KDB+"/>
    <s v=" LangChain"/>
    <m/>
    <x v="11"/>
    <n v="86"/>
    <x v="0"/>
    <n v="247"/>
  </r>
  <r>
    <n v="724"/>
    <s v="Benson LLC"/>
    <x v="5"/>
    <x v="1"/>
    <s v="Scikit-learn"/>
    <s v=" TensorFlow"/>
    <s v=" PyTorch"/>
    <s v=" Python"/>
    <m/>
    <n v="158500.5"/>
    <m/>
    <s v="Senior"/>
    <x v="1"/>
    <s v="Curtischester"/>
    <s v=" MN"/>
    <n v="148303"/>
    <n v="168698"/>
    <d v="2025-06-21T00:00:00"/>
    <x v="1"/>
    <s v="MLflow"/>
    <s v=" FastAPI"/>
    <m/>
    <x v="1"/>
    <n v="76"/>
    <x v="6"/>
    <n v="259"/>
  </r>
  <r>
    <n v="725"/>
    <s v="Martinez-Braun"/>
    <x v="1"/>
    <x v="7"/>
    <s v="TensorFlow"/>
    <s v=" GCP"/>
    <s v=" Python"/>
    <m/>
    <m/>
    <n v="82159"/>
    <m/>
    <s v="Mid"/>
    <x v="0"/>
    <s v="Lake Patricia"/>
    <s v=" VC"/>
    <n v="41869"/>
    <n v="122449"/>
    <d v="2024-01-24T00:00:00"/>
    <x v="1"/>
    <s v="BigQuery"/>
    <m/>
    <m/>
    <x v="19"/>
    <n v="95"/>
    <x v="3"/>
    <n v="238"/>
  </r>
  <r>
    <n v="726"/>
    <s v="Powell-Moreno"/>
    <x v="6"/>
    <x v="0"/>
    <s v="FastAPI"/>
    <s v=" Hugging Face"/>
    <s v=" R"/>
    <s v=" Keras"/>
    <s v=" NumPy"/>
    <n v="139855"/>
    <s v=" PyTorch"/>
    <s v="Entry"/>
    <x v="0"/>
    <s v="South Jamesstad"/>
    <s v=" MV"/>
    <n v="108841"/>
    <n v="170869"/>
    <d v="2024-11-11T00:00:00"/>
    <x v="0"/>
    <s v="BigQuery"/>
    <s v=" KDB+"/>
    <m/>
    <x v="20"/>
    <n v="111"/>
    <x v="3"/>
    <n v="238"/>
  </r>
  <r>
    <n v="727"/>
    <s v="Pitts-Fuentes"/>
    <x v="0"/>
    <x v="3"/>
    <s v="Keras"/>
    <s v=" Scikit-learn"/>
    <s v=" R"/>
    <s v=" Flask"/>
    <s v=" Python"/>
    <n v="141618.5"/>
    <s v=" FastAPI"/>
    <s v="Mid"/>
    <x v="3"/>
    <s v="Matthewmouth"/>
    <s v=" DK"/>
    <n v="114726"/>
    <n v="168511"/>
    <d v="2024-09-08T00:00:00"/>
    <x v="0"/>
    <s v="KDB+"/>
    <s v=" PyTorch"/>
    <s v=" FastAPI"/>
    <x v="7"/>
    <n v="96"/>
    <x v="0"/>
    <n v="247"/>
  </r>
  <r>
    <n v="728"/>
    <s v="Allen Ltd"/>
    <x v="0"/>
    <x v="4"/>
    <s v="Azure"/>
    <s v=" PyTorch"/>
    <s v=" CUDA"/>
    <s v=" TensorFlow"/>
    <s v=" Flask"/>
    <n v="124161"/>
    <m/>
    <s v="Senior"/>
    <x v="1"/>
    <s v="Cruzmouth"/>
    <s v=" MY"/>
    <n v="80878"/>
    <n v="167444"/>
    <d v="2025-01-20T00:00:00"/>
    <x v="1"/>
    <s v="PyTorch"/>
    <s v=" TensorFlow"/>
    <m/>
    <x v="15"/>
    <n v="90"/>
    <x v="5"/>
    <n v="233"/>
  </r>
  <r>
    <n v="729"/>
    <s v="Anderson, Reyes and Perez"/>
    <x v="5"/>
    <x v="6"/>
    <s v="Pandas"/>
    <s v=" Azure"/>
    <s v=" Power BI"/>
    <m/>
    <m/>
    <n v="85044.5"/>
    <m/>
    <s v="Mid"/>
    <x v="3"/>
    <s v="Smithview"/>
    <s v=" BS"/>
    <n v="58935"/>
    <n v="111154"/>
    <d v="2025-09-11T00:00:00"/>
    <x v="1"/>
    <s v="PyTorch"/>
    <s v=" Scikit-learn"/>
    <s v=" MLflow"/>
    <x v="6"/>
    <n v="78"/>
    <x v="5"/>
    <n v="233"/>
  </r>
  <r>
    <n v="730"/>
    <s v="Boyd-Brooks"/>
    <x v="4"/>
    <x v="3"/>
    <s v="Reinforcement Learning"/>
    <s v=" NumPy"/>
    <s v=" LangChain"/>
    <s v=" GCP"/>
    <m/>
    <n v="166231.5"/>
    <m/>
    <s v="Entry"/>
    <x v="0"/>
    <s v="Gamblemouth"/>
    <s v=" TH"/>
    <n v="122431"/>
    <n v="210032"/>
    <d v="2024-03-31T00:00:00"/>
    <x v="2"/>
    <s v="PyTorch"/>
    <s v=" KDB+"/>
    <m/>
    <x v="21"/>
    <n v="104"/>
    <x v="5"/>
    <n v="233"/>
  </r>
  <r>
    <n v="731"/>
    <s v="Hill LLC"/>
    <x v="3"/>
    <x v="4"/>
    <s v="Excel"/>
    <s v=" Hugging Face"/>
    <s v=" TensorFlow"/>
    <m/>
    <m/>
    <n v="109310.5"/>
    <m/>
    <s v="Mid"/>
    <x v="0"/>
    <s v="West Mary"/>
    <s v=" MZ"/>
    <n v="102648"/>
    <n v="115973"/>
    <d v="2025-06-23T00:00:00"/>
    <x v="1"/>
    <s v="LangChain"/>
    <s v=" PyTorch"/>
    <m/>
    <x v="2"/>
    <n v="101"/>
    <x v="4"/>
    <n v="268"/>
  </r>
  <r>
    <n v="732"/>
    <s v="Oconnor-Russell"/>
    <x v="6"/>
    <x v="2"/>
    <s v="AWS"/>
    <s v=" MLflow"/>
    <s v=" CUDA"/>
    <s v=" FastAPI"/>
    <s v=" Keras"/>
    <n v="70297.5"/>
    <s v=" Reinforcement Learning"/>
    <s v="Senior"/>
    <x v="0"/>
    <s v="South Tarabury"/>
    <s v=" GT"/>
    <n v="61585"/>
    <n v="79010"/>
    <d v="2025-05-22T00:00:00"/>
    <x v="0"/>
    <s v="PyTorch"/>
    <s v=" KDB+"/>
    <m/>
    <x v="10"/>
    <n v="97"/>
    <x v="5"/>
    <n v="233"/>
  </r>
  <r>
    <n v="733"/>
    <s v="Jensen-Adams"/>
    <x v="3"/>
    <x v="2"/>
    <s v="Pandas"/>
    <s v=" TensorFlow"/>
    <s v=" NumPy"/>
    <m/>
    <m/>
    <n v="87973"/>
    <m/>
    <s v="Entry"/>
    <x v="3"/>
    <s v="New Bethburgh"/>
    <s v=" IL"/>
    <n v="53822"/>
    <n v="122124"/>
    <d v="2024-01-05T00:00:00"/>
    <x v="1"/>
    <s v="TensorFlow"/>
    <s v=" FastAPI"/>
    <s v=" LangChain"/>
    <x v="6"/>
    <n v="78"/>
    <x v="2"/>
    <n v="249"/>
  </r>
  <r>
    <n v="734"/>
    <s v="Smith-Coleman"/>
    <x v="4"/>
    <x v="3"/>
    <s v="NumPy"/>
    <s v=" SQL"/>
    <s v=" Flask"/>
    <s v=" Power BI"/>
    <s v=" GCP"/>
    <n v="143268.5"/>
    <m/>
    <s v="Senior"/>
    <x v="3"/>
    <s v="Lake Scottfort"/>
    <s v=" GN"/>
    <n v="107790"/>
    <n v="178747"/>
    <d v="2023-11-22T00:00:00"/>
    <x v="2"/>
    <s v="Scikit-learn"/>
    <s v=" MLflow"/>
    <s v=" BigQuery"/>
    <x v="0"/>
    <n v="104"/>
    <x v="7"/>
    <n v="255"/>
  </r>
  <r>
    <n v="735"/>
    <s v="Rose, Johnson and Cook"/>
    <x v="0"/>
    <x v="5"/>
    <s v="PyTorch"/>
    <s v=" AWS"/>
    <s v=" Flask"/>
    <s v=" Scikit-learn"/>
    <m/>
    <n v="146321.5"/>
    <m/>
    <s v="Entry"/>
    <x v="0"/>
    <s v="West Mariaberg"/>
    <s v=" HU"/>
    <n v="138168"/>
    <n v="154475"/>
    <d v="2024-12-16T00:00:00"/>
    <x v="1"/>
    <s v="BigQuery"/>
    <s v=" TensorFlow"/>
    <m/>
    <x v="14"/>
    <n v="92"/>
    <x v="3"/>
    <n v="238"/>
  </r>
  <r>
    <n v="736"/>
    <s v="Davies-Vazquez"/>
    <x v="2"/>
    <x v="1"/>
    <s v="Excel"/>
    <s v=" Power BI"/>
    <s v=" C++"/>
    <s v=" R"/>
    <s v=" Hugging Face"/>
    <n v="142389"/>
    <s v=" SQL"/>
    <s v="Entry"/>
    <x v="3"/>
    <s v="Karenborough"/>
    <s v=" LK"/>
    <n v="129072"/>
    <n v="155706"/>
    <d v="2024-03-25T00:00:00"/>
    <x v="2"/>
    <s v="FastAPI"/>
    <s v=" BigQuery"/>
    <m/>
    <x v="2"/>
    <n v="101"/>
    <x v="1"/>
    <n v="251"/>
  </r>
  <r>
    <n v="737"/>
    <s v="Frazier, Torres and Humphrey"/>
    <x v="2"/>
    <x v="1"/>
    <s v="Python"/>
    <s v=" R"/>
    <s v=" Flask"/>
    <m/>
    <m/>
    <n v="137609"/>
    <m/>
    <s v="Mid"/>
    <x v="2"/>
    <s v="Michaelstad"/>
    <s v=" HN"/>
    <n v="117435"/>
    <n v="157783"/>
    <d v="2024-06-23T00:00:00"/>
    <x v="2"/>
    <s v="TensorFlow"/>
    <s v=" KDB+"/>
    <m/>
    <x v="5"/>
    <n v="94"/>
    <x v="2"/>
    <n v="249"/>
  </r>
  <r>
    <n v="738"/>
    <s v="Chen and Sons"/>
    <x v="3"/>
    <x v="5"/>
    <s v="PyTorch"/>
    <s v=" SQL"/>
    <s v=" CUDA"/>
    <s v=" Excel"/>
    <m/>
    <n v="121002"/>
    <m/>
    <s v="Mid"/>
    <x v="0"/>
    <s v="South Kristymouth"/>
    <s v=" SI"/>
    <n v="104274"/>
    <n v="137730"/>
    <d v="2024-05-13T00:00:00"/>
    <x v="0"/>
    <s v="KDB+"/>
    <s v=" BigQuery"/>
    <m/>
    <x v="14"/>
    <n v="92"/>
    <x v="0"/>
    <n v="247"/>
  </r>
  <r>
    <n v="739"/>
    <s v="Kramer, Mccall and Simpson"/>
    <x v="6"/>
    <x v="3"/>
    <s v="Python"/>
    <s v=" Excel"/>
    <s v=" MLflow"/>
    <m/>
    <m/>
    <n v="84285.5"/>
    <m/>
    <s v="Senior"/>
    <x v="2"/>
    <s v="Brianfort"/>
    <s v=" BD"/>
    <n v="72786"/>
    <n v="95785"/>
    <d v="2025-03-29T00:00:00"/>
    <x v="2"/>
    <s v="TensorFlow"/>
    <s v=" LangChain"/>
    <m/>
    <x v="5"/>
    <n v="94"/>
    <x v="2"/>
    <n v="249"/>
  </r>
  <r>
    <n v="740"/>
    <s v="Lee LLC"/>
    <x v="4"/>
    <x v="2"/>
    <s v="NumPy"/>
    <s v=" R"/>
    <s v=" Reinforcement Learning"/>
    <s v=" Pandas"/>
    <s v=" AWS"/>
    <n v="140386.5"/>
    <s v=" SQL"/>
    <s v="Mid"/>
    <x v="3"/>
    <s v="Watkinston"/>
    <s v=" MM"/>
    <n v="108949"/>
    <n v="171824"/>
    <d v="2024-04-14T00:00:00"/>
    <x v="0"/>
    <s v="MLflow"/>
    <s v=" BigQuery"/>
    <s v=" KDB+"/>
    <x v="0"/>
    <n v="104"/>
    <x v="6"/>
    <n v="259"/>
  </r>
  <r>
    <n v="741"/>
    <s v="Bennett-Johnson"/>
    <x v="2"/>
    <x v="7"/>
    <s v="CUDA"/>
    <s v=" GCP"/>
    <s v=" Flask"/>
    <s v=" Excel"/>
    <m/>
    <n v="100212"/>
    <m/>
    <s v="Senior"/>
    <x v="2"/>
    <s v="West Katherineview"/>
    <s v=" GR"/>
    <n v="89875"/>
    <n v="110549"/>
    <d v="2024-04-14T00:00:00"/>
    <x v="2"/>
    <s v="BigQuery"/>
    <s v=" LangChain"/>
    <m/>
    <x v="13"/>
    <n v="75"/>
    <x v="3"/>
    <n v="238"/>
  </r>
  <r>
    <n v="742"/>
    <s v="Butler-Reese"/>
    <x v="2"/>
    <x v="3"/>
    <s v="TensorFlow"/>
    <s v=" C++"/>
    <s v=" Excel"/>
    <s v=" LangChain"/>
    <s v=" Power BI"/>
    <n v="183423"/>
    <s v=" Azure"/>
    <s v="Senior"/>
    <x v="1"/>
    <s v="Port Connieville"/>
    <s v=" FR"/>
    <n v="146648"/>
    <n v="220198"/>
    <d v="2024-03-28T00:00:00"/>
    <x v="0"/>
    <s v="FastAPI"/>
    <m/>
    <m/>
    <x v="19"/>
    <n v="95"/>
    <x v="1"/>
    <n v="251"/>
  </r>
  <r>
    <n v="743"/>
    <s v="Hernandez-Schwartz"/>
    <x v="5"/>
    <x v="1"/>
    <s v="PyTorch"/>
    <s v=" Power BI"/>
    <s v=" LangChain"/>
    <s v=" Keras"/>
    <m/>
    <n v="73990"/>
    <m/>
    <s v="Senior"/>
    <x v="2"/>
    <s v="South Annafort"/>
    <s v=" KI"/>
    <n v="55334"/>
    <n v="92646"/>
    <d v="2024-03-17T00:00:00"/>
    <x v="2"/>
    <s v="LangChain"/>
    <s v=" MLflow"/>
    <s v=" FastAPI"/>
    <x v="14"/>
    <n v="92"/>
    <x v="4"/>
    <n v="268"/>
  </r>
  <r>
    <n v="744"/>
    <s v="Reynolds, James and Holland"/>
    <x v="0"/>
    <x v="7"/>
    <s v="FastAPI"/>
    <s v=" Pandas"/>
    <s v=" CUDA"/>
    <s v=" C++"/>
    <s v=" AWS"/>
    <n v="169497.5"/>
    <s v=" Hugging Face"/>
    <s v="Entry"/>
    <x v="3"/>
    <s v="Wrightton"/>
    <s v=" NL"/>
    <n v="121991"/>
    <n v="217004"/>
    <d v="2024-09-01T00:00:00"/>
    <x v="2"/>
    <s v="MLflow"/>
    <s v=" PyTorch"/>
    <s v=" TensorFlow"/>
    <x v="20"/>
    <n v="111"/>
    <x v="6"/>
    <n v="259"/>
  </r>
  <r>
    <n v="745"/>
    <s v="Peterson Inc"/>
    <x v="0"/>
    <x v="2"/>
    <s v="Excel"/>
    <s v=" NumPy"/>
    <s v=" C++"/>
    <s v=" Pandas"/>
    <m/>
    <n v="168249"/>
    <m/>
    <s v="Entry"/>
    <x v="1"/>
    <s v="Michaelmouth"/>
    <s v=" BH"/>
    <n v="137005"/>
    <n v="199493"/>
    <d v="2025-05-20T00:00:00"/>
    <x v="2"/>
    <s v="KDB+"/>
    <s v=" PyTorch"/>
    <m/>
    <x v="2"/>
    <n v="101"/>
    <x v="0"/>
    <n v="247"/>
  </r>
  <r>
    <n v="746"/>
    <s v="Johnson, Gomez and Simpson"/>
    <x v="6"/>
    <x v="3"/>
    <s v="TensorFlow"/>
    <s v=" Hugging Face"/>
    <s v=" R"/>
    <m/>
    <m/>
    <n v="175712"/>
    <m/>
    <s v="Mid"/>
    <x v="3"/>
    <s v="Yangstad"/>
    <s v=" BE"/>
    <n v="137915"/>
    <n v="213509"/>
    <d v="2024-12-13T00:00:00"/>
    <x v="1"/>
    <s v="Scikit-learn"/>
    <m/>
    <m/>
    <x v="19"/>
    <n v="95"/>
    <x v="7"/>
    <n v="255"/>
  </r>
  <r>
    <n v="747"/>
    <s v="Hughes, Hoover and Reyes"/>
    <x v="3"/>
    <x v="5"/>
    <s v="GCP"/>
    <s v=" SQL"/>
    <s v=" NumPy"/>
    <s v=" Python"/>
    <s v=" Azure"/>
    <n v="138795"/>
    <m/>
    <s v="Mid"/>
    <x v="3"/>
    <s v="South Jason"/>
    <s v=" SY"/>
    <n v="93505"/>
    <n v="184085"/>
    <d v="2025-08-04T00:00:00"/>
    <x v="2"/>
    <s v="MLflow"/>
    <s v=" FastAPI"/>
    <s v=" PyTorch"/>
    <x v="4"/>
    <n v="78"/>
    <x v="6"/>
    <n v="259"/>
  </r>
  <r>
    <n v="748"/>
    <s v="Ibarra-Garcia"/>
    <x v="2"/>
    <x v="6"/>
    <s v="Hugging Face"/>
    <s v=" SQL"/>
    <s v=" Azure"/>
    <s v=" LangChain"/>
    <s v=" AWS"/>
    <n v="170289"/>
    <s v=" NumPy"/>
    <s v="Senior"/>
    <x v="3"/>
    <s v="Armstrongburgh"/>
    <s v=" LR"/>
    <n v="146642"/>
    <n v="193936"/>
    <d v="2024-11-05T00:00:00"/>
    <x v="1"/>
    <s v="BigQuery"/>
    <s v=" TensorFlow"/>
    <m/>
    <x v="9"/>
    <n v="89"/>
    <x v="3"/>
    <n v="238"/>
  </r>
  <r>
    <n v="749"/>
    <s v="Stafford Ltd"/>
    <x v="6"/>
    <x v="7"/>
    <s v="C++"/>
    <s v=" Keras"/>
    <s v=" SQL"/>
    <s v=" R"/>
    <s v=" AWS"/>
    <n v="80668.5"/>
    <m/>
    <s v="Senior"/>
    <x v="2"/>
    <s v="Lake Andrewstad"/>
    <s v=" PG"/>
    <n v="53382"/>
    <n v="107955"/>
    <d v="2025-02-21T00:00:00"/>
    <x v="1"/>
    <s v="KDB+"/>
    <s v=" Scikit-learn"/>
    <m/>
    <x v="8"/>
    <n v="84"/>
    <x v="0"/>
    <n v="247"/>
  </r>
  <r>
    <n v="750"/>
    <s v="Roberts-Green"/>
    <x v="3"/>
    <x v="2"/>
    <s v="Pandas"/>
    <s v=" GCP"/>
    <s v=" Azure"/>
    <s v=" LangChain"/>
    <s v=" CUDA"/>
    <n v="145588"/>
    <m/>
    <s v="Mid"/>
    <x v="0"/>
    <s v="Jonesmouth"/>
    <s v=" ER"/>
    <n v="111712"/>
    <n v="179464"/>
    <d v="2024-11-22T00:00:00"/>
    <x v="2"/>
    <s v="KDB+"/>
    <m/>
    <m/>
    <x v="6"/>
    <n v="78"/>
    <x v="0"/>
    <n v="247"/>
  </r>
  <r>
    <n v="751"/>
    <s v="Graham-Cruz"/>
    <x v="6"/>
    <x v="6"/>
    <s v="R"/>
    <s v=" Azure"/>
    <s v=" Hugging Face"/>
    <s v=" C++"/>
    <s v=" PyTorch"/>
    <n v="64830.5"/>
    <s v=" AWS"/>
    <s v="Mid"/>
    <x v="0"/>
    <s v="Port Pamela"/>
    <s v=" BO"/>
    <n v="45412"/>
    <n v="84249"/>
    <d v="2024-07-09T00:00:00"/>
    <x v="1"/>
    <s v="PyTorch"/>
    <s v=" BigQuery"/>
    <s v=" TensorFlow"/>
    <x v="11"/>
    <n v="86"/>
    <x v="5"/>
    <n v="233"/>
  </r>
  <r>
    <n v="752"/>
    <s v="Hernandez, Carrillo and Garza"/>
    <x v="6"/>
    <x v="1"/>
    <s v="NumPy"/>
    <s v=" Azure"/>
    <s v=" PyTorch"/>
    <s v=" Python"/>
    <s v=" Pandas"/>
    <n v="144661.5"/>
    <s v=" R"/>
    <s v="Entry"/>
    <x v="0"/>
    <s v="East Glennville"/>
    <s v=" MH"/>
    <n v="96319"/>
    <n v="193004"/>
    <d v="2024-08-31T00:00:00"/>
    <x v="1"/>
    <s v="TensorFlow"/>
    <m/>
    <m/>
    <x v="0"/>
    <n v="104"/>
    <x v="2"/>
    <n v="249"/>
  </r>
  <r>
    <n v="753"/>
    <s v="Kelley, Mathews and Serrano"/>
    <x v="1"/>
    <x v="1"/>
    <s v="Power BI"/>
    <s v=" R"/>
    <s v=" NumPy"/>
    <m/>
    <m/>
    <n v="165585"/>
    <m/>
    <s v="Entry"/>
    <x v="2"/>
    <s v="Whitestad"/>
    <s v=" TV"/>
    <n v="132679"/>
    <n v="198491"/>
    <d v="2025-05-25T00:00:00"/>
    <x v="1"/>
    <s v="PyTorch"/>
    <s v=" KDB+"/>
    <s v=" BigQuery"/>
    <x v="18"/>
    <n v="96"/>
    <x v="5"/>
    <n v="233"/>
  </r>
  <r>
    <n v="754"/>
    <s v="Norton-White"/>
    <x v="1"/>
    <x v="3"/>
    <s v="Azure"/>
    <s v=" MLflow"/>
    <s v=" Scikit-learn"/>
    <s v=" TensorFlow"/>
    <m/>
    <n v="146570.5"/>
    <m/>
    <s v="Mid"/>
    <x v="2"/>
    <s v="Bishopstad"/>
    <s v=" MU"/>
    <n v="108752"/>
    <n v="184389"/>
    <d v="2025-04-30T00:00:00"/>
    <x v="0"/>
    <s v="KDB+"/>
    <s v=" PyTorch"/>
    <s v=" TensorFlow"/>
    <x v="15"/>
    <n v="90"/>
    <x v="0"/>
    <n v="247"/>
  </r>
  <r>
    <n v="755"/>
    <s v="Leonard-Cooper"/>
    <x v="6"/>
    <x v="3"/>
    <s v="TensorFlow"/>
    <s v=" LangChain"/>
    <s v=" Hugging Face"/>
    <m/>
    <m/>
    <n v="182201"/>
    <m/>
    <s v="Senior"/>
    <x v="1"/>
    <s v="South Nicolasshire"/>
    <s v=" NA"/>
    <n v="146465"/>
    <n v="217937"/>
    <d v="2024-10-28T00:00:00"/>
    <x v="0"/>
    <s v="Scikit-learn"/>
    <s v=" KDB+"/>
    <s v=" FastAPI"/>
    <x v="19"/>
    <n v="95"/>
    <x v="7"/>
    <n v="255"/>
  </r>
  <r>
    <n v="756"/>
    <s v="Patel, Davis and Anderson"/>
    <x v="4"/>
    <x v="1"/>
    <s v="Scikit-learn"/>
    <s v=" LangChain"/>
    <s v=" Power BI"/>
    <s v=" TensorFlow"/>
    <m/>
    <n v="181054"/>
    <m/>
    <s v="Entry"/>
    <x v="2"/>
    <s v="Port Kevin"/>
    <s v=" FJ"/>
    <n v="148789"/>
    <n v="213319"/>
    <d v="2024-08-11T00:00:00"/>
    <x v="2"/>
    <s v="FastAPI"/>
    <m/>
    <m/>
    <x v="1"/>
    <n v="76"/>
    <x v="1"/>
    <n v="251"/>
  </r>
  <r>
    <n v="757"/>
    <s v="White, Valencia and Humphrey"/>
    <x v="3"/>
    <x v="3"/>
    <s v="TensorFlow"/>
    <s v=" CUDA"/>
    <s v=" Excel"/>
    <s v=" C++"/>
    <s v=" Pandas"/>
    <n v="157438"/>
    <m/>
    <s v="Entry"/>
    <x v="1"/>
    <s v="West Lori"/>
    <s v=" VA"/>
    <n v="115045"/>
    <n v="199831"/>
    <d v="2024-08-31T00:00:00"/>
    <x v="2"/>
    <s v="FastAPI"/>
    <s v=" MLflow"/>
    <m/>
    <x v="19"/>
    <n v="95"/>
    <x v="1"/>
    <n v="251"/>
  </r>
  <r>
    <n v="758"/>
    <s v="Taylor PLC"/>
    <x v="5"/>
    <x v="0"/>
    <s v="GCP"/>
    <s v=" Keras"/>
    <s v=" Hugging Face"/>
    <s v=" TensorFlow"/>
    <s v=" SQL"/>
    <n v="179687"/>
    <m/>
    <s v="Senior"/>
    <x v="1"/>
    <s v="West Whitney"/>
    <s v=" BW"/>
    <n v="135301"/>
    <n v="224073"/>
    <d v="2023-12-25T00:00:00"/>
    <x v="0"/>
    <s v="PyTorch"/>
    <m/>
    <m/>
    <x v="4"/>
    <n v="78"/>
    <x v="5"/>
    <n v="233"/>
  </r>
  <r>
    <n v="759"/>
    <s v="White-Hayes"/>
    <x v="3"/>
    <x v="6"/>
    <s v="LangChain"/>
    <s v=" Hugging Face"/>
    <s v=" NumPy"/>
    <m/>
    <m/>
    <n v="116729.5"/>
    <m/>
    <s v="Entry"/>
    <x v="0"/>
    <s v="West William"/>
    <s v=" MM"/>
    <n v="77322"/>
    <n v="156137"/>
    <d v="2025-03-29T00:00:00"/>
    <x v="1"/>
    <s v="KDB+"/>
    <s v=" Scikit-learn"/>
    <m/>
    <x v="12"/>
    <n v="100"/>
    <x v="0"/>
    <n v="247"/>
  </r>
  <r>
    <n v="760"/>
    <s v="Hill Inc"/>
    <x v="0"/>
    <x v="3"/>
    <s v="Excel"/>
    <s v=" PyTorch"/>
    <s v=" TensorFlow"/>
    <m/>
    <m/>
    <n v="132515.5"/>
    <m/>
    <s v="Senior"/>
    <x v="2"/>
    <s v="West Margaretland"/>
    <s v=" SI"/>
    <n v="87528"/>
    <n v="177503"/>
    <d v="2024-07-16T00:00:00"/>
    <x v="0"/>
    <s v="TensorFlow"/>
    <m/>
    <m/>
    <x v="2"/>
    <n v="101"/>
    <x v="2"/>
    <n v="249"/>
  </r>
  <r>
    <n v="761"/>
    <s v="Mcdowell-Thompson"/>
    <x v="4"/>
    <x v="1"/>
    <s v="Python"/>
    <s v=" LangChain"/>
    <s v=" SQL"/>
    <s v=" TensorFlow"/>
    <s v=" Excel"/>
    <n v="107029"/>
    <m/>
    <s v="Mid"/>
    <x v="0"/>
    <s v="Nathanville"/>
    <s v=" GH"/>
    <n v="100842"/>
    <n v="113216"/>
    <d v="2024-08-08T00:00:00"/>
    <x v="2"/>
    <s v="TensorFlow"/>
    <m/>
    <m/>
    <x v="5"/>
    <n v="94"/>
    <x v="2"/>
    <n v="249"/>
  </r>
  <r>
    <n v="762"/>
    <s v="Hampton-Brooks"/>
    <x v="1"/>
    <x v="2"/>
    <s v="SQL"/>
    <s v=" CUDA"/>
    <s v=" Flask"/>
    <s v=" MLflow"/>
    <s v=" TensorFlow"/>
    <n v="128309"/>
    <m/>
    <s v="Mid"/>
    <x v="0"/>
    <s v="North Sheryltown"/>
    <s v=" IQ"/>
    <n v="95461"/>
    <n v="161157"/>
    <d v="2024-11-04T00:00:00"/>
    <x v="1"/>
    <s v="Scikit-learn"/>
    <s v=" FastAPI"/>
    <s v=" LangChain"/>
    <x v="17"/>
    <n v="88"/>
    <x v="7"/>
    <n v="255"/>
  </r>
  <r>
    <n v="763"/>
    <s v="Hartman Inc"/>
    <x v="4"/>
    <x v="5"/>
    <s v="Excel"/>
    <s v=" Azure"/>
    <s v=" FastAPI"/>
    <s v=" LangChain"/>
    <s v=" GCP"/>
    <n v="87223"/>
    <m/>
    <s v="Entry"/>
    <x v="3"/>
    <s v="Shannonfort"/>
    <s v=" ZM"/>
    <n v="40926"/>
    <n v="133520"/>
    <d v="2023-09-30T00:00:00"/>
    <x v="0"/>
    <s v="Scikit-learn"/>
    <s v=" LangChain"/>
    <s v=" FastAPI"/>
    <x v="2"/>
    <n v="101"/>
    <x v="7"/>
    <n v="255"/>
  </r>
  <r>
    <n v="764"/>
    <s v="Gray, Gonzalez and Moore"/>
    <x v="5"/>
    <x v="7"/>
    <s v="PyTorch"/>
    <s v=" Excel"/>
    <s v=" CUDA"/>
    <s v=" Keras"/>
    <m/>
    <n v="176201.5"/>
    <m/>
    <s v="Mid"/>
    <x v="3"/>
    <s v="Susanland"/>
    <s v=" JO"/>
    <n v="145229"/>
    <n v="207174"/>
    <d v="2024-04-01T00:00:00"/>
    <x v="1"/>
    <s v="LangChain"/>
    <s v=" FastAPI"/>
    <m/>
    <x v="14"/>
    <n v="92"/>
    <x v="4"/>
    <n v="268"/>
  </r>
  <r>
    <n v="765"/>
    <s v="Mcgee and Sons"/>
    <x v="1"/>
    <x v="6"/>
    <s v="MLflow"/>
    <s v=" AWS"/>
    <s v=" CUDA"/>
    <s v=" Hugging Face"/>
    <s v=" FastAPI"/>
    <n v="97499.5"/>
    <s v=" NumPy"/>
    <s v="Mid"/>
    <x v="1"/>
    <s v="Lopezville"/>
    <s v=" TW"/>
    <n v="56261"/>
    <n v="138738"/>
    <d v="2024-02-04T00:00:00"/>
    <x v="1"/>
    <s v="FastAPI"/>
    <s v=" KDB+"/>
    <m/>
    <x v="3"/>
    <n v="80"/>
    <x v="1"/>
    <n v="251"/>
  </r>
  <r>
    <n v="766"/>
    <s v="Zimmerman-Becker"/>
    <x v="2"/>
    <x v="2"/>
    <s v="PyTorch"/>
    <s v=" Hugging Face"/>
    <s v=" MLflow"/>
    <s v=" R"/>
    <s v=" Keras"/>
    <n v="166301"/>
    <s v=" Reinforcement Learning"/>
    <s v="Entry"/>
    <x v="2"/>
    <s v="Jamiestad"/>
    <s v=" KE"/>
    <n v="123318"/>
    <n v="209284"/>
    <d v="2024-09-22T00:00:00"/>
    <x v="0"/>
    <s v="BigQuery"/>
    <s v=" PyTorch"/>
    <s v=" TensorFlow"/>
    <x v="14"/>
    <n v="92"/>
    <x v="3"/>
    <n v="238"/>
  </r>
  <r>
    <n v="767"/>
    <s v="Bray-Hayden"/>
    <x v="2"/>
    <x v="3"/>
    <s v="Pandas"/>
    <s v=" CUDA"/>
    <s v=" GCP"/>
    <s v=" TensorFlow"/>
    <m/>
    <n v="63082"/>
    <m/>
    <s v="Entry"/>
    <x v="2"/>
    <s v="Cruzhaven"/>
    <s v=" KI"/>
    <n v="48577"/>
    <n v="77587"/>
    <d v="2024-11-22T00:00:00"/>
    <x v="2"/>
    <s v="BigQuery"/>
    <m/>
    <m/>
    <x v="6"/>
    <n v="78"/>
    <x v="3"/>
    <n v="238"/>
  </r>
  <r>
    <n v="768"/>
    <s v="Adams, Mitchell and Stanley"/>
    <x v="4"/>
    <x v="0"/>
    <s v="MLflow"/>
    <s v=" Power BI"/>
    <s v=" Pandas"/>
    <s v=" SQL"/>
    <m/>
    <n v="64929"/>
    <m/>
    <s v="Senior"/>
    <x v="0"/>
    <s v="South Marissa"/>
    <s v=" CZ"/>
    <n v="45866"/>
    <n v="83992"/>
    <d v="2025-07-25T00:00:00"/>
    <x v="0"/>
    <s v="Scikit-learn"/>
    <m/>
    <m/>
    <x v="3"/>
    <n v="80"/>
    <x v="7"/>
    <n v="255"/>
  </r>
  <r>
    <n v="769"/>
    <s v="Cameron Group"/>
    <x v="5"/>
    <x v="4"/>
    <s v="PyTorch"/>
    <s v=" AWS"/>
    <s v=" SQL"/>
    <m/>
    <m/>
    <n v="95213.5"/>
    <m/>
    <s v="Senior"/>
    <x v="3"/>
    <s v="Franciscofort"/>
    <s v=" MT"/>
    <n v="82486"/>
    <n v="107941"/>
    <d v="2023-09-27T00:00:00"/>
    <x v="1"/>
    <s v="FastAPI"/>
    <s v=" BigQuery"/>
    <m/>
    <x v="14"/>
    <n v="92"/>
    <x v="1"/>
    <n v="251"/>
  </r>
  <r>
    <n v="770"/>
    <s v="Crawford Ltd"/>
    <x v="1"/>
    <x v="0"/>
    <s v="Excel"/>
    <s v=" NumPy"/>
    <s v=" R"/>
    <s v=" TensorFlow"/>
    <m/>
    <n v="130050"/>
    <m/>
    <s v="Senior"/>
    <x v="2"/>
    <s v="East Brian"/>
    <s v=" UZ"/>
    <n v="97109"/>
    <n v="162991"/>
    <d v="2024-02-24T00:00:00"/>
    <x v="0"/>
    <s v="PyTorch"/>
    <m/>
    <m/>
    <x v="2"/>
    <n v="101"/>
    <x v="5"/>
    <n v="233"/>
  </r>
  <r>
    <n v="771"/>
    <s v="Nunez, Reed and Dominguez"/>
    <x v="2"/>
    <x v="0"/>
    <s v="Excel"/>
    <s v=" Pandas"/>
    <s v=" AWS"/>
    <s v=" MLflow"/>
    <m/>
    <n v="89879.5"/>
    <m/>
    <s v="Senior"/>
    <x v="0"/>
    <s v="Port Stacyville"/>
    <s v=" AO"/>
    <n v="68376"/>
    <n v="111383"/>
    <d v="2023-12-09T00:00:00"/>
    <x v="1"/>
    <s v="KDB+"/>
    <s v=" MLflow"/>
    <s v=" TensorFlow"/>
    <x v="2"/>
    <n v="101"/>
    <x v="0"/>
    <n v="247"/>
  </r>
  <r>
    <n v="772"/>
    <s v="Martinez-Jacobs"/>
    <x v="5"/>
    <x v="7"/>
    <s v="Keras"/>
    <s v=" Flask"/>
    <s v=" NumPy"/>
    <m/>
    <m/>
    <n v="153727.5"/>
    <m/>
    <s v="Senior"/>
    <x v="0"/>
    <s v="North Josephhaven"/>
    <s v=" CZ"/>
    <n v="112752"/>
    <n v="194703"/>
    <d v="2025-06-09T00:00:00"/>
    <x v="1"/>
    <s v="FastAPI"/>
    <s v=" KDB+"/>
    <s v=" MLflow"/>
    <x v="7"/>
    <n v="96"/>
    <x v="1"/>
    <n v="251"/>
  </r>
  <r>
    <n v="773"/>
    <s v="Smith-Jones"/>
    <x v="5"/>
    <x v="4"/>
    <s v="Reinforcement Learning"/>
    <s v=" Power BI"/>
    <s v=" SQL"/>
    <s v=" MLflow"/>
    <s v=" Excel"/>
    <n v="174465"/>
    <s v=" Scikit-learn"/>
    <s v="Entry"/>
    <x v="2"/>
    <s v="Ramirezville"/>
    <s v=" IT"/>
    <n v="126011"/>
    <n v="222919"/>
    <d v="2024-10-12T00:00:00"/>
    <x v="2"/>
    <s v="Scikit-learn"/>
    <s v=" MLflow"/>
    <m/>
    <x v="21"/>
    <n v="104"/>
    <x v="7"/>
    <n v="255"/>
  </r>
  <r>
    <n v="774"/>
    <s v="Davis Inc"/>
    <x v="1"/>
    <x v="2"/>
    <s v="SQL"/>
    <s v=" AWS"/>
    <s v=" Python"/>
    <m/>
    <m/>
    <n v="170508.5"/>
    <m/>
    <s v="Mid"/>
    <x v="2"/>
    <s v="Lake Reneefurt"/>
    <s v=" NG"/>
    <n v="143118"/>
    <n v="197899"/>
    <d v="2025-08-09T00:00:00"/>
    <x v="2"/>
    <s v="Scikit-learn"/>
    <s v=" BigQuery"/>
    <m/>
    <x v="17"/>
    <n v="88"/>
    <x v="7"/>
    <n v="255"/>
  </r>
  <r>
    <n v="775"/>
    <s v="Taylor and Sons"/>
    <x v="2"/>
    <x v="3"/>
    <s v="AWS"/>
    <s v=" GCP"/>
    <s v=" Reinforcement Learning"/>
    <s v=" Pandas"/>
    <s v=" C++"/>
    <n v="122222.5"/>
    <s v=" NumPy"/>
    <s v="Entry"/>
    <x v="0"/>
    <s v="West Robertborough"/>
    <s v=" UG"/>
    <n v="80005"/>
    <n v="164440"/>
    <d v="2024-08-30T00:00:00"/>
    <x v="1"/>
    <s v="LangChain"/>
    <m/>
    <m/>
    <x v="10"/>
    <n v="97"/>
    <x v="4"/>
    <n v="268"/>
  </r>
  <r>
    <n v="776"/>
    <s v="Burns-Lewis"/>
    <x v="1"/>
    <x v="3"/>
    <s v="R"/>
    <s v=" Azure"/>
    <s v=" Python"/>
    <m/>
    <m/>
    <n v="88778.5"/>
    <m/>
    <s v="Senior"/>
    <x v="2"/>
    <s v="West Austinland"/>
    <s v=" JO"/>
    <n v="65236"/>
    <n v="112321"/>
    <d v="2024-11-18T00:00:00"/>
    <x v="2"/>
    <s v="BigQuery"/>
    <s v=" KDB+"/>
    <m/>
    <x v="11"/>
    <n v="86"/>
    <x v="3"/>
    <n v="238"/>
  </r>
  <r>
    <n v="777"/>
    <s v="Khan Inc"/>
    <x v="6"/>
    <x v="4"/>
    <s v="Scikit-learn"/>
    <s v=" Reinforcement Learning"/>
    <s v=" Pandas"/>
    <s v=" LangChain"/>
    <s v=" Python"/>
    <n v="120019"/>
    <s v=" CUDA"/>
    <s v="Senior"/>
    <x v="0"/>
    <s v="Ashleyview"/>
    <s v=" KR"/>
    <n v="106312"/>
    <n v="133726"/>
    <d v="2025-06-03T00:00:00"/>
    <x v="2"/>
    <s v="KDB+"/>
    <s v=" Scikit-learn"/>
    <m/>
    <x v="1"/>
    <n v="76"/>
    <x v="0"/>
    <n v="247"/>
  </r>
  <r>
    <n v="778"/>
    <s v="Hall, Golden and Randall"/>
    <x v="0"/>
    <x v="4"/>
    <s v="Hugging Face"/>
    <s v=" LangChain"/>
    <s v=" Keras"/>
    <s v=" NumPy"/>
    <m/>
    <n v="100569"/>
    <m/>
    <s v="Mid"/>
    <x v="0"/>
    <s v="North Susanfort"/>
    <s v=" CO"/>
    <n v="70970"/>
    <n v="130168"/>
    <d v="2023-09-26T00:00:00"/>
    <x v="2"/>
    <s v="FastAPI"/>
    <s v=" KDB+"/>
    <m/>
    <x v="9"/>
    <n v="89"/>
    <x v="1"/>
    <n v="251"/>
  </r>
  <r>
    <n v="779"/>
    <s v="Anderson Inc"/>
    <x v="1"/>
    <x v="7"/>
    <s v="NumPy"/>
    <s v=" LangChain"/>
    <s v=" MLflow"/>
    <s v=" CUDA"/>
    <s v=" TensorFlow"/>
    <n v="120100.5"/>
    <m/>
    <s v="Mid"/>
    <x v="2"/>
    <s v="East Alyssaland"/>
    <s v=" SM"/>
    <n v="79563"/>
    <n v="160638"/>
    <d v="2024-01-21T00:00:00"/>
    <x v="2"/>
    <s v="MLflow"/>
    <m/>
    <m/>
    <x v="0"/>
    <n v="104"/>
    <x v="6"/>
    <n v="259"/>
  </r>
  <r>
    <n v="780"/>
    <s v="Harris and Sons"/>
    <x v="4"/>
    <x v="0"/>
    <s v="NumPy"/>
    <s v=" Python"/>
    <s v=" Pandas"/>
    <m/>
    <m/>
    <n v="188940.5"/>
    <m/>
    <s v="Entry"/>
    <x v="1"/>
    <s v="Amandabury"/>
    <s v=" GW"/>
    <n v="142504"/>
    <n v="235377"/>
    <d v="2025-05-26T00:00:00"/>
    <x v="1"/>
    <s v="PyTorch"/>
    <s v=" Scikit-learn"/>
    <s v=" BigQuery"/>
    <x v="0"/>
    <n v="104"/>
    <x v="5"/>
    <n v="233"/>
  </r>
  <r>
    <n v="781"/>
    <s v="Thomas, Horton and Evans"/>
    <x v="6"/>
    <x v="1"/>
    <s v="MLflow"/>
    <s v=" Keras"/>
    <s v=" Hugging Face"/>
    <s v=" Scikit-learn"/>
    <s v=" R"/>
    <n v="163892"/>
    <m/>
    <s v="Mid"/>
    <x v="2"/>
    <s v="Ellisonland"/>
    <s v=" LI"/>
    <n v="134914"/>
    <n v="192870"/>
    <d v="2025-02-04T00:00:00"/>
    <x v="0"/>
    <s v="TensorFlow"/>
    <m/>
    <m/>
    <x v="3"/>
    <n v="80"/>
    <x v="2"/>
    <n v="249"/>
  </r>
  <r>
    <n v="782"/>
    <s v="Lee Group"/>
    <x v="5"/>
    <x v="6"/>
    <s v="MLflow"/>
    <s v=" Scikit-learn"/>
    <s v=" SQL"/>
    <m/>
    <m/>
    <n v="123228"/>
    <m/>
    <s v="Senior"/>
    <x v="0"/>
    <s v="North Hollyport"/>
    <s v=" JP"/>
    <n v="110442"/>
    <n v="136014"/>
    <d v="2025-06-23T00:00:00"/>
    <x v="2"/>
    <s v="FastAPI"/>
    <m/>
    <m/>
    <x v="3"/>
    <n v="80"/>
    <x v="1"/>
    <n v="251"/>
  </r>
  <r>
    <n v="783"/>
    <s v="Coleman-Brown"/>
    <x v="1"/>
    <x v="5"/>
    <s v="TensorFlow"/>
    <s v=" Reinforcement Learning"/>
    <s v=" Python"/>
    <s v=" AWS"/>
    <s v=" Pandas"/>
    <n v="128609.5"/>
    <s v=" Power BI"/>
    <s v="Mid"/>
    <x v="0"/>
    <s v="South Brooketon"/>
    <s v=" LT"/>
    <n v="108092"/>
    <n v="149127"/>
    <d v="2024-08-11T00:00:00"/>
    <x v="0"/>
    <s v="TensorFlow"/>
    <s v=" KDB+"/>
    <s v=" Scikit-learn"/>
    <x v="19"/>
    <n v="95"/>
    <x v="2"/>
    <n v="249"/>
  </r>
  <r>
    <n v="784"/>
    <s v="Walker, Miller and Williams"/>
    <x v="5"/>
    <x v="0"/>
    <s v="NumPy"/>
    <s v=" FastAPI"/>
    <s v=" PyTorch"/>
    <m/>
    <m/>
    <n v="177117"/>
    <m/>
    <s v="Entry"/>
    <x v="1"/>
    <s v="New Jonathanview"/>
    <s v=" ME"/>
    <n v="130779"/>
    <n v="223455"/>
    <d v="2023-11-14T00:00:00"/>
    <x v="2"/>
    <s v="KDB+"/>
    <s v=" TensorFlow"/>
    <s v=" Scikit-learn"/>
    <x v="0"/>
    <n v="104"/>
    <x v="0"/>
    <n v="247"/>
  </r>
  <r>
    <n v="785"/>
    <s v="Graham Group"/>
    <x v="5"/>
    <x v="7"/>
    <s v="TensorFlow"/>
    <s v=" MLflow"/>
    <s v=" SQL"/>
    <s v=" Flask"/>
    <s v=" CUDA"/>
    <n v="101853"/>
    <s v=" C++"/>
    <s v="Mid"/>
    <x v="0"/>
    <s v="South Marcport"/>
    <s v=" NI"/>
    <n v="91255"/>
    <n v="112451"/>
    <d v="2023-10-17T00:00:00"/>
    <x v="0"/>
    <s v="KDB+"/>
    <s v=" PyTorch"/>
    <m/>
    <x v="19"/>
    <n v="95"/>
    <x v="0"/>
    <n v="247"/>
  </r>
  <r>
    <n v="786"/>
    <s v="Wilcox-Orozco"/>
    <x v="6"/>
    <x v="5"/>
    <s v="LangChain"/>
    <s v=" Hugging Face"/>
    <s v=" Excel"/>
    <s v=" Reinforcement Learning"/>
    <s v=" Python"/>
    <n v="113063"/>
    <m/>
    <s v="Entry"/>
    <x v="1"/>
    <s v="Stuartbury"/>
    <s v=" DM"/>
    <n v="90879"/>
    <n v="135247"/>
    <d v="2023-09-25T00:00:00"/>
    <x v="0"/>
    <s v="TensorFlow"/>
    <s v=" BigQuery"/>
    <m/>
    <x v="12"/>
    <n v="100"/>
    <x v="2"/>
    <n v="249"/>
  </r>
  <r>
    <n v="787"/>
    <s v="Fry-Sanders"/>
    <x v="2"/>
    <x v="4"/>
    <s v="Excel"/>
    <s v=" Pandas"/>
    <s v=" NumPy"/>
    <s v=" Azure"/>
    <m/>
    <n v="130677"/>
    <m/>
    <s v="Mid"/>
    <x v="1"/>
    <s v="Port Christinaburgh"/>
    <s v=" TV"/>
    <n v="115822"/>
    <n v="145532"/>
    <d v="2024-09-16T00:00:00"/>
    <x v="1"/>
    <s v="FastAPI"/>
    <m/>
    <m/>
    <x v="2"/>
    <n v="101"/>
    <x v="1"/>
    <n v="251"/>
  </r>
  <r>
    <n v="788"/>
    <s v="Herrera, Dean and Wright"/>
    <x v="6"/>
    <x v="7"/>
    <s v="Power BI"/>
    <s v=" C++"/>
    <s v=" Excel"/>
    <s v=" PyTorch"/>
    <s v=" Pandas"/>
    <n v="104345.5"/>
    <m/>
    <s v="Mid"/>
    <x v="2"/>
    <s v="Roachchester"/>
    <s v=" VU"/>
    <n v="83481"/>
    <n v="125210"/>
    <d v="2024-10-23T00:00:00"/>
    <x v="1"/>
    <s v="MLflow"/>
    <s v=" LangChain"/>
    <s v=" Scikit-learn"/>
    <x v="18"/>
    <n v="96"/>
    <x v="6"/>
    <n v="259"/>
  </r>
  <r>
    <n v="789"/>
    <s v="Black Ltd"/>
    <x v="3"/>
    <x v="3"/>
    <s v="LangChain"/>
    <s v=" Flask"/>
    <s v=" Pandas"/>
    <m/>
    <m/>
    <n v="138838.5"/>
    <m/>
    <s v="Senior"/>
    <x v="0"/>
    <s v="Angelafurt"/>
    <s v=" GN"/>
    <n v="99587"/>
    <n v="178090"/>
    <d v="2024-09-06T00:00:00"/>
    <x v="2"/>
    <s v="BigQuery"/>
    <m/>
    <m/>
    <x v="12"/>
    <n v="100"/>
    <x v="3"/>
    <n v="238"/>
  </r>
  <r>
    <n v="790"/>
    <s v="Maldonado-Reyes"/>
    <x v="4"/>
    <x v="2"/>
    <s v="NumPy"/>
    <s v=" MLflow"/>
    <s v=" TensorFlow"/>
    <s v=" GCP"/>
    <s v=" Reinforcement Learning"/>
    <n v="83889.5"/>
    <s v=" R"/>
    <s v="Mid"/>
    <x v="1"/>
    <s v="Nicholasstad"/>
    <s v=" NO"/>
    <n v="58111"/>
    <n v="109668"/>
    <d v="2023-11-20T00:00:00"/>
    <x v="1"/>
    <s v="Scikit-learn"/>
    <s v=" FastAPI"/>
    <m/>
    <x v="0"/>
    <n v="104"/>
    <x v="7"/>
    <n v="255"/>
  </r>
  <r>
    <n v="791"/>
    <s v="Jones-Jordan"/>
    <x v="1"/>
    <x v="3"/>
    <s v="Hugging Face"/>
    <s v=" PyTorch"/>
    <s v=" CUDA"/>
    <s v=" MLflow"/>
    <m/>
    <n v="69921"/>
    <m/>
    <s v="Senior"/>
    <x v="2"/>
    <s v="Walkerport"/>
    <s v=" NR"/>
    <n v="43453"/>
    <n v="96389"/>
    <d v="2025-04-01T00:00:00"/>
    <x v="0"/>
    <s v="Scikit-learn"/>
    <s v=" TensorFlow"/>
    <s v=" MLflow"/>
    <x v="9"/>
    <n v="89"/>
    <x v="7"/>
    <n v="255"/>
  </r>
  <r>
    <n v="792"/>
    <s v="Stafford-Fuller"/>
    <x v="4"/>
    <x v="1"/>
    <s v="MLflow"/>
    <s v=" Pandas"/>
    <s v=" GCP"/>
    <m/>
    <m/>
    <n v="136501.5"/>
    <m/>
    <s v="Entry"/>
    <x v="3"/>
    <s v="New Danielville"/>
    <s v=" ZA"/>
    <n v="118748"/>
    <n v="154255"/>
    <d v="2024-08-14T00:00:00"/>
    <x v="0"/>
    <s v="PyTorch"/>
    <s v=" KDB+"/>
    <m/>
    <x v="3"/>
    <n v="80"/>
    <x v="5"/>
    <n v="233"/>
  </r>
  <r>
    <n v="793"/>
    <s v="Dickerson, Tate and Mason"/>
    <x v="6"/>
    <x v="2"/>
    <s v="Python"/>
    <s v=" C++"/>
    <s v=" CUDA"/>
    <s v=" Excel"/>
    <s v=" SQL"/>
    <n v="92981"/>
    <s v=" TensorFlow"/>
    <s v="Entry"/>
    <x v="1"/>
    <s v="Booneshire"/>
    <s v=" FI"/>
    <n v="78422"/>
    <n v="107540"/>
    <d v="2025-09-11T00:00:00"/>
    <x v="0"/>
    <s v="LangChain"/>
    <s v=" KDB+"/>
    <s v=" BigQuery"/>
    <x v="5"/>
    <n v="94"/>
    <x v="4"/>
    <n v="268"/>
  </r>
  <r>
    <n v="794"/>
    <s v="Anderson-Glenn"/>
    <x v="3"/>
    <x v="7"/>
    <s v="NumPy"/>
    <s v=" C++"/>
    <s v=" Flask"/>
    <s v=" AWS"/>
    <s v=" Power BI"/>
    <n v="144512.5"/>
    <m/>
    <s v="Entry"/>
    <x v="1"/>
    <s v="Jessemouth"/>
    <s v=" MK"/>
    <n v="112925"/>
    <n v="176100"/>
    <d v="2024-10-19T00:00:00"/>
    <x v="2"/>
    <s v="MLflow"/>
    <s v=" LangChain"/>
    <s v=" Scikit-learn"/>
    <x v="0"/>
    <n v="104"/>
    <x v="6"/>
    <n v="259"/>
  </r>
  <r>
    <n v="795"/>
    <s v="Elliott, Campbell and Moore"/>
    <x v="6"/>
    <x v="0"/>
    <s v="AWS"/>
    <s v=" Excel"/>
    <s v=" NumPy"/>
    <s v=" Flask"/>
    <s v=" TensorFlow"/>
    <n v="141099.5"/>
    <s v=" Keras"/>
    <s v="Entry"/>
    <x v="1"/>
    <s v="Harriston"/>
    <s v=" GE"/>
    <n v="117216"/>
    <n v="164983"/>
    <d v="2023-11-02T00:00:00"/>
    <x v="2"/>
    <s v="Scikit-learn"/>
    <s v=" BigQuery"/>
    <m/>
    <x v="10"/>
    <n v="97"/>
    <x v="7"/>
    <n v="255"/>
  </r>
  <r>
    <n v="796"/>
    <s v="Garcia, Murphy and Clark"/>
    <x v="6"/>
    <x v="5"/>
    <s v="Scikit-learn"/>
    <s v=" NumPy"/>
    <s v=" Reinforcement Learning"/>
    <s v=" C++"/>
    <s v=" LangChain"/>
    <n v="132807.5"/>
    <m/>
    <s v="Mid"/>
    <x v="2"/>
    <s v="Payneburgh"/>
    <s v=" BS"/>
    <n v="108484"/>
    <n v="157131"/>
    <d v="2024-10-28T00:00:00"/>
    <x v="2"/>
    <s v="BigQuery"/>
    <s v=" TensorFlow"/>
    <m/>
    <x v="1"/>
    <n v="76"/>
    <x v="3"/>
    <n v="238"/>
  </r>
  <r>
    <n v="797"/>
    <s v="Allen-Sutton"/>
    <x v="1"/>
    <x v="4"/>
    <s v="TensorFlow"/>
    <s v=" R"/>
    <s v=" Python"/>
    <m/>
    <m/>
    <n v="117946"/>
    <m/>
    <s v="Senior"/>
    <x v="1"/>
    <s v="South Kaitlyn"/>
    <s v=" BF"/>
    <n v="77543"/>
    <n v="158349"/>
    <d v="2024-04-08T00:00:00"/>
    <x v="1"/>
    <s v="MLflow"/>
    <s v=" KDB+"/>
    <m/>
    <x v="19"/>
    <n v="95"/>
    <x v="6"/>
    <n v="259"/>
  </r>
  <r>
    <n v="798"/>
    <s v="Snow, Welch and Meyer"/>
    <x v="2"/>
    <x v="7"/>
    <s v="NumPy"/>
    <s v=" TensorFlow"/>
    <s v=" CUDA"/>
    <m/>
    <m/>
    <n v="86460.5"/>
    <m/>
    <s v="Entry"/>
    <x v="3"/>
    <s v="South Thomasbury"/>
    <s v=" NA"/>
    <n v="41105"/>
    <n v="131816"/>
    <d v="2024-11-27T00:00:00"/>
    <x v="1"/>
    <s v="FastAPI"/>
    <s v=" LangChain"/>
    <s v=" PyTorch"/>
    <x v="0"/>
    <n v="104"/>
    <x v="1"/>
    <n v="251"/>
  </r>
  <r>
    <n v="799"/>
    <s v="Farley LLC"/>
    <x v="6"/>
    <x v="3"/>
    <s v="Reinforcement Learning"/>
    <s v=" Flask"/>
    <s v=" TensorFlow"/>
    <m/>
    <m/>
    <n v="158515"/>
    <m/>
    <s v="Entry"/>
    <x v="3"/>
    <s v="Garciaberg"/>
    <s v=" VE"/>
    <n v="119337"/>
    <n v="197693"/>
    <d v="2025-05-11T00:00:00"/>
    <x v="0"/>
    <s v="FastAPI"/>
    <m/>
    <m/>
    <x v="21"/>
    <n v="104"/>
    <x v="1"/>
    <n v="251"/>
  </r>
  <r>
    <n v="800"/>
    <s v="Smith Group"/>
    <x v="5"/>
    <x v="4"/>
    <s v="SQL"/>
    <s v=" TensorFlow"/>
    <s v=" CUDA"/>
    <m/>
    <m/>
    <n v="153416"/>
    <m/>
    <s v="Mid"/>
    <x v="2"/>
    <s v="East Nicholas"/>
    <s v=" BT"/>
    <n v="110827"/>
    <n v="196005"/>
    <d v="2025-03-11T00:00:00"/>
    <x v="0"/>
    <s v="MLflow"/>
    <m/>
    <m/>
    <x v="17"/>
    <n v="88"/>
    <x v="6"/>
    <n v="259"/>
  </r>
  <r>
    <n v="801"/>
    <s v="Suarez Group"/>
    <x v="3"/>
    <x v="6"/>
    <s v="Flask"/>
    <s v=" C++"/>
    <s v=" LangChain"/>
    <s v=" AWS"/>
    <s v=" Keras"/>
    <n v="110417"/>
    <s v=" GCP"/>
    <s v="Mid"/>
    <x v="2"/>
    <s v="Coxland"/>
    <s v=" CV"/>
    <n v="68942"/>
    <n v="151892"/>
    <d v="2025-03-15T00:00:00"/>
    <x v="2"/>
    <s v="FastAPI"/>
    <s v=" LangChain"/>
    <m/>
    <x v="16"/>
    <n v="86"/>
    <x v="1"/>
    <n v="251"/>
  </r>
  <r>
    <n v="802"/>
    <s v="Haas, Bryant and Scott"/>
    <x v="5"/>
    <x v="0"/>
    <s v="Reinforcement Learning"/>
    <s v=" C++"/>
    <s v=" MLflow"/>
    <m/>
    <m/>
    <n v="163075.5"/>
    <m/>
    <s v="Mid"/>
    <x v="3"/>
    <s v="Connorport"/>
    <s v=" BI"/>
    <n v="132080"/>
    <n v="194071"/>
    <d v="2024-01-06T00:00:00"/>
    <x v="0"/>
    <s v="FastAPI"/>
    <s v=" LangChain"/>
    <m/>
    <x v="21"/>
    <n v="104"/>
    <x v="1"/>
    <n v="251"/>
  </r>
  <r>
    <n v="803"/>
    <s v="Hernandez-Rodriguez"/>
    <x v="6"/>
    <x v="5"/>
    <s v="GCP"/>
    <s v=" C++"/>
    <s v=" CUDA"/>
    <s v=" LangChain"/>
    <m/>
    <n v="110312.5"/>
    <m/>
    <s v="Entry"/>
    <x v="0"/>
    <s v="Jesseshire"/>
    <s v=" GY"/>
    <n v="78884"/>
    <n v="141741"/>
    <d v="2025-06-14T00:00:00"/>
    <x v="0"/>
    <s v="TensorFlow"/>
    <s v=" FastAPI"/>
    <m/>
    <x v="4"/>
    <n v="78"/>
    <x v="2"/>
    <n v="249"/>
  </r>
  <r>
    <n v="804"/>
    <s v="Robbins, Hall and Barnett"/>
    <x v="5"/>
    <x v="1"/>
    <s v="Keras"/>
    <s v=" R"/>
    <s v=" CUDA"/>
    <s v=" NumPy"/>
    <m/>
    <n v="131741.5"/>
    <m/>
    <s v="Entry"/>
    <x v="1"/>
    <s v="Lake Sarabury"/>
    <s v=" JO"/>
    <n v="109567"/>
    <n v="153916"/>
    <d v="2023-11-16T00:00:00"/>
    <x v="0"/>
    <s v="Scikit-learn"/>
    <s v=" TensorFlow"/>
    <m/>
    <x v="7"/>
    <n v="96"/>
    <x v="7"/>
    <n v="255"/>
  </r>
  <r>
    <n v="805"/>
    <s v="Johnson-Kelly"/>
    <x v="0"/>
    <x v="7"/>
    <s v="NumPy"/>
    <s v=" Reinforcement Learning"/>
    <s v=" FastAPI"/>
    <s v=" GCP"/>
    <s v=" AWS"/>
    <n v="82997.5"/>
    <m/>
    <s v="Entry"/>
    <x v="1"/>
    <s v="Lake Vickibury"/>
    <s v=" MG"/>
    <n v="48357"/>
    <n v="117638"/>
    <d v="2025-03-04T00:00:00"/>
    <x v="1"/>
    <s v="TensorFlow"/>
    <m/>
    <m/>
    <x v="0"/>
    <n v="104"/>
    <x v="2"/>
    <n v="249"/>
  </r>
  <r>
    <n v="806"/>
    <s v="Cardenas, Kemp and Roberts"/>
    <x v="1"/>
    <x v="1"/>
    <s v="R"/>
    <s v=" Pandas"/>
    <s v=" Flask"/>
    <m/>
    <m/>
    <n v="108049.5"/>
    <m/>
    <s v="Mid"/>
    <x v="2"/>
    <s v="Lake Moniquemouth"/>
    <s v=" PL"/>
    <n v="99903"/>
    <n v="116196"/>
    <d v="2023-11-08T00:00:00"/>
    <x v="0"/>
    <s v="FastAPI"/>
    <m/>
    <m/>
    <x v="11"/>
    <n v="86"/>
    <x v="1"/>
    <n v="251"/>
  </r>
  <r>
    <n v="807"/>
    <s v="Henry-Mason"/>
    <x v="5"/>
    <x v="1"/>
    <s v="SQL"/>
    <s v=" GCP"/>
    <s v=" Reinforcement Learning"/>
    <s v=" Python"/>
    <s v=" Power BI"/>
    <n v="119102"/>
    <s v=" R"/>
    <s v="Mid"/>
    <x v="0"/>
    <s v="Bentonhaven"/>
    <s v=" KR"/>
    <n v="84022"/>
    <n v="154182"/>
    <d v="2025-04-23T00:00:00"/>
    <x v="0"/>
    <s v="MLflow"/>
    <m/>
    <m/>
    <x v="17"/>
    <n v="88"/>
    <x v="6"/>
    <n v="259"/>
  </r>
  <r>
    <n v="808"/>
    <s v="Miller PLC"/>
    <x v="0"/>
    <x v="6"/>
    <s v="TensorFlow"/>
    <s v=" Reinforcement Learning"/>
    <s v=" Python"/>
    <s v=" C++"/>
    <s v=" CUDA"/>
    <n v="108784.5"/>
    <m/>
    <s v="Entry"/>
    <x v="3"/>
    <s v="Lake Jamestown"/>
    <s v=" MU"/>
    <n v="90182"/>
    <n v="127387"/>
    <d v="2024-04-19T00:00:00"/>
    <x v="1"/>
    <s v="PyTorch"/>
    <s v=" TensorFlow"/>
    <s v=" Scikit-learn"/>
    <x v="19"/>
    <n v="95"/>
    <x v="5"/>
    <n v="233"/>
  </r>
  <r>
    <n v="809"/>
    <s v="Hopkins-Smith"/>
    <x v="6"/>
    <x v="3"/>
    <s v="PyTorch"/>
    <s v=" Azure"/>
    <s v=" GCP"/>
    <s v=" Python"/>
    <s v=" AWS"/>
    <n v="69174"/>
    <s v=" Power BI"/>
    <s v="Senior"/>
    <x v="0"/>
    <s v="Pricefurt"/>
    <s v=" ZW"/>
    <n v="63292"/>
    <n v="75056"/>
    <d v="2025-02-07T00:00:00"/>
    <x v="2"/>
    <s v="BigQuery"/>
    <m/>
    <m/>
    <x v="14"/>
    <n v="92"/>
    <x v="3"/>
    <n v="238"/>
  </r>
  <r>
    <n v="810"/>
    <s v="Miller-Riley"/>
    <x v="5"/>
    <x v="2"/>
    <s v="Keras"/>
    <s v=" Reinforcement Learning"/>
    <s v=" MLflow"/>
    <m/>
    <m/>
    <n v="62950"/>
    <m/>
    <s v="Entry"/>
    <x v="0"/>
    <s v="Smithstad"/>
    <s v=" NG"/>
    <n v="55596"/>
    <n v="70304"/>
    <d v="2025-06-02T00:00:00"/>
    <x v="1"/>
    <s v="KDB+"/>
    <m/>
    <m/>
    <x v="7"/>
    <n v="96"/>
    <x v="0"/>
    <n v="247"/>
  </r>
  <r>
    <n v="811"/>
    <s v="Bauer Group"/>
    <x v="4"/>
    <x v="3"/>
    <s v="PyTorch"/>
    <s v=" Keras"/>
    <s v=" R"/>
    <s v=" Excel"/>
    <m/>
    <n v="137118.5"/>
    <m/>
    <s v="Entry"/>
    <x v="3"/>
    <s v="Hortonbury"/>
    <s v=" BR"/>
    <n v="98886"/>
    <n v="175351"/>
    <d v="2024-11-07T00:00:00"/>
    <x v="1"/>
    <s v="MLflow"/>
    <s v=" PyTorch"/>
    <m/>
    <x v="14"/>
    <n v="92"/>
    <x v="6"/>
    <n v="259"/>
  </r>
  <r>
    <n v="812"/>
    <s v="Downs-Griffin"/>
    <x v="1"/>
    <x v="4"/>
    <s v="Excel"/>
    <s v=" C++"/>
    <s v=" Hugging Face"/>
    <s v=" R"/>
    <m/>
    <n v="115568"/>
    <m/>
    <s v="Senior"/>
    <x v="0"/>
    <s v="Austinport"/>
    <s v=" PL"/>
    <n v="95671"/>
    <n v="135465"/>
    <d v="2023-10-23T00:00:00"/>
    <x v="2"/>
    <s v="TensorFlow"/>
    <s v=" MLflow"/>
    <s v=" Scikit-learn"/>
    <x v="2"/>
    <n v="101"/>
    <x v="2"/>
    <n v="249"/>
  </r>
  <r>
    <n v="813"/>
    <s v="Hunt, Ortiz and Erickson"/>
    <x v="4"/>
    <x v="2"/>
    <s v="LangChain"/>
    <s v=" Azure"/>
    <s v=" Python"/>
    <m/>
    <m/>
    <n v="84490"/>
    <m/>
    <s v="Senior"/>
    <x v="1"/>
    <s v="Lake Laurenville"/>
    <s v=" IS"/>
    <n v="54859"/>
    <n v="114121"/>
    <d v="2024-09-08T00:00:00"/>
    <x v="2"/>
    <s v="KDB+"/>
    <s v=" PyTorch"/>
    <s v=" FastAPI"/>
    <x v="12"/>
    <n v="100"/>
    <x v="0"/>
    <n v="247"/>
  </r>
  <r>
    <n v="814"/>
    <s v="Sanchez, Jackson and Fernandez"/>
    <x v="1"/>
    <x v="1"/>
    <s v="SQL"/>
    <s v=" FastAPI"/>
    <s v=" Excel"/>
    <s v=" Keras"/>
    <m/>
    <n v="92876.5"/>
    <m/>
    <s v="Entry"/>
    <x v="1"/>
    <s v="Lake Antonio"/>
    <s v=" TR"/>
    <n v="84637"/>
    <n v="101116"/>
    <d v="2024-05-30T00:00:00"/>
    <x v="2"/>
    <s v="Scikit-learn"/>
    <s v=" MLflow"/>
    <m/>
    <x v="17"/>
    <n v="88"/>
    <x v="7"/>
    <n v="255"/>
  </r>
  <r>
    <n v="815"/>
    <s v="Ward LLC"/>
    <x v="5"/>
    <x v="4"/>
    <s v="Keras"/>
    <s v=" C++"/>
    <s v=" Pandas"/>
    <s v=" CUDA"/>
    <s v=" LangChain"/>
    <n v="86563"/>
    <m/>
    <s v="Senior"/>
    <x v="3"/>
    <s v="North Shawnside"/>
    <s v=" BT"/>
    <n v="68935"/>
    <n v="104191"/>
    <d v="2024-02-03T00:00:00"/>
    <x v="0"/>
    <s v="FastAPI"/>
    <s v=" KDB+"/>
    <s v=" Scikit-learn"/>
    <x v="7"/>
    <n v="96"/>
    <x v="1"/>
    <n v="251"/>
  </r>
  <r>
    <n v="816"/>
    <s v="James, Pearson and Roth"/>
    <x v="0"/>
    <x v="1"/>
    <s v="Flask"/>
    <s v=" TensorFlow"/>
    <s v=" SQL"/>
    <s v=" Pandas"/>
    <m/>
    <n v="99005"/>
    <m/>
    <s v="Mid"/>
    <x v="1"/>
    <s v="Bentleyville"/>
    <s v=" FI"/>
    <n v="65508"/>
    <n v="132502"/>
    <d v="2024-01-20T00:00:00"/>
    <x v="0"/>
    <s v="BigQuery"/>
    <s v=" FastAPI"/>
    <s v=" LangChain"/>
    <x v="16"/>
    <n v="86"/>
    <x v="3"/>
    <n v="238"/>
  </r>
  <r>
    <n v="817"/>
    <s v="Woodard Inc"/>
    <x v="6"/>
    <x v="2"/>
    <s v="Pandas"/>
    <s v=" NumPy"/>
    <s v=" Excel"/>
    <m/>
    <m/>
    <n v="84088.5"/>
    <m/>
    <s v="Mid"/>
    <x v="1"/>
    <s v="Mcphersonbury"/>
    <s v=" SM"/>
    <n v="56129"/>
    <n v="112048"/>
    <d v="2024-03-18T00:00:00"/>
    <x v="1"/>
    <s v="TensorFlow"/>
    <m/>
    <m/>
    <x v="6"/>
    <n v="78"/>
    <x v="2"/>
    <n v="249"/>
  </r>
  <r>
    <n v="818"/>
    <s v="Perry-Mcmahon"/>
    <x v="2"/>
    <x v="3"/>
    <s v="SQL"/>
    <s v=" Power BI"/>
    <s v=" Reinforcement Learning"/>
    <s v=" Keras"/>
    <m/>
    <n v="109995"/>
    <m/>
    <s v="Mid"/>
    <x v="2"/>
    <s v="Knightville"/>
    <s v=" CR"/>
    <n v="85447"/>
    <n v="134543"/>
    <d v="2024-10-13T00:00:00"/>
    <x v="0"/>
    <s v="Scikit-learn"/>
    <s v=" TensorFlow"/>
    <s v=" FastAPI"/>
    <x v="17"/>
    <n v="88"/>
    <x v="7"/>
    <n v="255"/>
  </r>
  <r>
    <n v="819"/>
    <s v="Galloway, Jordan and Cox"/>
    <x v="6"/>
    <x v="7"/>
    <s v="MLflow"/>
    <s v=" SQL"/>
    <s v=" Excel"/>
    <m/>
    <m/>
    <n v="159376.5"/>
    <m/>
    <s v="Mid"/>
    <x v="2"/>
    <s v="North Tina"/>
    <s v=" NG"/>
    <n v="130152"/>
    <n v="188601"/>
    <d v="2024-04-23T00:00:00"/>
    <x v="1"/>
    <s v="FastAPI"/>
    <s v=" LangChain"/>
    <s v=" TensorFlow"/>
    <x v="3"/>
    <n v="80"/>
    <x v="1"/>
    <n v="251"/>
  </r>
  <r>
    <n v="820"/>
    <s v="Jensen-Harris"/>
    <x v="6"/>
    <x v="0"/>
    <s v="Excel"/>
    <s v=" GCP"/>
    <s v=" Reinforcement Learning"/>
    <s v=" Hugging Face"/>
    <s v=" CUDA"/>
    <n v="173403"/>
    <s v=" Python"/>
    <s v="Entry"/>
    <x v="3"/>
    <s v="South Patriciaburgh"/>
    <s v=" TT"/>
    <n v="141832"/>
    <n v="204974"/>
    <d v="2025-04-09T00:00:00"/>
    <x v="2"/>
    <s v="Scikit-learn"/>
    <s v=" KDB+"/>
    <m/>
    <x v="2"/>
    <n v="101"/>
    <x v="7"/>
    <n v="255"/>
  </r>
  <r>
    <n v="821"/>
    <s v="Hurley Ltd"/>
    <x v="4"/>
    <x v="0"/>
    <s v="Power BI"/>
    <s v=" MLflow"/>
    <s v=" Reinforcement Learning"/>
    <m/>
    <m/>
    <n v="160895.5"/>
    <m/>
    <s v="Entry"/>
    <x v="0"/>
    <s v="West Timothystad"/>
    <s v=" ZM"/>
    <n v="146129"/>
    <n v="175662"/>
    <d v="2025-01-11T00:00:00"/>
    <x v="0"/>
    <s v="KDB+"/>
    <s v=" PyTorch"/>
    <m/>
    <x v="18"/>
    <n v="96"/>
    <x v="0"/>
    <n v="247"/>
  </r>
  <r>
    <n v="822"/>
    <s v="Waters Group"/>
    <x v="6"/>
    <x v="3"/>
    <s v="R"/>
    <s v=" Pandas"/>
    <s v=" NumPy"/>
    <m/>
    <m/>
    <n v="101942"/>
    <m/>
    <s v="Senior"/>
    <x v="0"/>
    <s v="Port Ryan"/>
    <s v=" GM"/>
    <n v="96885"/>
    <n v="106999"/>
    <d v="2023-11-17T00:00:00"/>
    <x v="0"/>
    <s v="TensorFlow"/>
    <m/>
    <m/>
    <x v="11"/>
    <n v="86"/>
    <x v="2"/>
    <n v="249"/>
  </r>
  <r>
    <n v="823"/>
    <s v="Curry PLC"/>
    <x v="2"/>
    <x v="4"/>
    <s v="NumPy"/>
    <s v=" Excel"/>
    <s v=" Reinforcement Learning"/>
    <s v=" Python"/>
    <s v=" SQL"/>
    <n v="150172.5"/>
    <m/>
    <s v="Entry"/>
    <x v="3"/>
    <s v="Port Rebeccahaven"/>
    <s v=" MN"/>
    <n v="104902"/>
    <n v="195443"/>
    <d v="2025-05-04T00:00:00"/>
    <x v="0"/>
    <s v="KDB+"/>
    <m/>
    <m/>
    <x v="0"/>
    <n v="104"/>
    <x v="0"/>
    <n v="247"/>
  </r>
  <r>
    <n v="824"/>
    <s v="Reynolds-Castillo"/>
    <x v="0"/>
    <x v="7"/>
    <s v="NumPy"/>
    <s v=" Flask"/>
    <s v=" C++"/>
    <m/>
    <m/>
    <n v="133985.5"/>
    <m/>
    <s v="Entry"/>
    <x v="2"/>
    <s v="Josephfort"/>
    <s v=" KN"/>
    <n v="90748"/>
    <n v="177223"/>
    <d v="2024-08-02T00:00:00"/>
    <x v="0"/>
    <s v="PyTorch"/>
    <m/>
    <m/>
    <x v="0"/>
    <n v="104"/>
    <x v="5"/>
    <n v="233"/>
  </r>
  <r>
    <n v="825"/>
    <s v="Gordon, Rose and Byrd"/>
    <x v="6"/>
    <x v="7"/>
    <s v="MLflow"/>
    <s v=" Power BI"/>
    <s v=" Keras"/>
    <s v=" Flask"/>
    <s v=" CUDA"/>
    <n v="98758.5"/>
    <m/>
    <s v="Mid"/>
    <x v="0"/>
    <s v="South Alexis"/>
    <s v=" CV"/>
    <n v="88375"/>
    <n v="109142"/>
    <d v="2024-04-10T00:00:00"/>
    <x v="1"/>
    <s v="Scikit-learn"/>
    <s v=" KDB+"/>
    <s v=" BigQuery"/>
    <x v="3"/>
    <n v="80"/>
    <x v="7"/>
    <n v="255"/>
  </r>
  <r>
    <n v="826"/>
    <s v="Andersen, Rose and Scott"/>
    <x v="0"/>
    <x v="2"/>
    <s v="Scikit-learn"/>
    <s v=" TensorFlow"/>
    <s v=" Excel"/>
    <s v=" CUDA"/>
    <m/>
    <n v="103469.5"/>
    <m/>
    <s v="Mid"/>
    <x v="2"/>
    <s v="Port Justinfort"/>
    <s v=" NR"/>
    <n v="70090"/>
    <n v="136849"/>
    <d v="2023-11-20T00:00:00"/>
    <x v="2"/>
    <s v="MLflow"/>
    <s v=" PyTorch"/>
    <s v=" FastAPI"/>
    <x v="1"/>
    <n v="76"/>
    <x v="6"/>
    <n v="259"/>
  </r>
  <r>
    <n v="827"/>
    <s v="Ross Group"/>
    <x v="4"/>
    <x v="2"/>
    <s v="LangChain"/>
    <s v=" NumPy"/>
    <s v=" C++"/>
    <m/>
    <m/>
    <n v="142497.5"/>
    <m/>
    <s v="Entry"/>
    <x v="2"/>
    <s v="South Joelport"/>
    <s v=" AU"/>
    <n v="95361"/>
    <n v="189634"/>
    <d v="2024-04-14T00:00:00"/>
    <x v="2"/>
    <s v="PyTorch"/>
    <s v=" TensorFlow"/>
    <s v=" KDB+"/>
    <x v="12"/>
    <n v="100"/>
    <x v="5"/>
    <n v="233"/>
  </r>
  <r>
    <n v="828"/>
    <s v="Myers, Bradley and Gilmore"/>
    <x v="2"/>
    <x v="6"/>
    <s v="GCP"/>
    <s v=" CUDA"/>
    <s v=" NumPy"/>
    <s v=" Azure"/>
    <m/>
    <n v="81117.5"/>
    <m/>
    <s v="Mid"/>
    <x v="3"/>
    <s v="Charlesside"/>
    <s v=" MH"/>
    <n v="41043"/>
    <n v="121192"/>
    <d v="2024-06-12T00:00:00"/>
    <x v="2"/>
    <s v="PyTorch"/>
    <m/>
    <m/>
    <x v="4"/>
    <n v="78"/>
    <x v="5"/>
    <n v="233"/>
  </r>
  <r>
    <n v="829"/>
    <s v="Mack and Sons"/>
    <x v="5"/>
    <x v="7"/>
    <s v="Reinforcement Learning"/>
    <s v=" NumPy"/>
    <s v=" Power BI"/>
    <m/>
    <m/>
    <n v="66403.5"/>
    <m/>
    <s v="Senior"/>
    <x v="1"/>
    <s v="North Jayberg"/>
    <s v=" PY"/>
    <n v="51739"/>
    <n v="81068"/>
    <d v="2025-01-25T00:00:00"/>
    <x v="1"/>
    <s v="MLflow"/>
    <s v=" BigQuery"/>
    <m/>
    <x v="21"/>
    <n v="104"/>
    <x v="6"/>
    <n v="259"/>
  </r>
  <r>
    <n v="830"/>
    <s v="Bartlett PLC"/>
    <x v="3"/>
    <x v="1"/>
    <s v="FastAPI"/>
    <s v=" NumPy"/>
    <s v=" Excel"/>
    <s v=" Flask"/>
    <m/>
    <n v="147593.5"/>
    <m/>
    <s v="Mid"/>
    <x v="3"/>
    <s v="West Bailey"/>
    <s v=" BE"/>
    <n v="136245"/>
    <n v="158942"/>
    <d v="2023-09-28T00:00:00"/>
    <x v="1"/>
    <s v="PyTorch"/>
    <s v=" Scikit-learn"/>
    <s v=" TensorFlow"/>
    <x v="20"/>
    <n v="111"/>
    <x v="5"/>
    <n v="233"/>
  </r>
  <r>
    <n v="831"/>
    <s v="Thompson LLC"/>
    <x v="3"/>
    <x v="5"/>
    <s v="FastAPI"/>
    <s v=" NumPy"/>
    <s v=" Reinforcement Learning"/>
    <s v=" Pandas"/>
    <s v=" R"/>
    <n v="137570.5"/>
    <m/>
    <s v="Mid"/>
    <x v="3"/>
    <s v="Hortonmouth"/>
    <s v=" MX"/>
    <n v="94816"/>
    <n v="180325"/>
    <d v="2024-12-06T00:00:00"/>
    <x v="0"/>
    <s v="TensorFlow"/>
    <s v=" FastAPI"/>
    <m/>
    <x v="20"/>
    <n v="111"/>
    <x v="2"/>
    <n v="249"/>
  </r>
  <r>
    <n v="832"/>
    <s v="Crawford, Schmidt and Gonzalez"/>
    <x v="6"/>
    <x v="2"/>
    <s v="LangChain"/>
    <s v=" PyTorch"/>
    <s v=" Scikit-learn"/>
    <s v=" NumPy"/>
    <s v=" SQL"/>
    <n v="170693"/>
    <s v=" Flask"/>
    <s v="Entry"/>
    <x v="1"/>
    <s v="Whitneyport"/>
    <s v=" TN"/>
    <n v="139236"/>
    <n v="202150"/>
    <d v="2023-10-05T00:00:00"/>
    <x v="2"/>
    <s v="Scikit-learn"/>
    <s v=" KDB+"/>
    <m/>
    <x v="12"/>
    <n v="100"/>
    <x v="7"/>
    <n v="255"/>
  </r>
  <r>
    <n v="833"/>
    <s v="Watson, Richardson and Baker"/>
    <x v="6"/>
    <x v="7"/>
    <s v="Keras"/>
    <s v=" Scikit-learn"/>
    <s v=" Pandas"/>
    <m/>
    <m/>
    <n v="80594"/>
    <m/>
    <s v="Mid"/>
    <x v="3"/>
    <s v="Hamiltonville"/>
    <s v=" VE"/>
    <n v="67231"/>
    <n v="93957"/>
    <d v="2024-10-11T00:00:00"/>
    <x v="1"/>
    <s v="BigQuery"/>
    <s v=" PyTorch"/>
    <s v=" MLflow"/>
    <x v="7"/>
    <n v="96"/>
    <x v="3"/>
    <n v="238"/>
  </r>
  <r>
    <n v="834"/>
    <s v="Ruiz, Johnson and Christensen"/>
    <x v="4"/>
    <x v="3"/>
    <s v="Pandas"/>
    <s v=" LangChain"/>
    <s v=" AWS"/>
    <s v=" Hugging Face"/>
    <m/>
    <n v="154210.5"/>
    <m/>
    <s v="Entry"/>
    <x v="2"/>
    <s v="Port Shane"/>
    <s v=" ML"/>
    <n v="137964"/>
    <n v="170457"/>
    <d v="2024-08-09T00:00:00"/>
    <x v="1"/>
    <s v="LangChain"/>
    <m/>
    <m/>
    <x v="6"/>
    <n v="78"/>
    <x v="4"/>
    <n v="268"/>
  </r>
  <r>
    <n v="835"/>
    <s v="Hernandez Ltd"/>
    <x v="3"/>
    <x v="5"/>
    <s v="Azure"/>
    <s v=" CUDA"/>
    <s v=" GCP"/>
    <s v=" TensorFlow"/>
    <s v=" C++"/>
    <n v="111537.5"/>
    <m/>
    <s v="Mid"/>
    <x v="1"/>
    <s v="Chavezchester"/>
    <s v=" CU"/>
    <n v="95174"/>
    <n v="127901"/>
    <d v="2024-09-15T00:00:00"/>
    <x v="0"/>
    <s v="FastAPI"/>
    <s v=" PyTorch"/>
    <s v=" BigQuery"/>
    <x v="15"/>
    <n v="90"/>
    <x v="1"/>
    <n v="251"/>
  </r>
  <r>
    <n v="836"/>
    <s v="Richmond, Jones and Reilly"/>
    <x v="3"/>
    <x v="3"/>
    <s v="Python"/>
    <s v=" Excel"/>
    <s v=" Azure"/>
    <s v=" PyTorch"/>
    <m/>
    <n v="151426.5"/>
    <m/>
    <s v="Senior"/>
    <x v="0"/>
    <s v="Royborough"/>
    <s v=" AG"/>
    <n v="139025"/>
    <n v="163828"/>
    <d v="2025-08-03T00:00:00"/>
    <x v="0"/>
    <s v="KDB+"/>
    <m/>
    <m/>
    <x v="5"/>
    <n v="94"/>
    <x v="0"/>
    <n v="247"/>
  </r>
  <r>
    <n v="837"/>
    <s v="Martinez Inc"/>
    <x v="2"/>
    <x v="7"/>
    <s v="GCP"/>
    <s v=" Flask"/>
    <s v=" PyTorch"/>
    <m/>
    <m/>
    <n v="123302"/>
    <m/>
    <s v="Senior"/>
    <x v="3"/>
    <s v="Port Timothy"/>
    <s v=" NA"/>
    <n v="80064"/>
    <n v="166540"/>
    <d v="2025-02-07T00:00:00"/>
    <x v="2"/>
    <s v="PyTorch"/>
    <s v=" KDB+"/>
    <m/>
    <x v="4"/>
    <n v="78"/>
    <x v="5"/>
    <n v="233"/>
  </r>
  <r>
    <n v="838"/>
    <s v="Fisher Group"/>
    <x v="6"/>
    <x v="2"/>
    <s v="SQL"/>
    <s v=" Hugging Face"/>
    <s v=" R"/>
    <s v=" Python"/>
    <s v=" Azure"/>
    <n v="169570.5"/>
    <s v=" LangChain"/>
    <s v="Mid"/>
    <x v="3"/>
    <s v="Richardsonburgh"/>
    <s v=" TH"/>
    <n v="123917"/>
    <n v="215224"/>
    <d v="2025-02-09T00:00:00"/>
    <x v="1"/>
    <s v="KDB+"/>
    <m/>
    <m/>
    <x v="17"/>
    <n v="88"/>
    <x v="0"/>
    <n v="247"/>
  </r>
  <r>
    <n v="839"/>
    <s v="Jones, Crawford and Kelly"/>
    <x v="1"/>
    <x v="5"/>
    <s v="MLflow"/>
    <s v=" Azure"/>
    <s v=" Hugging Face"/>
    <m/>
    <m/>
    <n v="123411"/>
    <m/>
    <s v="Entry"/>
    <x v="1"/>
    <s v="East Ashleychester"/>
    <s v=" NO"/>
    <n v="112129"/>
    <n v="134693"/>
    <d v="2025-04-30T00:00:00"/>
    <x v="2"/>
    <s v="MLflow"/>
    <s v=" LangChain"/>
    <s v=" BigQuery"/>
    <x v="3"/>
    <n v="80"/>
    <x v="6"/>
    <n v="259"/>
  </r>
  <r>
    <n v="840"/>
    <s v="Boyd, Howard and Morgan"/>
    <x v="4"/>
    <x v="4"/>
    <s v="Power BI"/>
    <s v=" Hugging Face"/>
    <s v=" Flask"/>
    <s v=" Keras"/>
    <s v=" Reinforcement Learning"/>
    <n v="107475"/>
    <s v=" SQL"/>
    <s v="Entry"/>
    <x v="1"/>
    <s v="Lake Sarahfort"/>
    <s v=" MX"/>
    <n v="93495"/>
    <n v="121455"/>
    <d v="2025-08-31T00:00:00"/>
    <x v="1"/>
    <s v="BigQuery"/>
    <m/>
    <m/>
    <x v="18"/>
    <n v="96"/>
    <x v="3"/>
    <n v="238"/>
  </r>
  <r>
    <n v="841"/>
    <s v="Wood Inc"/>
    <x v="6"/>
    <x v="5"/>
    <s v="Hugging Face"/>
    <s v=" Scikit-learn"/>
    <s v=" LangChain"/>
    <s v=" TensorFlow"/>
    <s v=" Excel"/>
    <n v="104834.5"/>
    <m/>
    <s v="Mid"/>
    <x v="3"/>
    <s v="Brownberg"/>
    <s v=" AL"/>
    <n v="93984"/>
    <n v="115685"/>
    <d v="2024-08-12T00:00:00"/>
    <x v="0"/>
    <s v="Scikit-learn"/>
    <m/>
    <m/>
    <x v="9"/>
    <n v="89"/>
    <x v="7"/>
    <n v="255"/>
  </r>
  <r>
    <n v="842"/>
    <s v="Jackson, Yang and Freeman"/>
    <x v="5"/>
    <x v="5"/>
    <s v="Python"/>
    <s v=" Keras"/>
    <s v=" PyTorch"/>
    <s v=" Reinforcement Learning"/>
    <s v=" SQL"/>
    <n v="164119"/>
    <s v=" R"/>
    <s v="Entry"/>
    <x v="1"/>
    <s v="East Wendyville"/>
    <s v=" NR"/>
    <n v="141497"/>
    <n v="186741"/>
    <d v="2024-12-01T00:00:00"/>
    <x v="0"/>
    <s v="TensorFlow"/>
    <m/>
    <m/>
    <x v="5"/>
    <n v="94"/>
    <x v="2"/>
    <n v="249"/>
  </r>
  <r>
    <n v="843"/>
    <s v="Martin PLC"/>
    <x v="2"/>
    <x v="6"/>
    <s v="C++"/>
    <s v=" MLflow"/>
    <s v=" Reinforcement Learning"/>
    <s v=" TensorFlow"/>
    <s v=" GCP"/>
    <n v="139167.5"/>
    <s v=" Flask"/>
    <s v="Senior"/>
    <x v="1"/>
    <s v="Lewisville"/>
    <s v=" KP"/>
    <n v="108227"/>
    <n v="170108"/>
    <d v="2025-08-08T00:00:00"/>
    <x v="2"/>
    <s v="BigQuery"/>
    <s v=" MLflow"/>
    <s v=" Scikit-learn"/>
    <x v="8"/>
    <n v="84"/>
    <x v="3"/>
    <n v="238"/>
  </r>
  <r>
    <n v="844"/>
    <s v="Burns, Suarez and Morrison"/>
    <x v="1"/>
    <x v="5"/>
    <s v="SQL"/>
    <s v=" Flask"/>
    <s v=" LangChain"/>
    <s v=" Excel"/>
    <s v=" Python"/>
    <n v="70943.5"/>
    <m/>
    <s v="Senior"/>
    <x v="2"/>
    <s v="West Kyle"/>
    <s v=" FM"/>
    <n v="46507"/>
    <n v="95380"/>
    <d v="2024-03-18T00:00:00"/>
    <x v="2"/>
    <s v="Scikit-learn"/>
    <s v=" LangChain"/>
    <s v=" KDB+"/>
    <x v="17"/>
    <n v="88"/>
    <x v="7"/>
    <n v="255"/>
  </r>
  <r>
    <n v="845"/>
    <s v="Russo, Sharp and Bailey"/>
    <x v="1"/>
    <x v="3"/>
    <s v="MLflow"/>
    <s v=" Python"/>
    <s v=" R"/>
    <s v=" AWS"/>
    <s v=" Hugging Face"/>
    <n v="163599"/>
    <s v=" Scikit-learn"/>
    <s v="Senior"/>
    <x v="3"/>
    <s v="Port Bryanview"/>
    <s v=" GE"/>
    <n v="144378"/>
    <n v="182820"/>
    <d v="2024-08-23T00:00:00"/>
    <x v="0"/>
    <s v="KDB+"/>
    <s v=" BigQuery"/>
    <s v=" Scikit-learn"/>
    <x v="3"/>
    <n v="80"/>
    <x v="0"/>
    <n v="247"/>
  </r>
  <r>
    <n v="846"/>
    <s v="Estrada, Smith and Baldwin"/>
    <x v="4"/>
    <x v="7"/>
    <s v="Excel"/>
    <s v=" AWS"/>
    <s v=" PyTorch"/>
    <s v=" GCP"/>
    <s v=" NumPy"/>
    <n v="129516.5"/>
    <s v=" Reinforcement Learning"/>
    <s v="Senior"/>
    <x v="2"/>
    <s v="Robertshire"/>
    <s v=" NE"/>
    <n v="116988"/>
    <n v="142045"/>
    <d v="2025-07-27T00:00:00"/>
    <x v="1"/>
    <s v="FastAPI"/>
    <s v=" MLflow"/>
    <s v=" KDB+"/>
    <x v="2"/>
    <n v="101"/>
    <x v="1"/>
    <n v="251"/>
  </r>
  <r>
    <n v="847"/>
    <s v="Gregory, Nelson and Smith"/>
    <x v="0"/>
    <x v="4"/>
    <s v="GCP"/>
    <s v=" NumPy"/>
    <s v=" Hugging Face"/>
    <m/>
    <m/>
    <n v="72247"/>
    <m/>
    <s v="Entry"/>
    <x v="0"/>
    <s v="Ronaldland"/>
    <s v=" AD"/>
    <n v="49343"/>
    <n v="95151"/>
    <d v="2024-07-18T00:00:00"/>
    <x v="0"/>
    <s v="Scikit-learn"/>
    <s v=" LangChain"/>
    <m/>
    <x v="4"/>
    <n v="78"/>
    <x v="7"/>
    <n v="255"/>
  </r>
  <r>
    <n v="848"/>
    <s v="Houston-Miller"/>
    <x v="6"/>
    <x v="2"/>
    <s v="NumPy"/>
    <s v=" Azure"/>
    <s v=" AWS"/>
    <s v=" Keras"/>
    <s v=" R"/>
    <n v="107687"/>
    <m/>
    <s v="Entry"/>
    <x v="3"/>
    <s v="East Michaelberg"/>
    <s v=" BY"/>
    <n v="102358"/>
    <n v="113016"/>
    <d v="2024-12-17T00:00:00"/>
    <x v="1"/>
    <s v="LangChain"/>
    <s v=" BigQuery"/>
    <s v=" MLflow"/>
    <x v="0"/>
    <n v="104"/>
    <x v="4"/>
    <n v="268"/>
  </r>
  <r>
    <n v="849"/>
    <s v="Smith, Wallace and Garza"/>
    <x v="6"/>
    <x v="1"/>
    <s v="LangChain"/>
    <s v=" PyTorch"/>
    <s v=" AWS"/>
    <s v=" Power BI"/>
    <s v=" R"/>
    <n v="173926.5"/>
    <m/>
    <s v="Mid"/>
    <x v="2"/>
    <s v="Andersonberg"/>
    <s v=" GD"/>
    <n v="124228"/>
    <n v="223625"/>
    <d v="2025-02-25T00:00:00"/>
    <x v="2"/>
    <s v="MLflow"/>
    <m/>
    <m/>
    <x v="12"/>
    <n v="100"/>
    <x v="6"/>
    <n v="259"/>
  </r>
  <r>
    <n v="850"/>
    <s v="Ford Inc"/>
    <x v="2"/>
    <x v="7"/>
    <s v="C++"/>
    <s v=" FastAPI"/>
    <s v=" Power BI"/>
    <s v=" SQL"/>
    <s v=" AWS"/>
    <n v="134551.5"/>
    <s v=" Reinforcement Learning"/>
    <s v="Senior"/>
    <x v="0"/>
    <s v="Petersonburgh"/>
    <s v=" DZ"/>
    <n v="128700"/>
    <n v="140403"/>
    <d v="2025-09-01T00:00:00"/>
    <x v="1"/>
    <s v="FastAPI"/>
    <m/>
    <m/>
    <x v="8"/>
    <n v="84"/>
    <x v="1"/>
    <n v="251"/>
  </r>
  <r>
    <n v="851"/>
    <s v="Meadows, Wilkinson and Palmer"/>
    <x v="6"/>
    <x v="0"/>
    <s v="Keras"/>
    <s v=" SQL"/>
    <s v=" TensorFlow"/>
    <m/>
    <m/>
    <n v="94325"/>
    <m/>
    <s v="Entry"/>
    <x v="1"/>
    <s v="Rhondafurt"/>
    <s v=" IQ"/>
    <n v="53005"/>
    <n v="135645"/>
    <d v="2025-04-04T00:00:00"/>
    <x v="2"/>
    <s v="BigQuery"/>
    <s v=" TensorFlow"/>
    <m/>
    <x v="7"/>
    <n v="96"/>
    <x v="3"/>
    <n v="238"/>
  </r>
  <r>
    <n v="852"/>
    <s v="Hess and Sons"/>
    <x v="0"/>
    <x v="7"/>
    <s v="NumPy"/>
    <s v=" Excel"/>
    <s v=" TensorFlow"/>
    <m/>
    <m/>
    <n v="131509"/>
    <m/>
    <s v="Senior"/>
    <x v="2"/>
    <s v="Lake Jameston"/>
    <s v=" GR"/>
    <n v="112949"/>
    <n v="150069"/>
    <d v="2025-03-21T00:00:00"/>
    <x v="1"/>
    <s v="LangChain"/>
    <m/>
    <m/>
    <x v="0"/>
    <n v="104"/>
    <x v="4"/>
    <n v="268"/>
  </r>
  <r>
    <n v="853"/>
    <s v="Grimes-Sullivan"/>
    <x v="0"/>
    <x v="6"/>
    <s v="SQL"/>
    <s v=" NumPy"/>
    <s v=" Keras"/>
    <m/>
    <m/>
    <n v="69365.5"/>
    <m/>
    <s v="Mid"/>
    <x v="1"/>
    <s v="Beckerberg"/>
    <s v=" MA"/>
    <n v="53274"/>
    <n v="85457"/>
    <d v="2025-05-08T00:00:00"/>
    <x v="0"/>
    <s v="Scikit-learn"/>
    <s v=" FastAPI"/>
    <s v=" LangChain"/>
    <x v="17"/>
    <n v="88"/>
    <x v="7"/>
    <n v="255"/>
  </r>
  <r>
    <n v="854"/>
    <s v="Weeks, Williams and Smith"/>
    <x v="2"/>
    <x v="6"/>
    <s v="Keras"/>
    <s v=" Pandas"/>
    <s v=" MLflow"/>
    <m/>
    <m/>
    <n v="90127"/>
    <m/>
    <s v="Mid"/>
    <x v="2"/>
    <s v="North Kevinshire"/>
    <s v=" RU"/>
    <n v="61527"/>
    <n v="118727"/>
    <d v="2025-04-21T00:00:00"/>
    <x v="2"/>
    <s v="FastAPI"/>
    <s v=" KDB+"/>
    <m/>
    <x v="7"/>
    <n v="96"/>
    <x v="1"/>
    <n v="251"/>
  </r>
  <r>
    <n v="855"/>
    <s v="Mcguire-Hayes"/>
    <x v="1"/>
    <x v="5"/>
    <s v="Keras"/>
    <s v=" Flask"/>
    <s v=" Scikit-learn"/>
    <s v=" Reinforcement Learning"/>
    <s v=" Power BI"/>
    <n v="107413"/>
    <s v=" AWS"/>
    <s v="Senior"/>
    <x v="0"/>
    <s v="Jenniferborough"/>
    <s v=" CD"/>
    <n v="80834"/>
    <n v="133992"/>
    <d v="2024-04-06T00:00:00"/>
    <x v="1"/>
    <s v="MLflow"/>
    <s v=" Scikit-learn"/>
    <s v=" BigQuery"/>
    <x v="7"/>
    <n v="96"/>
    <x v="6"/>
    <n v="259"/>
  </r>
  <r>
    <n v="856"/>
    <s v="Williams, Adams and Dominguez"/>
    <x v="6"/>
    <x v="5"/>
    <s v="SQL"/>
    <s v=" CUDA"/>
    <s v=" Flask"/>
    <m/>
    <m/>
    <n v="160072"/>
    <m/>
    <s v="Entry"/>
    <x v="0"/>
    <s v="West Cathy"/>
    <s v=" NO"/>
    <n v="143635"/>
    <n v="176509"/>
    <d v="2024-05-21T00:00:00"/>
    <x v="1"/>
    <s v="Scikit-learn"/>
    <s v=" BigQuery"/>
    <s v=" MLflow"/>
    <x v="17"/>
    <n v="88"/>
    <x v="7"/>
    <n v="255"/>
  </r>
  <r>
    <n v="857"/>
    <s v="Buchanan-James"/>
    <x v="3"/>
    <x v="2"/>
    <s v="Flask"/>
    <s v=" Scikit-learn"/>
    <s v=" GCP"/>
    <s v=" TensorFlow"/>
    <s v=" NumPy"/>
    <n v="92605.5"/>
    <m/>
    <s v="Entry"/>
    <x v="0"/>
    <s v="Lake Jacobport"/>
    <s v=" SY"/>
    <n v="67463"/>
    <n v="117748"/>
    <d v="2023-11-09T00:00:00"/>
    <x v="2"/>
    <s v="KDB+"/>
    <m/>
    <m/>
    <x v="16"/>
    <n v="86"/>
    <x v="0"/>
    <n v="247"/>
  </r>
  <r>
    <n v="858"/>
    <s v="Hall-Wilcox"/>
    <x v="3"/>
    <x v="3"/>
    <s v="Reinforcement Learning"/>
    <s v=" FastAPI"/>
    <s v=" R"/>
    <s v=" Azure"/>
    <s v=" PyTorch"/>
    <n v="155667"/>
    <s v=" Scikit-learn"/>
    <s v="Entry"/>
    <x v="1"/>
    <s v="Jasontown"/>
    <s v=" TV"/>
    <n v="139626"/>
    <n v="171708"/>
    <d v="2024-11-18T00:00:00"/>
    <x v="1"/>
    <s v="BigQuery"/>
    <s v=" PyTorch"/>
    <s v=" FastAPI"/>
    <x v="21"/>
    <n v="104"/>
    <x v="3"/>
    <n v="238"/>
  </r>
  <r>
    <n v="859"/>
    <s v="Brown, Gallagher and Scott"/>
    <x v="0"/>
    <x v="0"/>
    <s v="Excel"/>
    <s v=" TensorFlow"/>
    <s v=" SQL"/>
    <s v=" Power BI"/>
    <s v=" LangChain"/>
    <n v="133842.5"/>
    <s v=" Scikit-learn"/>
    <s v="Entry"/>
    <x v="2"/>
    <s v="Powersfort"/>
    <s v=" BB"/>
    <n v="119828"/>
    <n v="147857"/>
    <d v="2025-01-11T00:00:00"/>
    <x v="0"/>
    <s v="BigQuery"/>
    <s v=" PyTorch"/>
    <s v=" KDB+"/>
    <x v="2"/>
    <n v="101"/>
    <x v="3"/>
    <n v="238"/>
  </r>
  <r>
    <n v="860"/>
    <s v="Miller-Cole"/>
    <x v="6"/>
    <x v="3"/>
    <s v="CUDA"/>
    <s v=" C++"/>
    <s v=" Azure"/>
    <s v=" FastAPI"/>
    <s v=" PyTorch"/>
    <n v="93382"/>
    <m/>
    <s v="Entry"/>
    <x v="2"/>
    <s v="Mirandatown"/>
    <s v=" GR"/>
    <n v="76830"/>
    <n v="109934"/>
    <d v="2024-08-21T00:00:00"/>
    <x v="0"/>
    <s v="BigQuery"/>
    <s v=" MLflow"/>
    <s v=" TensorFlow"/>
    <x v="13"/>
    <n v="75"/>
    <x v="3"/>
    <n v="238"/>
  </r>
  <r>
    <n v="861"/>
    <s v="Fox Ltd"/>
    <x v="5"/>
    <x v="1"/>
    <s v="Python"/>
    <s v=" GCP"/>
    <s v=" NumPy"/>
    <m/>
    <m/>
    <n v="133841"/>
    <m/>
    <s v="Entry"/>
    <x v="1"/>
    <s v="Whiteton"/>
    <s v=" BS"/>
    <n v="94999"/>
    <n v="172683"/>
    <d v="2023-10-22T00:00:00"/>
    <x v="2"/>
    <s v="MLflow"/>
    <s v=" Scikit-learn"/>
    <m/>
    <x v="5"/>
    <n v="94"/>
    <x v="6"/>
    <n v="259"/>
  </r>
  <r>
    <n v="862"/>
    <s v="Odonnell Group"/>
    <x v="6"/>
    <x v="6"/>
    <s v="C++"/>
    <s v=" Excel"/>
    <s v=" NumPy"/>
    <s v=" Pandas"/>
    <s v=" TensorFlow"/>
    <n v="115690"/>
    <m/>
    <s v="Entry"/>
    <x v="0"/>
    <s v="Kaylaport"/>
    <s v=" LC"/>
    <n v="86971"/>
    <n v="144409"/>
    <d v="2024-12-03T00:00:00"/>
    <x v="0"/>
    <s v="LangChain"/>
    <s v=" PyTorch"/>
    <s v=" MLflow"/>
    <x v="8"/>
    <n v="84"/>
    <x v="4"/>
    <n v="268"/>
  </r>
  <r>
    <n v="863"/>
    <s v="Schultz Inc"/>
    <x v="5"/>
    <x v="0"/>
    <s v="SQL"/>
    <s v=" C++"/>
    <s v=" Flask"/>
    <s v=" Scikit-learn"/>
    <s v=" Power BI"/>
    <n v="123939"/>
    <s v=" R"/>
    <s v="Senior"/>
    <x v="3"/>
    <s v="Rileyville"/>
    <s v=" QA"/>
    <n v="104785"/>
    <n v="143093"/>
    <d v="2024-08-16T00:00:00"/>
    <x v="2"/>
    <s v="LangChain"/>
    <m/>
    <m/>
    <x v="17"/>
    <n v="88"/>
    <x v="4"/>
    <n v="268"/>
  </r>
  <r>
    <n v="864"/>
    <s v="Robinson, Espinoza and Garcia"/>
    <x v="2"/>
    <x v="5"/>
    <s v="NumPy"/>
    <s v=" Python"/>
    <s v=" PyTorch"/>
    <s v=" C++"/>
    <s v=" AWS"/>
    <n v="64477"/>
    <m/>
    <s v="Senior"/>
    <x v="3"/>
    <s v="New Robyn"/>
    <s v=" YE"/>
    <n v="42308"/>
    <n v="86646"/>
    <d v="2024-05-09T00:00:00"/>
    <x v="1"/>
    <s v="Scikit-learn"/>
    <s v=" BigQuery"/>
    <s v=" KDB+"/>
    <x v="0"/>
    <n v="104"/>
    <x v="7"/>
    <n v="255"/>
  </r>
  <r>
    <n v="865"/>
    <s v="Henson, Sawyer and Gordon"/>
    <x v="6"/>
    <x v="1"/>
    <s v="NumPy"/>
    <s v=" R"/>
    <s v=" AWS"/>
    <s v=" TensorFlow"/>
    <m/>
    <n v="139140.5"/>
    <m/>
    <s v="Mid"/>
    <x v="1"/>
    <s v="Brownmouth"/>
    <s v=" ME"/>
    <n v="91659"/>
    <n v="186622"/>
    <d v="2023-12-30T00:00:00"/>
    <x v="0"/>
    <s v="LangChain"/>
    <s v=" KDB+"/>
    <s v=" PyTorch"/>
    <x v="0"/>
    <n v="104"/>
    <x v="4"/>
    <n v="268"/>
  </r>
  <r>
    <n v="866"/>
    <s v="Rodriguez-Morales"/>
    <x v="2"/>
    <x v="2"/>
    <s v="FastAPI"/>
    <s v=" MLflow"/>
    <s v=" Flask"/>
    <m/>
    <m/>
    <n v="116864"/>
    <m/>
    <s v="Senior"/>
    <x v="2"/>
    <s v="Wandamouth"/>
    <s v=" MY"/>
    <n v="100619"/>
    <n v="133109"/>
    <d v="2025-03-22T00:00:00"/>
    <x v="2"/>
    <s v="PyTorch"/>
    <s v=" KDB+"/>
    <m/>
    <x v="20"/>
    <n v="111"/>
    <x v="5"/>
    <n v="233"/>
  </r>
  <r>
    <n v="867"/>
    <s v="Munoz, Parker and Marsh"/>
    <x v="4"/>
    <x v="3"/>
    <s v="NumPy"/>
    <s v=" FastAPI"/>
    <s v=" LangChain"/>
    <s v=" Python"/>
    <m/>
    <n v="135398.5"/>
    <m/>
    <s v="Entry"/>
    <x v="3"/>
    <s v="Nicoleside"/>
    <s v=" CD"/>
    <n v="99808"/>
    <n v="170989"/>
    <d v="2025-03-11T00:00:00"/>
    <x v="0"/>
    <s v="LangChain"/>
    <s v=" Scikit-learn"/>
    <s v=" MLflow"/>
    <x v="0"/>
    <n v="104"/>
    <x v="4"/>
    <n v="268"/>
  </r>
  <r>
    <n v="868"/>
    <s v="Collins Ltd"/>
    <x v="5"/>
    <x v="6"/>
    <s v="Excel"/>
    <s v=" AWS"/>
    <s v=" SQL"/>
    <s v=" CUDA"/>
    <m/>
    <n v="126599"/>
    <m/>
    <s v="Entry"/>
    <x v="3"/>
    <s v="Kennedymouth"/>
    <s v=" MG"/>
    <n v="90343"/>
    <n v="162855"/>
    <d v="2024-03-19T00:00:00"/>
    <x v="1"/>
    <s v="MLflow"/>
    <s v=" FastAPI"/>
    <m/>
    <x v="2"/>
    <n v="101"/>
    <x v="6"/>
    <n v="259"/>
  </r>
  <r>
    <n v="869"/>
    <s v="Sanchez-Camacho"/>
    <x v="2"/>
    <x v="6"/>
    <s v="Azure"/>
    <s v=" NumPy"/>
    <s v=" Pandas"/>
    <s v=" MLflow"/>
    <m/>
    <n v="102030.5"/>
    <m/>
    <s v="Senior"/>
    <x v="2"/>
    <s v="Port Michael"/>
    <s v=" CH"/>
    <n v="75703"/>
    <n v="128358"/>
    <d v="2025-03-12T00:00:00"/>
    <x v="1"/>
    <s v="Scikit-learn"/>
    <m/>
    <m/>
    <x v="15"/>
    <n v="90"/>
    <x v="7"/>
    <n v="255"/>
  </r>
  <r>
    <n v="870"/>
    <s v="Paul-Ellis"/>
    <x v="3"/>
    <x v="1"/>
    <s v="R"/>
    <s v=" SQL"/>
    <s v=" C++"/>
    <s v=" FastAPI"/>
    <m/>
    <n v="114118"/>
    <m/>
    <s v="Entry"/>
    <x v="1"/>
    <s v="Ayalaland"/>
    <s v=" VA"/>
    <n v="83952"/>
    <n v="144284"/>
    <d v="2025-08-05T00:00:00"/>
    <x v="1"/>
    <s v="LangChain"/>
    <s v=" TensorFlow"/>
    <m/>
    <x v="11"/>
    <n v="86"/>
    <x v="4"/>
    <n v="268"/>
  </r>
  <r>
    <n v="871"/>
    <s v="Church LLC"/>
    <x v="5"/>
    <x v="7"/>
    <s v="Pandas"/>
    <s v=" GCP"/>
    <s v=" CUDA"/>
    <s v=" NumPy"/>
    <s v=" AWS"/>
    <n v="100565.5"/>
    <m/>
    <s v="Mid"/>
    <x v="3"/>
    <s v="Melissaburgh"/>
    <s v=" AL"/>
    <n v="69325"/>
    <n v="131806"/>
    <d v="2024-01-01T00:00:00"/>
    <x v="0"/>
    <s v="PyTorch"/>
    <m/>
    <m/>
    <x v="6"/>
    <n v="78"/>
    <x v="5"/>
    <n v="233"/>
  </r>
  <r>
    <n v="872"/>
    <s v="Holt, Carlson and Shaffer"/>
    <x v="2"/>
    <x v="6"/>
    <s v="AWS"/>
    <s v=" SQL"/>
    <s v=" GCP"/>
    <s v=" NumPy"/>
    <s v=" CUDA"/>
    <n v="190425.5"/>
    <s v=" Azure"/>
    <s v="Entry"/>
    <x v="0"/>
    <s v="New Anthonyport"/>
    <s v=" SC"/>
    <n v="144735"/>
    <n v="236116"/>
    <d v="2024-01-05T00:00:00"/>
    <x v="0"/>
    <s v="TensorFlow"/>
    <s v=" FastAPI"/>
    <m/>
    <x v="10"/>
    <n v="97"/>
    <x v="2"/>
    <n v="249"/>
  </r>
  <r>
    <n v="873"/>
    <s v="Wells and Sons"/>
    <x v="2"/>
    <x v="0"/>
    <s v="Power BI"/>
    <s v=" MLflow"/>
    <s v=" Python"/>
    <s v=" PyTorch"/>
    <s v=" Scikit-learn"/>
    <n v="119570.5"/>
    <m/>
    <s v="Entry"/>
    <x v="0"/>
    <s v="South Jillside"/>
    <s v=" CG"/>
    <n v="101118"/>
    <n v="138023"/>
    <d v="2024-12-19T00:00:00"/>
    <x v="2"/>
    <s v="KDB+"/>
    <m/>
    <m/>
    <x v="18"/>
    <n v="96"/>
    <x v="0"/>
    <n v="247"/>
  </r>
  <r>
    <n v="874"/>
    <s v="Gomez-Anderson"/>
    <x v="3"/>
    <x v="0"/>
    <s v="Power BI"/>
    <s v=" Scikit-learn"/>
    <s v=" R"/>
    <m/>
    <m/>
    <n v="170132"/>
    <m/>
    <s v="Mid"/>
    <x v="1"/>
    <s v="New Jennifer"/>
    <s v=" ZW"/>
    <n v="147137"/>
    <n v="193127"/>
    <d v="2025-05-20T00:00:00"/>
    <x v="0"/>
    <s v="LangChain"/>
    <s v=" Scikit-learn"/>
    <s v=" PyTorch"/>
    <x v="18"/>
    <n v="96"/>
    <x v="4"/>
    <n v="268"/>
  </r>
  <r>
    <n v="875"/>
    <s v="Robinson Group"/>
    <x v="4"/>
    <x v="3"/>
    <s v="Keras"/>
    <s v=" MLflow"/>
    <s v=" AWS"/>
    <s v=" SQL"/>
    <s v=" Excel"/>
    <n v="93430.5"/>
    <m/>
    <s v="Senior"/>
    <x v="2"/>
    <s v="Port Haleyport"/>
    <s v=" KE"/>
    <n v="52210"/>
    <n v="134651"/>
    <d v="2025-09-04T00:00:00"/>
    <x v="2"/>
    <s v="FastAPI"/>
    <m/>
    <m/>
    <x v="7"/>
    <n v="96"/>
    <x v="1"/>
    <n v="251"/>
  </r>
  <r>
    <n v="876"/>
    <s v="Klein-Ramirez"/>
    <x v="0"/>
    <x v="3"/>
    <s v="CUDA"/>
    <s v=" Excel"/>
    <s v=" C++"/>
    <m/>
    <m/>
    <n v="107877"/>
    <m/>
    <s v="Senior"/>
    <x v="1"/>
    <s v="Davishaven"/>
    <s v=" MW"/>
    <n v="65715"/>
    <n v="150039"/>
    <d v="2025-09-06T00:00:00"/>
    <x v="2"/>
    <s v="KDB+"/>
    <s v=" FastAPI"/>
    <m/>
    <x v="13"/>
    <n v="75"/>
    <x v="0"/>
    <n v="247"/>
  </r>
  <r>
    <n v="877"/>
    <s v="Obrien-Kelley"/>
    <x v="4"/>
    <x v="4"/>
    <s v="LangChain"/>
    <s v=" R"/>
    <s v=" Keras"/>
    <s v=" Python"/>
    <s v=" TensorFlow"/>
    <n v="154021.5"/>
    <s v=" Excel"/>
    <s v="Mid"/>
    <x v="0"/>
    <s v="East Katiemouth"/>
    <s v=" SA"/>
    <n v="133828"/>
    <n v="174215"/>
    <d v="2024-06-23T00:00:00"/>
    <x v="1"/>
    <s v="LangChain"/>
    <m/>
    <m/>
    <x v="12"/>
    <n v="100"/>
    <x v="4"/>
    <n v="268"/>
  </r>
  <r>
    <n v="878"/>
    <s v="Hernandez LLC"/>
    <x v="5"/>
    <x v="4"/>
    <s v="TensorFlow"/>
    <s v=" Reinforcement Learning"/>
    <s v=" LangChain"/>
    <m/>
    <m/>
    <n v="111165"/>
    <m/>
    <s v="Entry"/>
    <x v="3"/>
    <s v="Sherrimouth"/>
    <s v=" GA"/>
    <n v="70866"/>
    <n v="151464"/>
    <d v="2025-04-06T00:00:00"/>
    <x v="0"/>
    <s v="FastAPI"/>
    <m/>
    <m/>
    <x v="19"/>
    <n v="95"/>
    <x v="1"/>
    <n v="251"/>
  </r>
  <r>
    <n v="879"/>
    <s v="Bryan Inc"/>
    <x v="1"/>
    <x v="5"/>
    <s v="Azure"/>
    <s v=" Flask"/>
    <s v=" Scikit-learn"/>
    <s v=" Keras"/>
    <s v=" NumPy"/>
    <n v="166314"/>
    <s v=" FastAPI"/>
    <s v="Entry"/>
    <x v="2"/>
    <s v="Nguyenmouth"/>
    <s v=" SK"/>
    <n v="128320"/>
    <n v="204308"/>
    <d v="2025-08-10T00:00:00"/>
    <x v="1"/>
    <s v="MLflow"/>
    <s v=" Scikit-learn"/>
    <m/>
    <x v="15"/>
    <n v="90"/>
    <x v="6"/>
    <n v="259"/>
  </r>
  <r>
    <n v="880"/>
    <s v="Anderson PLC"/>
    <x v="4"/>
    <x v="2"/>
    <s v="Flask"/>
    <s v=" LangChain"/>
    <s v=" Power BI"/>
    <s v=" Azure"/>
    <m/>
    <n v="94436"/>
    <m/>
    <s v="Mid"/>
    <x v="0"/>
    <s v="Lake Davidfort"/>
    <s v=" BD"/>
    <n v="58910"/>
    <n v="129962"/>
    <d v="2024-06-29T00:00:00"/>
    <x v="0"/>
    <s v="KDB+"/>
    <s v=" LangChain"/>
    <m/>
    <x v="16"/>
    <n v="86"/>
    <x v="0"/>
    <n v="247"/>
  </r>
  <r>
    <n v="881"/>
    <s v="Evans Group"/>
    <x v="2"/>
    <x v="6"/>
    <s v="FastAPI"/>
    <s v=" Hugging Face"/>
    <s v=" Pandas"/>
    <s v=" LangChain"/>
    <m/>
    <n v="147868"/>
    <m/>
    <s v="Senior"/>
    <x v="1"/>
    <s v="Kylieside"/>
    <s v=" MM"/>
    <n v="127058"/>
    <n v="168678"/>
    <d v="2024-02-19T00:00:00"/>
    <x v="2"/>
    <s v="Scikit-learn"/>
    <m/>
    <m/>
    <x v="20"/>
    <n v="111"/>
    <x v="7"/>
    <n v="255"/>
  </r>
  <r>
    <n v="882"/>
    <s v="Garcia Inc"/>
    <x v="4"/>
    <x v="5"/>
    <s v="NumPy"/>
    <s v=" Pandas"/>
    <s v=" CUDA"/>
    <s v=" AWS"/>
    <m/>
    <n v="75497"/>
    <m/>
    <s v="Mid"/>
    <x v="2"/>
    <s v="West Sonya"/>
    <s v=" GN"/>
    <n v="49767"/>
    <n v="101227"/>
    <d v="2025-03-20T00:00:00"/>
    <x v="2"/>
    <s v="BigQuery"/>
    <m/>
    <m/>
    <x v="0"/>
    <n v="104"/>
    <x v="3"/>
    <n v="238"/>
  </r>
  <r>
    <n v="883"/>
    <s v="Bennett Inc"/>
    <x v="2"/>
    <x v="4"/>
    <s v="Azure"/>
    <s v=" LangChain"/>
    <s v=" GCP"/>
    <s v=" AWS"/>
    <s v=" Flask"/>
    <n v="188178.5"/>
    <m/>
    <s v="Senior"/>
    <x v="2"/>
    <s v="Wrightville"/>
    <s v=" IT"/>
    <n v="146173"/>
    <n v="230184"/>
    <d v="2024-05-25T00:00:00"/>
    <x v="0"/>
    <s v="MLflow"/>
    <m/>
    <m/>
    <x v="15"/>
    <n v="90"/>
    <x v="6"/>
    <n v="259"/>
  </r>
  <r>
    <n v="884"/>
    <s v="Brown-Jones"/>
    <x v="1"/>
    <x v="3"/>
    <s v="Keras"/>
    <s v=" SQL"/>
    <s v=" Reinforcement Learning"/>
    <s v=" Scikit-learn"/>
    <s v=" GCP"/>
    <n v="135885.5"/>
    <m/>
    <s v="Entry"/>
    <x v="3"/>
    <s v="Johnsonside"/>
    <s v=" BG"/>
    <n v="88607"/>
    <n v="183164"/>
    <d v="2025-02-21T00:00:00"/>
    <x v="0"/>
    <s v="LangChain"/>
    <m/>
    <m/>
    <x v="7"/>
    <n v="96"/>
    <x v="4"/>
    <n v="268"/>
  </r>
  <r>
    <n v="885"/>
    <s v="Irwin, Flores and Fowler"/>
    <x v="6"/>
    <x v="3"/>
    <s v="MLflow"/>
    <s v=" NumPy"/>
    <s v=" Flask"/>
    <s v=" FastAPI"/>
    <s v=" Hugging Face"/>
    <n v="162662"/>
    <s v=" PyTorch"/>
    <s v="Senior"/>
    <x v="2"/>
    <s v="North Virginia"/>
    <s v=" UZ"/>
    <n v="147037"/>
    <n v="178287"/>
    <d v="2025-02-14T00:00:00"/>
    <x v="2"/>
    <s v="Scikit-learn"/>
    <s v=" LangChain"/>
    <s v=" BigQuery"/>
    <x v="3"/>
    <n v="80"/>
    <x v="7"/>
    <n v="255"/>
  </r>
  <r>
    <n v="886"/>
    <s v="Olsen, Turner and Carpenter"/>
    <x v="1"/>
    <x v="4"/>
    <s v="Excel"/>
    <s v=" R"/>
    <s v=" Hugging Face"/>
    <m/>
    <m/>
    <n v="120627"/>
    <m/>
    <s v="Senior"/>
    <x v="0"/>
    <s v="East Michael"/>
    <s v=" CH"/>
    <n v="71180"/>
    <n v="170074"/>
    <d v="2024-02-10T00:00:00"/>
    <x v="1"/>
    <s v="Scikit-learn"/>
    <m/>
    <m/>
    <x v="2"/>
    <n v="101"/>
    <x v="7"/>
    <n v="255"/>
  </r>
  <r>
    <n v="887"/>
    <s v="Gray-Simmons"/>
    <x v="5"/>
    <x v="7"/>
    <s v="NumPy"/>
    <s v=" PyTorch"/>
    <s v=" C++"/>
    <s v=" R"/>
    <s v=" Azure"/>
    <n v="160403"/>
    <m/>
    <s v="Entry"/>
    <x v="2"/>
    <s v="South Mark"/>
    <s v=" MK"/>
    <n v="130422"/>
    <n v="190384"/>
    <d v="2024-02-02T00:00:00"/>
    <x v="0"/>
    <s v="BigQuery"/>
    <s v=" PyTorch"/>
    <m/>
    <x v="0"/>
    <n v="104"/>
    <x v="3"/>
    <n v="238"/>
  </r>
  <r>
    <n v="888"/>
    <s v="Garcia-Obrien"/>
    <x v="6"/>
    <x v="7"/>
    <s v="Excel"/>
    <s v=" Keras"/>
    <s v=" GCP"/>
    <s v=" FastAPI"/>
    <s v=" Pandas"/>
    <n v="78742.5"/>
    <s v=" NumPy"/>
    <s v="Mid"/>
    <x v="1"/>
    <s v="Kimberlychester"/>
    <s v=" BI"/>
    <n v="50046"/>
    <n v="107439"/>
    <d v="2025-06-08T00:00:00"/>
    <x v="2"/>
    <s v="BigQuery"/>
    <s v=" Scikit-learn"/>
    <m/>
    <x v="2"/>
    <n v="101"/>
    <x v="3"/>
    <n v="238"/>
  </r>
  <r>
    <n v="889"/>
    <s v="Travis-Murphy"/>
    <x v="2"/>
    <x v="1"/>
    <s v="NumPy"/>
    <s v=" Hugging Face"/>
    <s v=" Python"/>
    <m/>
    <m/>
    <n v="112013"/>
    <m/>
    <s v="Entry"/>
    <x v="0"/>
    <s v="North Dennisview"/>
    <s v=" CU"/>
    <n v="77419"/>
    <n v="146607"/>
    <d v="2025-06-20T00:00:00"/>
    <x v="1"/>
    <s v="MLflow"/>
    <s v=" Scikit-learn"/>
    <m/>
    <x v="0"/>
    <n v="104"/>
    <x v="6"/>
    <n v="259"/>
  </r>
  <r>
    <n v="890"/>
    <s v="Perez Inc"/>
    <x v="0"/>
    <x v="6"/>
    <s v="Azure"/>
    <s v=" GCP"/>
    <s v=" Hugging Face"/>
    <m/>
    <m/>
    <n v="131722"/>
    <m/>
    <s v="Entry"/>
    <x v="0"/>
    <s v="Nicolastown"/>
    <s v=" SG"/>
    <n v="111527"/>
    <n v="151917"/>
    <d v="2023-10-12T00:00:00"/>
    <x v="1"/>
    <s v="LangChain"/>
    <m/>
    <m/>
    <x v="15"/>
    <n v="90"/>
    <x v="4"/>
    <n v="268"/>
  </r>
  <r>
    <n v="891"/>
    <s v="Owen-Lopez"/>
    <x v="5"/>
    <x v="5"/>
    <s v="Python"/>
    <s v=" FastAPI"/>
    <s v=" Pandas"/>
    <s v=" LangChain"/>
    <s v=" Hugging Face"/>
    <n v="79422"/>
    <s v=" Power BI"/>
    <s v="Mid"/>
    <x v="1"/>
    <s v="Walkerton"/>
    <s v=" UG"/>
    <n v="70421"/>
    <n v="88423"/>
    <d v="2025-04-22T00:00:00"/>
    <x v="2"/>
    <s v="FastAPI"/>
    <m/>
    <m/>
    <x v="5"/>
    <n v="94"/>
    <x v="1"/>
    <n v="251"/>
  </r>
  <r>
    <n v="892"/>
    <s v="Ashley, Owens and Garcia"/>
    <x v="4"/>
    <x v="3"/>
    <s v="FastAPI"/>
    <s v=" LangChain"/>
    <s v=" Hugging Face"/>
    <s v=" AWS"/>
    <s v=" Keras"/>
    <n v="87395.5"/>
    <m/>
    <s v="Entry"/>
    <x v="3"/>
    <s v="Lake Davidport"/>
    <s v=" PG"/>
    <n v="55816"/>
    <n v="118975"/>
    <d v="2025-06-12T00:00:00"/>
    <x v="0"/>
    <s v="BigQuery"/>
    <m/>
    <m/>
    <x v="20"/>
    <n v="111"/>
    <x v="3"/>
    <n v="238"/>
  </r>
  <r>
    <n v="893"/>
    <s v="Miranda Group"/>
    <x v="6"/>
    <x v="6"/>
    <s v="Excel"/>
    <s v=" R"/>
    <s v=" NumPy"/>
    <s v=" SQL"/>
    <m/>
    <n v="117604"/>
    <m/>
    <s v="Entry"/>
    <x v="3"/>
    <s v="Lake Sarahmouth"/>
    <s v=" BI"/>
    <n v="105588"/>
    <n v="129620"/>
    <d v="2025-01-05T00:00:00"/>
    <x v="2"/>
    <s v="Scikit-learn"/>
    <m/>
    <m/>
    <x v="2"/>
    <n v="101"/>
    <x v="7"/>
    <n v="255"/>
  </r>
  <r>
    <n v="894"/>
    <s v="Carter Inc"/>
    <x v="4"/>
    <x v="4"/>
    <s v="NumPy"/>
    <s v=" PyTorch"/>
    <s v=" Excel"/>
    <s v=" Python"/>
    <s v=" Scikit-learn"/>
    <n v="93868.5"/>
    <m/>
    <s v="Entry"/>
    <x v="1"/>
    <s v="Rosemouth"/>
    <s v=" LU"/>
    <n v="46417"/>
    <n v="141320"/>
    <d v="2025-01-13T00:00:00"/>
    <x v="2"/>
    <s v="MLflow"/>
    <s v=" TensorFlow"/>
    <s v=" PyTorch"/>
    <x v="0"/>
    <n v="104"/>
    <x v="6"/>
    <n v="259"/>
  </r>
  <r>
    <n v="895"/>
    <s v="Norton Ltd"/>
    <x v="5"/>
    <x v="1"/>
    <s v="SQL"/>
    <s v=" AWS"/>
    <s v=" PyTorch"/>
    <s v=" Scikit-learn"/>
    <m/>
    <n v="85885.5"/>
    <m/>
    <s v="Mid"/>
    <x v="3"/>
    <s v="Crystaltown"/>
    <s v=" TL"/>
    <n v="63705"/>
    <n v="108066"/>
    <d v="2025-04-21T00:00:00"/>
    <x v="2"/>
    <s v="KDB+"/>
    <s v=" LangChain"/>
    <s v=" BigQuery"/>
    <x v="17"/>
    <n v="88"/>
    <x v="0"/>
    <n v="247"/>
  </r>
  <r>
    <n v="896"/>
    <s v="Hernandez-Guerrero"/>
    <x v="1"/>
    <x v="7"/>
    <s v="AWS"/>
    <s v=" Flask"/>
    <s v=" NumPy"/>
    <m/>
    <m/>
    <n v="173848"/>
    <m/>
    <s v="Senior"/>
    <x v="2"/>
    <s v="Joshuamouth"/>
    <s v=" GQ"/>
    <n v="144068"/>
    <n v="203628"/>
    <d v="2025-04-08T00:00:00"/>
    <x v="1"/>
    <s v="Scikit-learn"/>
    <m/>
    <m/>
    <x v="10"/>
    <n v="97"/>
    <x v="7"/>
    <n v="255"/>
  </r>
  <r>
    <n v="897"/>
    <s v="Harris, Braun and Patton"/>
    <x v="1"/>
    <x v="4"/>
    <s v="FastAPI"/>
    <s v=" PyTorch"/>
    <s v=" SQL"/>
    <s v=" Reinforcement Learning"/>
    <s v=" Power BI"/>
    <n v="141053"/>
    <s v=" TensorFlow"/>
    <s v="Senior"/>
    <x v="1"/>
    <s v="Port Stacyberg"/>
    <s v=" MC"/>
    <n v="112549"/>
    <n v="169557"/>
    <d v="2024-03-04T00:00:00"/>
    <x v="1"/>
    <s v="BigQuery"/>
    <s v=" KDB+"/>
    <s v=" TensorFlow"/>
    <x v="20"/>
    <n v="111"/>
    <x v="3"/>
    <n v="238"/>
  </r>
  <r>
    <n v="898"/>
    <s v="Tate-Snow"/>
    <x v="0"/>
    <x v="4"/>
    <s v="TensorFlow"/>
    <s v=" FastAPI"/>
    <s v=" SQL"/>
    <s v=" Keras"/>
    <m/>
    <n v="179275"/>
    <m/>
    <s v="Senior"/>
    <x v="1"/>
    <s v="Port Katieborough"/>
    <s v=" TD"/>
    <n v="129815"/>
    <n v="228735"/>
    <d v="2024-04-12T00:00:00"/>
    <x v="1"/>
    <s v="KDB+"/>
    <m/>
    <m/>
    <x v="19"/>
    <n v="95"/>
    <x v="0"/>
    <n v="247"/>
  </r>
  <r>
    <n v="899"/>
    <s v="Conner-Jones"/>
    <x v="2"/>
    <x v="4"/>
    <s v="LangChain"/>
    <s v=" Reinforcement Learning"/>
    <s v=" SQL"/>
    <s v=" Flask"/>
    <m/>
    <n v="159799"/>
    <m/>
    <s v="Entry"/>
    <x v="3"/>
    <s v="Jasonmouth"/>
    <s v=" MX"/>
    <n v="119581"/>
    <n v="200017"/>
    <d v="2025-08-14T00:00:00"/>
    <x v="2"/>
    <s v="FastAPI"/>
    <s v=" Scikit-learn"/>
    <m/>
    <x v="12"/>
    <n v="100"/>
    <x v="1"/>
    <n v="251"/>
  </r>
  <r>
    <n v="900"/>
    <s v="Douglas-Ferguson"/>
    <x v="6"/>
    <x v="6"/>
    <s v="Python"/>
    <s v=" MLflow"/>
    <s v=" CUDA"/>
    <s v=" Excel"/>
    <s v=" C++"/>
    <n v="159086.5"/>
    <m/>
    <s v="Entry"/>
    <x v="0"/>
    <s v="Phillipsville"/>
    <s v=" MN"/>
    <n v="140552"/>
    <n v="177621"/>
    <d v="2025-07-03T00:00:00"/>
    <x v="0"/>
    <s v="FastAPI"/>
    <s v=" BigQuery"/>
    <m/>
    <x v="5"/>
    <n v="94"/>
    <x v="1"/>
    <n v="251"/>
  </r>
  <r>
    <n v="901"/>
    <s v="Garcia, Moore and Fox"/>
    <x v="5"/>
    <x v="5"/>
    <s v="Azure"/>
    <s v=" FastAPI"/>
    <s v=" Keras"/>
    <s v=" SQL"/>
    <m/>
    <n v="139896"/>
    <m/>
    <s v="Mid"/>
    <x v="2"/>
    <s v="Craigmouth"/>
    <s v=" VN"/>
    <n v="115594"/>
    <n v="164198"/>
    <d v="2024-07-28T00:00:00"/>
    <x v="2"/>
    <s v="TensorFlow"/>
    <s v=" MLflow"/>
    <m/>
    <x v="15"/>
    <n v="90"/>
    <x v="2"/>
    <n v="249"/>
  </r>
  <r>
    <n v="902"/>
    <s v="Cooper-Bruce"/>
    <x v="4"/>
    <x v="2"/>
    <s v="Hugging Face"/>
    <s v=" SQL"/>
    <s v=" MLflow"/>
    <s v=" Scikit-learn"/>
    <s v=" Power BI"/>
    <n v="100803.5"/>
    <m/>
    <s v="Entry"/>
    <x v="2"/>
    <s v="Andrewborough"/>
    <s v=" MW"/>
    <n v="79445"/>
    <n v="122162"/>
    <d v="2024-07-24T00:00:00"/>
    <x v="2"/>
    <s v="BigQuery"/>
    <m/>
    <m/>
    <x v="9"/>
    <n v="89"/>
    <x v="3"/>
    <n v="238"/>
  </r>
  <r>
    <n v="903"/>
    <s v="Mcintyre-Wagner"/>
    <x v="6"/>
    <x v="3"/>
    <s v="Flask"/>
    <s v=" Power BI"/>
    <s v=" GCP"/>
    <s v=" FastAPI"/>
    <s v=" Hugging Face"/>
    <n v="132178"/>
    <s v=" AWS"/>
    <s v="Entry"/>
    <x v="2"/>
    <s v="West Karamouth"/>
    <s v=" CY"/>
    <n v="112049"/>
    <n v="152307"/>
    <d v="2025-02-02T00:00:00"/>
    <x v="0"/>
    <s v="Scikit-learn"/>
    <s v=" FastAPI"/>
    <s v=" LangChain"/>
    <x v="16"/>
    <n v="86"/>
    <x v="7"/>
    <n v="255"/>
  </r>
  <r>
    <n v="904"/>
    <s v="Jones-George"/>
    <x v="1"/>
    <x v="3"/>
    <s v="PyTorch"/>
    <s v=" TensorFlow"/>
    <s v=" FastAPI"/>
    <s v=" C++"/>
    <s v=" SQL"/>
    <n v="166285.5"/>
    <s v=" GCP"/>
    <s v="Senior"/>
    <x v="3"/>
    <s v="South Kayla"/>
    <s v=" ME"/>
    <n v="142574"/>
    <n v="189997"/>
    <d v="2024-06-14T00:00:00"/>
    <x v="1"/>
    <s v="Scikit-learn"/>
    <m/>
    <m/>
    <x v="14"/>
    <n v="92"/>
    <x v="7"/>
    <n v="255"/>
  </r>
  <r>
    <n v="905"/>
    <s v="Tapia Group"/>
    <x v="6"/>
    <x v="0"/>
    <s v="Flask"/>
    <s v=" R"/>
    <s v=" TensorFlow"/>
    <s v=" Hugging Face"/>
    <s v=" PyTorch"/>
    <n v="145302"/>
    <m/>
    <s v="Entry"/>
    <x v="3"/>
    <s v="West Stuart"/>
    <s v=" AU"/>
    <n v="104565"/>
    <n v="186039"/>
    <d v="2025-08-08T00:00:00"/>
    <x v="0"/>
    <s v="LangChain"/>
    <s v=" BigQuery"/>
    <s v=" KDB+"/>
    <x v="16"/>
    <n v="86"/>
    <x v="4"/>
    <n v="268"/>
  </r>
  <r>
    <n v="906"/>
    <s v="Carpenter Group"/>
    <x v="0"/>
    <x v="4"/>
    <s v="MLflow"/>
    <s v=" CUDA"/>
    <s v=" GCP"/>
    <m/>
    <m/>
    <n v="101987"/>
    <m/>
    <s v="Mid"/>
    <x v="1"/>
    <s v="Gonzalezville"/>
    <s v=" HR"/>
    <n v="90596"/>
    <n v="113378"/>
    <d v="2023-12-11T00:00:00"/>
    <x v="0"/>
    <s v="LangChain"/>
    <s v=" PyTorch"/>
    <s v=" MLflow"/>
    <x v="3"/>
    <n v="80"/>
    <x v="4"/>
    <n v="268"/>
  </r>
  <r>
    <n v="907"/>
    <s v="Deleon-Lyons"/>
    <x v="4"/>
    <x v="6"/>
    <s v="LangChain"/>
    <s v=" Power BI"/>
    <s v=" PyTorch"/>
    <s v=" Pandas"/>
    <m/>
    <n v="110120"/>
    <m/>
    <s v="Entry"/>
    <x v="2"/>
    <s v="Josefurt"/>
    <s v=" TO"/>
    <n v="84913"/>
    <n v="135327"/>
    <d v="2024-10-20T00:00:00"/>
    <x v="2"/>
    <s v="PyTorch"/>
    <m/>
    <m/>
    <x v="12"/>
    <n v="100"/>
    <x v="5"/>
    <n v="233"/>
  </r>
  <r>
    <n v="908"/>
    <s v="Petersen-Fuentes"/>
    <x v="6"/>
    <x v="2"/>
    <s v="CUDA"/>
    <s v=" LangChain"/>
    <s v=" PyTorch"/>
    <m/>
    <m/>
    <n v="132804"/>
    <m/>
    <s v="Senior"/>
    <x v="1"/>
    <s v="West Curtiston"/>
    <s v=" AF"/>
    <n v="99425"/>
    <n v="166183"/>
    <d v="2024-11-28T00:00:00"/>
    <x v="0"/>
    <s v="MLflow"/>
    <m/>
    <m/>
    <x v="13"/>
    <n v="75"/>
    <x v="6"/>
    <n v="259"/>
  </r>
  <r>
    <n v="909"/>
    <s v="Bryant PLC"/>
    <x v="4"/>
    <x v="1"/>
    <s v="TensorFlow"/>
    <s v=" CUDA"/>
    <s v=" Pandas"/>
    <s v=" Hugging Face"/>
    <s v=" PyTorch"/>
    <n v="147760.5"/>
    <s v=" MLflow"/>
    <s v="Senior"/>
    <x v="1"/>
    <s v="Austinville"/>
    <s v=" MR"/>
    <n v="128680"/>
    <n v="166841"/>
    <d v="2023-10-21T00:00:00"/>
    <x v="0"/>
    <s v="KDB+"/>
    <m/>
    <m/>
    <x v="19"/>
    <n v="95"/>
    <x v="0"/>
    <n v="247"/>
  </r>
  <r>
    <n v="910"/>
    <s v="Long, Harrington and Bryant"/>
    <x v="2"/>
    <x v="6"/>
    <s v="GCP"/>
    <s v=" Pandas"/>
    <s v=" R"/>
    <s v=" Excel"/>
    <s v=" Azure"/>
    <n v="133436"/>
    <s v=" PyTorch"/>
    <s v="Mid"/>
    <x v="1"/>
    <s v="Lake Megan"/>
    <s v=" MN"/>
    <n v="96520"/>
    <n v="170352"/>
    <d v="2023-10-03T00:00:00"/>
    <x v="2"/>
    <s v="PyTorch"/>
    <s v=" FastAPI"/>
    <s v=" LangChain"/>
    <x v="4"/>
    <n v="78"/>
    <x v="5"/>
    <n v="233"/>
  </r>
  <r>
    <n v="911"/>
    <s v="Vaughn and Sons"/>
    <x v="4"/>
    <x v="5"/>
    <s v="GCP"/>
    <s v=" CUDA"/>
    <s v=" NumPy"/>
    <m/>
    <m/>
    <n v="152999.5"/>
    <m/>
    <s v="Senior"/>
    <x v="2"/>
    <s v="South Samanthabury"/>
    <s v=" AR"/>
    <n v="120985"/>
    <n v="185014"/>
    <d v="2023-11-10T00:00:00"/>
    <x v="2"/>
    <s v="LangChain"/>
    <s v=" Scikit-learn"/>
    <m/>
    <x v="4"/>
    <n v="78"/>
    <x v="4"/>
    <n v="268"/>
  </r>
  <r>
    <n v="912"/>
    <s v="Johnson, Yates and Lee"/>
    <x v="1"/>
    <x v="3"/>
    <s v="LangChain"/>
    <s v=" Excel"/>
    <s v=" Hugging Face"/>
    <m/>
    <m/>
    <n v="84021"/>
    <m/>
    <s v="Senior"/>
    <x v="1"/>
    <s v="Maryview"/>
    <s v=" MW"/>
    <n v="46096"/>
    <n v="121946"/>
    <d v="2024-08-29T00:00:00"/>
    <x v="0"/>
    <s v="KDB+"/>
    <m/>
    <m/>
    <x v="12"/>
    <n v="100"/>
    <x v="0"/>
    <n v="247"/>
  </r>
  <r>
    <n v="913"/>
    <s v="Esparza-Chen"/>
    <x v="3"/>
    <x v="2"/>
    <s v="AWS"/>
    <s v=" Excel"/>
    <s v=" Keras"/>
    <s v=" Scikit-learn"/>
    <m/>
    <n v="67704"/>
    <m/>
    <s v="Senior"/>
    <x v="2"/>
    <s v="Robertsport"/>
    <s v=" SC"/>
    <n v="49743"/>
    <n v="85665"/>
    <d v="2025-09-01T00:00:00"/>
    <x v="1"/>
    <s v="TensorFlow"/>
    <m/>
    <m/>
    <x v="10"/>
    <n v="97"/>
    <x v="2"/>
    <n v="249"/>
  </r>
  <r>
    <n v="914"/>
    <s v="Hall-Lynn"/>
    <x v="6"/>
    <x v="3"/>
    <s v="Flask"/>
    <s v=" MLflow"/>
    <s v=" NumPy"/>
    <s v=" Scikit-learn"/>
    <s v=" CUDA"/>
    <n v="71813.5"/>
    <m/>
    <s v="Entry"/>
    <x v="3"/>
    <s v="New Kimberlyland"/>
    <s v=" ZA"/>
    <n v="60561"/>
    <n v="83066"/>
    <d v="2025-07-10T00:00:00"/>
    <x v="1"/>
    <s v="BigQuery"/>
    <m/>
    <m/>
    <x v="16"/>
    <n v="86"/>
    <x v="3"/>
    <n v="238"/>
  </r>
  <r>
    <n v="915"/>
    <s v="Gutierrez-Flores"/>
    <x v="5"/>
    <x v="3"/>
    <s v="NumPy"/>
    <s v=" Keras"/>
    <s v=" AWS"/>
    <s v=" Python"/>
    <s v=" LangChain"/>
    <n v="159928.5"/>
    <s v=" MLflow"/>
    <s v="Mid"/>
    <x v="2"/>
    <s v="Crawfordtown"/>
    <s v=" PY"/>
    <n v="123480"/>
    <n v="196377"/>
    <d v="2023-10-22T00:00:00"/>
    <x v="1"/>
    <s v="BigQuery"/>
    <s v=" LangChain"/>
    <s v=" Scikit-learn"/>
    <x v="0"/>
    <n v="104"/>
    <x v="3"/>
    <n v="238"/>
  </r>
  <r>
    <n v="916"/>
    <s v="Stanley-Stone"/>
    <x v="4"/>
    <x v="7"/>
    <s v="Flask"/>
    <s v=" LangChain"/>
    <s v=" MLflow"/>
    <m/>
    <m/>
    <n v="55611"/>
    <m/>
    <s v="Entry"/>
    <x v="3"/>
    <s v="Silvafort"/>
    <s v=" MZ"/>
    <n v="49134"/>
    <n v="62088"/>
    <d v="2024-02-27T00:00:00"/>
    <x v="0"/>
    <s v="LangChain"/>
    <s v=" MLflow"/>
    <m/>
    <x v="16"/>
    <n v="86"/>
    <x v="4"/>
    <n v="268"/>
  </r>
  <r>
    <n v="917"/>
    <s v="Jones, Allen and Horton"/>
    <x v="2"/>
    <x v="7"/>
    <s v="TensorFlow"/>
    <s v=" Pandas"/>
    <s v=" Keras"/>
    <s v=" R"/>
    <m/>
    <n v="173148"/>
    <m/>
    <s v="Entry"/>
    <x v="0"/>
    <s v="New Stevenfurt"/>
    <s v=" JO"/>
    <n v="146383"/>
    <n v="199913"/>
    <d v="2023-12-10T00:00:00"/>
    <x v="2"/>
    <s v="PyTorch"/>
    <m/>
    <m/>
    <x v="19"/>
    <n v="95"/>
    <x v="5"/>
    <n v="233"/>
  </r>
  <r>
    <n v="918"/>
    <s v="White-Everett"/>
    <x v="3"/>
    <x v="4"/>
    <s v="LangChain"/>
    <s v=" Keras"/>
    <s v=" SQL"/>
    <s v=" FastAPI"/>
    <s v=" Azure"/>
    <n v="54884.5"/>
    <m/>
    <s v="Entry"/>
    <x v="1"/>
    <s v="Tracyborough"/>
    <s v=" EG"/>
    <n v="44419"/>
    <n v="65350"/>
    <d v="2023-12-12T00:00:00"/>
    <x v="2"/>
    <s v="FastAPI"/>
    <m/>
    <m/>
    <x v="12"/>
    <n v="100"/>
    <x v="1"/>
    <n v="251"/>
  </r>
  <r>
    <n v="919"/>
    <s v="Mayo-Mullins"/>
    <x v="5"/>
    <x v="2"/>
    <s v="SQL"/>
    <s v=" Pandas"/>
    <s v=" FastAPI"/>
    <s v=" C++"/>
    <s v=" Keras"/>
    <n v="54915"/>
    <s v=" Python"/>
    <s v="Senior"/>
    <x v="1"/>
    <s v="Lake Michaelberg"/>
    <s v=" VC"/>
    <n v="48848"/>
    <n v="60982"/>
    <d v="2024-05-05T00:00:00"/>
    <x v="2"/>
    <s v="MLflow"/>
    <s v=" Scikit-learn"/>
    <s v=" LangChain"/>
    <x v="17"/>
    <n v="88"/>
    <x v="6"/>
    <n v="259"/>
  </r>
  <r>
    <n v="920"/>
    <s v="Wiggins and Sons"/>
    <x v="0"/>
    <x v="1"/>
    <s v="LangChain"/>
    <s v=" Power BI"/>
    <s v=" MLflow"/>
    <m/>
    <m/>
    <n v="140741.5"/>
    <m/>
    <s v="Mid"/>
    <x v="0"/>
    <s v="Yvettefort"/>
    <s v=" AT"/>
    <n v="93385"/>
    <n v="188098"/>
    <d v="2025-07-05T00:00:00"/>
    <x v="2"/>
    <s v="LangChain"/>
    <s v=" BigQuery"/>
    <m/>
    <x v="12"/>
    <n v="100"/>
    <x v="4"/>
    <n v="268"/>
  </r>
  <r>
    <n v="921"/>
    <s v="Larson, Vasquez and Bishop"/>
    <x v="2"/>
    <x v="2"/>
    <s v="AWS"/>
    <s v=" LangChain"/>
    <s v=" FastAPI"/>
    <s v=" C++"/>
    <s v=" Python"/>
    <n v="172099"/>
    <s v=" CUDA"/>
    <s v="Entry"/>
    <x v="0"/>
    <s v="East Lorifort"/>
    <s v=" JO"/>
    <n v="139966"/>
    <n v="204232"/>
    <d v="2024-10-22T00:00:00"/>
    <x v="2"/>
    <s v="PyTorch"/>
    <s v=" TensorFlow"/>
    <s v=" LangChain"/>
    <x v="10"/>
    <n v="97"/>
    <x v="5"/>
    <n v="233"/>
  </r>
  <r>
    <n v="922"/>
    <s v="Carter-Pittman"/>
    <x v="4"/>
    <x v="5"/>
    <s v="PyTorch"/>
    <s v=" C++"/>
    <s v=" CUDA"/>
    <s v=" MLflow"/>
    <s v=" R"/>
    <n v="142204"/>
    <s v=" NumPy"/>
    <s v="Senior"/>
    <x v="2"/>
    <s v="Baileyburgh"/>
    <s v=" MG"/>
    <n v="97543"/>
    <n v="186865"/>
    <d v="2025-05-20T00:00:00"/>
    <x v="0"/>
    <s v="MLflow"/>
    <s v=" FastAPI"/>
    <m/>
    <x v="14"/>
    <n v="92"/>
    <x v="6"/>
    <n v="259"/>
  </r>
  <r>
    <n v="923"/>
    <s v="Holmes-Sloan"/>
    <x v="6"/>
    <x v="3"/>
    <s v="Scikit-learn"/>
    <s v=" Keras"/>
    <s v=" Excel"/>
    <s v=" PyTorch"/>
    <m/>
    <n v="82400"/>
    <m/>
    <s v="Entry"/>
    <x v="0"/>
    <s v="Port Carmen"/>
    <s v=" SB"/>
    <n v="74682"/>
    <n v="90118"/>
    <d v="2025-04-04T00:00:00"/>
    <x v="2"/>
    <s v="KDB+"/>
    <s v=" BigQuery"/>
    <m/>
    <x v="1"/>
    <n v="76"/>
    <x v="0"/>
    <n v="247"/>
  </r>
  <r>
    <n v="924"/>
    <s v="Stevens, Smith and Mendez"/>
    <x v="6"/>
    <x v="2"/>
    <s v="Azure"/>
    <s v=" Power BI"/>
    <s v=" GCP"/>
    <s v=" LangChain"/>
    <m/>
    <n v="98893.5"/>
    <m/>
    <s v="Entry"/>
    <x v="1"/>
    <s v="Perkinstown"/>
    <s v=" TN"/>
    <n v="48904"/>
    <n v="148883"/>
    <d v="2024-04-20T00:00:00"/>
    <x v="0"/>
    <s v="TensorFlow"/>
    <s v=" LangChain"/>
    <s v=" PyTorch"/>
    <x v="15"/>
    <n v="90"/>
    <x v="2"/>
    <n v="249"/>
  </r>
  <r>
    <n v="925"/>
    <s v="Pope Inc"/>
    <x v="3"/>
    <x v="6"/>
    <s v="Reinforcement Learning"/>
    <s v=" TensorFlow"/>
    <s v=" Pandas"/>
    <s v=" FastAPI"/>
    <m/>
    <n v="100078.5"/>
    <m/>
    <s v="Senior"/>
    <x v="0"/>
    <s v="Pattonton"/>
    <s v=" KZ"/>
    <n v="77036"/>
    <n v="123121"/>
    <d v="2024-01-28T00:00:00"/>
    <x v="1"/>
    <s v="Scikit-learn"/>
    <s v=" BigQuery"/>
    <s v=" FastAPI"/>
    <x v="21"/>
    <n v="104"/>
    <x v="7"/>
    <n v="255"/>
  </r>
  <r>
    <n v="926"/>
    <s v="Davis, Brown and Burke"/>
    <x v="4"/>
    <x v="1"/>
    <s v="Excel"/>
    <s v=" Scikit-learn"/>
    <s v=" GCP"/>
    <m/>
    <m/>
    <n v="139992"/>
    <m/>
    <s v="Entry"/>
    <x v="2"/>
    <s v="South Nathanielville"/>
    <s v=" PG"/>
    <n v="99727"/>
    <n v="180257"/>
    <d v="2023-12-23T00:00:00"/>
    <x v="0"/>
    <s v="BigQuery"/>
    <m/>
    <m/>
    <x v="2"/>
    <n v="101"/>
    <x v="3"/>
    <n v="238"/>
  </r>
  <r>
    <n v="927"/>
    <s v="Evans-Scott"/>
    <x v="6"/>
    <x v="1"/>
    <s v="MLflow"/>
    <s v=" Pandas"/>
    <s v=" Scikit-learn"/>
    <s v=" AWS"/>
    <s v=" Flask"/>
    <n v="122933"/>
    <s v=" FastAPI"/>
    <s v="Senior"/>
    <x v="0"/>
    <s v="Pearsonberg"/>
    <s v=" TN"/>
    <n v="100434"/>
    <n v="145432"/>
    <d v="2024-01-06T00:00:00"/>
    <x v="1"/>
    <s v="LangChain"/>
    <m/>
    <m/>
    <x v="3"/>
    <n v="80"/>
    <x v="4"/>
    <n v="268"/>
  </r>
  <r>
    <n v="928"/>
    <s v="Owen Ltd"/>
    <x v="2"/>
    <x v="0"/>
    <s v="AWS"/>
    <s v=" FastAPI"/>
    <s v=" R"/>
    <s v=" C++"/>
    <s v=" Python"/>
    <n v="118949"/>
    <s v=" Reinforcement Learning"/>
    <s v="Senior"/>
    <x v="0"/>
    <s v="Sherriside"/>
    <s v=" SN"/>
    <n v="113410"/>
    <n v="124488"/>
    <d v="2024-06-05T00:00:00"/>
    <x v="1"/>
    <s v="LangChain"/>
    <s v=" MLflow"/>
    <m/>
    <x v="10"/>
    <n v="97"/>
    <x v="4"/>
    <n v="268"/>
  </r>
  <r>
    <n v="929"/>
    <s v="Lynn, Davenport and Gonzales"/>
    <x v="4"/>
    <x v="0"/>
    <s v="NumPy"/>
    <s v=" Scikit-learn"/>
    <s v=" FastAPI"/>
    <s v=" Power BI"/>
    <s v=" Pandas"/>
    <n v="185232.5"/>
    <m/>
    <s v="Entry"/>
    <x v="3"/>
    <s v="South Ryan"/>
    <s v=" IQ"/>
    <n v="145218"/>
    <n v="225247"/>
    <d v="2024-05-08T00:00:00"/>
    <x v="1"/>
    <s v="PyTorch"/>
    <m/>
    <m/>
    <x v="0"/>
    <n v="104"/>
    <x v="5"/>
    <n v="233"/>
  </r>
  <r>
    <n v="930"/>
    <s v="Colon Ltd"/>
    <x v="6"/>
    <x v="3"/>
    <s v="Keras"/>
    <s v=" C++"/>
    <s v=" LangChain"/>
    <s v=" AWS"/>
    <s v=" Python"/>
    <n v="109410"/>
    <s v=" GCP"/>
    <s v="Mid"/>
    <x v="1"/>
    <s v="Angelamouth"/>
    <s v=" IQ"/>
    <n v="99985"/>
    <n v="118835"/>
    <d v="2023-10-03T00:00:00"/>
    <x v="0"/>
    <s v="KDB+"/>
    <m/>
    <m/>
    <x v="7"/>
    <n v="96"/>
    <x v="0"/>
    <n v="247"/>
  </r>
  <r>
    <n v="931"/>
    <s v="Barnett-Boyer"/>
    <x v="2"/>
    <x v="5"/>
    <s v="Hugging Face"/>
    <s v=" Pandas"/>
    <s v=" Reinforcement Learning"/>
    <s v=" C++"/>
    <s v=" FastAPI"/>
    <n v="89950.5"/>
    <m/>
    <s v="Entry"/>
    <x v="0"/>
    <s v="Lake Michelle"/>
    <s v=" MW"/>
    <n v="56177"/>
    <n v="123724"/>
    <d v="2025-06-02T00:00:00"/>
    <x v="2"/>
    <s v="LangChain"/>
    <s v=" MLflow"/>
    <s v=" Scikit-learn"/>
    <x v="9"/>
    <n v="89"/>
    <x v="4"/>
    <n v="268"/>
  </r>
  <r>
    <n v="932"/>
    <s v="Sanchez Inc"/>
    <x v="1"/>
    <x v="2"/>
    <s v="LangChain"/>
    <s v=" AWS"/>
    <s v=" Reinforcement Learning"/>
    <s v=" Hugging Face"/>
    <s v=" FastAPI"/>
    <n v="179145.5"/>
    <m/>
    <s v="Entry"/>
    <x v="0"/>
    <s v="Trevorhaven"/>
    <s v=" BZ"/>
    <n v="133484"/>
    <n v="224807"/>
    <d v="2024-09-26T00:00:00"/>
    <x v="0"/>
    <s v="PyTorch"/>
    <s v=" Scikit-learn"/>
    <m/>
    <x v="12"/>
    <n v="100"/>
    <x v="5"/>
    <n v="233"/>
  </r>
  <r>
    <n v="933"/>
    <s v="Anderson, Ortiz and Stanley"/>
    <x v="4"/>
    <x v="0"/>
    <s v="Azure"/>
    <s v=" AWS"/>
    <s v=" Reinforcement Learning"/>
    <m/>
    <m/>
    <n v="165785"/>
    <m/>
    <s v="Senior"/>
    <x v="3"/>
    <s v="Lake Andre"/>
    <s v=" EG"/>
    <n v="144347"/>
    <n v="187223"/>
    <d v="2024-09-01T00:00:00"/>
    <x v="1"/>
    <s v="FastAPI"/>
    <m/>
    <m/>
    <x v="15"/>
    <n v="90"/>
    <x v="1"/>
    <n v="251"/>
  </r>
  <r>
    <n v="934"/>
    <s v="Parker PLC"/>
    <x v="2"/>
    <x v="6"/>
    <s v="MLflow"/>
    <s v=" Pandas"/>
    <s v=" Keras"/>
    <m/>
    <m/>
    <n v="102865.5"/>
    <m/>
    <s v="Mid"/>
    <x v="1"/>
    <s v="North Laurenmouth"/>
    <s v=" MM"/>
    <n v="83798"/>
    <n v="121933"/>
    <d v="2024-07-18T00:00:00"/>
    <x v="0"/>
    <s v="PyTorch"/>
    <m/>
    <m/>
    <x v="3"/>
    <n v="80"/>
    <x v="5"/>
    <n v="233"/>
  </r>
  <r>
    <n v="935"/>
    <s v="Hernandez-Taylor"/>
    <x v="5"/>
    <x v="1"/>
    <s v="PyTorch"/>
    <s v=" CUDA"/>
    <s v=" Azure"/>
    <s v=" Pandas"/>
    <s v=" Flask"/>
    <n v="151785.5"/>
    <m/>
    <s v="Senior"/>
    <x v="1"/>
    <s v="Shortburgh"/>
    <s v=" CR"/>
    <n v="143575"/>
    <n v="159996"/>
    <d v="2025-03-14T00:00:00"/>
    <x v="0"/>
    <s v="BigQuery"/>
    <m/>
    <m/>
    <x v="14"/>
    <n v="92"/>
    <x v="3"/>
    <n v="238"/>
  </r>
  <r>
    <n v="936"/>
    <s v="Cantu and Sons"/>
    <x v="6"/>
    <x v="4"/>
    <s v="TensorFlow"/>
    <s v=" FastAPI"/>
    <s v=" Excel"/>
    <s v=" GCP"/>
    <m/>
    <n v="133597"/>
    <m/>
    <s v="Senior"/>
    <x v="3"/>
    <s v="West Mary"/>
    <s v=" TJ"/>
    <n v="95811"/>
    <n v="171383"/>
    <d v="2025-01-31T00:00:00"/>
    <x v="2"/>
    <s v="Scikit-learn"/>
    <s v=" TensorFlow"/>
    <s v=" KDB+"/>
    <x v="19"/>
    <n v="95"/>
    <x v="7"/>
    <n v="255"/>
  </r>
  <r>
    <n v="937"/>
    <s v="Harrington, Clark and Carter"/>
    <x v="4"/>
    <x v="1"/>
    <s v="Azure"/>
    <s v=" R"/>
    <s v=" MLflow"/>
    <s v=" TensorFlow"/>
    <m/>
    <n v="110871.5"/>
    <m/>
    <s v="Entry"/>
    <x v="2"/>
    <s v="Warrenbury"/>
    <s v=" WS"/>
    <n v="103575"/>
    <n v="118168"/>
    <d v="2024-01-24T00:00:00"/>
    <x v="0"/>
    <s v="PyTorch"/>
    <m/>
    <m/>
    <x v="15"/>
    <n v="90"/>
    <x v="5"/>
    <n v="233"/>
  </r>
  <r>
    <n v="938"/>
    <s v="Hernandez, Myers and Ward"/>
    <x v="2"/>
    <x v="6"/>
    <s v="NumPy"/>
    <s v=" LangChain"/>
    <s v=" FastAPI"/>
    <s v=" Reinforcement Learning"/>
    <s v=" Flask"/>
    <n v="84044"/>
    <m/>
    <s v="Mid"/>
    <x v="0"/>
    <s v="Danielville"/>
    <s v=" NE"/>
    <n v="40745"/>
    <n v="127343"/>
    <d v="2025-06-15T00:00:00"/>
    <x v="2"/>
    <s v="BigQuery"/>
    <s v=" KDB+"/>
    <s v=" FastAPI"/>
    <x v="0"/>
    <n v="104"/>
    <x v="3"/>
    <n v="238"/>
  </r>
  <r>
    <n v="939"/>
    <s v="Price-Kelley"/>
    <x v="0"/>
    <x v="4"/>
    <s v="MLflow"/>
    <s v=" PyTorch"/>
    <s v=" NumPy"/>
    <s v=" TensorFlow"/>
    <m/>
    <n v="72275"/>
    <m/>
    <s v="Mid"/>
    <x v="3"/>
    <s v="Thomasfort"/>
    <s v=" HN"/>
    <n v="66473"/>
    <n v="78077"/>
    <d v="2023-10-11T00:00:00"/>
    <x v="0"/>
    <s v="MLflow"/>
    <s v=" TensorFlow"/>
    <m/>
    <x v="3"/>
    <n v="80"/>
    <x v="6"/>
    <n v="259"/>
  </r>
  <r>
    <n v="940"/>
    <s v="Lopez Group"/>
    <x v="1"/>
    <x v="6"/>
    <s v="NumPy"/>
    <s v=" TensorFlow"/>
    <s v=" Keras"/>
    <s v=" MLflow"/>
    <s v=" CUDA"/>
    <n v="138587"/>
    <s v=" C++"/>
    <s v="Senior"/>
    <x v="1"/>
    <s v="West Toddmouth"/>
    <s v=" VA"/>
    <n v="114324"/>
    <n v="162850"/>
    <d v="2025-05-04T00:00:00"/>
    <x v="0"/>
    <s v="LangChain"/>
    <s v=" BigQuery"/>
    <s v=" KDB+"/>
    <x v="0"/>
    <n v="104"/>
    <x v="4"/>
    <n v="268"/>
  </r>
  <r>
    <n v="941"/>
    <s v="Kidd LLC"/>
    <x v="6"/>
    <x v="2"/>
    <s v="CUDA"/>
    <s v=" PyTorch"/>
    <s v=" Reinforcement Learning"/>
    <s v=" NumPy"/>
    <s v=" AWS"/>
    <n v="107459"/>
    <m/>
    <s v="Senior"/>
    <x v="2"/>
    <s v="Jillport"/>
    <s v=" US"/>
    <n v="81604"/>
    <n v="133314"/>
    <d v="2024-11-02T00:00:00"/>
    <x v="0"/>
    <s v="TensorFlow"/>
    <s v=" Scikit-learn"/>
    <m/>
    <x v="13"/>
    <n v="75"/>
    <x v="2"/>
    <n v="249"/>
  </r>
  <r>
    <n v="942"/>
    <s v="Williams, Poole and Anderson"/>
    <x v="0"/>
    <x v="4"/>
    <s v="Power BI"/>
    <s v=" Azure"/>
    <s v=" Reinforcement Learning"/>
    <s v=" R"/>
    <m/>
    <n v="134476.5"/>
    <m/>
    <s v="Senior"/>
    <x v="1"/>
    <s v="North Paige"/>
    <s v=" BS"/>
    <n v="89096"/>
    <n v="179857"/>
    <d v="2024-09-09T00:00:00"/>
    <x v="1"/>
    <s v="MLflow"/>
    <s v=" KDB+"/>
    <s v=" FastAPI"/>
    <x v="18"/>
    <n v="96"/>
    <x v="6"/>
    <n v="259"/>
  </r>
  <r>
    <n v="943"/>
    <s v="Mcdowell-Davis"/>
    <x v="4"/>
    <x v="1"/>
    <s v="Python"/>
    <s v=" Reinforcement Learning"/>
    <s v=" PyTorch"/>
    <s v=" TensorFlow"/>
    <s v=" Pandas"/>
    <n v="71957"/>
    <s v=" Power BI"/>
    <s v="Mid"/>
    <x v="3"/>
    <s v="Lake Aliciaberg"/>
    <s v=" MC"/>
    <n v="56260"/>
    <n v="87654"/>
    <d v="2023-11-06T00:00:00"/>
    <x v="0"/>
    <s v="Scikit-learn"/>
    <m/>
    <m/>
    <x v="5"/>
    <n v="94"/>
    <x v="7"/>
    <n v="255"/>
  </r>
  <r>
    <n v="944"/>
    <s v="Pineda, Williams and George"/>
    <x v="4"/>
    <x v="7"/>
    <s v="FastAPI"/>
    <s v=" TensorFlow"/>
    <s v=" Reinforcement Learning"/>
    <s v=" Power BI"/>
    <s v=" C++"/>
    <n v="59811"/>
    <m/>
    <s v="Entry"/>
    <x v="1"/>
    <s v="Port Richard"/>
    <s v=" KE"/>
    <n v="49558"/>
    <n v="70064"/>
    <d v="2025-02-08T00:00:00"/>
    <x v="1"/>
    <s v="TensorFlow"/>
    <s v=" FastAPI"/>
    <m/>
    <x v="20"/>
    <n v="111"/>
    <x v="2"/>
    <n v="249"/>
  </r>
  <r>
    <n v="945"/>
    <s v="Peck-Olson"/>
    <x v="3"/>
    <x v="2"/>
    <s v="C++"/>
    <s v=" Power BI"/>
    <s v=" LangChain"/>
    <s v=" Azure"/>
    <s v=" Pandas"/>
    <n v="129440.5"/>
    <s v=" TensorFlow"/>
    <s v="Mid"/>
    <x v="0"/>
    <s v="Johnsonport"/>
    <s v=" IE"/>
    <n v="81542"/>
    <n v="177339"/>
    <d v="2024-11-03T00:00:00"/>
    <x v="0"/>
    <s v="MLflow"/>
    <s v=" BigQuery"/>
    <s v=" PyTorch"/>
    <x v="8"/>
    <n v="84"/>
    <x v="6"/>
    <n v="259"/>
  </r>
  <r>
    <n v="946"/>
    <s v="Johnson, Hodge and Shaffer"/>
    <x v="1"/>
    <x v="2"/>
    <s v="CUDA"/>
    <s v=" PyTorch"/>
    <s v=" GCP"/>
    <s v=" C++"/>
    <m/>
    <n v="132856.5"/>
    <m/>
    <s v="Entry"/>
    <x v="0"/>
    <s v="Port Jonathan"/>
    <s v=" GR"/>
    <n v="102091"/>
    <n v="163622"/>
    <d v="2025-07-25T00:00:00"/>
    <x v="2"/>
    <s v="FastAPI"/>
    <s v=" TensorFlow"/>
    <m/>
    <x v="13"/>
    <n v="75"/>
    <x v="1"/>
    <n v="251"/>
  </r>
  <r>
    <n v="947"/>
    <s v="Carlson Group"/>
    <x v="4"/>
    <x v="6"/>
    <s v="R"/>
    <s v=" MLflow"/>
    <s v=" Power BI"/>
    <s v=" SQL"/>
    <s v=" FastAPI"/>
    <n v="156327.5"/>
    <m/>
    <s v="Senior"/>
    <x v="3"/>
    <s v="Michaelfort"/>
    <s v=" UA"/>
    <n v="121879"/>
    <n v="190776"/>
    <d v="2023-12-28T00:00:00"/>
    <x v="2"/>
    <s v="BigQuery"/>
    <m/>
    <m/>
    <x v="11"/>
    <n v="86"/>
    <x v="3"/>
    <n v="238"/>
  </r>
  <r>
    <n v="948"/>
    <s v="Davis, Bailey and Hebert"/>
    <x v="4"/>
    <x v="4"/>
    <s v="PyTorch"/>
    <s v=" Keras"/>
    <s v=" Azure"/>
    <s v=" AWS"/>
    <s v=" R"/>
    <n v="147367"/>
    <s v=" Reinforcement Learning"/>
    <s v="Senior"/>
    <x v="1"/>
    <s v="Rayport"/>
    <s v=" GM"/>
    <n v="100499"/>
    <n v="194235"/>
    <d v="2025-04-22T00:00:00"/>
    <x v="1"/>
    <s v="Scikit-learn"/>
    <s v=" MLflow"/>
    <m/>
    <x v="14"/>
    <n v="92"/>
    <x v="7"/>
    <n v="255"/>
  </r>
  <r>
    <n v="949"/>
    <s v="Aguirre, Collins and Manning"/>
    <x v="5"/>
    <x v="5"/>
    <s v="R"/>
    <s v=" CUDA"/>
    <s v=" C++"/>
    <s v=" Excel"/>
    <m/>
    <n v="113441.5"/>
    <m/>
    <s v="Mid"/>
    <x v="3"/>
    <s v="Lake Ryan"/>
    <s v=" RU"/>
    <n v="93170"/>
    <n v="133713"/>
    <d v="2023-10-03T00:00:00"/>
    <x v="2"/>
    <s v="Scikit-learn"/>
    <s v=" BigQuery"/>
    <s v=" LangChain"/>
    <x v="11"/>
    <n v="86"/>
    <x v="7"/>
    <n v="255"/>
  </r>
  <r>
    <n v="950"/>
    <s v="Freeman, Foley and Smith"/>
    <x v="3"/>
    <x v="4"/>
    <s v="Azure"/>
    <s v=" Python"/>
    <s v=" Flask"/>
    <s v=" Power BI"/>
    <s v=" NumPy"/>
    <n v="137810.5"/>
    <s v=" Excel"/>
    <s v="Senior"/>
    <x v="3"/>
    <s v="Michaelview"/>
    <s v=" VC"/>
    <n v="93116"/>
    <n v="182505"/>
    <d v="2025-08-17T00:00:00"/>
    <x v="2"/>
    <s v="LangChain"/>
    <m/>
    <m/>
    <x v="15"/>
    <n v="90"/>
    <x v="4"/>
    <n v="268"/>
  </r>
  <r>
    <n v="951"/>
    <s v="Acevedo-Frazier"/>
    <x v="0"/>
    <x v="0"/>
    <s v="Reinforcement Learning"/>
    <s v=" Hugging Face"/>
    <s v=" MLflow"/>
    <s v=" CUDA"/>
    <m/>
    <n v="144832"/>
    <m/>
    <s v="Senior"/>
    <x v="2"/>
    <s v="Ellisport"/>
    <s v=" CY"/>
    <n v="134605"/>
    <n v="155059"/>
    <d v="2024-01-04T00:00:00"/>
    <x v="1"/>
    <s v="MLflow"/>
    <s v=" BigQuery"/>
    <s v=" PyTorch"/>
    <x v="21"/>
    <n v="104"/>
    <x v="6"/>
    <n v="259"/>
  </r>
  <r>
    <n v="952"/>
    <s v="Davis PLC"/>
    <x v="2"/>
    <x v="1"/>
    <s v="Reinforcement Learning"/>
    <s v=" Azure"/>
    <s v=" Hugging Face"/>
    <s v=" LangChain"/>
    <s v=" Pandas"/>
    <n v="173195"/>
    <m/>
    <s v="Entry"/>
    <x v="2"/>
    <s v="South Katherineton"/>
    <s v=" LY"/>
    <n v="135040"/>
    <n v="211350"/>
    <d v="2024-08-05T00:00:00"/>
    <x v="2"/>
    <s v="Scikit-learn"/>
    <s v=" LangChain"/>
    <m/>
    <x v="21"/>
    <n v="104"/>
    <x v="7"/>
    <n v="255"/>
  </r>
  <r>
    <n v="953"/>
    <s v="Ford-Taylor"/>
    <x v="0"/>
    <x v="1"/>
    <s v="Azure"/>
    <s v=" AWS"/>
    <s v=" PyTorch"/>
    <s v=" TensorFlow"/>
    <s v=" GCP"/>
    <n v="88122"/>
    <m/>
    <s v="Entry"/>
    <x v="1"/>
    <s v="Lake Melissa"/>
    <s v=" MV"/>
    <n v="70699"/>
    <n v="105545"/>
    <d v="2025-03-29T00:00:00"/>
    <x v="2"/>
    <s v="Scikit-learn"/>
    <m/>
    <m/>
    <x v="15"/>
    <n v="90"/>
    <x v="7"/>
    <n v="255"/>
  </r>
  <r>
    <n v="954"/>
    <s v="Sanchez LLC"/>
    <x v="6"/>
    <x v="1"/>
    <s v="R"/>
    <s v=" Hugging Face"/>
    <s v=" Flask"/>
    <m/>
    <m/>
    <n v="79640"/>
    <m/>
    <s v="Entry"/>
    <x v="1"/>
    <s v="South Jilltown"/>
    <s v=" IQ"/>
    <n v="49914"/>
    <n v="109366"/>
    <d v="2025-06-14T00:00:00"/>
    <x v="0"/>
    <s v="TensorFlow"/>
    <m/>
    <m/>
    <x v="11"/>
    <n v="86"/>
    <x v="2"/>
    <n v="249"/>
  </r>
  <r>
    <n v="955"/>
    <s v="Armstrong Inc"/>
    <x v="0"/>
    <x v="7"/>
    <s v="Reinforcement Learning"/>
    <s v=" Power BI"/>
    <s v=" MLflow"/>
    <s v=" PyTorch"/>
    <s v=" R"/>
    <n v="135925.5"/>
    <s v=" Pandas"/>
    <s v="Mid"/>
    <x v="2"/>
    <s v="Davisstad"/>
    <s v=" HN"/>
    <n v="104664"/>
    <n v="167187"/>
    <d v="2024-08-10T00:00:00"/>
    <x v="2"/>
    <s v="Scikit-learn"/>
    <s v=" FastAPI"/>
    <s v=" LangChain"/>
    <x v="21"/>
    <n v="104"/>
    <x v="7"/>
    <n v="255"/>
  </r>
  <r>
    <n v="956"/>
    <s v="Gilbert Inc"/>
    <x v="4"/>
    <x v="0"/>
    <s v="Hugging Face"/>
    <s v=" Flask"/>
    <s v=" SQL"/>
    <s v=" Scikit-learn"/>
    <s v=" C++"/>
    <n v="107609.5"/>
    <m/>
    <s v="Mid"/>
    <x v="0"/>
    <s v="New Megantown"/>
    <s v=" BT"/>
    <n v="82848"/>
    <n v="132371"/>
    <d v="2024-12-01T00:00:00"/>
    <x v="1"/>
    <s v="BigQuery"/>
    <s v=" TensorFlow"/>
    <m/>
    <x v="9"/>
    <n v="89"/>
    <x v="3"/>
    <n v="238"/>
  </r>
  <r>
    <n v="957"/>
    <s v="Miller Ltd"/>
    <x v="6"/>
    <x v="5"/>
    <s v="FastAPI"/>
    <s v=" Scikit-learn"/>
    <s v=" SQL"/>
    <m/>
    <m/>
    <n v="58259.5"/>
    <m/>
    <s v="Mid"/>
    <x v="1"/>
    <s v="North Dianaton"/>
    <s v=" RU"/>
    <n v="49582"/>
    <n v="66937"/>
    <d v="2025-09-10T00:00:00"/>
    <x v="0"/>
    <s v="TensorFlow"/>
    <s v=" Scikit-learn"/>
    <s v=" LangChain"/>
    <x v="20"/>
    <n v="111"/>
    <x v="2"/>
    <n v="249"/>
  </r>
  <r>
    <n v="958"/>
    <s v="Moore-Garner"/>
    <x v="5"/>
    <x v="5"/>
    <s v="Pandas"/>
    <s v=" FastAPI"/>
    <s v=" Hugging Face"/>
    <m/>
    <m/>
    <n v="129759.5"/>
    <m/>
    <s v="Senior"/>
    <x v="1"/>
    <s v="Hollyborough"/>
    <s v=" MX"/>
    <n v="90272"/>
    <n v="169247"/>
    <d v="2024-01-02T00:00:00"/>
    <x v="2"/>
    <s v="TensorFlow"/>
    <s v=" FastAPI"/>
    <m/>
    <x v="6"/>
    <n v="78"/>
    <x v="2"/>
    <n v="249"/>
  </r>
  <r>
    <n v="959"/>
    <s v="Jenkins-Good"/>
    <x v="1"/>
    <x v="0"/>
    <s v="AWS"/>
    <s v=" TensorFlow"/>
    <s v=" Excel"/>
    <s v=" SQL"/>
    <s v=" GCP"/>
    <n v="170633"/>
    <m/>
    <s v="Entry"/>
    <x v="3"/>
    <s v="Contreraston"/>
    <s v=" LC"/>
    <n v="124573"/>
    <n v="216693"/>
    <d v="2024-01-24T00:00:00"/>
    <x v="1"/>
    <s v="KDB+"/>
    <s v=" MLflow"/>
    <m/>
    <x v="10"/>
    <n v="97"/>
    <x v="0"/>
    <n v="247"/>
  </r>
  <r>
    <n v="960"/>
    <s v="Vance Ltd"/>
    <x v="2"/>
    <x v="4"/>
    <s v="Excel"/>
    <s v=" TensorFlow"/>
    <s v=" Flask"/>
    <s v=" Scikit-learn"/>
    <m/>
    <n v="139086.5"/>
    <m/>
    <s v="Entry"/>
    <x v="0"/>
    <s v="Wardbury"/>
    <s v=" RW"/>
    <n v="121683"/>
    <n v="156490"/>
    <d v="2024-12-28T00:00:00"/>
    <x v="2"/>
    <s v="KDB+"/>
    <m/>
    <m/>
    <x v="2"/>
    <n v="101"/>
    <x v="0"/>
    <n v="247"/>
  </r>
  <r>
    <n v="961"/>
    <s v="Sellers, Williams and Ortiz"/>
    <x v="5"/>
    <x v="1"/>
    <s v="Flask"/>
    <s v=" Azure"/>
    <s v=" SQL"/>
    <m/>
    <m/>
    <n v="167187"/>
    <m/>
    <s v="Entry"/>
    <x v="2"/>
    <s v="Matthewshire"/>
    <s v=" SB"/>
    <n v="140647"/>
    <n v="193727"/>
    <d v="2023-11-08T00:00:00"/>
    <x v="2"/>
    <s v="PyTorch"/>
    <m/>
    <m/>
    <x v="16"/>
    <n v="86"/>
    <x v="5"/>
    <n v="233"/>
  </r>
  <r>
    <n v="962"/>
    <s v="Rodgers, Martinez and Zhang"/>
    <x v="4"/>
    <x v="0"/>
    <s v="Flask"/>
    <s v=" Excel"/>
    <s v=" AWS"/>
    <s v=" PyTorch"/>
    <s v=" LangChain"/>
    <n v="96854.5"/>
    <m/>
    <s v="Mid"/>
    <x v="1"/>
    <s v="North Shane"/>
    <s v=" LR"/>
    <n v="68266"/>
    <n v="125443"/>
    <d v="2023-11-25T00:00:00"/>
    <x v="2"/>
    <s v="BigQuery"/>
    <s v=" FastAPI"/>
    <m/>
    <x v="16"/>
    <n v="86"/>
    <x v="3"/>
    <n v="238"/>
  </r>
  <r>
    <n v="963"/>
    <s v="Simon LLC"/>
    <x v="6"/>
    <x v="5"/>
    <s v="Flask"/>
    <s v=" Reinforcement Learning"/>
    <s v=" Pandas"/>
    <s v=" Hugging Face"/>
    <s v=" Keras"/>
    <n v="172741.5"/>
    <m/>
    <s v="Senior"/>
    <x v="0"/>
    <s v="West Michaelborough"/>
    <s v=" BE"/>
    <n v="141644"/>
    <n v="203839"/>
    <d v="2024-04-23T00:00:00"/>
    <x v="2"/>
    <s v="BigQuery"/>
    <s v=" Scikit-learn"/>
    <s v=" MLflow"/>
    <x v="16"/>
    <n v="86"/>
    <x v="3"/>
    <n v="238"/>
  </r>
  <r>
    <n v="964"/>
    <s v="Flynn-Franco"/>
    <x v="1"/>
    <x v="2"/>
    <s v="NumPy"/>
    <s v=" Pandas"/>
    <s v=" SQL"/>
    <s v=" R"/>
    <s v=" Excel"/>
    <n v="150713"/>
    <m/>
    <s v="Senior"/>
    <x v="0"/>
    <s v="North Grant"/>
    <s v=" MR"/>
    <n v="110260"/>
    <n v="191166"/>
    <d v="2024-02-17T00:00:00"/>
    <x v="0"/>
    <s v="KDB+"/>
    <m/>
    <m/>
    <x v="0"/>
    <n v="104"/>
    <x v="0"/>
    <n v="247"/>
  </r>
  <r>
    <n v="965"/>
    <s v="Floyd-Smith"/>
    <x v="4"/>
    <x v="1"/>
    <s v="GCP"/>
    <s v=" Reinforcement Learning"/>
    <s v=" CUDA"/>
    <s v=" NumPy"/>
    <s v=" SQL"/>
    <n v="65039.5"/>
    <m/>
    <s v="Entry"/>
    <x v="2"/>
    <s v="East Willie"/>
    <s v=" BO"/>
    <n v="56178"/>
    <n v="73901"/>
    <d v="2024-07-20T00:00:00"/>
    <x v="1"/>
    <s v="FastAPI"/>
    <s v=" MLflow"/>
    <m/>
    <x v="4"/>
    <n v="78"/>
    <x v="1"/>
    <n v="251"/>
  </r>
  <r>
    <n v="966"/>
    <s v="Bailey, Mccullough and Moon"/>
    <x v="1"/>
    <x v="4"/>
    <s v="TensorFlow"/>
    <s v=" Power BI"/>
    <s v=" Azure"/>
    <s v=" Flask"/>
    <s v=" Reinforcement Learning"/>
    <n v="185276"/>
    <s v=" R"/>
    <s v="Senior"/>
    <x v="2"/>
    <s v="Davidhaven"/>
    <s v=" CL"/>
    <n v="148430"/>
    <n v="222122"/>
    <d v="2024-01-28T00:00:00"/>
    <x v="0"/>
    <s v="PyTorch"/>
    <s v=" BigQuery"/>
    <s v=" TensorFlow"/>
    <x v="19"/>
    <n v="95"/>
    <x v="5"/>
    <n v="233"/>
  </r>
  <r>
    <n v="967"/>
    <s v="Kerr, Austin and Smith"/>
    <x v="4"/>
    <x v="4"/>
    <s v="GCP"/>
    <s v=" Power BI"/>
    <s v=" FastAPI"/>
    <s v=" Reinforcement Learning"/>
    <s v=" TensorFlow"/>
    <n v="159073"/>
    <s v=" AWS"/>
    <s v="Senior"/>
    <x v="3"/>
    <s v="Port Charles"/>
    <s v=" GM"/>
    <n v="130221"/>
    <n v="187925"/>
    <d v="2024-09-29T00:00:00"/>
    <x v="0"/>
    <s v="LangChain"/>
    <s v=" MLflow"/>
    <s v=" PyTorch"/>
    <x v="4"/>
    <n v="78"/>
    <x v="4"/>
    <n v="268"/>
  </r>
  <r>
    <n v="968"/>
    <s v="Potter, Chapman and Christensen"/>
    <x v="6"/>
    <x v="1"/>
    <s v="R"/>
    <s v=" Python"/>
    <s v=" Hugging Face"/>
    <s v=" Excel"/>
    <s v=" Azure"/>
    <n v="107418.5"/>
    <m/>
    <s v="Entry"/>
    <x v="0"/>
    <s v="Colemanfort"/>
    <s v=" SM"/>
    <n v="89082"/>
    <n v="125755"/>
    <d v="2024-04-21T00:00:00"/>
    <x v="0"/>
    <s v="Scikit-learn"/>
    <s v=" KDB+"/>
    <s v=" TensorFlow"/>
    <x v="11"/>
    <n v="86"/>
    <x v="7"/>
    <n v="255"/>
  </r>
  <r>
    <n v="969"/>
    <s v="Francis-Jones"/>
    <x v="6"/>
    <x v="6"/>
    <s v="LangChain"/>
    <s v=" Python"/>
    <s v=" R"/>
    <s v=" C++"/>
    <s v=" NumPy"/>
    <n v="180218.5"/>
    <m/>
    <s v="Senior"/>
    <x v="2"/>
    <s v="North Jacqueline"/>
    <s v=" SV"/>
    <n v="140456"/>
    <n v="219981"/>
    <d v="2025-03-08T00:00:00"/>
    <x v="2"/>
    <s v="KDB+"/>
    <m/>
    <m/>
    <x v="12"/>
    <n v="100"/>
    <x v="0"/>
    <n v="247"/>
  </r>
  <r>
    <n v="970"/>
    <s v="Stephens, Garcia and Yoder"/>
    <x v="5"/>
    <x v="1"/>
    <s v="MLflow"/>
    <s v=" Excel"/>
    <s v=" CUDA"/>
    <s v=" LangChain"/>
    <s v=" AWS"/>
    <n v="125080"/>
    <s v=" Azure"/>
    <s v="Entry"/>
    <x v="1"/>
    <s v="South Caitlynchester"/>
    <s v=" NL"/>
    <n v="75664"/>
    <n v="174496"/>
    <d v="2025-04-13T00:00:00"/>
    <x v="0"/>
    <s v="Scikit-learn"/>
    <m/>
    <m/>
    <x v="3"/>
    <n v="80"/>
    <x v="7"/>
    <n v="255"/>
  </r>
  <r>
    <n v="971"/>
    <s v="Robbins-Burke"/>
    <x v="2"/>
    <x v="1"/>
    <s v="AWS"/>
    <s v=" Hugging Face"/>
    <s v=" MLflow"/>
    <s v=" Excel"/>
    <s v=" C++"/>
    <n v="123097"/>
    <m/>
    <s v="Entry"/>
    <x v="1"/>
    <s v="Sherrichester"/>
    <s v=" BN"/>
    <n v="74698"/>
    <n v="171496"/>
    <d v="2024-06-16T00:00:00"/>
    <x v="0"/>
    <s v="BigQuery"/>
    <s v=" PyTorch"/>
    <s v=" Scikit-learn"/>
    <x v="10"/>
    <n v="97"/>
    <x v="3"/>
    <n v="238"/>
  </r>
  <r>
    <n v="972"/>
    <s v="Hall, Savage and Walker"/>
    <x v="3"/>
    <x v="5"/>
    <s v="PyTorch"/>
    <s v=" TensorFlow"/>
    <s v=" AWS"/>
    <s v=" C++"/>
    <s v=" GCP"/>
    <n v="157053"/>
    <m/>
    <s v="Entry"/>
    <x v="1"/>
    <s v="Bowersberg"/>
    <s v=" SK"/>
    <n v="135994"/>
    <n v="178112"/>
    <d v="2023-09-21T00:00:00"/>
    <x v="2"/>
    <s v="KDB+"/>
    <s v=" MLflow"/>
    <s v=" FastAPI"/>
    <x v="14"/>
    <n v="92"/>
    <x v="0"/>
    <n v="247"/>
  </r>
  <r>
    <n v="973"/>
    <s v="Smith-Cross"/>
    <x v="0"/>
    <x v="2"/>
    <s v="Flask"/>
    <s v=" Keras"/>
    <s v=" Pandas"/>
    <s v=" CUDA"/>
    <s v=" PyTorch"/>
    <n v="75921.5"/>
    <s v=" Reinforcement Learning"/>
    <s v="Mid"/>
    <x v="3"/>
    <s v="Anthonybury"/>
    <s v=" ET"/>
    <n v="67828"/>
    <n v="84015"/>
    <d v="2025-09-19T00:00:00"/>
    <x v="1"/>
    <s v="FastAPI"/>
    <m/>
    <m/>
    <x v="16"/>
    <n v="86"/>
    <x v="1"/>
    <n v="251"/>
  </r>
  <r>
    <n v="974"/>
    <s v="Martinez-Stephens"/>
    <x v="3"/>
    <x v="2"/>
    <s v="Azure"/>
    <s v=" Reinforcement Learning"/>
    <s v=" Excel"/>
    <s v=" SQL"/>
    <m/>
    <n v="174384.5"/>
    <m/>
    <s v="Mid"/>
    <x v="3"/>
    <s v="South Michellebury"/>
    <s v=" GR"/>
    <n v="134744"/>
    <n v="214025"/>
    <d v="2024-01-02T00:00:00"/>
    <x v="1"/>
    <s v="LangChain"/>
    <s v=" BigQuery"/>
    <m/>
    <x v="15"/>
    <n v="90"/>
    <x v="4"/>
    <n v="268"/>
  </r>
  <r>
    <n v="975"/>
    <s v="Barton, Wilson and Russell"/>
    <x v="3"/>
    <x v="5"/>
    <s v="Power BI"/>
    <s v=" GCP"/>
    <s v=" Reinforcement Learning"/>
    <m/>
    <m/>
    <n v="169421.5"/>
    <m/>
    <s v="Entry"/>
    <x v="2"/>
    <s v="Kristiemouth"/>
    <s v=" DK"/>
    <n v="123053"/>
    <n v="215790"/>
    <d v="2024-01-19T00:00:00"/>
    <x v="0"/>
    <s v="FastAPI"/>
    <m/>
    <m/>
    <x v="18"/>
    <n v="96"/>
    <x v="1"/>
    <n v="251"/>
  </r>
  <r>
    <n v="976"/>
    <s v="Brown, Bernard and Flores"/>
    <x v="6"/>
    <x v="5"/>
    <s v="Excel"/>
    <s v=" R"/>
    <s v=" Reinforcement Learning"/>
    <s v=" Python"/>
    <s v=" Power BI"/>
    <n v="138297"/>
    <s v=" FastAPI"/>
    <s v="Entry"/>
    <x v="2"/>
    <s v="West Andrew"/>
    <s v=" MD"/>
    <n v="129888"/>
    <n v="146706"/>
    <d v="2024-05-06T00:00:00"/>
    <x v="1"/>
    <s v="TensorFlow"/>
    <m/>
    <m/>
    <x v="2"/>
    <n v="101"/>
    <x v="2"/>
    <n v="249"/>
  </r>
  <r>
    <n v="977"/>
    <s v="Mendoza-Flores"/>
    <x v="4"/>
    <x v="2"/>
    <s v="FastAPI"/>
    <s v=" Python"/>
    <s v=" TensorFlow"/>
    <s v=" AWS"/>
    <m/>
    <n v="160215.5"/>
    <m/>
    <s v="Senior"/>
    <x v="2"/>
    <s v="West Andrew"/>
    <s v=" ID"/>
    <n v="134151"/>
    <n v="186280"/>
    <d v="2024-08-09T00:00:00"/>
    <x v="0"/>
    <s v="TensorFlow"/>
    <s v=" MLflow"/>
    <s v=" BigQuery"/>
    <x v="20"/>
    <n v="111"/>
    <x v="2"/>
    <n v="249"/>
  </r>
  <r>
    <n v="978"/>
    <s v="Bowman PLC"/>
    <x v="4"/>
    <x v="2"/>
    <s v="LangChain"/>
    <s v=" Excel"/>
    <s v=" TensorFlow"/>
    <m/>
    <m/>
    <n v="119824.5"/>
    <m/>
    <s v="Senior"/>
    <x v="3"/>
    <s v="Nicholshaven"/>
    <s v=" HR"/>
    <n v="87836"/>
    <n v="151813"/>
    <d v="2024-09-06T00:00:00"/>
    <x v="2"/>
    <s v="LangChain"/>
    <s v=" TensorFlow"/>
    <m/>
    <x v="12"/>
    <n v="100"/>
    <x v="4"/>
    <n v="268"/>
  </r>
  <r>
    <n v="979"/>
    <s v="Turner, Hernandez and White"/>
    <x v="6"/>
    <x v="3"/>
    <s v="GCP"/>
    <s v=" TensorFlow"/>
    <s v=" Flask"/>
    <s v=" Azure"/>
    <m/>
    <n v="125912"/>
    <m/>
    <s v="Mid"/>
    <x v="1"/>
    <s v="North Alicia"/>
    <s v=" IQ"/>
    <n v="98287"/>
    <n v="153537"/>
    <d v="2024-04-20T00:00:00"/>
    <x v="1"/>
    <s v="BigQuery"/>
    <s v=" KDB+"/>
    <s v=" TensorFlow"/>
    <x v="4"/>
    <n v="78"/>
    <x v="3"/>
    <n v="238"/>
  </r>
  <r>
    <n v="980"/>
    <s v="Davis Inc"/>
    <x v="0"/>
    <x v="6"/>
    <s v="Keras"/>
    <s v=" Power BI"/>
    <s v=" Excel"/>
    <s v=" Python"/>
    <m/>
    <n v="97354.5"/>
    <m/>
    <s v="Senior"/>
    <x v="3"/>
    <s v="Port Tina"/>
    <s v=" PE"/>
    <n v="72000"/>
    <n v="122709"/>
    <d v="2024-10-27T00:00:00"/>
    <x v="1"/>
    <s v="MLflow"/>
    <m/>
    <m/>
    <x v="7"/>
    <n v="96"/>
    <x v="6"/>
    <n v="259"/>
  </r>
  <r>
    <n v="981"/>
    <s v="Zhang-Watson"/>
    <x v="4"/>
    <x v="1"/>
    <s v="Excel"/>
    <s v=" Flask"/>
    <s v=" AWS"/>
    <s v=" R"/>
    <m/>
    <n v="107061"/>
    <m/>
    <s v="Senior"/>
    <x v="1"/>
    <s v="New Veronica"/>
    <s v=" AL"/>
    <n v="81871"/>
    <n v="132251"/>
    <d v="2024-07-10T00:00:00"/>
    <x v="1"/>
    <s v="PyTorch"/>
    <s v=" KDB+"/>
    <m/>
    <x v="2"/>
    <n v="101"/>
    <x v="5"/>
    <n v="233"/>
  </r>
  <r>
    <n v="982"/>
    <s v="Harrison, Wallace and Chen"/>
    <x v="6"/>
    <x v="4"/>
    <s v="Hugging Face"/>
    <s v=" GCP"/>
    <s v=" Keras"/>
    <m/>
    <m/>
    <n v="103873.5"/>
    <m/>
    <s v="Entry"/>
    <x v="3"/>
    <s v="Port Catherinetown"/>
    <s v=" VE"/>
    <n v="93878"/>
    <n v="113869"/>
    <d v="2023-12-26T00:00:00"/>
    <x v="2"/>
    <s v="TensorFlow"/>
    <s v=" Scikit-learn"/>
    <m/>
    <x v="9"/>
    <n v="89"/>
    <x v="2"/>
    <n v="249"/>
  </r>
  <r>
    <n v="983"/>
    <s v="Cruz, Cruz and Flores"/>
    <x v="4"/>
    <x v="6"/>
    <s v="Reinforcement Learning"/>
    <s v=" TensorFlow"/>
    <s v=" CUDA"/>
    <m/>
    <m/>
    <n v="59248"/>
    <m/>
    <s v="Entry"/>
    <x v="3"/>
    <s v="New Alyssa"/>
    <s v=" CI"/>
    <n v="41243"/>
    <n v="77253"/>
    <d v="2023-10-29T00:00:00"/>
    <x v="2"/>
    <s v="KDB+"/>
    <s v=" BigQuery"/>
    <s v=" PyTorch"/>
    <x v="21"/>
    <n v="104"/>
    <x v="0"/>
    <n v="247"/>
  </r>
  <r>
    <n v="984"/>
    <s v="Garcia-Smith"/>
    <x v="5"/>
    <x v="5"/>
    <s v="FastAPI"/>
    <s v=" CUDA"/>
    <s v=" Pandas"/>
    <s v=" Python"/>
    <s v=" NumPy"/>
    <n v="85731"/>
    <s v=" Reinforcement Learning"/>
    <s v="Entry"/>
    <x v="2"/>
    <s v="North Kevin"/>
    <s v=" YE"/>
    <n v="47150"/>
    <n v="124312"/>
    <d v="2023-11-17T00:00:00"/>
    <x v="2"/>
    <s v="PyTorch"/>
    <s v=" LangChain"/>
    <s v=" Scikit-learn"/>
    <x v="20"/>
    <n v="111"/>
    <x v="5"/>
    <n v="233"/>
  </r>
  <r>
    <n v="985"/>
    <s v="Castaneda Group"/>
    <x v="1"/>
    <x v="3"/>
    <s v="Reinforcement Learning"/>
    <s v=" Azure"/>
    <s v=" Flask"/>
    <m/>
    <m/>
    <n v="138573"/>
    <m/>
    <s v="Mid"/>
    <x v="3"/>
    <s v="Nobleside"/>
    <s v=" CY"/>
    <n v="127636"/>
    <n v="149510"/>
    <d v="2023-10-30T00:00:00"/>
    <x v="1"/>
    <s v="BigQuery"/>
    <s v=" FastAPI"/>
    <m/>
    <x v="21"/>
    <n v="104"/>
    <x v="3"/>
    <n v="238"/>
  </r>
  <r>
    <n v="986"/>
    <s v="Sawyer, Frye and Jenkins"/>
    <x v="2"/>
    <x v="6"/>
    <s v="GCP"/>
    <s v=" PyTorch"/>
    <s v=" FastAPI"/>
    <s v=" LangChain"/>
    <s v=" Pandas"/>
    <n v="165390.5"/>
    <m/>
    <s v="Mid"/>
    <x v="2"/>
    <s v="West Hayleyton"/>
    <s v=" DJ"/>
    <n v="130749"/>
    <n v="200032"/>
    <d v="2025-01-10T00:00:00"/>
    <x v="0"/>
    <s v="FastAPI"/>
    <m/>
    <m/>
    <x v="4"/>
    <n v="78"/>
    <x v="1"/>
    <n v="251"/>
  </r>
  <r>
    <n v="987"/>
    <s v="Bradshaw and Sons"/>
    <x v="3"/>
    <x v="7"/>
    <s v="PyTorch"/>
    <s v=" MLflow"/>
    <s v=" LangChain"/>
    <s v=" Python"/>
    <s v=" Azure"/>
    <n v="107166"/>
    <s v=" Pandas"/>
    <s v="Mid"/>
    <x v="2"/>
    <s v="Kathrynfort"/>
    <s v=" TO"/>
    <n v="58452"/>
    <n v="155880"/>
    <d v="2025-05-05T00:00:00"/>
    <x v="0"/>
    <s v="BigQuery"/>
    <m/>
    <m/>
    <x v="14"/>
    <n v="92"/>
    <x v="3"/>
    <n v="238"/>
  </r>
  <r>
    <n v="988"/>
    <s v="Cross, Johnson and Chan"/>
    <x v="6"/>
    <x v="1"/>
    <s v="Scikit-learn"/>
    <s v=" TensorFlow"/>
    <s v=" Azure"/>
    <s v=" C++"/>
    <s v=" Flask"/>
    <n v="115231"/>
    <m/>
    <s v="Senior"/>
    <x v="2"/>
    <s v="Danielview"/>
    <s v=" BT"/>
    <n v="68117"/>
    <n v="162345"/>
    <d v="2025-08-31T00:00:00"/>
    <x v="1"/>
    <s v="FastAPI"/>
    <m/>
    <m/>
    <x v="1"/>
    <n v="76"/>
    <x v="1"/>
    <n v="251"/>
  </r>
  <r>
    <n v="989"/>
    <s v="Jones LLC"/>
    <x v="0"/>
    <x v="6"/>
    <s v="TensorFlow"/>
    <s v=" NumPy"/>
    <s v=" Azure"/>
    <s v=" LangChain"/>
    <s v=" AWS"/>
    <n v="122145"/>
    <m/>
    <s v="Senior"/>
    <x v="1"/>
    <s v="Taraborough"/>
    <s v=" KG"/>
    <n v="112292"/>
    <n v="131998"/>
    <d v="2024-09-07T00:00:00"/>
    <x v="1"/>
    <s v="MLflow"/>
    <m/>
    <m/>
    <x v="19"/>
    <n v="95"/>
    <x v="6"/>
    <n v="259"/>
  </r>
  <r>
    <n v="990"/>
    <s v="Adams-Chapman"/>
    <x v="1"/>
    <x v="2"/>
    <s v="SQL"/>
    <s v=" CUDA"/>
    <s v=" Scikit-learn"/>
    <s v=" Keras"/>
    <s v=" Power BI"/>
    <n v="145110"/>
    <s v=" R"/>
    <s v="Senior"/>
    <x v="2"/>
    <s v="Littleshire"/>
    <s v=" CF"/>
    <n v="139059"/>
    <n v="151161"/>
    <d v="2025-03-09T00:00:00"/>
    <x v="1"/>
    <s v="TensorFlow"/>
    <s v=" LangChain"/>
    <m/>
    <x v="17"/>
    <n v="88"/>
    <x v="2"/>
    <n v="249"/>
  </r>
  <r>
    <n v="991"/>
    <s v="Duran-Williams"/>
    <x v="6"/>
    <x v="0"/>
    <s v="GCP"/>
    <s v=" MLflow"/>
    <s v=" FastAPI"/>
    <s v=" TensorFlow"/>
    <s v=" AWS"/>
    <n v="152169.5"/>
    <s v=" Reinforcement Learning"/>
    <s v="Entry"/>
    <x v="2"/>
    <s v="East Patrickfurt"/>
    <s v=" BT"/>
    <n v="110780"/>
    <n v="193559"/>
    <d v="2024-03-10T00:00:00"/>
    <x v="1"/>
    <s v="BigQuery"/>
    <m/>
    <m/>
    <x v="4"/>
    <n v="78"/>
    <x v="3"/>
    <n v="238"/>
  </r>
  <r>
    <n v="992"/>
    <s v="Arnold Inc"/>
    <x v="0"/>
    <x v="4"/>
    <s v="FastAPI"/>
    <s v=" GCP"/>
    <s v=" Keras"/>
    <s v=" Pandas"/>
    <m/>
    <n v="75137"/>
    <m/>
    <s v="Senior"/>
    <x v="3"/>
    <s v="Jonesfurt"/>
    <s v=" NL"/>
    <n v="44707"/>
    <n v="105567"/>
    <d v="2025-09-13T00:00:00"/>
    <x v="2"/>
    <s v="LangChain"/>
    <s v=" KDB+"/>
    <s v=" BigQuery"/>
    <x v="20"/>
    <n v="111"/>
    <x v="4"/>
    <n v="268"/>
  </r>
  <r>
    <n v="993"/>
    <s v="Kirk Group"/>
    <x v="6"/>
    <x v="5"/>
    <s v="Azure"/>
    <s v=" Excel"/>
    <s v=" Keras"/>
    <s v=" SQL"/>
    <s v=" Reinforcement Learning"/>
    <n v="131547.5"/>
    <s v=" Power BI"/>
    <s v="Senior"/>
    <x v="2"/>
    <s v="Chasestad"/>
    <s v=" LU"/>
    <n v="112616"/>
    <n v="150479"/>
    <d v="2023-10-10T00:00:00"/>
    <x v="2"/>
    <s v="TensorFlow"/>
    <s v=" BigQuery"/>
    <s v=" Scikit-learn"/>
    <x v="15"/>
    <n v="90"/>
    <x v="2"/>
    <n v="249"/>
  </r>
  <r>
    <n v="994"/>
    <s v="Flynn-Kennedy"/>
    <x v="4"/>
    <x v="7"/>
    <s v="Python"/>
    <s v=" Keras"/>
    <s v=" AWS"/>
    <s v=" CUDA"/>
    <s v=" NumPy"/>
    <n v="101291.5"/>
    <s v=" R"/>
    <s v="Entry"/>
    <x v="0"/>
    <s v="Villaport"/>
    <s v=" CO"/>
    <n v="92121"/>
    <n v="110462"/>
    <d v="2023-10-01T00:00:00"/>
    <x v="0"/>
    <s v="PyTorch"/>
    <s v=" FastAPI"/>
    <s v=" KDB+"/>
    <x v="5"/>
    <n v="94"/>
    <x v="5"/>
    <n v="233"/>
  </r>
  <r>
    <n v="995"/>
    <s v="Singleton-Roy"/>
    <x v="5"/>
    <x v="4"/>
    <s v="C++"/>
    <s v=" Pandas"/>
    <s v=" MLflow"/>
    <s v=" Scikit-learn"/>
    <s v=" AWS"/>
    <n v="138576.5"/>
    <s v=" LangChain"/>
    <s v="Mid"/>
    <x v="1"/>
    <s v="Port Rodney"/>
    <s v=" LR"/>
    <n v="92112"/>
    <n v="185041"/>
    <d v="2024-08-04T00:00:00"/>
    <x v="0"/>
    <s v="Scikit-learn"/>
    <s v=" LangChain"/>
    <m/>
    <x v="8"/>
    <n v="84"/>
    <x v="7"/>
    <n v="255"/>
  </r>
  <r>
    <n v="996"/>
    <s v="Combs, Brown and Williams"/>
    <x v="6"/>
    <x v="0"/>
    <s v="TensorFlow"/>
    <s v=" Hugging Face"/>
    <s v=" Scikit-learn"/>
    <m/>
    <m/>
    <n v="128034.5"/>
    <m/>
    <s v="Mid"/>
    <x v="3"/>
    <s v="Jessicatown"/>
    <s v=" PH"/>
    <n v="115180"/>
    <n v="140889"/>
    <d v="2025-03-21T00:00:00"/>
    <x v="1"/>
    <s v="KDB+"/>
    <s v=" MLflow"/>
    <s v=" FastAPI"/>
    <x v="19"/>
    <n v="95"/>
    <x v="0"/>
    <n v="247"/>
  </r>
  <r>
    <n v="997"/>
    <s v="Meyer-Reyes"/>
    <x v="3"/>
    <x v="3"/>
    <s v="AWS"/>
    <s v=" NumPy"/>
    <s v=" Excel"/>
    <s v=" CUDA"/>
    <m/>
    <n v="127838.5"/>
    <m/>
    <s v="Mid"/>
    <x v="1"/>
    <s v="Port Christine"/>
    <s v=" BH"/>
    <n v="95776"/>
    <n v="159901"/>
    <d v="2024-05-30T00:00:00"/>
    <x v="2"/>
    <s v="MLflow"/>
    <s v=" KDB+"/>
    <s v=" Scikit-learn"/>
    <x v="10"/>
    <n v="97"/>
    <x v="6"/>
    <n v="259"/>
  </r>
  <r>
    <n v="998"/>
    <s v="Anderson LLC"/>
    <x v="1"/>
    <x v="3"/>
    <s v="Scikit-learn"/>
    <s v=" NumPy"/>
    <s v=" FastAPI"/>
    <m/>
    <m/>
    <n v="147007.5"/>
    <m/>
    <s v="Senior"/>
    <x v="0"/>
    <s v="Elizabethton"/>
    <s v=" PW"/>
    <n v="141251"/>
    <n v="152764"/>
    <d v="2024-03-09T00:00:00"/>
    <x v="1"/>
    <s v="KDB+"/>
    <s v=" LangChain"/>
    <m/>
    <x v="1"/>
    <n v="76"/>
    <x v="0"/>
    <n v="247"/>
  </r>
  <r>
    <n v="999"/>
    <s v="Duncan-Reyes"/>
    <x v="2"/>
    <x v="0"/>
    <s v="Reinforcement Learning"/>
    <s v=" SQL"/>
    <s v=" Pandas"/>
    <s v=" NumPy"/>
    <s v=" TensorFlow"/>
    <n v="183947"/>
    <s v=" Power BI"/>
    <s v="Mid"/>
    <x v="3"/>
    <s v="New Ryan"/>
    <s v=" BW"/>
    <n v="136810"/>
    <n v="231084"/>
    <d v="2025-03-18T00:00:00"/>
    <x v="2"/>
    <s v="KDB+"/>
    <s v=" FastAPI"/>
    <m/>
    <x v="21"/>
    <n v="104"/>
    <x v="0"/>
    <n v="247"/>
  </r>
  <r>
    <n v="1000"/>
    <s v="Davis, Murphy and Cox"/>
    <x v="6"/>
    <x v="5"/>
    <s v="MLflow"/>
    <s v=" NumPy"/>
    <s v=" Reinforcement Learning"/>
    <s v=" FastAPI"/>
    <s v=" Pandas"/>
    <n v="109075"/>
    <m/>
    <s v="Senior"/>
    <x v="0"/>
    <s v="Pittmanville"/>
    <s v=" CR"/>
    <n v="83889"/>
    <n v="134261"/>
    <d v="2025-08-20T00:00:00"/>
    <x v="1"/>
    <s v="KDB+"/>
    <s v=" Scikit-learn"/>
    <s v=" LangChain"/>
    <x v="3"/>
    <n v="80"/>
    <x v="0"/>
    <n v="247"/>
  </r>
  <r>
    <n v="1001"/>
    <s v="Peterson, Brown and Mcdonald"/>
    <x v="5"/>
    <x v="3"/>
    <s v="Flask"/>
    <s v=" GCP"/>
    <s v=" Hugging Face"/>
    <s v=" FastAPI"/>
    <s v=" Excel"/>
    <n v="133281.5"/>
    <s v=" CUDA"/>
    <s v="Senior"/>
    <x v="2"/>
    <s v="Port Bernard"/>
    <s v=" BY"/>
    <n v="101199"/>
    <n v="165364"/>
    <d v="2025-02-16T00:00:00"/>
    <x v="1"/>
    <s v="TensorFlow"/>
    <s v=" KDB+"/>
    <s v=" FastAPI"/>
    <x v="16"/>
    <n v="86"/>
    <x v="2"/>
    <n v="249"/>
  </r>
  <r>
    <n v="1002"/>
    <s v="Turner and Sons"/>
    <x v="1"/>
    <x v="0"/>
    <s v="PyTorch"/>
    <s v=" Pandas"/>
    <s v=" Excel"/>
    <m/>
    <m/>
    <n v="156339"/>
    <m/>
    <s v="Mid"/>
    <x v="1"/>
    <s v="Robertsmouth"/>
    <s v=" MN"/>
    <n v="131457"/>
    <n v="181221"/>
    <d v="2025-06-12T00:00:00"/>
    <x v="1"/>
    <s v="LangChain"/>
    <m/>
    <m/>
    <x v="14"/>
    <n v="92"/>
    <x v="4"/>
    <n v="268"/>
  </r>
  <r>
    <n v="1003"/>
    <s v="Spears, Moore and Mccormick"/>
    <x v="4"/>
    <x v="3"/>
    <s v="Keras"/>
    <s v=" Pandas"/>
    <s v=" Power BI"/>
    <s v=" Scikit-learn"/>
    <s v=" FastAPI"/>
    <n v="151038.5"/>
    <s v=" Azure"/>
    <s v="Senior"/>
    <x v="0"/>
    <s v="South Lisa"/>
    <s v=" IS"/>
    <n v="142849"/>
    <n v="159228"/>
    <d v="2025-06-12T00:00:00"/>
    <x v="2"/>
    <s v="KDB+"/>
    <s v=" BigQuery"/>
    <m/>
    <x v="7"/>
    <n v="96"/>
    <x v="0"/>
    <n v="247"/>
  </r>
  <r>
    <n v="1004"/>
    <s v="Shaw LLC"/>
    <x v="5"/>
    <x v="5"/>
    <s v="Hugging Face"/>
    <s v=" LangChain"/>
    <s v=" Flask"/>
    <s v=" PyTorch"/>
    <s v=" TensorFlow"/>
    <n v="147705"/>
    <m/>
    <s v="Mid"/>
    <x v="1"/>
    <s v="New Johnnybury"/>
    <s v=" LI"/>
    <n v="138773"/>
    <n v="156637"/>
    <d v="2024-12-07T00:00:00"/>
    <x v="2"/>
    <s v="BigQuery"/>
    <m/>
    <m/>
    <x v="9"/>
    <n v="89"/>
    <x v="3"/>
    <n v="238"/>
  </r>
  <r>
    <n v="1005"/>
    <s v="Gill-Schmidt"/>
    <x v="0"/>
    <x v="0"/>
    <s v="Reinforcement Learning"/>
    <s v=" GCP"/>
    <s v=" Azure"/>
    <s v=" LangChain"/>
    <s v=" MLflow"/>
    <n v="70578.5"/>
    <m/>
    <s v="Mid"/>
    <x v="2"/>
    <s v="New Williambury"/>
    <s v=" FR"/>
    <n v="52554"/>
    <n v="88603"/>
    <d v="2024-02-14T00:00:00"/>
    <x v="0"/>
    <s v="TensorFlow"/>
    <s v=" BigQuery"/>
    <s v=" MLflow"/>
    <x v="21"/>
    <n v="104"/>
    <x v="2"/>
    <n v="249"/>
  </r>
  <r>
    <n v="1006"/>
    <s v="Fuentes, Russo and Watson"/>
    <x v="3"/>
    <x v="0"/>
    <s v="Pandas"/>
    <s v=" PyTorch"/>
    <s v=" AWS"/>
    <m/>
    <m/>
    <n v="65167"/>
    <m/>
    <s v="Senior"/>
    <x v="0"/>
    <s v="East Amanda"/>
    <s v=" GA"/>
    <n v="42445"/>
    <n v="87889"/>
    <d v="2025-06-06T00:00:00"/>
    <x v="2"/>
    <s v="FastAPI"/>
    <m/>
    <m/>
    <x v="6"/>
    <n v="78"/>
    <x v="1"/>
    <n v="251"/>
  </r>
  <r>
    <n v="1007"/>
    <s v="Weaver-Mills"/>
    <x v="5"/>
    <x v="4"/>
    <s v="Power BI"/>
    <s v=" Pandas"/>
    <s v=" Hugging Face"/>
    <s v=" PyTorch"/>
    <m/>
    <n v="75687.5"/>
    <m/>
    <s v="Entry"/>
    <x v="1"/>
    <s v="South Benjamin"/>
    <s v=" PY"/>
    <n v="42100"/>
    <n v="109275"/>
    <d v="2024-03-23T00:00:00"/>
    <x v="0"/>
    <s v="BigQuery"/>
    <m/>
    <m/>
    <x v="18"/>
    <n v="96"/>
    <x v="3"/>
    <n v="238"/>
  </r>
  <r>
    <n v="1008"/>
    <s v="Lee-Levy"/>
    <x v="6"/>
    <x v="4"/>
    <s v="AWS"/>
    <s v=" CUDA"/>
    <s v=" GCP"/>
    <s v=" Flask"/>
    <s v=" FastAPI"/>
    <n v="173019.5"/>
    <s v=" NumPy"/>
    <s v="Mid"/>
    <x v="2"/>
    <s v="West Lindsayfurt"/>
    <s v=" LK"/>
    <n v="137547"/>
    <n v="208492"/>
    <d v="2024-04-27T00:00:00"/>
    <x v="2"/>
    <s v="FastAPI"/>
    <s v=" Scikit-learn"/>
    <m/>
    <x v="10"/>
    <n v="97"/>
    <x v="1"/>
    <n v="251"/>
  </r>
  <r>
    <n v="1009"/>
    <s v="Anderson PLC"/>
    <x v="6"/>
    <x v="3"/>
    <s v="PyTorch"/>
    <s v=" Reinforcement Learning"/>
    <s v=" Keras"/>
    <s v=" C++"/>
    <s v=" CUDA"/>
    <n v="156943.5"/>
    <s v=" SQL"/>
    <s v="Entry"/>
    <x v="2"/>
    <s v="Younghaven"/>
    <s v=" KM"/>
    <n v="141946"/>
    <n v="171941"/>
    <d v="2025-03-17T00:00:00"/>
    <x v="2"/>
    <s v="Scikit-learn"/>
    <m/>
    <m/>
    <x v="14"/>
    <n v="92"/>
    <x v="7"/>
    <n v="255"/>
  </r>
  <r>
    <n v="1010"/>
    <s v="Murphy-Sosa"/>
    <x v="3"/>
    <x v="4"/>
    <s v="TensorFlow"/>
    <s v=" Excel"/>
    <s v=" Scikit-learn"/>
    <s v=" Azure"/>
    <s v=" R"/>
    <n v="154934.5"/>
    <s v=" Pandas"/>
    <s v="Mid"/>
    <x v="0"/>
    <s v="North Patrick"/>
    <s v=" SZ"/>
    <n v="131712"/>
    <n v="178157"/>
    <d v="2025-03-16T00:00:00"/>
    <x v="1"/>
    <s v="TensorFlow"/>
    <m/>
    <m/>
    <x v="19"/>
    <n v="95"/>
    <x v="2"/>
    <n v="249"/>
  </r>
  <r>
    <n v="1011"/>
    <s v="Lawrence Group"/>
    <x v="3"/>
    <x v="3"/>
    <s v="FastAPI"/>
    <s v=" Azure"/>
    <s v=" AWS"/>
    <s v=" Python"/>
    <m/>
    <n v="138093"/>
    <m/>
    <s v="Mid"/>
    <x v="3"/>
    <s v="Lake Aliciachester"/>
    <s v=" TM"/>
    <n v="91126"/>
    <n v="185060"/>
    <d v="2024-07-05T00:00:00"/>
    <x v="2"/>
    <s v="FastAPI"/>
    <m/>
    <m/>
    <x v="20"/>
    <n v="111"/>
    <x v="1"/>
    <n v="251"/>
  </r>
  <r>
    <n v="1012"/>
    <s v="Gonzales-Gardner"/>
    <x v="5"/>
    <x v="6"/>
    <s v="NumPy"/>
    <s v=" GCP"/>
    <s v=" R"/>
    <s v=" Reinforcement Learning"/>
    <s v=" LangChain"/>
    <n v="121986.5"/>
    <s v=" AWS"/>
    <s v="Senior"/>
    <x v="0"/>
    <s v="Frazierberg"/>
    <s v=" DO"/>
    <n v="100471"/>
    <n v="143502"/>
    <d v="2024-09-07T00:00:00"/>
    <x v="0"/>
    <s v="PyTorch"/>
    <s v=" LangChain"/>
    <s v=" BigQuery"/>
    <x v="0"/>
    <n v="104"/>
    <x v="5"/>
    <n v="233"/>
  </r>
  <r>
    <n v="1013"/>
    <s v="Padilla, Mann and Pierce"/>
    <x v="2"/>
    <x v="3"/>
    <s v="MLflow"/>
    <s v=" Pandas"/>
    <s v=" PyTorch"/>
    <s v=" C++"/>
    <s v=" LangChain"/>
    <n v="62766"/>
    <m/>
    <s v="Senior"/>
    <x v="3"/>
    <s v="West Brandon"/>
    <s v=" RW"/>
    <n v="47058"/>
    <n v="78474"/>
    <d v="2025-08-22T00:00:00"/>
    <x v="1"/>
    <s v="LangChain"/>
    <s v=" PyTorch"/>
    <m/>
    <x v="3"/>
    <n v="80"/>
    <x v="4"/>
    <n v="268"/>
  </r>
  <r>
    <n v="1014"/>
    <s v="Vazquez, Mcknight and Vega"/>
    <x v="6"/>
    <x v="7"/>
    <s v="Keras"/>
    <s v=" FastAPI"/>
    <s v=" PyTorch"/>
    <s v=" LangChain"/>
    <s v=" Scikit-learn"/>
    <n v="143687"/>
    <s v=" Hugging Face"/>
    <s v="Entry"/>
    <x v="1"/>
    <s v="Ramseyview"/>
    <s v=" TV"/>
    <n v="102565"/>
    <n v="184809"/>
    <d v="2025-08-06T00:00:00"/>
    <x v="0"/>
    <s v="PyTorch"/>
    <s v=" Scikit-learn"/>
    <m/>
    <x v="7"/>
    <n v="96"/>
    <x v="5"/>
    <n v="233"/>
  </r>
  <r>
    <n v="1015"/>
    <s v="Walker, Soto and Miles"/>
    <x v="2"/>
    <x v="0"/>
    <s v="SQL"/>
    <s v=" MLflow"/>
    <s v=" Pandas"/>
    <s v=" CUDA"/>
    <s v=" Scikit-learn"/>
    <n v="102836"/>
    <m/>
    <s v="Mid"/>
    <x v="3"/>
    <s v="Oconnorville"/>
    <s v=" IT"/>
    <n v="61954"/>
    <n v="143718"/>
    <d v="2025-06-10T00:00:00"/>
    <x v="2"/>
    <s v="TensorFlow"/>
    <m/>
    <m/>
    <x v="17"/>
    <n v="88"/>
    <x v="2"/>
    <n v="249"/>
  </r>
  <r>
    <n v="1016"/>
    <s v="Kelly-Walls"/>
    <x v="1"/>
    <x v="1"/>
    <s v="Reinforcement Learning"/>
    <s v=" R"/>
    <s v=" C++"/>
    <m/>
    <m/>
    <n v="110544.5"/>
    <m/>
    <s v="Senior"/>
    <x v="3"/>
    <s v="East Ana"/>
    <s v=" KN"/>
    <n v="83274"/>
    <n v="137815"/>
    <d v="2024-01-05T00:00:00"/>
    <x v="2"/>
    <s v="LangChain"/>
    <s v=" MLflow"/>
    <s v=" KDB+"/>
    <x v="21"/>
    <n v="104"/>
    <x v="4"/>
    <n v="268"/>
  </r>
  <r>
    <n v="1017"/>
    <s v="Roberts-Watson"/>
    <x v="0"/>
    <x v="0"/>
    <s v="Power BI"/>
    <s v=" SQL"/>
    <s v=" Python"/>
    <s v=" TensorFlow"/>
    <m/>
    <n v="110114.5"/>
    <m/>
    <s v="Entry"/>
    <x v="0"/>
    <s v="Perryside"/>
    <s v=" CZ"/>
    <n v="82652"/>
    <n v="137577"/>
    <d v="2025-05-25T00:00:00"/>
    <x v="1"/>
    <s v="LangChain"/>
    <m/>
    <m/>
    <x v="18"/>
    <n v="96"/>
    <x v="4"/>
    <n v="268"/>
  </r>
  <r>
    <n v="1018"/>
    <s v="George, Hines and Galvan"/>
    <x v="1"/>
    <x v="6"/>
    <s v="Keras"/>
    <s v=" MLflow"/>
    <s v=" FastAPI"/>
    <s v=" Python"/>
    <s v=" Scikit-learn"/>
    <n v="96796"/>
    <s v=" Reinforcement Learning"/>
    <s v="Entry"/>
    <x v="3"/>
    <s v="East Rachelland"/>
    <s v=" MH"/>
    <n v="84254"/>
    <n v="109338"/>
    <d v="2024-04-08T00:00:00"/>
    <x v="0"/>
    <s v="Scikit-learn"/>
    <m/>
    <m/>
    <x v="7"/>
    <n v="96"/>
    <x v="7"/>
    <n v="255"/>
  </r>
  <r>
    <n v="1019"/>
    <s v="Lam, Garcia and Lopez"/>
    <x v="5"/>
    <x v="1"/>
    <s v="R"/>
    <s v=" Keras"/>
    <s v=" Pandas"/>
    <s v=" Reinforcement Learning"/>
    <m/>
    <n v="184948.5"/>
    <m/>
    <s v="Mid"/>
    <x v="0"/>
    <s v="Baldwinland"/>
    <s v=" TV"/>
    <n v="135038"/>
    <n v="234859"/>
    <d v="2025-04-13T00:00:00"/>
    <x v="0"/>
    <s v="TensorFlow"/>
    <s v=" Scikit-learn"/>
    <m/>
    <x v="11"/>
    <n v="86"/>
    <x v="2"/>
    <n v="249"/>
  </r>
  <r>
    <n v="1020"/>
    <s v="Vasquez, Grimes and Mooney"/>
    <x v="0"/>
    <x v="3"/>
    <s v="LangChain"/>
    <s v=" SQL"/>
    <s v=" Reinforcement Learning"/>
    <s v=" PyTorch"/>
    <m/>
    <n v="93133"/>
    <m/>
    <s v="Entry"/>
    <x v="3"/>
    <s v="Brewerland"/>
    <s v=" AT"/>
    <n v="58091"/>
    <n v="128175"/>
    <d v="2024-10-02T00:00:00"/>
    <x v="2"/>
    <s v="Scikit-learn"/>
    <s v=" BigQuery"/>
    <m/>
    <x v="12"/>
    <n v="100"/>
    <x v="7"/>
    <n v="255"/>
  </r>
  <r>
    <n v="1021"/>
    <s v="Mcneil-Nelson"/>
    <x v="1"/>
    <x v="0"/>
    <s v="CUDA"/>
    <s v=" SQL"/>
    <s v=" Flask"/>
    <m/>
    <m/>
    <n v="101686.5"/>
    <m/>
    <s v="Senior"/>
    <x v="2"/>
    <s v="Duartebury"/>
    <s v=" VA"/>
    <n v="59630"/>
    <n v="143743"/>
    <d v="2024-12-21T00:00:00"/>
    <x v="2"/>
    <s v="MLflow"/>
    <s v=" KDB+"/>
    <s v=" TensorFlow"/>
    <x v="13"/>
    <n v="75"/>
    <x v="6"/>
    <n v="259"/>
  </r>
  <r>
    <n v="1022"/>
    <s v="Wiggins-Rivera"/>
    <x v="0"/>
    <x v="6"/>
    <s v="LangChain"/>
    <s v=" AWS"/>
    <s v=" R"/>
    <m/>
    <m/>
    <n v="134120.5"/>
    <m/>
    <s v="Senior"/>
    <x v="1"/>
    <s v="Andreashire"/>
    <s v=" TO"/>
    <n v="90456"/>
    <n v="177785"/>
    <d v="2024-01-14T00:00:00"/>
    <x v="0"/>
    <s v="MLflow"/>
    <m/>
    <m/>
    <x v="12"/>
    <n v="100"/>
    <x v="6"/>
    <n v="259"/>
  </r>
  <r>
    <n v="1023"/>
    <s v="Morris-Swanson"/>
    <x v="3"/>
    <x v="6"/>
    <s v="LangChain"/>
    <s v=" AWS"/>
    <s v=" Keras"/>
    <s v=" Hugging Face"/>
    <s v=" Pandas"/>
    <n v="167631"/>
    <m/>
    <s v="Entry"/>
    <x v="1"/>
    <s v="Howellburgh"/>
    <s v=" NO"/>
    <n v="130542"/>
    <n v="204720"/>
    <d v="2024-11-08T00:00:00"/>
    <x v="2"/>
    <s v="BigQuery"/>
    <s v=" LangChain"/>
    <m/>
    <x v="12"/>
    <n v="100"/>
    <x v="3"/>
    <n v="238"/>
  </r>
  <r>
    <n v="1024"/>
    <s v="Wong and Sons"/>
    <x v="3"/>
    <x v="2"/>
    <s v="C++"/>
    <s v=" Reinforcement Learning"/>
    <s v=" MLflow"/>
    <s v=" Pandas"/>
    <s v=" SQL"/>
    <n v="105337"/>
    <m/>
    <s v="Entry"/>
    <x v="1"/>
    <s v="North Kristie"/>
    <s v=" CL"/>
    <n v="74640"/>
    <n v="136034"/>
    <d v="2025-04-01T00:00:00"/>
    <x v="0"/>
    <s v="Scikit-learn"/>
    <s v=" PyTorch"/>
    <s v=" MLflow"/>
    <x v="8"/>
    <n v="84"/>
    <x v="7"/>
    <n v="255"/>
  </r>
  <r>
    <n v="1025"/>
    <s v="Davidson, Green and Johnson"/>
    <x v="4"/>
    <x v="0"/>
    <s v="AWS"/>
    <s v=" SQL"/>
    <s v=" CUDA"/>
    <s v=" Hugging Face"/>
    <s v=" Power BI"/>
    <n v="166850"/>
    <m/>
    <s v="Entry"/>
    <x v="1"/>
    <s v="West Tylerberg"/>
    <s v=" JO"/>
    <n v="134678"/>
    <n v="199022"/>
    <d v="2025-05-01T00:00:00"/>
    <x v="0"/>
    <s v="Scikit-learn"/>
    <s v=" PyTorch"/>
    <m/>
    <x v="10"/>
    <n v="97"/>
    <x v="7"/>
    <n v="255"/>
  </r>
  <r>
    <n v="1026"/>
    <s v="Greer-Garner"/>
    <x v="4"/>
    <x v="0"/>
    <s v="Power BI"/>
    <s v=" Pandas"/>
    <s v=" GCP"/>
    <s v=" Hugging Face"/>
    <s v=" R"/>
    <n v="80571.5"/>
    <m/>
    <s v="Entry"/>
    <x v="2"/>
    <s v="South Chadton"/>
    <s v=" IQ"/>
    <n v="60699"/>
    <n v="100444"/>
    <d v="2025-09-11T00:00:00"/>
    <x v="1"/>
    <s v="TensorFlow"/>
    <s v=" PyTorch"/>
    <m/>
    <x v="18"/>
    <n v="96"/>
    <x v="2"/>
    <n v="249"/>
  </r>
  <r>
    <n v="1027"/>
    <s v="Nash, Solomon and Cameron"/>
    <x v="3"/>
    <x v="6"/>
    <s v="Azure"/>
    <s v=" Power BI"/>
    <s v=" GCP"/>
    <s v=" LangChain"/>
    <m/>
    <n v="143409"/>
    <m/>
    <s v="Entry"/>
    <x v="1"/>
    <s v="Davidfurt"/>
    <s v=" IT"/>
    <n v="118562"/>
    <n v="168256"/>
    <d v="2024-03-27T00:00:00"/>
    <x v="1"/>
    <s v="BigQuery"/>
    <s v=" LangChain"/>
    <m/>
    <x v="15"/>
    <n v="90"/>
    <x v="3"/>
    <n v="238"/>
  </r>
  <r>
    <n v="1028"/>
    <s v="Jimenez Group"/>
    <x v="4"/>
    <x v="5"/>
    <s v="MLflow"/>
    <s v=" CUDA"/>
    <s v=" Reinforcement Learning"/>
    <m/>
    <m/>
    <n v="172178.5"/>
    <m/>
    <s v="Mid"/>
    <x v="0"/>
    <s v="Williamview"/>
    <s v=" CU"/>
    <n v="135565"/>
    <n v="208792"/>
    <d v="2024-03-03T00:00:00"/>
    <x v="1"/>
    <s v="TensorFlow"/>
    <m/>
    <m/>
    <x v="3"/>
    <n v="80"/>
    <x v="2"/>
    <n v="249"/>
  </r>
  <r>
    <n v="1029"/>
    <s v="Garcia-Adams"/>
    <x v="3"/>
    <x v="3"/>
    <s v="Python"/>
    <s v=" GCP"/>
    <s v=" Scikit-learn"/>
    <s v=" Pandas"/>
    <s v=" PyTorch"/>
    <n v="118072.5"/>
    <m/>
    <s v="Senior"/>
    <x v="1"/>
    <s v="Port Victoriaburgh"/>
    <s v=" TN"/>
    <n v="102146"/>
    <n v="133999"/>
    <d v="2023-12-15T00:00:00"/>
    <x v="1"/>
    <s v="TensorFlow"/>
    <m/>
    <m/>
    <x v="5"/>
    <n v="94"/>
    <x v="2"/>
    <n v="249"/>
  </r>
  <r>
    <n v="1030"/>
    <s v="Munoz and Sons"/>
    <x v="6"/>
    <x v="4"/>
    <s v="Reinforcement Learning"/>
    <s v=" FastAPI"/>
    <s v=" Power BI"/>
    <m/>
    <m/>
    <n v="128800"/>
    <m/>
    <s v="Entry"/>
    <x v="0"/>
    <s v="Smithmouth"/>
    <s v=" UG"/>
    <n v="119302"/>
    <n v="138298"/>
    <d v="2024-09-05T00:00:00"/>
    <x v="2"/>
    <s v="Scikit-learn"/>
    <s v=" KDB+"/>
    <m/>
    <x v="21"/>
    <n v="104"/>
    <x v="7"/>
    <n v="255"/>
  </r>
  <r>
    <n v="1031"/>
    <s v="Griffin Ltd"/>
    <x v="4"/>
    <x v="0"/>
    <s v="Reinforcement Learning"/>
    <s v=" Scikit-learn"/>
    <s v=" Hugging Face"/>
    <s v=" MLflow"/>
    <m/>
    <n v="80228.5"/>
    <m/>
    <s v="Entry"/>
    <x v="2"/>
    <s v="Harrisonhaven"/>
    <s v=" PT"/>
    <n v="49324"/>
    <n v="111133"/>
    <d v="2024-04-03T00:00:00"/>
    <x v="0"/>
    <s v="FastAPI"/>
    <m/>
    <m/>
    <x v="21"/>
    <n v="104"/>
    <x v="1"/>
    <n v="251"/>
  </r>
  <r>
    <n v="1032"/>
    <s v="Briggs-Miller"/>
    <x v="4"/>
    <x v="1"/>
    <s v="R"/>
    <s v=" Flask"/>
    <s v=" Keras"/>
    <s v=" Python"/>
    <s v=" CUDA"/>
    <n v="184972"/>
    <s v=" FastAPI"/>
    <s v="Entry"/>
    <x v="0"/>
    <s v="Janicemouth"/>
    <s v=" UZ"/>
    <n v="138580"/>
    <n v="231364"/>
    <d v="2024-02-06T00:00:00"/>
    <x v="2"/>
    <s v="Scikit-learn"/>
    <s v=" FastAPI"/>
    <s v=" PyTorch"/>
    <x v="11"/>
    <n v="86"/>
    <x v="7"/>
    <n v="255"/>
  </r>
  <r>
    <n v="1033"/>
    <s v="Dominguez Group"/>
    <x v="2"/>
    <x v="4"/>
    <s v="Keras"/>
    <s v=" FastAPI"/>
    <s v=" Reinforcement Learning"/>
    <s v=" Power BI"/>
    <m/>
    <n v="105607.5"/>
    <m/>
    <s v="Mid"/>
    <x v="2"/>
    <s v="New Melissashire"/>
    <s v=" RW"/>
    <n v="74176"/>
    <n v="137039"/>
    <d v="2024-11-06T00:00:00"/>
    <x v="0"/>
    <s v="MLflow"/>
    <m/>
    <m/>
    <x v="7"/>
    <n v="96"/>
    <x v="6"/>
    <n v="259"/>
  </r>
  <r>
    <n v="1034"/>
    <s v="Cohen, Schneider and Scott"/>
    <x v="0"/>
    <x v="3"/>
    <s v="CUDA"/>
    <s v=" FastAPI"/>
    <s v=" Reinforcement Learning"/>
    <m/>
    <m/>
    <n v="166223.5"/>
    <m/>
    <s v="Mid"/>
    <x v="3"/>
    <s v="Port Nathan"/>
    <s v=" TM"/>
    <n v="131736"/>
    <n v="200711"/>
    <d v="2025-05-24T00:00:00"/>
    <x v="0"/>
    <s v="MLflow"/>
    <s v=" BigQuery"/>
    <m/>
    <x v="13"/>
    <n v="75"/>
    <x v="6"/>
    <n v="259"/>
  </r>
  <r>
    <n v="1035"/>
    <s v="Peterson Ltd"/>
    <x v="4"/>
    <x v="4"/>
    <s v="Reinforcement Learning"/>
    <s v=" Python"/>
    <s v=" Pandas"/>
    <s v=" Excel"/>
    <s v=" LangChain"/>
    <n v="194075"/>
    <s v=" Azure"/>
    <s v="Mid"/>
    <x v="2"/>
    <s v="Staffordstad"/>
    <s v=" AZ"/>
    <n v="147838"/>
    <n v="240312"/>
    <d v="2025-04-30T00:00:00"/>
    <x v="0"/>
    <s v="PyTorch"/>
    <s v=" LangChain"/>
    <s v=" TensorFlow"/>
    <x v="21"/>
    <n v="104"/>
    <x v="5"/>
    <n v="233"/>
  </r>
  <r>
    <n v="1036"/>
    <s v="Ramsey-Hamilton"/>
    <x v="3"/>
    <x v="2"/>
    <s v="FastAPI"/>
    <s v=" CUDA"/>
    <s v=" GCP"/>
    <s v=" Keras"/>
    <s v=" MLflow"/>
    <n v="102971.5"/>
    <s v=" C++"/>
    <s v="Senior"/>
    <x v="1"/>
    <s v="West Kyliechester"/>
    <s v=" AD"/>
    <n v="73318"/>
    <n v="132625"/>
    <d v="2024-03-22T00:00:00"/>
    <x v="2"/>
    <s v="Scikit-learn"/>
    <m/>
    <m/>
    <x v="20"/>
    <n v="111"/>
    <x v="7"/>
    <n v="255"/>
  </r>
  <r>
    <n v="1037"/>
    <s v="Davidson-Clark"/>
    <x v="2"/>
    <x v="1"/>
    <s v="Flask"/>
    <s v=" Pandas"/>
    <s v=" LangChain"/>
    <m/>
    <m/>
    <n v="83978.5"/>
    <m/>
    <s v="Mid"/>
    <x v="1"/>
    <s v="Lake Erika"/>
    <s v=" VC"/>
    <n v="47247"/>
    <n v="120710"/>
    <d v="2025-08-14T00:00:00"/>
    <x v="1"/>
    <s v="LangChain"/>
    <m/>
    <m/>
    <x v="16"/>
    <n v="86"/>
    <x v="4"/>
    <n v="268"/>
  </r>
  <r>
    <n v="1038"/>
    <s v="Ramirez, Sanchez and Lucas"/>
    <x v="6"/>
    <x v="6"/>
    <s v="R"/>
    <s v=" Azure"/>
    <s v=" Power BI"/>
    <s v=" NumPy"/>
    <s v=" Reinforcement Learning"/>
    <n v="168046"/>
    <m/>
    <s v="Senior"/>
    <x v="1"/>
    <s v="Johnsonfurt"/>
    <s v=" GQ"/>
    <n v="147851"/>
    <n v="188241"/>
    <d v="2025-08-11T00:00:00"/>
    <x v="2"/>
    <s v="KDB+"/>
    <s v=" LangChain"/>
    <m/>
    <x v="11"/>
    <n v="86"/>
    <x v="0"/>
    <n v="247"/>
  </r>
  <r>
    <n v="1039"/>
    <s v="Atkinson, Branch and Horton"/>
    <x v="1"/>
    <x v="0"/>
    <s v="R"/>
    <s v=" NumPy"/>
    <s v=" SQL"/>
    <s v=" GCP"/>
    <s v=" Python"/>
    <n v="111273"/>
    <s v=" FastAPI"/>
    <s v="Senior"/>
    <x v="0"/>
    <s v="New Darren"/>
    <s v=" ET"/>
    <n v="83545"/>
    <n v="139001"/>
    <d v="2024-09-07T00:00:00"/>
    <x v="0"/>
    <s v="KDB+"/>
    <m/>
    <m/>
    <x v="11"/>
    <n v="86"/>
    <x v="0"/>
    <n v="247"/>
  </r>
  <r>
    <n v="1040"/>
    <s v="Hawkins Ltd"/>
    <x v="4"/>
    <x v="5"/>
    <s v="AWS"/>
    <s v=" Scikit-learn"/>
    <s v=" TensorFlow"/>
    <s v=" CUDA"/>
    <m/>
    <n v="131966.5"/>
    <m/>
    <s v="Senior"/>
    <x v="2"/>
    <s v="North Madison"/>
    <s v=" UZ"/>
    <n v="113683"/>
    <n v="150250"/>
    <d v="2023-12-11T00:00:00"/>
    <x v="1"/>
    <s v="TensorFlow"/>
    <m/>
    <m/>
    <x v="10"/>
    <n v="97"/>
    <x v="2"/>
    <n v="249"/>
  </r>
  <r>
    <n v="1041"/>
    <s v="Moore Ltd"/>
    <x v="1"/>
    <x v="7"/>
    <s v="Excel"/>
    <s v=" Reinforcement Learning"/>
    <s v=" NumPy"/>
    <s v=" AWS"/>
    <s v=" MLflow"/>
    <n v="124638"/>
    <m/>
    <s v="Mid"/>
    <x v="1"/>
    <s v="Abigailmouth"/>
    <s v=" NE"/>
    <n v="85570"/>
    <n v="163706"/>
    <d v="2025-01-30T00:00:00"/>
    <x v="1"/>
    <s v="Scikit-learn"/>
    <s v=" FastAPI"/>
    <m/>
    <x v="2"/>
    <n v="101"/>
    <x v="7"/>
    <n v="255"/>
  </r>
  <r>
    <n v="1042"/>
    <s v="Hughes-Henry"/>
    <x v="6"/>
    <x v="0"/>
    <s v="TensorFlow"/>
    <s v=" SQL"/>
    <s v=" Scikit-learn"/>
    <m/>
    <m/>
    <n v="78404.5"/>
    <m/>
    <s v="Mid"/>
    <x v="0"/>
    <s v="West James"/>
    <s v=" ER"/>
    <n v="47968"/>
    <n v="108841"/>
    <d v="2024-07-03T00:00:00"/>
    <x v="2"/>
    <s v="MLflow"/>
    <s v=" LangChain"/>
    <s v=" PyTorch"/>
    <x v="19"/>
    <n v="95"/>
    <x v="6"/>
    <n v="259"/>
  </r>
  <r>
    <n v="1043"/>
    <s v="Johnson-Thomas"/>
    <x v="0"/>
    <x v="0"/>
    <s v="Reinforcement Learning"/>
    <s v=" TensorFlow"/>
    <s v=" PyTorch"/>
    <s v=" Excel"/>
    <s v=" FastAPI"/>
    <n v="146787.5"/>
    <m/>
    <s v="Entry"/>
    <x v="1"/>
    <s v="Lake Curtis"/>
    <s v=" BS"/>
    <n v="110576"/>
    <n v="182999"/>
    <d v="2024-03-18T00:00:00"/>
    <x v="0"/>
    <s v="FastAPI"/>
    <s v=" PyTorch"/>
    <s v=" KDB+"/>
    <x v="21"/>
    <n v="104"/>
    <x v="1"/>
    <n v="251"/>
  </r>
  <r>
    <n v="1044"/>
    <s v="Hunt, White and Schmidt"/>
    <x v="1"/>
    <x v="7"/>
    <s v="AWS"/>
    <s v=" Python"/>
    <s v=" MLflow"/>
    <s v=" Scikit-learn"/>
    <s v=" Keras"/>
    <n v="120750"/>
    <s v=" Power BI"/>
    <s v="Entry"/>
    <x v="2"/>
    <s v="Josephstad"/>
    <s v=" DZ"/>
    <n v="80195"/>
    <n v="161305"/>
    <d v="2025-08-01T00:00:00"/>
    <x v="2"/>
    <s v="TensorFlow"/>
    <m/>
    <m/>
    <x v="10"/>
    <n v="97"/>
    <x v="2"/>
    <n v="249"/>
  </r>
  <r>
    <n v="1045"/>
    <s v="Harris-Zavala"/>
    <x v="4"/>
    <x v="2"/>
    <s v="GCP"/>
    <s v=" SQL"/>
    <s v=" LangChain"/>
    <s v=" R"/>
    <m/>
    <n v="173988"/>
    <m/>
    <s v="Mid"/>
    <x v="3"/>
    <s v="West Michael"/>
    <s v=" NI"/>
    <n v="131293"/>
    <n v="216683"/>
    <d v="2024-10-19T00:00:00"/>
    <x v="2"/>
    <s v="FastAPI"/>
    <s v=" BigQuery"/>
    <m/>
    <x v="4"/>
    <n v="78"/>
    <x v="1"/>
    <n v="251"/>
  </r>
  <r>
    <n v="1046"/>
    <s v="Price PLC"/>
    <x v="2"/>
    <x v="7"/>
    <s v="SQL"/>
    <s v=" Excel"/>
    <s v=" AWS"/>
    <s v=" MLflow"/>
    <s v=" TensorFlow"/>
    <n v="145954.5"/>
    <s v=" FastAPI"/>
    <s v="Mid"/>
    <x v="3"/>
    <s v="Madisonside"/>
    <s v=" BH"/>
    <n v="113368"/>
    <n v="178541"/>
    <d v="2024-01-29T00:00:00"/>
    <x v="2"/>
    <s v="BigQuery"/>
    <m/>
    <m/>
    <x v="17"/>
    <n v="88"/>
    <x v="3"/>
    <n v="238"/>
  </r>
  <r>
    <n v="1047"/>
    <s v="Craig-Lloyd"/>
    <x v="1"/>
    <x v="0"/>
    <s v="MLflow"/>
    <s v=" Reinforcement Learning"/>
    <s v=" Azure"/>
    <s v=" C++"/>
    <s v=" Pandas"/>
    <n v="92775"/>
    <s v=" NumPy"/>
    <s v="Mid"/>
    <x v="2"/>
    <s v="Priceborough"/>
    <s v=" LU"/>
    <n v="86846"/>
    <n v="98704"/>
    <d v="2025-02-03T00:00:00"/>
    <x v="2"/>
    <s v="BigQuery"/>
    <s v=" MLflow"/>
    <s v=" KDB+"/>
    <x v="3"/>
    <n v="80"/>
    <x v="3"/>
    <n v="238"/>
  </r>
  <r>
    <n v="1048"/>
    <s v="Bell-Perez"/>
    <x v="1"/>
    <x v="6"/>
    <s v="Excel"/>
    <s v=" C++"/>
    <s v=" GCP"/>
    <s v=" SQL"/>
    <s v=" PyTorch"/>
    <n v="133077"/>
    <m/>
    <s v="Mid"/>
    <x v="1"/>
    <s v="Rossbury"/>
    <s v=" SC"/>
    <n v="125414"/>
    <n v="140740"/>
    <d v="2024-08-01T00:00:00"/>
    <x v="1"/>
    <s v="BigQuery"/>
    <s v=" PyTorch"/>
    <m/>
    <x v="2"/>
    <n v="101"/>
    <x v="3"/>
    <n v="238"/>
  </r>
  <r>
    <n v="1049"/>
    <s v="Cole-Clark"/>
    <x v="5"/>
    <x v="5"/>
    <s v="CUDA"/>
    <s v=" TensorFlow"/>
    <s v=" Python"/>
    <s v=" Azure"/>
    <s v=" Scikit-learn"/>
    <n v="135501.5"/>
    <m/>
    <s v="Entry"/>
    <x v="1"/>
    <s v="South Meganmouth"/>
    <s v=" LI"/>
    <n v="127708"/>
    <n v="143295"/>
    <d v="2024-11-05T00:00:00"/>
    <x v="2"/>
    <s v="FastAPI"/>
    <m/>
    <m/>
    <x v="13"/>
    <n v="75"/>
    <x v="1"/>
    <n v="251"/>
  </r>
  <r>
    <n v="1050"/>
    <s v="Knight-Lozano"/>
    <x v="2"/>
    <x v="6"/>
    <s v="LangChain"/>
    <s v=" GCP"/>
    <s v=" R"/>
    <s v=" SQL"/>
    <m/>
    <n v="172356"/>
    <m/>
    <s v="Senior"/>
    <x v="3"/>
    <s v="New Heatherbury"/>
    <s v=" BG"/>
    <n v="136117"/>
    <n v="208595"/>
    <d v="2023-10-21T00:00:00"/>
    <x v="1"/>
    <s v="TensorFlow"/>
    <s v=" Scikit-learn"/>
    <s v=" KDB+"/>
    <x v="12"/>
    <n v="100"/>
    <x v="2"/>
    <n v="249"/>
  </r>
  <r>
    <n v="1051"/>
    <s v="Burton LLC"/>
    <x v="5"/>
    <x v="5"/>
    <s v="Scikit-learn"/>
    <s v=" Power BI"/>
    <s v=" R"/>
    <s v=" Reinforcement Learning"/>
    <s v=" Excel"/>
    <n v="89387.5"/>
    <s v=" Azure"/>
    <s v="Senior"/>
    <x v="0"/>
    <s v="South Jamesville"/>
    <s v=" JM"/>
    <n v="74834"/>
    <n v="103941"/>
    <d v="2024-06-04T00:00:00"/>
    <x v="1"/>
    <s v="KDB+"/>
    <m/>
    <m/>
    <x v="1"/>
    <n v="76"/>
    <x v="0"/>
    <n v="247"/>
  </r>
  <r>
    <n v="1052"/>
    <s v="Castillo, Bonilla and Mclaughlin"/>
    <x v="5"/>
    <x v="1"/>
    <s v="NumPy"/>
    <s v=" Excel"/>
    <s v=" LangChain"/>
    <s v=" Keras"/>
    <m/>
    <n v="143740.5"/>
    <m/>
    <s v="Mid"/>
    <x v="1"/>
    <s v="West Jasonmouth"/>
    <s v=" IR"/>
    <n v="123956"/>
    <n v="163525"/>
    <d v="2024-03-14T00:00:00"/>
    <x v="0"/>
    <s v="LangChain"/>
    <s v=" FastAPI"/>
    <m/>
    <x v="0"/>
    <n v="104"/>
    <x v="4"/>
    <n v="268"/>
  </r>
  <r>
    <n v="1053"/>
    <s v="Byrd-Christian"/>
    <x v="2"/>
    <x v="6"/>
    <s v="SQL"/>
    <s v=" Reinforcement Learning"/>
    <s v=" Python"/>
    <m/>
    <m/>
    <n v="178767"/>
    <m/>
    <s v="Mid"/>
    <x v="1"/>
    <s v="West Theresashire"/>
    <s v=" NI"/>
    <n v="138221"/>
    <n v="219313"/>
    <d v="2024-11-07T00:00:00"/>
    <x v="0"/>
    <s v="FastAPI"/>
    <s v=" TensorFlow"/>
    <m/>
    <x v="17"/>
    <n v="88"/>
    <x v="1"/>
    <n v="251"/>
  </r>
  <r>
    <n v="1054"/>
    <s v="Price-Sandoval"/>
    <x v="4"/>
    <x v="5"/>
    <s v="Flask"/>
    <s v=" NumPy"/>
    <s v=" C++"/>
    <m/>
    <m/>
    <n v="65873"/>
    <m/>
    <s v="Senior"/>
    <x v="3"/>
    <s v="Lake Markport"/>
    <s v=" PK"/>
    <n v="46907"/>
    <n v="84839"/>
    <d v="2025-08-09T00:00:00"/>
    <x v="0"/>
    <s v="FastAPI"/>
    <s v=" TensorFlow"/>
    <m/>
    <x v="16"/>
    <n v="86"/>
    <x v="1"/>
    <n v="251"/>
  </r>
  <r>
    <n v="1055"/>
    <s v="Black-Simmons"/>
    <x v="5"/>
    <x v="5"/>
    <s v="Pandas"/>
    <s v=" SQL"/>
    <s v=" CUDA"/>
    <s v=" Power BI"/>
    <s v=" AWS"/>
    <n v="181452"/>
    <m/>
    <s v="Senior"/>
    <x v="0"/>
    <s v="Allenburgh"/>
    <s v=" BW"/>
    <n v="136391"/>
    <n v="226513"/>
    <d v="2024-07-03T00:00:00"/>
    <x v="2"/>
    <s v="PyTorch"/>
    <s v=" BigQuery"/>
    <s v=" TensorFlow"/>
    <x v="6"/>
    <n v="78"/>
    <x v="5"/>
    <n v="233"/>
  </r>
  <r>
    <n v="1056"/>
    <s v="Berger, Jackson and Hansen"/>
    <x v="5"/>
    <x v="0"/>
    <s v="CUDA"/>
    <s v=" SQL"/>
    <s v=" Power BI"/>
    <s v=" GCP"/>
    <s v=" FastAPI"/>
    <n v="123660.5"/>
    <s v=" PyTorch"/>
    <s v="Mid"/>
    <x v="2"/>
    <s v="Hopkinstown"/>
    <s v=" KP"/>
    <n v="113830"/>
    <n v="133491"/>
    <d v="2025-07-09T00:00:00"/>
    <x v="1"/>
    <s v="BigQuery"/>
    <s v=" KDB+"/>
    <m/>
    <x v="13"/>
    <n v="75"/>
    <x v="3"/>
    <n v="238"/>
  </r>
  <r>
    <n v="1057"/>
    <s v="Kent-Preston"/>
    <x v="4"/>
    <x v="0"/>
    <s v="Excel"/>
    <s v=" GCP"/>
    <s v=" Scikit-learn"/>
    <s v=" PyTorch"/>
    <m/>
    <n v="59203"/>
    <m/>
    <s v="Senior"/>
    <x v="0"/>
    <s v="North Nicolechester"/>
    <s v=" CO"/>
    <n v="45973"/>
    <n v="72433"/>
    <d v="2024-06-11T00:00:00"/>
    <x v="1"/>
    <s v="KDB+"/>
    <m/>
    <m/>
    <x v="2"/>
    <n v="101"/>
    <x v="0"/>
    <n v="247"/>
  </r>
  <r>
    <n v="1058"/>
    <s v="Hartman, Rowe and Hernandez"/>
    <x v="5"/>
    <x v="0"/>
    <s v="C++"/>
    <s v=" NumPy"/>
    <s v=" Excel"/>
    <s v=" Keras"/>
    <s v=" TensorFlow"/>
    <n v="117509.5"/>
    <m/>
    <s v="Entry"/>
    <x v="1"/>
    <s v="East Joseph"/>
    <s v=" GR"/>
    <n v="85501"/>
    <n v="149518"/>
    <d v="2024-04-30T00:00:00"/>
    <x v="0"/>
    <s v="FastAPI"/>
    <s v=" Scikit-learn"/>
    <m/>
    <x v="8"/>
    <n v="84"/>
    <x v="1"/>
    <n v="251"/>
  </r>
  <r>
    <n v="1059"/>
    <s v="Morrison-Turner"/>
    <x v="6"/>
    <x v="1"/>
    <s v="C++"/>
    <s v=" SQL"/>
    <s v=" Flask"/>
    <s v=" PyTorch"/>
    <s v=" MLflow"/>
    <n v="153591.5"/>
    <s v=" FastAPI"/>
    <s v="Entry"/>
    <x v="2"/>
    <s v="Mayerview"/>
    <s v=" NI"/>
    <n v="137862"/>
    <n v="169321"/>
    <d v="2025-08-25T00:00:00"/>
    <x v="1"/>
    <s v="KDB+"/>
    <s v=" TensorFlow"/>
    <m/>
    <x v="8"/>
    <n v="84"/>
    <x v="0"/>
    <n v="247"/>
  </r>
  <r>
    <n v="1060"/>
    <s v="Smith Inc"/>
    <x v="1"/>
    <x v="2"/>
    <s v="Power BI"/>
    <s v=" SQL"/>
    <s v=" Reinforcement Learning"/>
    <s v=" TensorFlow"/>
    <m/>
    <n v="122711"/>
    <m/>
    <s v="Mid"/>
    <x v="1"/>
    <s v="New Adam"/>
    <s v=" BN"/>
    <n v="104563"/>
    <n v="140859"/>
    <d v="2025-03-04T00:00:00"/>
    <x v="2"/>
    <s v="LangChain"/>
    <s v=" MLflow"/>
    <s v=" FastAPI"/>
    <x v="18"/>
    <n v="96"/>
    <x v="4"/>
    <n v="268"/>
  </r>
  <r>
    <n v="1061"/>
    <s v="Gardner-Chavez"/>
    <x v="1"/>
    <x v="5"/>
    <s v="TensorFlow"/>
    <s v=" Pandas"/>
    <s v=" Flask"/>
    <s v=" Reinforcement Learning"/>
    <s v=" Azure"/>
    <n v="136902"/>
    <m/>
    <s v="Mid"/>
    <x v="0"/>
    <s v="Lopezfort"/>
    <s v=" KH"/>
    <n v="119393"/>
    <n v="154411"/>
    <d v="2023-12-17T00:00:00"/>
    <x v="1"/>
    <s v="MLflow"/>
    <s v=" TensorFlow"/>
    <m/>
    <x v="19"/>
    <n v="95"/>
    <x v="6"/>
    <n v="259"/>
  </r>
  <r>
    <n v="1062"/>
    <s v="Morris-Blake"/>
    <x v="0"/>
    <x v="5"/>
    <s v="Python"/>
    <s v=" NumPy"/>
    <s v=" LangChain"/>
    <s v=" Excel"/>
    <m/>
    <n v="58967.5"/>
    <m/>
    <s v="Senior"/>
    <x v="2"/>
    <s v="Lake Anthony"/>
    <s v=" CL"/>
    <n v="52342"/>
    <n v="65593"/>
    <d v="2024-01-05T00:00:00"/>
    <x v="1"/>
    <s v="LangChain"/>
    <s v=" PyTorch"/>
    <m/>
    <x v="5"/>
    <n v="94"/>
    <x v="4"/>
    <n v="268"/>
  </r>
  <r>
    <n v="1063"/>
    <s v="Hunter-Ward"/>
    <x v="2"/>
    <x v="3"/>
    <s v="SQL"/>
    <s v=" Python"/>
    <s v=" CUDA"/>
    <s v=" FastAPI"/>
    <s v=" TensorFlow"/>
    <n v="152401.5"/>
    <m/>
    <s v="Senior"/>
    <x v="3"/>
    <s v="Millerborough"/>
    <s v=" WS"/>
    <n v="110675"/>
    <n v="194128"/>
    <d v="2023-12-01T00:00:00"/>
    <x v="0"/>
    <s v="MLflow"/>
    <s v=" Scikit-learn"/>
    <s v=" FastAPI"/>
    <x v="17"/>
    <n v="88"/>
    <x v="6"/>
    <n v="259"/>
  </r>
  <r>
    <n v="1064"/>
    <s v="Hicks and Sons"/>
    <x v="2"/>
    <x v="5"/>
    <s v="Reinforcement Learning"/>
    <s v=" Excel"/>
    <s v=" Azure"/>
    <s v=" SQL"/>
    <s v=" FastAPI"/>
    <n v="138101.5"/>
    <s v=" Pandas"/>
    <s v="Entry"/>
    <x v="3"/>
    <s v="Port Franciscoside"/>
    <s v=" GT"/>
    <n v="93518"/>
    <n v="182685"/>
    <d v="2025-06-12T00:00:00"/>
    <x v="0"/>
    <s v="PyTorch"/>
    <s v=" BigQuery"/>
    <s v=" FastAPI"/>
    <x v="21"/>
    <n v="104"/>
    <x v="5"/>
    <n v="233"/>
  </r>
  <r>
    <n v="1065"/>
    <s v="Torres-Clark"/>
    <x v="3"/>
    <x v="6"/>
    <s v="Excel"/>
    <s v=" Hugging Face"/>
    <s v=" CUDA"/>
    <s v=" Flask"/>
    <s v=" TensorFlow"/>
    <n v="111910"/>
    <s v=" C++"/>
    <s v="Entry"/>
    <x v="2"/>
    <s v="West Jason"/>
    <s v=" RO"/>
    <n v="80174"/>
    <n v="143646"/>
    <d v="2023-10-26T00:00:00"/>
    <x v="1"/>
    <s v="PyTorch"/>
    <s v=" KDB+"/>
    <s v=" BigQuery"/>
    <x v="2"/>
    <n v="101"/>
    <x v="5"/>
    <n v="233"/>
  </r>
  <r>
    <n v="1066"/>
    <s v="Brown Ltd"/>
    <x v="5"/>
    <x v="0"/>
    <s v="C++"/>
    <s v=" GCP"/>
    <s v=" Reinforcement Learning"/>
    <m/>
    <m/>
    <n v="136380"/>
    <m/>
    <s v="Senior"/>
    <x v="2"/>
    <s v="West Keithview"/>
    <s v=" LU"/>
    <n v="90229"/>
    <n v="182531"/>
    <d v="2025-03-13T00:00:00"/>
    <x v="1"/>
    <s v="LangChain"/>
    <m/>
    <m/>
    <x v="8"/>
    <n v="84"/>
    <x v="4"/>
    <n v="268"/>
  </r>
  <r>
    <n v="1067"/>
    <s v="Kerr Ltd"/>
    <x v="3"/>
    <x v="4"/>
    <s v="PyTorch"/>
    <s v=" CUDA"/>
    <s v=" AWS"/>
    <s v=" Reinforcement Learning"/>
    <m/>
    <n v="90661"/>
    <m/>
    <s v="Entry"/>
    <x v="0"/>
    <s v="Juanburgh"/>
    <s v=" TD"/>
    <n v="42741"/>
    <n v="138581"/>
    <d v="2024-01-14T00:00:00"/>
    <x v="1"/>
    <s v="MLflow"/>
    <s v=" PyTorch"/>
    <s v=" TensorFlow"/>
    <x v="14"/>
    <n v="92"/>
    <x v="6"/>
    <n v="259"/>
  </r>
  <r>
    <n v="1068"/>
    <s v="Hobbs, Moreno and Williams"/>
    <x v="2"/>
    <x v="3"/>
    <s v="Scikit-learn"/>
    <s v=" Pandas"/>
    <s v=" Keras"/>
    <s v=" Power BI"/>
    <s v=" TensorFlow"/>
    <n v="176093"/>
    <s v=" LangChain"/>
    <s v="Mid"/>
    <x v="0"/>
    <s v="Andrewmouth"/>
    <s v=" GN"/>
    <n v="141028"/>
    <n v="211158"/>
    <d v="2025-08-31T00:00:00"/>
    <x v="2"/>
    <s v="LangChain"/>
    <s v=" PyTorch"/>
    <s v=" KDB+"/>
    <x v="1"/>
    <n v="76"/>
    <x v="4"/>
    <n v="268"/>
  </r>
  <r>
    <n v="1069"/>
    <s v="Brown, Giles and Thompson"/>
    <x v="4"/>
    <x v="3"/>
    <s v="R"/>
    <s v=" LangChain"/>
    <s v=" MLflow"/>
    <s v=" Power BI"/>
    <s v=" Azure"/>
    <n v="91834"/>
    <s v=" CUDA"/>
    <s v="Entry"/>
    <x v="1"/>
    <s v="North Mistyland"/>
    <s v=" DJ"/>
    <n v="62711"/>
    <n v="120957"/>
    <d v="2025-02-17T00:00:00"/>
    <x v="2"/>
    <s v="BigQuery"/>
    <m/>
    <m/>
    <x v="11"/>
    <n v="86"/>
    <x v="3"/>
    <n v="238"/>
  </r>
  <r>
    <n v="1070"/>
    <s v="Jordan Inc"/>
    <x v="0"/>
    <x v="3"/>
    <s v="AWS"/>
    <s v=" Excel"/>
    <s v=" C++"/>
    <s v=" Keras"/>
    <m/>
    <n v="152448"/>
    <m/>
    <s v="Mid"/>
    <x v="0"/>
    <s v="Joelland"/>
    <s v=" MC"/>
    <n v="140092"/>
    <n v="164804"/>
    <d v="2025-02-28T00:00:00"/>
    <x v="1"/>
    <s v="Scikit-learn"/>
    <m/>
    <m/>
    <x v="10"/>
    <n v="97"/>
    <x v="7"/>
    <n v="255"/>
  </r>
  <r>
    <n v="1071"/>
    <s v="Rodriguez Inc"/>
    <x v="1"/>
    <x v="2"/>
    <s v="AWS"/>
    <s v=" SQL"/>
    <s v=" Scikit-learn"/>
    <s v=" Flask"/>
    <s v=" FastAPI"/>
    <n v="78289.5"/>
    <m/>
    <s v="Mid"/>
    <x v="1"/>
    <s v="Lake Debbie"/>
    <s v=" SZ"/>
    <n v="72382"/>
    <n v="84197"/>
    <d v="2025-04-13T00:00:00"/>
    <x v="1"/>
    <s v="MLflow"/>
    <s v=" LangChain"/>
    <m/>
    <x v="10"/>
    <n v="97"/>
    <x v="6"/>
    <n v="259"/>
  </r>
  <r>
    <n v="1072"/>
    <s v="Evans-Alvarado"/>
    <x v="6"/>
    <x v="6"/>
    <s v="FastAPI"/>
    <s v=" AWS"/>
    <s v=" Pandas"/>
    <s v=" Excel"/>
    <s v=" Reinforcement Learning"/>
    <n v="103274"/>
    <s v=" Azure"/>
    <s v="Senior"/>
    <x v="3"/>
    <s v="Davidmouth"/>
    <s v=" BJ"/>
    <n v="91789"/>
    <n v="114759"/>
    <d v="2025-06-23T00:00:00"/>
    <x v="0"/>
    <s v="FastAPI"/>
    <s v=" TensorFlow"/>
    <s v=" BigQuery"/>
    <x v="20"/>
    <n v="111"/>
    <x v="1"/>
    <n v="251"/>
  </r>
  <r>
    <n v="1073"/>
    <s v="Phillips, Sanchez and Christensen"/>
    <x v="4"/>
    <x v="2"/>
    <s v="CUDA"/>
    <s v=" Pandas"/>
    <s v=" Python"/>
    <s v=" PyTorch"/>
    <s v=" Azure"/>
    <n v="132767"/>
    <s v=" Keras"/>
    <s v="Entry"/>
    <x v="1"/>
    <s v="East Davidchester"/>
    <s v=" NE"/>
    <n v="112036"/>
    <n v="153498"/>
    <d v="2025-02-08T00:00:00"/>
    <x v="0"/>
    <s v="LangChain"/>
    <m/>
    <m/>
    <x v="13"/>
    <n v="75"/>
    <x v="4"/>
    <n v="268"/>
  </r>
  <r>
    <n v="1074"/>
    <s v="Sexton, Davis and Allen"/>
    <x v="0"/>
    <x v="6"/>
    <s v="R"/>
    <s v=" Flask"/>
    <s v=" Keras"/>
    <s v=" GCP"/>
    <s v=" Hugging Face"/>
    <n v="62334"/>
    <m/>
    <s v="Mid"/>
    <x v="0"/>
    <s v="Lake David"/>
    <s v=" FI"/>
    <n v="45224"/>
    <n v="79444"/>
    <d v="2025-06-13T00:00:00"/>
    <x v="2"/>
    <s v="Scikit-learn"/>
    <m/>
    <m/>
    <x v="11"/>
    <n v="86"/>
    <x v="7"/>
    <n v="255"/>
  </r>
  <r>
    <n v="1075"/>
    <s v="Gill, Russo and Hill"/>
    <x v="5"/>
    <x v="4"/>
    <s v="LangChain"/>
    <s v=" Keras"/>
    <s v=" Excel"/>
    <m/>
    <m/>
    <n v="77274.5"/>
    <m/>
    <s v="Entry"/>
    <x v="1"/>
    <s v="Gomezchester"/>
    <s v=" UG"/>
    <n v="62949"/>
    <n v="91600"/>
    <d v="2023-12-19T00:00:00"/>
    <x v="2"/>
    <s v="PyTorch"/>
    <m/>
    <m/>
    <x v="12"/>
    <n v="100"/>
    <x v="5"/>
    <n v="233"/>
  </r>
  <r>
    <n v="1076"/>
    <s v="Walsh, Davis and Tanner"/>
    <x v="5"/>
    <x v="0"/>
    <s v="Power BI"/>
    <s v=" Scikit-learn"/>
    <s v=" Keras"/>
    <s v=" TensorFlow"/>
    <s v=" MLflow"/>
    <n v="111778"/>
    <s v=" SQL"/>
    <s v="Senior"/>
    <x v="0"/>
    <s v="North Brettfurt"/>
    <s v=" MH"/>
    <n v="67630"/>
    <n v="155926"/>
    <d v="2025-04-25T00:00:00"/>
    <x v="0"/>
    <s v="TensorFlow"/>
    <s v=" BigQuery"/>
    <s v=" FastAPI"/>
    <x v="18"/>
    <n v="96"/>
    <x v="2"/>
    <n v="249"/>
  </r>
  <r>
    <n v="1077"/>
    <s v="Green Group"/>
    <x v="4"/>
    <x v="7"/>
    <s v="SQL"/>
    <s v=" Excel"/>
    <s v=" Flask"/>
    <s v=" NumPy"/>
    <s v=" FastAPI"/>
    <n v="114608.5"/>
    <m/>
    <s v="Entry"/>
    <x v="2"/>
    <s v="Port Yvetteland"/>
    <s v=" LK"/>
    <n v="92512"/>
    <n v="136705"/>
    <d v="2023-12-12T00:00:00"/>
    <x v="1"/>
    <s v="TensorFlow"/>
    <s v=" PyTorch"/>
    <m/>
    <x v="17"/>
    <n v="88"/>
    <x v="2"/>
    <n v="249"/>
  </r>
  <r>
    <n v="1078"/>
    <s v="Wilson, Wilson and Austin"/>
    <x v="2"/>
    <x v="0"/>
    <s v="GCP"/>
    <s v=" SQL"/>
    <s v=" Keras"/>
    <s v=" AWS"/>
    <s v=" Python"/>
    <n v="106980"/>
    <m/>
    <s v="Mid"/>
    <x v="3"/>
    <s v="Mistyfurt"/>
    <s v=" KP"/>
    <n v="96374"/>
    <n v="117586"/>
    <d v="2024-06-18T00:00:00"/>
    <x v="0"/>
    <s v="TensorFlow"/>
    <s v=" FastAPI"/>
    <m/>
    <x v="4"/>
    <n v="78"/>
    <x v="2"/>
    <n v="249"/>
  </r>
  <r>
    <n v="1079"/>
    <s v="Williams-Thomas"/>
    <x v="6"/>
    <x v="6"/>
    <s v="Flask"/>
    <s v=" AWS"/>
    <s v=" Reinforcement Learning"/>
    <s v=" LangChain"/>
    <s v=" FastAPI"/>
    <n v="104487.5"/>
    <m/>
    <s v="Mid"/>
    <x v="1"/>
    <s v="North Patricia"/>
    <s v=" YE"/>
    <n v="72840"/>
    <n v="136135"/>
    <d v="2025-05-28T00:00:00"/>
    <x v="0"/>
    <s v="PyTorch"/>
    <m/>
    <m/>
    <x v="16"/>
    <n v="86"/>
    <x v="5"/>
    <n v="233"/>
  </r>
  <r>
    <n v="1080"/>
    <s v="Thompson, Gibson and Simmons"/>
    <x v="6"/>
    <x v="6"/>
    <s v="Python"/>
    <s v=" AWS"/>
    <s v=" MLflow"/>
    <s v=" C++"/>
    <s v=" R"/>
    <n v="149956"/>
    <m/>
    <s v="Mid"/>
    <x v="3"/>
    <s v="Gutierreztown"/>
    <s v=" TJ"/>
    <n v="107564"/>
    <n v="192348"/>
    <d v="2025-09-01T00:00:00"/>
    <x v="1"/>
    <s v="FastAPI"/>
    <m/>
    <m/>
    <x v="5"/>
    <n v="94"/>
    <x v="1"/>
    <n v="251"/>
  </r>
  <r>
    <n v="1081"/>
    <s v="Bush, Dennis and Burke"/>
    <x v="5"/>
    <x v="2"/>
    <s v="Python"/>
    <s v=" MLflow"/>
    <s v=" LangChain"/>
    <s v=" GCP"/>
    <s v=" PyTorch"/>
    <n v="127538"/>
    <s v=" Keras"/>
    <s v="Entry"/>
    <x v="0"/>
    <s v="Benitezfurt"/>
    <s v=" ST"/>
    <n v="101793"/>
    <n v="153283"/>
    <d v="2024-07-14T00:00:00"/>
    <x v="2"/>
    <s v="PyTorch"/>
    <s v=" Scikit-learn"/>
    <s v=" BigQuery"/>
    <x v="5"/>
    <n v="94"/>
    <x v="5"/>
    <n v="233"/>
  </r>
  <r>
    <n v="1082"/>
    <s v="Anderson and Sons"/>
    <x v="6"/>
    <x v="0"/>
    <s v="AWS"/>
    <s v=" Excel"/>
    <s v=" Keras"/>
    <s v=" Power BI"/>
    <s v=" CUDA"/>
    <n v="134659.5"/>
    <s v=" Flask"/>
    <s v="Senior"/>
    <x v="3"/>
    <s v="Griffintown"/>
    <s v=" KP"/>
    <n v="111604"/>
    <n v="157715"/>
    <d v="2025-03-25T00:00:00"/>
    <x v="2"/>
    <s v="BigQuery"/>
    <s v=" MLflow"/>
    <m/>
    <x v="10"/>
    <n v="97"/>
    <x v="3"/>
    <n v="238"/>
  </r>
  <r>
    <n v="1083"/>
    <s v="Russell, Wood and Robertson"/>
    <x v="4"/>
    <x v="4"/>
    <s v="Python"/>
    <s v=" Excel"/>
    <s v=" FastAPI"/>
    <s v=" GCP"/>
    <s v=" C++"/>
    <n v="133737.5"/>
    <s v=" PyTorch"/>
    <s v="Senior"/>
    <x v="3"/>
    <s v="Gonzalezstad"/>
    <s v=" VN"/>
    <n v="124909"/>
    <n v="142566"/>
    <d v="2025-09-01T00:00:00"/>
    <x v="1"/>
    <s v="MLflow"/>
    <s v=" LangChain"/>
    <s v=" BigQuery"/>
    <x v="5"/>
    <n v="94"/>
    <x v="6"/>
    <n v="259"/>
  </r>
  <r>
    <n v="1084"/>
    <s v="Johnson LLC"/>
    <x v="1"/>
    <x v="5"/>
    <s v="GCP"/>
    <s v=" Azure"/>
    <s v=" CUDA"/>
    <s v=" AWS"/>
    <s v=" PyTorch"/>
    <n v="186577"/>
    <m/>
    <s v="Senior"/>
    <x v="2"/>
    <s v="South Christopher"/>
    <s v=" FJ"/>
    <n v="142140"/>
    <n v="231014"/>
    <d v="2024-02-15T00:00:00"/>
    <x v="2"/>
    <s v="TensorFlow"/>
    <s v=" MLflow"/>
    <s v=" Scikit-learn"/>
    <x v="4"/>
    <n v="78"/>
    <x v="2"/>
    <n v="249"/>
  </r>
  <r>
    <n v="1085"/>
    <s v="Kaufman LLC"/>
    <x v="1"/>
    <x v="3"/>
    <s v="AWS"/>
    <s v=" Excel"/>
    <s v=" SQL"/>
    <s v=" Scikit-learn"/>
    <m/>
    <n v="114475.5"/>
    <m/>
    <s v="Senior"/>
    <x v="0"/>
    <s v="Port Ianfurt"/>
    <s v=" LR"/>
    <n v="74360"/>
    <n v="154591"/>
    <d v="2023-12-24T00:00:00"/>
    <x v="2"/>
    <s v="Scikit-learn"/>
    <s v=" KDB+"/>
    <s v=" PyTorch"/>
    <x v="10"/>
    <n v="97"/>
    <x v="7"/>
    <n v="255"/>
  </r>
  <r>
    <n v="1086"/>
    <s v="Murphy LLC"/>
    <x v="0"/>
    <x v="0"/>
    <s v="Keras"/>
    <s v=" TensorFlow"/>
    <s v=" MLflow"/>
    <s v=" NumPy"/>
    <s v=" Pandas"/>
    <n v="173965.5"/>
    <s v=" Scikit-learn"/>
    <s v="Senior"/>
    <x v="2"/>
    <s v="Whitefort"/>
    <s v=" NI"/>
    <n v="142266"/>
    <n v="205665"/>
    <d v="2024-04-06T00:00:00"/>
    <x v="0"/>
    <s v="LangChain"/>
    <s v=" FastAPI"/>
    <s v=" PyTorch"/>
    <x v="7"/>
    <n v="96"/>
    <x v="4"/>
    <n v="268"/>
  </r>
  <r>
    <n v="1087"/>
    <s v="Matthews-Collins"/>
    <x v="4"/>
    <x v="6"/>
    <s v="Flask"/>
    <s v=" Pandas"/>
    <s v=" GCP"/>
    <m/>
    <m/>
    <n v="129362.5"/>
    <m/>
    <s v="Senior"/>
    <x v="0"/>
    <s v="Jonesville"/>
    <s v=" TO"/>
    <n v="85449"/>
    <n v="173276"/>
    <d v="2025-01-24T00:00:00"/>
    <x v="1"/>
    <s v="LangChain"/>
    <s v=" PyTorch"/>
    <m/>
    <x v="16"/>
    <n v="86"/>
    <x v="4"/>
    <n v="268"/>
  </r>
  <r>
    <n v="1088"/>
    <s v="Rivas PLC"/>
    <x v="6"/>
    <x v="2"/>
    <s v="CUDA"/>
    <s v=" SQL"/>
    <s v=" Azure"/>
    <s v=" MLflow"/>
    <s v=" Python"/>
    <n v="77838.5"/>
    <s v=" GCP"/>
    <s v="Mid"/>
    <x v="2"/>
    <s v="South Timothystad"/>
    <s v=" CH"/>
    <n v="72838"/>
    <n v="82839"/>
    <d v="2023-09-26T00:00:00"/>
    <x v="2"/>
    <s v="KDB+"/>
    <m/>
    <m/>
    <x v="13"/>
    <n v="75"/>
    <x v="0"/>
    <n v="247"/>
  </r>
  <r>
    <n v="1089"/>
    <s v="Alvarez PLC"/>
    <x v="5"/>
    <x v="1"/>
    <s v="Azure"/>
    <s v=" Flask"/>
    <s v=" PyTorch"/>
    <s v=" C++"/>
    <s v=" GCP"/>
    <n v="76485"/>
    <s v=" Pandas"/>
    <s v="Entry"/>
    <x v="3"/>
    <s v="North Connorfurt"/>
    <s v=" PA"/>
    <n v="58883"/>
    <n v="94087"/>
    <d v="2024-01-13T00:00:00"/>
    <x v="1"/>
    <s v="KDB+"/>
    <s v=" TensorFlow"/>
    <m/>
    <x v="15"/>
    <n v="90"/>
    <x v="0"/>
    <n v="247"/>
  </r>
  <r>
    <n v="1090"/>
    <s v="Best Inc"/>
    <x v="4"/>
    <x v="0"/>
    <s v="FastAPI"/>
    <s v=" Excel"/>
    <s v=" AWS"/>
    <s v=" TensorFlow"/>
    <m/>
    <n v="187086"/>
    <m/>
    <s v="Entry"/>
    <x v="1"/>
    <s v="Lake Melanie"/>
    <s v=" VU"/>
    <n v="137871"/>
    <n v="236301"/>
    <d v="2024-07-19T00:00:00"/>
    <x v="1"/>
    <s v="PyTorch"/>
    <m/>
    <m/>
    <x v="20"/>
    <n v="111"/>
    <x v="5"/>
    <n v="233"/>
  </r>
  <r>
    <n v="1091"/>
    <s v="Ochoa, Davidson and Thomas"/>
    <x v="3"/>
    <x v="4"/>
    <s v="Azure"/>
    <s v=" Keras"/>
    <s v=" C++"/>
    <s v=" LangChain"/>
    <m/>
    <n v="110571.5"/>
    <m/>
    <s v="Senior"/>
    <x v="3"/>
    <s v="Coryton"/>
    <s v=" WS"/>
    <n v="72807"/>
    <n v="148336"/>
    <d v="2025-03-11T00:00:00"/>
    <x v="0"/>
    <s v="TensorFlow"/>
    <s v=" BigQuery"/>
    <m/>
    <x v="15"/>
    <n v="90"/>
    <x v="2"/>
    <n v="249"/>
  </r>
  <r>
    <n v="1092"/>
    <s v="Reilly, Barajas and Hughes"/>
    <x v="2"/>
    <x v="2"/>
    <s v="CUDA"/>
    <s v=" Excel"/>
    <s v=" FastAPI"/>
    <s v=" MLflow"/>
    <s v=" Azure"/>
    <n v="151514"/>
    <s v=" Power BI"/>
    <s v="Senior"/>
    <x v="0"/>
    <s v="South Kathleen"/>
    <s v=" MV"/>
    <n v="121770"/>
    <n v="181258"/>
    <d v="2024-02-23T00:00:00"/>
    <x v="2"/>
    <s v="FastAPI"/>
    <s v=" BigQuery"/>
    <m/>
    <x v="13"/>
    <n v="75"/>
    <x v="1"/>
    <n v="251"/>
  </r>
  <r>
    <n v="1093"/>
    <s v="Dixon, Wright and Smith"/>
    <x v="3"/>
    <x v="0"/>
    <s v="MLflow"/>
    <s v=" SQL"/>
    <s v=" Pandas"/>
    <m/>
    <m/>
    <n v="100524"/>
    <m/>
    <s v="Entry"/>
    <x v="1"/>
    <s v="Markfort"/>
    <s v=" NO"/>
    <n v="59736"/>
    <n v="141312"/>
    <d v="2025-09-10T00:00:00"/>
    <x v="0"/>
    <s v="BigQuery"/>
    <s v=" KDB+"/>
    <m/>
    <x v="3"/>
    <n v="80"/>
    <x v="3"/>
    <n v="238"/>
  </r>
  <r>
    <n v="1094"/>
    <s v="Sawyer, Hall and Lowe"/>
    <x v="5"/>
    <x v="0"/>
    <s v="CUDA"/>
    <s v=" NumPy"/>
    <s v=" Keras"/>
    <m/>
    <m/>
    <n v="87406.5"/>
    <m/>
    <s v="Mid"/>
    <x v="1"/>
    <s v="Nancyberg"/>
    <s v=" AF"/>
    <n v="54563"/>
    <n v="120250"/>
    <d v="2023-12-28T00:00:00"/>
    <x v="0"/>
    <s v="TensorFlow"/>
    <s v=" MLflow"/>
    <s v=" PyTorch"/>
    <x v="13"/>
    <n v="75"/>
    <x v="2"/>
    <n v="249"/>
  </r>
  <r>
    <n v="1095"/>
    <s v="Donaldson, Espinoza and Mills"/>
    <x v="1"/>
    <x v="2"/>
    <s v="C++"/>
    <s v=" Reinforcement Learning"/>
    <s v=" Flask"/>
    <s v=" AWS"/>
    <s v=" Scikit-learn"/>
    <n v="100666"/>
    <s v=" NumPy"/>
    <s v="Senior"/>
    <x v="0"/>
    <s v="Matthewsberg"/>
    <s v=" DO"/>
    <n v="59528"/>
    <n v="141804"/>
    <d v="2024-12-11T00:00:00"/>
    <x v="1"/>
    <s v="FastAPI"/>
    <m/>
    <m/>
    <x v="8"/>
    <n v="84"/>
    <x v="1"/>
    <n v="251"/>
  </r>
  <r>
    <n v="1096"/>
    <s v="Davis-Moore"/>
    <x v="6"/>
    <x v="1"/>
    <s v="PyTorch"/>
    <s v=" Python"/>
    <s v=" FastAPI"/>
    <s v=" Azure"/>
    <s v=" LangChain"/>
    <n v="149045.5"/>
    <m/>
    <s v="Senior"/>
    <x v="0"/>
    <s v="North Jessica"/>
    <s v=" VC"/>
    <n v="135458"/>
    <n v="162633"/>
    <d v="2025-09-19T00:00:00"/>
    <x v="1"/>
    <s v="FastAPI"/>
    <s v=" KDB+"/>
    <s v=" TensorFlow"/>
    <x v="14"/>
    <n v="92"/>
    <x v="1"/>
    <n v="251"/>
  </r>
  <r>
    <n v="1097"/>
    <s v="Clark PLC"/>
    <x v="6"/>
    <x v="6"/>
    <s v="GCP"/>
    <s v=" Scikit-learn"/>
    <s v=" CUDA"/>
    <s v=" R"/>
    <s v=" AWS"/>
    <n v="148213.5"/>
    <s v=" Pandas"/>
    <s v="Mid"/>
    <x v="1"/>
    <s v="New Austin"/>
    <s v=" BZ"/>
    <n v="120849"/>
    <n v="175578"/>
    <d v="2025-03-20T00:00:00"/>
    <x v="2"/>
    <s v="TensorFlow"/>
    <m/>
    <m/>
    <x v="4"/>
    <n v="78"/>
    <x v="2"/>
    <n v="249"/>
  </r>
  <r>
    <n v="1098"/>
    <s v="Lynch-Coffey"/>
    <x v="5"/>
    <x v="3"/>
    <s v="Azure"/>
    <s v=" R"/>
    <s v=" Hugging Face"/>
    <s v=" SQL"/>
    <s v=" MLflow"/>
    <n v="138483.5"/>
    <s v=" Flask"/>
    <s v="Entry"/>
    <x v="1"/>
    <s v="Deborahton"/>
    <s v=" CV"/>
    <n v="114398"/>
    <n v="162569"/>
    <d v="2023-10-11T00:00:00"/>
    <x v="0"/>
    <s v="TensorFlow"/>
    <s v=" LangChain"/>
    <m/>
    <x v="15"/>
    <n v="90"/>
    <x v="2"/>
    <n v="249"/>
  </r>
  <r>
    <n v="1099"/>
    <s v="Archer Ltd"/>
    <x v="1"/>
    <x v="2"/>
    <s v="Keras"/>
    <s v=" Azure"/>
    <s v=" C++"/>
    <s v=" Reinforcement Learning"/>
    <s v=" Hugging Face"/>
    <n v="115909.5"/>
    <m/>
    <s v="Entry"/>
    <x v="3"/>
    <s v="Allisonview"/>
    <s v=" ET"/>
    <n v="102033"/>
    <n v="129786"/>
    <d v="2024-09-16T00:00:00"/>
    <x v="1"/>
    <s v="Scikit-learn"/>
    <m/>
    <m/>
    <x v="7"/>
    <n v="96"/>
    <x v="7"/>
    <n v="255"/>
  </r>
  <r>
    <n v="1100"/>
    <s v="Estrada, Perry and Jackson"/>
    <x v="4"/>
    <x v="2"/>
    <s v="NumPy"/>
    <s v=" Hugging Face"/>
    <s v=" CUDA"/>
    <s v=" Flask"/>
    <m/>
    <n v="130657.5"/>
    <m/>
    <s v="Mid"/>
    <x v="1"/>
    <s v="Eatonmouth"/>
    <s v=" PW"/>
    <n v="109096"/>
    <n v="152219"/>
    <d v="2023-10-13T00:00:00"/>
    <x v="2"/>
    <s v="TensorFlow"/>
    <s v=" BigQuery"/>
    <m/>
    <x v="0"/>
    <n v="104"/>
    <x v="2"/>
    <n v="249"/>
  </r>
  <r>
    <n v="1101"/>
    <s v="Shelton-Ellison"/>
    <x v="0"/>
    <x v="6"/>
    <s v="FastAPI"/>
    <s v=" C++"/>
    <s v=" R"/>
    <s v=" Scikit-learn"/>
    <s v=" GCP"/>
    <n v="83249.5"/>
    <s v=" Flask"/>
    <s v="Mid"/>
    <x v="1"/>
    <s v="Davistown"/>
    <s v=" NA"/>
    <n v="42116"/>
    <n v="124383"/>
    <d v="2024-06-21T00:00:00"/>
    <x v="0"/>
    <s v="PyTorch"/>
    <s v=" FastAPI"/>
    <s v=" MLflow"/>
    <x v="20"/>
    <n v="111"/>
    <x v="5"/>
    <n v="233"/>
  </r>
  <r>
    <n v="1102"/>
    <s v="Montgomery Inc"/>
    <x v="2"/>
    <x v="5"/>
    <s v="Power BI"/>
    <s v=" R"/>
    <s v=" Python"/>
    <s v=" C++"/>
    <s v=" SQL"/>
    <n v="140450.5"/>
    <m/>
    <s v="Entry"/>
    <x v="1"/>
    <s v="Danielside"/>
    <s v=" SZ"/>
    <n v="101352"/>
    <n v="179549"/>
    <d v="2024-07-25T00:00:00"/>
    <x v="0"/>
    <s v="KDB+"/>
    <m/>
    <m/>
    <x v="18"/>
    <n v="96"/>
    <x v="0"/>
    <n v="247"/>
  </r>
  <r>
    <n v="1103"/>
    <s v="Rios, Evans and Foster"/>
    <x v="6"/>
    <x v="7"/>
    <s v="R"/>
    <s v=" Python"/>
    <s v=" Reinforcement Learning"/>
    <m/>
    <m/>
    <n v="110308.5"/>
    <m/>
    <s v="Senior"/>
    <x v="0"/>
    <s v="Hernandezland"/>
    <s v=" ZA"/>
    <n v="66107"/>
    <n v="154510"/>
    <d v="2024-11-21T00:00:00"/>
    <x v="0"/>
    <s v="FastAPI"/>
    <s v=" PyTorch"/>
    <m/>
    <x v="11"/>
    <n v="86"/>
    <x v="1"/>
    <n v="251"/>
  </r>
  <r>
    <n v="1104"/>
    <s v="Garcia, Lopez and Santiago"/>
    <x v="2"/>
    <x v="6"/>
    <s v="LangChain"/>
    <s v=" Azure"/>
    <s v=" PyTorch"/>
    <s v=" FastAPI"/>
    <m/>
    <n v="54206.5"/>
    <m/>
    <s v="Senior"/>
    <x v="3"/>
    <s v="New Jared"/>
    <s v=" BB"/>
    <n v="47058"/>
    <n v="61355"/>
    <d v="2024-12-03T00:00:00"/>
    <x v="1"/>
    <s v="Scikit-learn"/>
    <m/>
    <m/>
    <x v="12"/>
    <n v="100"/>
    <x v="7"/>
    <n v="255"/>
  </r>
  <r>
    <n v="1105"/>
    <s v="Bell Group"/>
    <x v="2"/>
    <x v="7"/>
    <s v="Hugging Face"/>
    <s v=" GCP"/>
    <s v=" FastAPI"/>
    <m/>
    <m/>
    <n v="155207.5"/>
    <m/>
    <s v="Entry"/>
    <x v="0"/>
    <s v="Nicholaschester"/>
    <s v=" KE"/>
    <n v="134451"/>
    <n v="175964"/>
    <d v="2023-11-11T00:00:00"/>
    <x v="2"/>
    <s v="LangChain"/>
    <m/>
    <m/>
    <x v="9"/>
    <n v="89"/>
    <x v="4"/>
    <n v="268"/>
  </r>
  <r>
    <n v="1106"/>
    <s v="Stevens-Foster"/>
    <x v="1"/>
    <x v="0"/>
    <s v="Power BI"/>
    <s v=" Python"/>
    <s v=" Pandas"/>
    <s v=" AWS"/>
    <m/>
    <n v="88779.5"/>
    <m/>
    <s v="Entry"/>
    <x v="0"/>
    <s v="Blairside"/>
    <s v=" GH"/>
    <n v="65526"/>
    <n v="112033"/>
    <d v="2024-03-13T00:00:00"/>
    <x v="2"/>
    <s v="Scikit-learn"/>
    <s v=" PyTorch"/>
    <s v=" BigQuery"/>
    <x v="18"/>
    <n v="96"/>
    <x v="7"/>
    <n v="255"/>
  </r>
  <r>
    <n v="1107"/>
    <s v="Sawyer PLC"/>
    <x v="4"/>
    <x v="6"/>
    <s v="Hugging Face"/>
    <s v=" Azure"/>
    <s v=" SQL"/>
    <m/>
    <m/>
    <n v="121133.5"/>
    <m/>
    <s v="Mid"/>
    <x v="1"/>
    <s v="Bryceport"/>
    <s v=" AO"/>
    <n v="98233"/>
    <n v="144034"/>
    <d v="2025-01-17T00:00:00"/>
    <x v="0"/>
    <s v="MLflow"/>
    <s v=" BigQuery"/>
    <s v=" PyTorch"/>
    <x v="9"/>
    <n v="89"/>
    <x v="6"/>
    <n v="259"/>
  </r>
  <r>
    <n v="1108"/>
    <s v="Hurley-Scott"/>
    <x v="0"/>
    <x v="4"/>
    <s v="R"/>
    <s v=" CUDA"/>
    <s v=" Reinforcement Learning"/>
    <m/>
    <m/>
    <n v="78205.5"/>
    <m/>
    <s v="Senior"/>
    <x v="1"/>
    <s v="West Christian"/>
    <s v=" SO"/>
    <n v="63107"/>
    <n v="93304"/>
    <d v="2024-07-24T00:00:00"/>
    <x v="2"/>
    <s v="TensorFlow"/>
    <s v=" BigQuery"/>
    <s v=" MLflow"/>
    <x v="11"/>
    <n v="86"/>
    <x v="2"/>
    <n v="249"/>
  </r>
  <r>
    <n v="1109"/>
    <s v="Black-Bennett"/>
    <x v="1"/>
    <x v="4"/>
    <s v="Reinforcement Learning"/>
    <s v=" Hugging Face"/>
    <s v=" CUDA"/>
    <s v=" MLflow"/>
    <s v=" AWS"/>
    <n v="137462"/>
    <s v=" PyTorch"/>
    <s v="Mid"/>
    <x v="2"/>
    <s v="Lake Toddmouth"/>
    <s v=" IN"/>
    <n v="111226"/>
    <n v="163698"/>
    <d v="2024-09-13T00:00:00"/>
    <x v="1"/>
    <s v="LangChain"/>
    <s v=" TensorFlow"/>
    <s v=" KDB+"/>
    <x v="21"/>
    <n v="104"/>
    <x v="4"/>
    <n v="268"/>
  </r>
  <r>
    <n v="1110"/>
    <s v="Perez Group"/>
    <x v="1"/>
    <x v="2"/>
    <s v="Scikit-learn"/>
    <s v=" Pandas"/>
    <s v=" FastAPI"/>
    <s v=" AWS"/>
    <s v=" Python"/>
    <n v="115309.5"/>
    <m/>
    <s v="Mid"/>
    <x v="2"/>
    <s v="South Erikchester"/>
    <s v=" GA"/>
    <n v="75074"/>
    <n v="155545"/>
    <d v="2023-11-11T00:00:00"/>
    <x v="0"/>
    <s v="FastAPI"/>
    <s v=" LangChain"/>
    <m/>
    <x v="1"/>
    <n v="76"/>
    <x v="1"/>
    <n v="251"/>
  </r>
  <r>
    <n v="1111"/>
    <s v="Saunders, Bradford and Sharp"/>
    <x v="4"/>
    <x v="4"/>
    <s v="Pandas"/>
    <s v=" Excel"/>
    <s v=" Flask"/>
    <s v=" LangChain"/>
    <s v=" Scikit-learn"/>
    <n v="113066"/>
    <s v=" TensorFlow"/>
    <s v="Mid"/>
    <x v="0"/>
    <s v="Port Meganstad"/>
    <s v=" GW"/>
    <n v="80973"/>
    <n v="145159"/>
    <d v="2023-10-03T00:00:00"/>
    <x v="0"/>
    <s v="KDB+"/>
    <s v=" LangChain"/>
    <s v=" PyTorch"/>
    <x v="6"/>
    <n v="78"/>
    <x v="0"/>
    <n v="247"/>
  </r>
  <r>
    <n v="1112"/>
    <s v="Hudson-Gordon"/>
    <x v="3"/>
    <x v="4"/>
    <s v="FastAPI"/>
    <s v=" SQL"/>
    <s v=" Scikit-learn"/>
    <m/>
    <m/>
    <n v="106442"/>
    <m/>
    <s v="Mid"/>
    <x v="2"/>
    <s v="Port Erikaburgh"/>
    <s v=" PG"/>
    <n v="93507"/>
    <n v="119377"/>
    <d v="2024-04-27T00:00:00"/>
    <x v="2"/>
    <s v="LangChain"/>
    <m/>
    <m/>
    <x v="20"/>
    <n v="111"/>
    <x v="4"/>
    <n v="268"/>
  </r>
  <r>
    <n v="1113"/>
    <s v="Nelson, Maddox and Klein"/>
    <x v="2"/>
    <x v="3"/>
    <s v="Flask"/>
    <s v=" MLflow"/>
    <s v=" Scikit-learn"/>
    <m/>
    <m/>
    <n v="64705"/>
    <m/>
    <s v="Senior"/>
    <x v="1"/>
    <s v="Philipmouth"/>
    <s v=" GQ"/>
    <n v="50076"/>
    <n v="79334"/>
    <d v="2024-10-21T00:00:00"/>
    <x v="0"/>
    <s v="Scikit-learn"/>
    <s v=" FastAPI"/>
    <m/>
    <x v="16"/>
    <n v="86"/>
    <x v="7"/>
    <n v="255"/>
  </r>
  <r>
    <n v="1114"/>
    <s v="Clark, Price and Dickson"/>
    <x v="5"/>
    <x v="5"/>
    <s v="C++"/>
    <s v=" Keras"/>
    <s v=" Pandas"/>
    <m/>
    <m/>
    <n v="177054.5"/>
    <m/>
    <s v="Entry"/>
    <x v="2"/>
    <s v="Lake Misty"/>
    <s v=" MZ"/>
    <n v="134300"/>
    <n v="219809"/>
    <d v="2025-04-06T00:00:00"/>
    <x v="1"/>
    <s v="Scikit-learn"/>
    <s v=" FastAPI"/>
    <s v=" TensorFlow"/>
    <x v="8"/>
    <n v="84"/>
    <x v="7"/>
    <n v="255"/>
  </r>
  <r>
    <n v="1115"/>
    <s v="Gonzalez PLC"/>
    <x v="1"/>
    <x v="6"/>
    <s v="Keras"/>
    <s v=" Azure"/>
    <s v=" C++"/>
    <m/>
    <m/>
    <n v="143227.5"/>
    <m/>
    <s v="Entry"/>
    <x v="1"/>
    <s v="Campbellmouth"/>
    <s v=" IN"/>
    <n v="97395"/>
    <n v="189060"/>
    <d v="2024-12-23T00:00:00"/>
    <x v="0"/>
    <s v="FastAPI"/>
    <s v=" LangChain"/>
    <m/>
    <x v="7"/>
    <n v="96"/>
    <x v="1"/>
    <n v="251"/>
  </r>
  <r>
    <n v="1116"/>
    <s v="Pierce Inc"/>
    <x v="5"/>
    <x v="6"/>
    <s v="C++"/>
    <s v=" CUDA"/>
    <s v=" Power BI"/>
    <s v=" TensorFlow"/>
    <m/>
    <n v="182145"/>
    <m/>
    <s v="Senior"/>
    <x v="1"/>
    <s v="Collierchester"/>
    <s v=" PH"/>
    <n v="144238"/>
    <n v="220052"/>
    <d v="2024-01-14T00:00:00"/>
    <x v="1"/>
    <s v="Scikit-learn"/>
    <s v=" TensorFlow"/>
    <m/>
    <x v="8"/>
    <n v="84"/>
    <x v="7"/>
    <n v="255"/>
  </r>
  <r>
    <n v="1117"/>
    <s v="House, Bond and Myers"/>
    <x v="4"/>
    <x v="5"/>
    <s v="R"/>
    <s v=" C++"/>
    <s v=" SQL"/>
    <s v=" GCP"/>
    <s v=" MLflow"/>
    <n v="190330.5"/>
    <s v=" TensorFlow"/>
    <s v="Mid"/>
    <x v="2"/>
    <s v="West Cathy"/>
    <s v=" PG"/>
    <n v="149741"/>
    <n v="230920"/>
    <d v="2024-07-04T00:00:00"/>
    <x v="0"/>
    <s v="LangChain"/>
    <s v=" MLflow"/>
    <s v=" TensorFlow"/>
    <x v="11"/>
    <n v="86"/>
    <x v="4"/>
    <n v="268"/>
  </r>
  <r>
    <n v="1118"/>
    <s v="Johns Inc"/>
    <x v="6"/>
    <x v="7"/>
    <s v="LangChain"/>
    <s v=" Reinforcement Learning"/>
    <s v=" Flask"/>
    <m/>
    <m/>
    <n v="121556.5"/>
    <m/>
    <s v="Senior"/>
    <x v="2"/>
    <s v="Rodriguezstad"/>
    <s v=" GN"/>
    <n v="106079"/>
    <n v="137034"/>
    <d v="2023-12-08T00:00:00"/>
    <x v="1"/>
    <s v="KDB+"/>
    <s v=" TensorFlow"/>
    <s v=" FastAPI"/>
    <x v="12"/>
    <n v="100"/>
    <x v="0"/>
    <n v="247"/>
  </r>
  <r>
    <n v="1119"/>
    <s v="Matthews, Mcdowell and Reynolds"/>
    <x v="5"/>
    <x v="1"/>
    <s v="Reinforcement Learning"/>
    <s v=" Excel"/>
    <s v=" Power BI"/>
    <s v=" Hugging Face"/>
    <m/>
    <n v="132009"/>
    <m/>
    <s v="Senior"/>
    <x v="3"/>
    <s v="Port Jeffstad"/>
    <s v=" MD"/>
    <n v="98445"/>
    <n v="165573"/>
    <d v="2024-11-27T00:00:00"/>
    <x v="2"/>
    <s v="TensorFlow"/>
    <s v=" Scikit-learn"/>
    <m/>
    <x v="21"/>
    <n v="104"/>
    <x v="2"/>
    <n v="249"/>
  </r>
  <r>
    <n v="1120"/>
    <s v="Navarro-Costa"/>
    <x v="6"/>
    <x v="3"/>
    <s v="C++"/>
    <s v=" TensorFlow"/>
    <s v=" FastAPI"/>
    <s v=" AWS"/>
    <s v=" Reinforcement Learning"/>
    <n v="65931"/>
    <m/>
    <s v="Senior"/>
    <x v="2"/>
    <s v="Lawrenceton"/>
    <s v=" BG"/>
    <n v="43140"/>
    <n v="88722"/>
    <d v="2024-09-17T00:00:00"/>
    <x v="2"/>
    <s v="KDB+"/>
    <s v=" PyTorch"/>
    <m/>
    <x v="8"/>
    <n v="84"/>
    <x v="0"/>
    <n v="247"/>
  </r>
  <r>
    <n v="1121"/>
    <s v="Morris Inc"/>
    <x v="3"/>
    <x v="2"/>
    <s v="Scikit-learn"/>
    <s v=" LangChain"/>
    <s v=" MLflow"/>
    <s v=" Flask"/>
    <m/>
    <n v="86689.5"/>
    <m/>
    <s v="Mid"/>
    <x v="3"/>
    <s v="Zunigaside"/>
    <s v=" DM"/>
    <n v="52046"/>
    <n v="121333"/>
    <d v="2024-01-29T00:00:00"/>
    <x v="0"/>
    <s v="KDB+"/>
    <s v=" LangChain"/>
    <s v=" Scikit-learn"/>
    <x v="1"/>
    <n v="76"/>
    <x v="0"/>
    <n v="247"/>
  </r>
  <r>
    <n v="1122"/>
    <s v="Miller, Pena and Spencer"/>
    <x v="4"/>
    <x v="2"/>
    <s v="Keras"/>
    <s v=" FastAPI"/>
    <s v=" Scikit-learn"/>
    <s v=" R"/>
    <s v=" Hugging Face"/>
    <n v="111885"/>
    <s v=" PyTorch"/>
    <s v="Entry"/>
    <x v="3"/>
    <s v="East Timothy"/>
    <s v=" BF"/>
    <n v="99858"/>
    <n v="123912"/>
    <d v="2025-01-27T00:00:00"/>
    <x v="2"/>
    <s v="MLflow"/>
    <s v=" PyTorch"/>
    <m/>
    <x v="7"/>
    <n v="96"/>
    <x v="6"/>
    <n v="259"/>
  </r>
  <r>
    <n v="1123"/>
    <s v="Davis, Sosa and Greene"/>
    <x v="2"/>
    <x v="4"/>
    <s v="Keras"/>
    <s v=" Pandas"/>
    <s v=" R"/>
    <s v=" Excel"/>
    <s v=" SQL"/>
    <n v="125497.5"/>
    <m/>
    <s v="Mid"/>
    <x v="2"/>
    <s v="North Kristafort"/>
    <s v=" CV"/>
    <n v="88347"/>
    <n v="162648"/>
    <d v="2024-04-22T00:00:00"/>
    <x v="1"/>
    <s v="MLflow"/>
    <s v=" PyTorch"/>
    <s v=" BigQuery"/>
    <x v="7"/>
    <n v="96"/>
    <x v="6"/>
    <n v="259"/>
  </r>
  <r>
    <n v="1124"/>
    <s v="Klein, Jordan and Lang"/>
    <x v="4"/>
    <x v="6"/>
    <s v="AWS"/>
    <s v=" GCP"/>
    <s v=" Azure"/>
    <m/>
    <m/>
    <n v="127050"/>
    <m/>
    <s v="Entry"/>
    <x v="3"/>
    <s v="Scottport"/>
    <s v=" SZ"/>
    <n v="111367"/>
    <n v="142733"/>
    <d v="2024-12-11T00:00:00"/>
    <x v="0"/>
    <s v="TensorFlow"/>
    <s v=" MLflow"/>
    <s v=" LangChain"/>
    <x v="10"/>
    <n v="97"/>
    <x v="2"/>
    <n v="249"/>
  </r>
  <r>
    <n v="1125"/>
    <s v="Valdez, Nguyen and Espinoza"/>
    <x v="0"/>
    <x v="0"/>
    <s v="Power BI"/>
    <s v=" R"/>
    <s v=" LangChain"/>
    <s v=" C++"/>
    <m/>
    <n v="111235.5"/>
    <m/>
    <s v="Entry"/>
    <x v="0"/>
    <s v="Andreatown"/>
    <s v=" SR"/>
    <n v="78429"/>
    <n v="144042"/>
    <d v="2025-08-04T00:00:00"/>
    <x v="1"/>
    <s v="BigQuery"/>
    <s v=" KDB+"/>
    <m/>
    <x v="18"/>
    <n v="96"/>
    <x v="3"/>
    <n v="238"/>
  </r>
  <r>
    <n v="1126"/>
    <s v="Patterson-Salazar"/>
    <x v="3"/>
    <x v="1"/>
    <s v="C++"/>
    <s v=" Hugging Face"/>
    <s v=" Flask"/>
    <m/>
    <m/>
    <n v="175832"/>
    <m/>
    <s v="Senior"/>
    <x v="3"/>
    <s v="Port Nicholas"/>
    <s v=" KW"/>
    <n v="134633"/>
    <n v="217031"/>
    <d v="2025-02-27T00:00:00"/>
    <x v="0"/>
    <s v="PyTorch"/>
    <s v=" BigQuery"/>
    <m/>
    <x v="8"/>
    <n v="84"/>
    <x v="5"/>
    <n v="233"/>
  </r>
  <r>
    <n v="1127"/>
    <s v="Thomas, Greene and Munoz"/>
    <x v="6"/>
    <x v="3"/>
    <s v="CUDA"/>
    <s v=" FastAPI"/>
    <s v=" Power BI"/>
    <m/>
    <m/>
    <n v="162266"/>
    <m/>
    <s v="Senior"/>
    <x v="1"/>
    <s v="Lake Jaime"/>
    <s v=" VA"/>
    <n v="112953"/>
    <n v="211579"/>
    <d v="2024-10-17T00:00:00"/>
    <x v="1"/>
    <s v="FastAPI"/>
    <s v=" LangChain"/>
    <m/>
    <x v="13"/>
    <n v="75"/>
    <x v="1"/>
    <n v="251"/>
  </r>
  <r>
    <n v="1128"/>
    <s v="Torres Ltd"/>
    <x v="3"/>
    <x v="6"/>
    <s v="Flask"/>
    <s v=" GCP"/>
    <s v=" C++"/>
    <m/>
    <m/>
    <n v="152379.5"/>
    <m/>
    <s v="Mid"/>
    <x v="2"/>
    <s v="Grahambury"/>
    <s v=" BR"/>
    <n v="144779"/>
    <n v="159980"/>
    <d v="2023-12-14T00:00:00"/>
    <x v="1"/>
    <s v="FastAPI"/>
    <m/>
    <m/>
    <x v="16"/>
    <n v="86"/>
    <x v="1"/>
    <n v="251"/>
  </r>
  <r>
    <n v="1129"/>
    <s v="Young, Peterson and Wood"/>
    <x v="2"/>
    <x v="5"/>
    <s v="Flask"/>
    <s v=" Pandas"/>
    <s v=" PyTorch"/>
    <s v=" Excel"/>
    <m/>
    <n v="140707.5"/>
    <m/>
    <s v="Entry"/>
    <x v="2"/>
    <s v="New Masonton"/>
    <s v=" KI"/>
    <n v="117277"/>
    <n v="164138"/>
    <d v="2025-09-05T00:00:00"/>
    <x v="1"/>
    <s v="FastAPI"/>
    <s v=" TensorFlow"/>
    <m/>
    <x v="16"/>
    <n v="86"/>
    <x v="1"/>
    <n v="251"/>
  </r>
  <r>
    <n v="1130"/>
    <s v="Reilly PLC"/>
    <x v="6"/>
    <x v="6"/>
    <s v="Reinforcement Learning"/>
    <s v=" LangChain"/>
    <s v=" Excel"/>
    <s v=" Pandas"/>
    <s v=" Python"/>
    <n v="58969.5"/>
    <s v=" Flask"/>
    <s v="Mid"/>
    <x v="1"/>
    <s v="Cabrerafort"/>
    <s v=" GW"/>
    <n v="53255"/>
    <n v="64684"/>
    <d v="2025-09-16T00:00:00"/>
    <x v="1"/>
    <s v="TensorFlow"/>
    <s v=" PyTorch"/>
    <m/>
    <x v="21"/>
    <n v="104"/>
    <x v="2"/>
    <n v="249"/>
  </r>
  <r>
    <n v="1131"/>
    <s v="Woods-Kelly"/>
    <x v="6"/>
    <x v="5"/>
    <s v="C++"/>
    <s v=" Python"/>
    <s v=" R"/>
    <s v=" Excel"/>
    <m/>
    <n v="139698"/>
    <m/>
    <s v="Entry"/>
    <x v="1"/>
    <s v="Millerborough"/>
    <s v=" AL"/>
    <n v="113739"/>
    <n v="165657"/>
    <d v="2024-06-05T00:00:00"/>
    <x v="2"/>
    <s v="KDB+"/>
    <m/>
    <m/>
    <x v="8"/>
    <n v="84"/>
    <x v="0"/>
    <n v="247"/>
  </r>
  <r>
    <n v="1132"/>
    <s v="Moss-Jackson"/>
    <x v="6"/>
    <x v="1"/>
    <s v="LangChain"/>
    <s v=" Pandas"/>
    <s v=" TensorFlow"/>
    <s v=" CUDA"/>
    <m/>
    <n v="88501.5"/>
    <m/>
    <s v="Mid"/>
    <x v="3"/>
    <s v="Christopherton"/>
    <s v=" TM"/>
    <n v="64726"/>
    <n v="112277"/>
    <d v="2024-10-24T00:00:00"/>
    <x v="1"/>
    <s v="LangChain"/>
    <s v=" KDB+"/>
    <m/>
    <x v="12"/>
    <n v="100"/>
    <x v="4"/>
    <n v="268"/>
  </r>
  <r>
    <n v="1133"/>
    <s v="Johnson and Sons"/>
    <x v="3"/>
    <x v="6"/>
    <s v="MLflow"/>
    <s v=" Flask"/>
    <s v=" AWS"/>
    <m/>
    <m/>
    <n v="55065"/>
    <m/>
    <s v="Entry"/>
    <x v="2"/>
    <s v="Joneschester"/>
    <s v=" LK"/>
    <n v="47268"/>
    <n v="62862"/>
    <d v="2023-11-23T00:00:00"/>
    <x v="2"/>
    <s v="PyTorch"/>
    <s v=" MLflow"/>
    <s v=" TensorFlow"/>
    <x v="3"/>
    <n v="80"/>
    <x v="5"/>
    <n v="233"/>
  </r>
  <r>
    <n v="1134"/>
    <s v="Green Group"/>
    <x v="5"/>
    <x v="1"/>
    <s v="SQL"/>
    <s v=" AWS"/>
    <s v=" Power BI"/>
    <s v=" NumPy"/>
    <s v=" Reinforcement Learning"/>
    <n v="142225"/>
    <m/>
    <s v="Senior"/>
    <x v="1"/>
    <s v="Ramostown"/>
    <s v=" BI"/>
    <n v="119846"/>
    <n v="164604"/>
    <d v="2025-06-19T00:00:00"/>
    <x v="2"/>
    <s v="FastAPI"/>
    <m/>
    <m/>
    <x v="17"/>
    <n v="88"/>
    <x v="1"/>
    <n v="251"/>
  </r>
  <r>
    <n v="1135"/>
    <s v="Evans LLC"/>
    <x v="5"/>
    <x v="2"/>
    <s v="Pandas"/>
    <s v=" SQL"/>
    <s v=" Power BI"/>
    <s v=" Python"/>
    <s v=" Reinforcement Learning"/>
    <n v="103970"/>
    <m/>
    <s v="Senior"/>
    <x v="1"/>
    <s v="Port Kelsey"/>
    <s v=" KI"/>
    <n v="66099"/>
    <n v="141841"/>
    <d v="2023-11-05T00:00:00"/>
    <x v="1"/>
    <s v="PyTorch"/>
    <s v=" TensorFlow"/>
    <s v=" Scikit-learn"/>
    <x v="6"/>
    <n v="78"/>
    <x v="5"/>
    <n v="233"/>
  </r>
  <r>
    <n v="1136"/>
    <s v="Chambers PLC"/>
    <x v="1"/>
    <x v="2"/>
    <s v="NumPy"/>
    <s v=" Power BI"/>
    <s v=" LangChain"/>
    <s v=" GCP"/>
    <s v=" Python"/>
    <n v="104934.5"/>
    <m/>
    <s v="Mid"/>
    <x v="2"/>
    <s v="Johnberg"/>
    <s v=" VC"/>
    <n v="72050"/>
    <n v="137819"/>
    <d v="2024-03-31T00:00:00"/>
    <x v="1"/>
    <s v="PyTorch"/>
    <s v=" MLflow"/>
    <s v=" BigQuery"/>
    <x v="0"/>
    <n v="104"/>
    <x v="5"/>
    <n v="233"/>
  </r>
  <r>
    <n v="1137"/>
    <s v="Conner-Young"/>
    <x v="3"/>
    <x v="2"/>
    <s v="Azure"/>
    <s v=" Python"/>
    <s v=" FastAPI"/>
    <m/>
    <m/>
    <n v="130580.5"/>
    <m/>
    <s v="Entry"/>
    <x v="3"/>
    <s v="Port Amandaburgh"/>
    <s v=" GA"/>
    <n v="90239"/>
    <n v="170922"/>
    <d v="2025-03-24T00:00:00"/>
    <x v="2"/>
    <s v="BigQuery"/>
    <m/>
    <m/>
    <x v="15"/>
    <n v="90"/>
    <x v="3"/>
    <n v="238"/>
  </r>
  <r>
    <n v="1138"/>
    <s v="Morris LLC"/>
    <x v="5"/>
    <x v="0"/>
    <s v="Scikit-learn"/>
    <s v=" LangChain"/>
    <s v=" Hugging Face"/>
    <s v=" SQL"/>
    <s v=" Azure"/>
    <n v="136259"/>
    <s v=" MLflow"/>
    <s v="Senior"/>
    <x v="3"/>
    <s v="East Barrybury"/>
    <s v=" GA"/>
    <n v="94397"/>
    <n v="178121"/>
    <d v="2024-08-02T00:00:00"/>
    <x v="0"/>
    <s v="LangChain"/>
    <s v=" FastAPI"/>
    <s v=" KDB+"/>
    <x v="1"/>
    <n v="76"/>
    <x v="4"/>
    <n v="268"/>
  </r>
  <r>
    <n v="1139"/>
    <s v="Hawkins-Valdez"/>
    <x v="2"/>
    <x v="3"/>
    <s v="CUDA"/>
    <s v=" SQL"/>
    <s v=" NumPy"/>
    <s v=" Python"/>
    <s v=" Flask"/>
    <n v="135710"/>
    <m/>
    <s v="Senior"/>
    <x v="1"/>
    <s v="Roseton"/>
    <s v=" VE"/>
    <n v="110310"/>
    <n v="161110"/>
    <d v="2024-07-18T00:00:00"/>
    <x v="2"/>
    <s v="FastAPI"/>
    <m/>
    <m/>
    <x v="13"/>
    <n v="75"/>
    <x v="1"/>
    <n v="251"/>
  </r>
  <r>
    <n v="1140"/>
    <s v="Vance-Mcdowell"/>
    <x v="2"/>
    <x v="6"/>
    <s v="LangChain"/>
    <s v=" CUDA"/>
    <s v=" Excel"/>
    <s v=" Flask"/>
    <m/>
    <n v="99497.5"/>
    <m/>
    <s v="Entry"/>
    <x v="1"/>
    <s v="Port Jessica"/>
    <s v=" SG"/>
    <n v="55784"/>
    <n v="143211"/>
    <d v="2024-05-12T00:00:00"/>
    <x v="1"/>
    <s v="MLflow"/>
    <s v=" FastAPI"/>
    <m/>
    <x v="12"/>
    <n v="100"/>
    <x v="6"/>
    <n v="259"/>
  </r>
  <r>
    <n v="1141"/>
    <s v="Wright LLC"/>
    <x v="2"/>
    <x v="4"/>
    <s v="AWS"/>
    <s v=" Flask"/>
    <s v=" MLflow"/>
    <s v=" FastAPI"/>
    <s v=" Azure"/>
    <n v="174940"/>
    <m/>
    <s v="Senior"/>
    <x v="3"/>
    <s v="Sandrastad"/>
    <s v=" IE"/>
    <n v="149975"/>
    <n v="199905"/>
    <d v="2024-04-11T00:00:00"/>
    <x v="0"/>
    <s v="LangChain"/>
    <s v=" KDB+"/>
    <m/>
    <x v="10"/>
    <n v="97"/>
    <x v="4"/>
    <n v="268"/>
  </r>
  <r>
    <n v="1142"/>
    <s v="Silva LLC"/>
    <x v="5"/>
    <x v="0"/>
    <s v="CUDA"/>
    <s v=" Hugging Face"/>
    <s v=" SQL"/>
    <s v=" GCP"/>
    <s v=" C++"/>
    <n v="89048.5"/>
    <s v=" Python"/>
    <s v="Mid"/>
    <x v="1"/>
    <s v="Lewisburgh"/>
    <s v=" BF"/>
    <n v="82338"/>
    <n v="95759"/>
    <d v="2025-08-17T00:00:00"/>
    <x v="1"/>
    <s v="PyTorch"/>
    <s v=" BigQuery"/>
    <m/>
    <x v="13"/>
    <n v="75"/>
    <x v="5"/>
    <n v="233"/>
  </r>
  <r>
    <n v="1143"/>
    <s v="Sanders, Rodriguez and Meyers"/>
    <x v="2"/>
    <x v="4"/>
    <s v="SQL"/>
    <s v=" LangChain"/>
    <s v=" Hugging Face"/>
    <s v=" R"/>
    <m/>
    <n v="94029.5"/>
    <m/>
    <s v="Mid"/>
    <x v="3"/>
    <s v="Port Kathyton"/>
    <s v=" GQ"/>
    <n v="76484"/>
    <n v="111575"/>
    <d v="2024-11-28T00:00:00"/>
    <x v="0"/>
    <s v="FastAPI"/>
    <m/>
    <m/>
    <x v="17"/>
    <n v="88"/>
    <x v="1"/>
    <n v="251"/>
  </r>
  <r>
    <n v="1144"/>
    <s v="Allen Group"/>
    <x v="4"/>
    <x v="6"/>
    <s v="TensorFlow"/>
    <s v=" NumPy"/>
    <s v=" GCP"/>
    <s v=" Power BI"/>
    <s v=" FastAPI"/>
    <n v="181485"/>
    <m/>
    <s v="Entry"/>
    <x v="1"/>
    <s v="Williamsville"/>
    <s v=" MG"/>
    <n v="147639"/>
    <n v="215331"/>
    <d v="2024-09-22T00:00:00"/>
    <x v="2"/>
    <s v="PyTorch"/>
    <m/>
    <m/>
    <x v="19"/>
    <n v="95"/>
    <x v="5"/>
    <n v="233"/>
  </r>
  <r>
    <n v="1145"/>
    <s v="Webb LLC"/>
    <x v="3"/>
    <x v="3"/>
    <s v="C++"/>
    <s v=" Hugging Face"/>
    <s v=" Excel"/>
    <s v=" GCP"/>
    <s v=" TensorFlow"/>
    <n v="85812.5"/>
    <s v=" FastAPI"/>
    <s v="Mid"/>
    <x v="2"/>
    <s v="Sylviaport"/>
    <s v=" BS"/>
    <n v="63255"/>
    <n v="108370"/>
    <d v="2024-10-10T00:00:00"/>
    <x v="1"/>
    <s v="KDB+"/>
    <s v=" MLflow"/>
    <m/>
    <x v="8"/>
    <n v="84"/>
    <x v="0"/>
    <n v="247"/>
  </r>
  <r>
    <n v="1146"/>
    <s v="Harris-Brown"/>
    <x v="4"/>
    <x v="3"/>
    <s v="FastAPI"/>
    <s v=" Azure"/>
    <s v=" MLflow"/>
    <s v=" PyTorch"/>
    <s v=" Excel"/>
    <n v="161619"/>
    <m/>
    <s v="Entry"/>
    <x v="3"/>
    <s v="East Kimberlyview"/>
    <s v=" ME"/>
    <n v="129625"/>
    <n v="193613"/>
    <d v="2025-07-24T00:00:00"/>
    <x v="2"/>
    <s v="PyTorch"/>
    <m/>
    <m/>
    <x v="20"/>
    <n v="111"/>
    <x v="5"/>
    <n v="233"/>
  </r>
  <r>
    <n v="1147"/>
    <s v="Stewart-White"/>
    <x v="6"/>
    <x v="5"/>
    <s v="Azure"/>
    <s v=" MLflow"/>
    <s v=" Hugging Face"/>
    <s v=" GCP"/>
    <s v=" Keras"/>
    <n v="165923"/>
    <m/>
    <s v="Entry"/>
    <x v="3"/>
    <s v="West Amber"/>
    <s v=" HU"/>
    <n v="136317"/>
    <n v="195529"/>
    <d v="2025-07-25T00:00:00"/>
    <x v="0"/>
    <s v="Scikit-learn"/>
    <s v=" PyTorch"/>
    <s v=" LangChain"/>
    <x v="15"/>
    <n v="90"/>
    <x v="7"/>
    <n v="255"/>
  </r>
  <r>
    <n v="1148"/>
    <s v="Roberts, Ford and Davis"/>
    <x v="6"/>
    <x v="2"/>
    <s v="Power BI"/>
    <s v=" MLflow"/>
    <s v=" SQL"/>
    <s v=" AWS"/>
    <m/>
    <n v="164311.5"/>
    <m/>
    <s v="Mid"/>
    <x v="0"/>
    <s v="Hannahfort"/>
    <s v=" LS"/>
    <n v="148403"/>
    <n v="180220"/>
    <d v="2024-06-30T00:00:00"/>
    <x v="1"/>
    <s v="KDB+"/>
    <s v=" LangChain"/>
    <s v=" BigQuery"/>
    <x v="18"/>
    <n v="96"/>
    <x v="0"/>
    <n v="247"/>
  </r>
  <r>
    <n v="1149"/>
    <s v="Garcia, Blake and Gardner"/>
    <x v="0"/>
    <x v="0"/>
    <s v="NumPy"/>
    <s v=" R"/>
    <s v=" Excel"/>
    <s v=" Scikit-learn"/>
    <s v=" Flask"/>
    <n v="155008.5"/>
    <s v=" LangChain"/>
    <s v="Senior"/>
    <x v="0"/>
    <s v="North Cassandraborough"/>
    <s v=" FJ"/>
    <n v="142640"/>
    <n v="167377"/>
    <d v="2024-04-17T00:00:00"/>
    <x v="0"/>
    <s v="KDB+"/>
    <m/>
    <m/>
    <x v="0"/>
    <n v="104"/>
    <x v="0"/>
    <n v="247"/>
  </r>
  <r>
    <n v="1150"/>
    <s v="Brown-Fisher"/>
    <x v="5"/>
    <x v="3"/>
    <s v="C++"/>
    <s v=" Excel"/>
    <s v=" TensorFlow"/>
    <s v=" PyTorch"/>
    <m/>
    <n v="180726.5"/>
    <m/>
    <s v="Entry"/>
    <x v="1"/>
    <s v="Lake Ruthport"/>
    <s v=" JM"/>
    <n v="143807"/>
    <n v="217646"/>
    <d v="2025-02-24T00:00:00"/>
    <x v="2"/>
    <s v="FastAPI"/>
    <m/>
    <m/>
    <x v="8"/>
    <n v="84"/>
    <x v="1"/>
    <n v="251"/>
  </r>
  <r>
    <n v="1151"/>
    <s v="Hayes PLC"/>
    <x v="2"/>
    <x v="1"/>
    <s v="Pandas"/>
    <s v=" C++"/>
    <s v=" Power BI"/>
    <s v=" Hugging Face"/>
    <s v=" Excel"/>
    <n v="89196"/>
    <m/>
    <s v="Entry"/>
    <x v="1"/>
    <s v="South Michael"/>
    <s v=" GE"/>
    <n v="83586"/>
    <n v="94806"/>
    <d v="2024-07-01T00:00:00"/>
    <x v="1"/>
    <s v="KDB+"/>
    <s v=" PyTorch"/>
    <s v=" BigQuery"/>
    <x v="6"/>
    <n v="78"/>
    <x v="0"/>
    <n v="247"/>
  </r>
  <r>
    <n v="1152"/>
    <s v="Mccoy, Barnes and Mercado"/>
    <x v="5"/>
    <x v="6"/>
    <s v="Pandas"/>
    <s v=" Scikit-learn"/>
    <s v=" NumPy"/>
    <m/>
    <m/>
    <n v="181105.5"/>
    <m/>
    <s v="Senior"/>
    <x v="0"/>
    <s v="New Richardburgh"/>
    <s v=" PS"/>
    <n v="147570"/>
    <n v="214641"/>
    <d v="2025-03-25T00:00:00"/>
    <x v="2"/>
    <s v="FastAPI"/>
    <m/>
    <m/>
    <x v="6"/>
    <n v="78"/>
    <x v="1"/>
    <n v="251"/>
  </r>
  <r>
    <n v="1153"/>
    <s v="Herrera and Sons"/>
    <x v="0"/>
    <x v="3"/>
    <s v="MLflow"/>
    <s v=" AWS"/>
    <s v=" Flask"/>
    <s v=" SQL"/>
    <s v=" Azure"/>
    <n v="139418"/>
    <m/>
    <s v="Entry"/>
    <x v="0"/>
    <s v="East Michael"/>
    <s v=" AO"/>
    <n v="130398"/>
    <n v="148438"/>
    <d v="2024-10-23T00:00:00"/>
    <x v="1"/>
    <s v="LangChain"/>
    <s v=" KDB+"/>
    <m/>
    <x v="3"/>
    <n v="80"/>
    <x v="4"/>
    <n v="268"/>
  </r>
  <r>
    <n v="1154"/>
    <s v="Smith-Hansen"/>
    <x v="6"/>
    <x v="4"/>
    <s v="Excel"/>
    <s v=" Reinforcement Learning"/>
    <s v=" TensorFlow"/>
    <s v=" SQL"/>
    <m/>
    <n v="165305"/>
    <m/>
    <s v="Mid"/>
    <x v="0"/>
    <s v="North Michellestad"/>
    <s v=" ME"/>
    <n v="126850"/>
    <n v="203760"/>
    <d v="2023-11-23T00:00:00"/>
    <x v="2"/>
    <s v="TensorFlow"/>
    <s v=" FastAPI"/>
    <s v=" MLflow"/>
    <x v="2"/>
    <n v="101"/>
    <x v="2"/>
    <n v="249"/>
  </r>
  <r>
    <n v="1155"/>
    <s v="Goodman, Watson and Norman"/>
    <x v="1"/>
    <x v="7"/>
    <s v="PyTorch"/>
    <s v=" R"/>
    <s v=" Python"/>
    <s v=" GCP"/>
    <s v=" CUDA"/>
    <n v="106807.5"/>
    <s v=" C++"/>
    <s v="Senior"/>
    <x v="1"/>
    <s v="Davidshire"/>
    <s v=" ES"/>
    <n v="63340"/>
    <n v="150275"/>
    <d v="2024-04-10T00:00:00"/>
    <x v="0"/>
    <s v="KDB+"/>
    <m/>
    <m/>
    <x v="14"/>
    <n v="92"/>
    <x v="0"/>
    <n v="247"/>
  </r>
  <r>
    <n v="1156"/>
    <s v="Bennett PLC"/>
    <x v="1"/>
    <x v="0"/>
    <s v="Flask"/>
    <s v=" LangChain"/>
    <s v=" Reinforcement Learning"/>
    <m/>
    <m/>
    <n v="97306.5"/>
    <m/>
    <s v="Senior"/>
    <x v="1"/>
    <s v="West Jennifertown"/>
    <s v=" NP"/>
    <n v="52424"/>
    <n v="142189"/>
    <d v="2024-08-19T00:00:00"/>
    <x v="1"/>
    <s v="TensorFlow"/>
    <s v=" LangChain"/>
    <m/>
    <x v="16"/>
    <n v="86"/>
    <x v="2"/>
    <n v="249"/>
  </r>
  <r>
    <n v="1157"/>
    <s v="Brady-Jones"/>
    <x v="3"/>
    <x v="4"/>
    <s v="LangChain"/>
    <s v=" GCP"/>
    <s v=" Keras"/>
    <m/>
    <m/>
    <n v="79928.5"/>
    <m/>
    <s v="Mid"/>
    <x v="2"/>
    <s v="Jasonbury"/>
    <s v=" HT"/>
    <n v="41157"/>
    <n v="118700"/>
    <d v="2024-02-24T00:00:00"/>
    <x v="0"/>
    <s v="TensorFlow"/>
    <m/>
    <m/>
    <x v="12"/>
    <n v="100"/>
    <x v="2"/>
    <n v="249"/>
  </r>
  <r>
    <n v="1158"/>
    <s v="Walker and Sons"/>
    <x v="2"/>
    <x v="2"/>
    <s v="MLflow"/>
    <s v=" PyTorch"/>
    <s v=" SQL"/>
    <s v=" TensorFlow"/>
    <m/>
    <n v="145323"/>
    <m/>
    <s v="Mid"/>
    <x v="2"/>
    <s v="New Amber"/>
    <s v=" CL"/>
    <n v="134795"/>
    <n v="155851"/>
    <d v="2025-03-05T00:00:00"/>
    <x v="2"/>
    <s v="MLflow"/>
    <s v=" LangChain"/>
    <s v=" FastAPI"/>
    <x v="3"/>
    <n v="80"/>
    <x v="6"/>
    <n v="259"/>
  </r>
  <r>
    <n v="1159"/>
    <s v="Bautista LLC"/>
    <x v="5"/>
    <x v="5"/>
    <s v="GCP"/>
    <s v=" Pandas"/>
    <s v=" AWS"/>
    <s v=" Azure"/>
    <s v=" Flask"/>
    <n v="156726.5"/>
    <s v=" PyTorch"/>
    <s v="Entry"/>
    <x v="2"/>
    <s v="Douglasberg"/>
    <s v=" FM"/>
    <n v="147660"/>
    <n v="165793"/>
    <d v="2025-05-05T00:00:00"/>
    <x v="2"/>
    <s v="FastAPI"/>
    <s v=" KDB+"/>
    <s v=" MLflow"/>
    <x v="4"/>
    <n v="78"/>
    <x v="1"/>
    <n v="251"/>
  </r>
  <r>
    <n v="1160"/>
    <s v="Church Ltd"/>
    <x v="0"/>
    <x v="3"/>
    <s v="GCP"/>
    <s v=" Pandas"/>
    <s v=" Python"/>
    <m/>
    <m/>
    <n v="117271"/>
    <m/>
    <s v="Entry"/>
    <x v="2"/>
    <s v="Jonathanland"/>
    <s v=" FJ"/>
    <n v="68918"/>
    <n v="165624"/>
    <d v="2024-01-17T00:00:00"/>
    <x v="1"/>
    <s v="KDB+"/>
    <s v=" LangChain"/>
    <s v=" MLflow"/>
    <x v="4"/>
    <n v="78"/>
    <x v="0"/>
    <n v="247"/>
  </r>
  <r>
    <n v="1161"/>
    <s v="Smith LLC"/>
    <x v="0"/>
    <x v="3"/>
    <s v="SQL"/>
    <s v=" Pandas"/>
    <s v=" CUDA"/>
    <s v=" LangChain"/>
    <s v=" Excel"/>
    <n v="114963"/>
    <m/>
    <s v="Senior"/>
    <x v="0"/>
    <s v="New Sandraland"/>
    <s v=" ZM"/>
    <n v="80600"/>
    <n v="149326"/>
    <d v="2023-12-08T00:00:00"/>
    <x v="0"/>
    <s v="TensorFlow"/>
    <s v=" MLflow"/>
    <m/>
    <x v="17"/>
    <n v="88"/>
    <x v="2"/>
    <n v="249"/>
  </r>
  <r>
    <n v="1162"/>
    <s v="Acosta, Williams and Carter"/>
    <x v="2"/>
    <x v="7"/>
    <s v="Python"/>
    <s v=" R"/>
    <s v=" Reinforcement Learning"/>
    <s v=" Azure"/>
    <m/>
    <n v="89558.5"/>
    <m/>
    <s v="Mid"/>
    <x v="2"/>
    <s v="Wrightland"/>
    <s v=" ZW"/>
    <n v="60613"/>
    <n v="118504"/>
    <d v="2024-01-16T00:00:00"/>
    <x v="1"/>
    <s v="Scikit-learn"/>
    <s v=" FastAPI"/>
    <m/>
    <x v="5"/>
    <n v="94"/>
    <x v="7"/>
    <n v="255"/>
  </r>
  <r>
    <n v="1163"/>
    <s v="Thornton, Pittman and Torres"/>
    <x v="5"/>
    <x v="1"/>
    <s v="AWS"/>
    <s v=" TensorFlow"/>
    <s v=" CUDA"/>
    <s v=" MLflow"/>
    <m/>
    <n v="108823.5"/>
    <m/>
    <s v="Senior"/>
    <x v="3"/>
    <s v="Bowmanton"/>
    <s v=" AG"/>
    <n v="91079"/>
    <n v="126568"/>
    <d v="2025-01-14T00:00:00"/>
    <x v="1"/>
    <s v="BigQuery"/>
    <s v=" Scikit-learn"/>
    <m/>
    <x v="10"/>
    <n v="97"/>
    <x v="3"/>
    <n v="238"/>
  </r>
  <r>
    <n v="1164"/>
    <s v="Palmer Group"/>
    <x v="6"/>
    <x v="4"/>
    <s v="R"/>
    <s v=" SQL"/>
    <s v=" CUDA"/>
    <s v=" Keras"/>
    <s v=" AWS"/>
    <n v="65357.5"/>
    <s v=" Power BI"/>
    <s v="Mid"/>
    <x v="2"/>
    <s v="Samanthahaven"/>
    <s v=" CA"/>
    <n v="52422"/>
    <n v="78293"/>
    <d v="2024-02-02T00:00:00"/>
    <x v="2"/>
    <s v="KDB+"/>
    <s v=" LangChain"/>
    <m/>
    <x v="11"/>
    <n v="86"/>
    <x v="0"/>
    <n v="247"/>
  </r>
  <r>
    <n v="1165"/>
    <s v="Smith, Hancock and Bolton"/>
    <x v="3"/>
    <x v="5"/>
    <s v="Pandas"/>
    <s v=" NumPy"/>
    <s v=" TensorFlow"/>
    <s v=" SQL"/>
    <m/>
    <n v="128120"/>
    <m/>
    <s v="Senior"/>
    <x v="1"/>
    <s v="Nicholasville"/>
    <s v=" KN"/>
    <n v="81248"/>
    <n v="174992"/>
    <d v="2024-05-23T00:00:00"/>
    <x v="1"/>
    <s v="KDB+"/>
    <s v=" LangChain"/>
    <s v=" BigQuery"/>
    <x v="6"/>
    <n v="78"/>
    <x v="0"/>
    <n v="247"/>
  </r>
  <r>
    <n v="1166"/>
    <s v="Shaffer, Wright and Morgan"/>
    <x v="5"/>
    <x v="2"/>
    <s v="Power BI"/>
    <s v=" SQL"/>
    <s v=" TensorFlow"/>
    <m/>
    <m/>
    <n v="74838.5"/>
    <m/>
    <s v="Senior"/>
    <x v="1"/>
    <s v="South Richardtown"/>
    <s v=" KP"/>
    <n v="67293"/>
    <n v="82384"/>
    <d v="2025-05-02T00:00:00"/>
    <x v="1"/>
    <s v="Scikit-learn"/>
    <m/>
    <m/>
    <x v="18"/>
    <n v="96"/>
    <x v="7"/>
    <n v="255"/>
  </r>
  <r>
    <n v="1167"/>
    <s v="Proctor Inc"/>
    <x v="1"/>
    <x v="5"/>
    <s v="Excel"/>
    <s v=" Scikit-learn"/>
    <s v=" PyTorch"/>
    <s v=" C++"/>
    <s v=" GCP"/>
    <n v="115827.5"/>
    <m/>
    <s v="Mid"/>
    <x v="2"/>
    <s v="Jeffreystad"/>
    <s v=" GW"/>
    <n v="78872"/>
    <n v="152783"/>
    <d v="2024-06-30T00:00:00"/>
    <x v="0"/>
    <s v="KDB+"/>
    <m/>
    <m/>
    <x v="2"/>
    <n v="101"/>
    <x v="0"/>
    <n v="247"/>
  </r>
  <r>
    <n v="1168"/>
    <s v="Ross, Barrera and Winters"/>
    <x v="4"/>
    <x v="6"/>
    <s v="LangChain"/>
    <s v=" SQL"/>
    <s v=" NumPy"/>
    <s v=" R"/>
    <s v=" Power BI"/>
    <n v="129638.5"/>
    <m/>
    <s v="Entry"/>
    <x v="1"/>
    <s v="East Seanview"/>
    <s v=" GB"/>
    <n v="122910"/>
    <n v="136367"/>
    <d v="2023-10-07T00:00:00"/>
    <x v="2"/>
    <s v="FastAPI"/>
    <s v=" MLflow"/>
    <s v=" Scikit-learn"/>
    <x v="12"/>
    <n v="100"/>
    <x v="1"/>
    <n v="251"/>
  </r>
  <r>
    <n v="1169"/>
    <s v="Hernandez, Collins and Smith"/>
    <x v="6"/>
    <x v="5"/>
    <s v="Scikit-learn"/>
    <s v=" Reinforcement Learning"/>
    <s v=" TensorFlow"/>
    <m/>
    <m/>
    <n v="120209"/>
    <m/>
    <s v="Entry"/>
    <x v="1"/>
    <s v="Lake Jessicaside"/>
    <s v=" DJ"/>
    <n v="100828"/>
    <n v="139590"/>
    <d v="2025-09-19T00:00:00"/>
    <x v="1"/>
    <s v="KDB+"/>
    <s v=" LangChain"/>
    <m/>
    <x v="1"/>
    <n v="76"/>
    <x v="0"/>
    <n v="247"/>
  </r>
  <r>
    <n v="1170"/>
    <s v="Nguyen, Shaffer and Thompson"/>
    <x v="5"/>
    <x v="1"/>
    <s v="SQL"/>
    <s v=" CUDA"/>
    <s v=" Reinforcement Learning"/>
    <s v=" Excel"/>
    <m/>
    <n v="70330.5"/>
    <m/>
    <s v="Mid"/>
    <x v="1"/>
    <s v="South Danielle"/>
    <s v=" TH"/>
    <n v="52943"/>
    <n v="87718"/>
    <d v="2024-03-12T00:00:00"/>
    <x v="2"/>
    <s v="BigQuery"/>
    <s v=" TensorFlow"/>
    <s v=" KDB+"/>
    <x v="17"/>
    <n v="88"/>
    <x v="3"/>
    <n v="238"/>
  </r>
  <r>
    <n v="1171"/>
    <s v="Nguyen, Brown and Edwards"/>
    <x v="2"/>
    <x v="5"/>
    <s v="TensorFlow"/>
    <s v=" MLflow"/>
    <s v=" SQL"/>
    <s v=" PyTorch"/>
    <m/>
    <n v="100350"/>
    <m/>
    <s v="Mid"/>
    <x v="0"/>
    <s v="Port Victoriaburgh"/>
    <s v=" PG"/>
    <n v="84079"/>
    <n v="116621"/>
    <d v="2024-04-04T00:00:00"/>
    <x v="0"/>
    <s v="MLflow"/>
    <m/>
    <m/>
    <x v="19"/>
    <n v="95"/>
    <x v="6"/>
    <n v="259"/>
  </r>
  <r>
    <n v="1172"/>
    <s v="Bartlett Group"/>
    <x v="0"/>
    <x v="4"/>
    <s v="Scikit-learn"/>
    <s v=" TensorFlow"/>
    <s v=" Azure"/>
    <s v=" CUDA"/>
    <m/>
    <n v="115511"/>
    <m/>
    <s v="Senior"/>
    <x v="0"/>
    <s v="West Robin"/>
    <s v=" PY"/>
    <n v="77131"/>
    <n v="153891"/>
    <d v="2024-08-02T00:00:00"/>
    <x v="0"/>
    <s v="KDB+"/>
    <s v=" TensorFlow"/>
    <s v=" Scikit-learn"/>
    <x v="1"/>
    <n v="76"/>
    <x v="0"/>
    <n v="247"/>
  </r>
  <r>
    <n v="1173"/>
    <s v="Moran, Ellis and Vargas"/>
    <x v="4"/>
    <x v="2"/>
    <s v="Pandas"/>
    <s v=" AWS"/>
    <s v=" GCP"/>
    <s v=" SQL"/>
    <s v=" Azure"/>
    <n v="72481"/>
    <s v=" NumPy"/>
    <s v="Mid"/>
    <x v="2"/>
    <s v="New Sethtown"/>
    <s v=" ZW"/>
    <n v="64114"/>
    <n v="80848"/>
    <d v="2025-01-03T00:00:00"/>
    <x v="1"/>
    <s v="TensorFlow"/>
    <m/>
    <m/>
    <x v="6"/>
    <n v="78"/>
    <x v="2"/>
    <n v="249"/>
  </r>
  <r>
    <n v="1174"/>
    <s v="Porter, Hernandez and Hall"/>
    <x v="1"/>
    <x v="2"/>
    <s v="MLflow"/>
    <s v=" Keras"/>
    <s v=" Scikit-learn"/>
    <s v=" R"/>
    <s v=" GCP"/>
    <n v="144139"/>
    <m/>
    <s v="Mid"/>
    <x v="0"/>
    <s v="Ambertown"/>
    <s v=" LV"/>
    <n v="94393"/>
    <n v="193885"/>
    <d v="2024-03-27T00:00:00"/>
    <x v="2"/>
    <s v="KDB+"/>
    <s v=" TensorFlow"/>
    <s v=" FastAPI"/>
    <x v="3"/>
    <n v="80"/>
    <x v="0"/>
    <n v="247"/>
  </r>
  <r>
    <n v="1175"/>
    <s v="Hunter and Sons"/>
    <x v="5"/>
    <x v="2"/>
    <s v="SQL"/>
    <s v=" Scikit-learn"/>
    <s v=" Reinforcement Learning"/>
    <s v=" MLflow"/>
    <s v=" Pandas"/>
    <n v="139389"/>
    <m/>
    <s v="Senior"/>
    <x v="0"/>
    <s v="South Jasonville"/>
    <s v=" RO"/>
    <n v="130255"/>
    <n v="148523"/>
    <d v="2024-11-21T00:00:00"/>
    <x v="0"/>
    <s v="MLflow"/>
    <s v=" LangChain"/>
    <m/>
    <x v="17"/>
    <n v="88"/>
    <x v="6"/>
    <n v="259"/>
  </r>
  <r>
    <n v="1176"/>
    <s v="Moore Ltd"/>
    <x v="3"/>
    <x v="3"/>
    <s v="NumPy"/>
    <s v=" GCP"/>
    <s v=" SQL"/>
    <s v=" CUDA"/>
    <s v=" PyTorch"/>
    <n v="165696.5"/>
    <m/>
    <s v="Mid"/>
    <x v="1"/>
    <s v="Garyville"/>
    <s v=" BZ"/>
    <n v="116734"/>
    <n v="214659"/>
    <d v="2024-10-28T00:00:00"/>
    <x v="1"/>
    <s v="BigQuery"/>
    <s v=" MLflow"/>
    <s v=" TensorFlow"/>
    <x v="0"/>
    <n v="104"/>
    <x v="3"/>
    <n v="238"/>
  </r>
  <r>
    <n v="1177"/>
    <s v="Diaz-Gray"/>
    <x v="3"/>
    <x v="2"/>
    <s v="Excel"/>
    <s v=" GCP"/>
    <s v=" C++"/>
    <s v=" NumPy"/>
    <s v=" Hugging Face"/>
    <n v="154440"/>
    <m/>
    <s v="Senior"/>
    <x v="0"/>
    <s v="West Justinside"/>
    <s v=" KI"/>
    <n v="148619"/>
    <n v="160261"/>
    <d v="2024-09-09T00:00:00"/>
    <x v="1"/>
    <s v="PyTorch"/>
    <s v=" BigQuery"/>
    <s v=" Scikit-learn"/>
    <x v="2"/>
    <n v="101"/>
    <x v="5"/>
    <n v="233"/>
  </r>
  <r>
    <n v="1178"/>
    <s v="Poole-Scott"/>
    <x v="3"/>
    <x v="0"/>
    <s v="MLflow"/>
    <s v=" LangChain"/>
    <s v=" Excel"/>
    <s v=" C++"/>
    <m/>
    <n v="109805.5"/>
    <m/>
    <s v="Entry"/>
    <x v="2"/>
    <s v="Kellyhaven"/>
    <s v=" GQ"/>
    <n v="95762"/>
    <n v="123849"/>
    <d v="2025-07-20T00:00:00"/>
    <x v="2"/>
    <s v="Scikit-learn"/>
    <s v=" BigQuery"/>
    <m/>
    <x v="3"/>
    <n v="80"/>
    <x v="7"/>
    <n v="255"/>
  </r>
  <r>
    <n v="1179"/>
    <s v="Bishop, Finley and Duran"/>
    <x v="0"/>
    <x v="1"/>
    <s v="C++"/>
    <s v=" CUDA"/>
    <s v=" Keras"/>
    <s v=" Excel"/>
    <m/>
    <n v="179113.5"/>
    <m/>
    <s v="Mid"/>
    <x v="2"/>
    <s v="South Meganfort"/>
    <s v=" CZ"/>
    <n v="144929"/>
    <n v="213298"/>
    <d v="2025-05-03T00:00:00"/>
    <x v="1"/>
    <s v="PyTorch"/>
    <s v=" LangChain"/>
    <s v=" MLflow"/>
    <x v="8"/>
    <n v="84"/>
    <x v="5"/>
    <n v="233"/>
  </r>
  <r>
    <n v="1180"/>
    <s v="Rivera Group"/>
    <x v="0"/>
    <x v="2"/>
    <s v="CUDA"/>
    <s v=" Pandas"/>
    <s v=" MLflow"/>
    <s v=" Azure"/>
    <s v=" Flask"/>
    <n v="93769"/>
    <m/>
    <s v="Entry"/>
    <x v="0"/>
    <s v="Port Jennifer"/>
    <s v=" CF"/>
    <n v="64077"/>
    <n v="123461"/>
    <d v="2023-12-20T00:00:00"/>
    <x v="1"/>
    <s v="MLflow"/>
    <s v=" FastAPI"/>
    <s v=" Scikit-learn"/>
    <x v="13"/>
    <n v="75"/>
    <x v="6"/>
    <n v="259"/>
  </r>
  <r>
    <n v="1181"/>
    <s v="Blanchard LLC"/>
    <x v="4"/>
    <x v="5"/>
    <s v="LangChain"/>
    <s v=" Python"/>
    <s v=" Excel"/>
    <s v=" C++"/>
    <s v=" FastAPI"/>
    <n v="106513.5"/>
    <m/>
    <s v="Entry"/>
    <x v="2"/>
    <s v="North Robertberg"/>
    <s v=" CL"/>
    <n v="84270"/>
    <n v="128757"/>
    <d v="2025-03-17T00:00:00"/>
    <x v="2"/>
    <s v="LangChain"/>
    <s v=" KDB+"/>
    <m/>
    <x v="12"/>
    <n v="100"/>
    <x v="4"/>
    <n v="268"/>
  </r>
  <r>
    <n v="1182"/>
    <s v="Herman, Rivera and Gonzalez"/>
    <x v="6"/>
    <x v="0"/>
    <s v="AWS"/>
    <s v=" Reinforcement Learning"/>
    <s v=" Azure"/>
    <s v=" Python"/>
    <s v=" TensorFlow"/>
    <n v="182573.5"/>
    <m/>
    <s v="Mid"/>
    <x v="3"/>
    <s v="East Jessica"/>
    <s v=" PG"/>
    <n v="134675"/>
    <n v="230472"/>
    <d v="2025-02-03T00:00:00"/>
    <x v="1"/>
    <s v="Scikit-learn"/>
    <s v=" LangChain"/>
    <s v=" BigQuery"/>
    <x v="10"/>
    <n v="97"/>
    <x v="7"/>
    <n v="255"/>
  </r>
  <r>
    <n v="1183"/>
    <s v="Mcmillan, Jensen and Olson"/>
    <x v="1"/>
    <x v="2"/>
    <s v="Reinforcement Learning"/>
    <s v=" Keras"/>
    <s v=" R"/>
    <s v=" MLflow"/>
    <s v=" Power BI"/>
    <n v="103697"/>
    <s v=" Flask"/>
    <s v="Mid"/>
    <x v="0"/>
    <s v="Rachelmouth"/>
    <s v=" EG"/>
    <n v="60301"/>
    <n v="147093"/>
    <d v="2025-01-09T00:00:00"/>
    <x v="2"/>
    <s v="LangChain"/>
    <m/>
    <m/>
    <x v="21"/>
    <n v="104"/>
    <x v="4"/>
    <n v="268"/>
  </r>
  <r>
    <n v="1184"/>
    <s v="Mcbride, Davenport and Kidd"/>
    <x v="1"/>
    <x v="5"/>
    <s v="Keras"/>
    <s v=" NumPy"/>
    <s v=" GCP"/>
    <m/>
    <m/>
    <n v="108761.5"/>
    <m/>
    <s v="Senior"/>
    <x v="0"/>
    <s v="Port Leahland"/>
    <s v=" GQ"/>
    <n v="80142"/>
    <n v="137381"/>
    <d v="2025-02-09T00:00:00"/>
    <x v="1"/>
    <s v="LangChain"/>
    <s v=" Scikit-learn"/>
    <m/>
    <x v="7"/>
    <n v="96"/>
    <x v="4"/>
    <n v="268"/>
  </r>
  <r>
    <n v="1185"/>
    <s v="Lane, Diaz and Khan"/>
    <x v="5"/>
    <x v="7"/>
    <s v="AWS"/>
    <s v=" Flask"/>
    <s v=" SQL"/>
    <s v=" Keras"/>
    <s v=" Excel"/>
    <n v="148416"/>
    <m/>
    <s v="Entry"/>
    <x v="2"/>
    <s v="Melaniemouth"/>
    <s v=" RS"/>
    <n v="139587"/>
    <n v="157245"/>
    <d v="2024-08-30T00:00:00"/>
    <x v="2"/>
    <s v="MLflow"/>
    <s v=" PyTorch"/>
    <m/>
    <x v="10"/>
    <n v="97"/>
    <x v="6"/>
    <n v="259"/>
  </r>
  <r>
    <n v="1186"/>
    <s v="Taylor LLC"/>
    <x v="1"/>
    <x v="7"/>
    <s v="TensorFlow"/>
    <s v=" Reinforcement Learning"/>
    <s v=" C++"/>
    <s v=" Power BI"/>
    <s v=" LangChain"/>
    <n v="164119"/>
    <m/>
    <s v="Entry"/>
    <x v="0"/>
    <s v="Lopezfurt"/>
    <s v=" AD"/>
    <n v="132458"/>
    <n v="195780"/>
    <d v="2025-08-01T00:00:00"/>
    <x v="0"/>
    <s v="TensorFlow"/>
    <s v=" LangChain"/>
    <m/>
    <x v="19"/>
    <n v="95"/>
    <x v="2"/>
    <n v="249"/>
  </r>
  <r>
    <n v="1187"/>
    <s v="Moss, Simmons and Elliott"/>
    <x v="2"/>
    <x v="3"/>
    <s v="Power BI"/>
    <s v=" Azure"/>
    <s v=" Hugging Face"/>
    <s v=" Python"/>
    <s v=" C++"/>
    <n v="63998"/>
    <s v=" R"/>
    <s v="Entry"/>
    <x v="2"/>
    <s v="Matthewville"/>
    <s v=" US"/>
    <n v="44138"/>
    <n v="83858"/>
    <d v="2025-08-30T00:00:00"/>
    <x v="0"/>
    <s v="LangChain"/>
    <s v=" TensorFlow"/>
    <s v=" MLflow"/>
    <x v="18"/>
    <n v="96"/>
    <x v="4"/>
    <n v="268"/>
  </r>
  <r>
    <n v="1188"/>
    <s v="Crane, Robles and Arias"/>
    <x v="5"/>
    <x v="3"/>
    <s v="TensorFlow"/>
    <s v=" Reinforcement Learning"/>
    <s v=" SQL"/>
    <s v=" NumPy"/>
    <s v=" Python"/>
    <n v="110730.5"/>
    <m/>
    <s v="Entry"/>
    <x v="2"/>
    <s v="New Michaelmouth"/>
    <s v=" KR"/>
    <n v="85552"/>
    <n v="135909"/>
    <d v="2024-06-01T00:00:00"/>
    <x v="1"/>
    <s v="FastAPI"/>
    <s v=" TensorFlow"/>
    <m/>
    <x v="19"/>
    <n v="95"/>
    <x v="1"/>
    <n v="251"/>
  </r>
  <r>
    <n v="1189"/>
    <s v="Martinez-Fuller"/>
    <x v="2"/>
    <x v="5"/>
    <s v="Scikit-learn"/>
    <s v=" GCP"/>
    <s v=" NumPy"/>
    <s v=" Flask"/>
    <s v=" Excel"/>
    <n v="108449.5"/>
    <s v=" AWS"/>
    <s v="Entry"/>
    <x v="3"/>
    <s v="Ruizbury"/>
    <s v=" NZ"/>
    <n v="78016"/>
    <n v="138883"/>
    <d v="2024-03-23T00:00:00"/>
    <x v="2"/>
    <s v="FastAPI"/>
    <s v=" Scikit-learn"/>
    <m/>
    <x v="1"/>
    <n v="76"/>
    <x v="1"/>
    <n v="251"/>
  </r>
  <r>
    <n v="1190"/>
    <s v="Wood-Johnson"/>
    <x v="2"/>
    <x v="7"/>
    <s v="AWS"/>
    <s v=" NumPy"/>
    <s v=" LangChain"/>
    <s v=" Scikit-learn"/>
    <s v=" FastAPI"/>
    <n v="147662"/>
    <m/>
    <s v="Senior"/>
    <x v="3"/>
    <s v="Gailland"/>
    <s v=" SK"/>
    <n v="132214"/>
    <n v="163110"/>
    <d v="2023-10-03T00:00:00"/>
    <x v="1"/>
    <s v="TensorFlow"/>
    <s v=" Scikit-learn"/>
    <s v=" PyTorch"/>
    <x v="10"/>
    <n v="97"/>
    <x v="2"/>
    <n v="249"/>
  </r>
  <r>
    <n v="1191"/>
    <s v="Martin Group"/>
    <x v="6"/>
    <x v="3"/>
    <s v="CUDA"/>
    <s v=" Power BI"/>
    <s v=" LangChain"/>
    <s v=" Scikit-learn"/>
    <m/>
    <n v="147306.5"/>
    <m/>
    <s v="Senior"/>
    <x v="0"/>
    <s v="Lake Nicole"/>
    <s v=" GT"/>
    <n v="139424"/>
    <n v="155189"/>
    <d v="2024-04-30T00:00:00"/>
    <x v="0"/>
    <s v="BigQuery"/>
    <s v=" MLflow"/>
    <m/>
    <x v="13"/>
    <n v="75"/>
    <x v="3"/>
    <n v="238"/>
  </r>
  <r>
    <n v="1192"/>
    <s v="Morrison, Wallace and Wade"/>
    <x v="6"/>
    <x v="7"/>
    <s v="PyTorch"/>
    <s v=" Power BI"/>
    <s v=" Pandas"/>
    <s v=" Scikit-learn"/>
    <m/>
    <n v="106784.5"/>
    <m/>
    <s v="Mid"/>
    <x v="1"/>
    <s v="East Cheryl"/>
    <s v=" PG"/>
    <n v="77201"/>
    <n v="136368"/>
    <d v="2023-12-21T00:00:00"/>
    <x v="2"/>
    <s v="MLflow"/>
    <s v=" LangChain"/>
    <s v=" Scikit-learn"/>
    <x v="14"/>
    <n v="92"/>
    <x v="6"/>
    <n v="259"/>
  </r>
  <r>
    <n v="1193"/>
    <s v="Villa, Hall and Bishop"/>
    <x v="5"/>
    <x v="0"/>
    <s v="LangChain"/>
    <s v=" Power BI"/>
    <s v=" AWS"/>
    <s v=" TensorFlow"/>
    <m/>
    <n v="80261.5"/>
    <m/>
    <s v="Mid"/>
    <x v="2"/>
    <s v="New Garytown"/>
    <s v=" FI"/>
    <n v="53641"/>
    <n v="106882"/>
    <d v="2024-10-21T00:00:00"/>
    <x v="2"/>
    <s v="MLflow"/>
    <m/>
    <m/>
    <x v="12"/>
    <n v="100"/>
    <x v="6"/>
    <n v="259"/>
  </r>
  <r>
    <n v="1194"/>
    <s v="Kennedy-Davis"/>
    <x v="4"/>
    <x v="5"/>
    <s v="Keras"/>
    <s v=" Python"/>
    <s v=" Power BI"/>
    <s v=" GCP"/>
    <m/>
    <n v="71635.5"/>
    <m/>
    <s v="Senior"/>
    <x v="2"/>
    <s v="East Jessicaport"/>
    <s v=" CG"/>
    <n v="54875"/>
    <n v="88396"/>
    <d v="2025-02-02T00:00:00"/>
    <x v="1"/>
    <s v="BigQuery"/>
    <s v=" FastAPI"/>
    <s v=" PyTorch"/>
    <x v="7"/>
    <n v="96"/>
    <x v="3"/>
    <n v="238"/>
  </r>
  <r>
    <n v="1195"/>
    <s v="Anderson Group"/>
    <x v="4"/>
    <x v="5"/>
    <s v="LangChain"/>
    <s v=" Pandas"/>
    <s v=" Scikit-learn"/>
    <s v=" MLflow"/>
    <s v=" C++"/>
    <n v="102530"/>
    <m/>
    <s v="Mid"/>
    <x v="2"/>
    <s v="Turnerville"/>
    <s v=" AO"/>
    <n v="71896"/>
    <n v="133164"/>
    <d v="2024-01-27T00:00:00"/>
    <x v="1"/>
    <s v="PyTorch"/>
    <m/>
    <m/>
    <x v="12"/>
    <n v="100"/>
    <x v="5"/>
    <n v="233"/>
  </r>
  <r>
    <n v="1196"/>
    <s v="Price, Moore and Kidd"/>
    <x v="4"/>
    <x v="1"/>
    <s v="FastAPI"/>
    <s v=" Excel"/>
    <s v=" Scikit-learn"/>
    <s v=" Pandas"/>
    <s v=" PyTorch"/>
    <n v="87738"/>
    <s v=" Hugging Face"/>
    <s v="Entry"/>
    <x v="0"/>
    <s v="Rachelview"/>
    <s v=" KH"/>
    <n v="54199"/>
    <n v="121277"/>
    <d v="2024-02-09T00:00:00"/>
    <x v="2"/>
    <s v="TensorFlow"/>
    <s v=" BigQuery"/>
    <s v=" MLflow"/>
    <x v="20"/>
    <n v="111"/>
    <x v="2"/>
    <n v="249"/>
  </r>
  <r>
    <n v="1197"/>
    <s v="Carroll Group"/>
    <x v="5"/>
    <x v="6"/>
    <s v="C++"/>
    <s v=" AWS"/>
    <s v=" NumPy"/>
    <s v=" SQL"/>
    <m/>
    <n v="99415"/>
    <m/>
    <s v="Mid"/>
    <x v="3"/>
    <s v="West Monica"/>
    <s v=" TT"/>
    <n v="58539"/>
    <n v="140291"/>
    <d v="2025-05-19T00:00:00"/>
    <x v="2"/>
    <s v="KDB+"/>
    <m/>
    <m/>
    <x v="8"/>
    <n v="84"/>
    <x v="0"/>
    <n v="247"/>
  </r>
  <r>
    <n v="1198"/>
    <s v="Woods-French"/>
    <x v="0"/>
    <x v="7"/>
    <s v="TensorFlow"/>
    <s v=" Python"/>
    <s v=" Reinforcement Learning"/>
    <m/>
    <m/>
    <n v="107572.5"/>
    <m/>
    <s v="Mid"/>
    <x v="1"/>
    <s v="South Meagan"/>
    <s v=" GQ"/>
    <n v="81361"/>
    <n v="133784"/>
    <d v="2023-12-31T00:00:00"/>
    <x v="2"/>
    <s v="PyTorch"/>
    <s v=" Scikit-learn"/>
    <s v=" KDB+"/>
    <x v="19"/>
    <n v="95"/>
    <x v="5"/>
    <n v="233"/>
  </r>
  <r>
    <n v="1199"/>
    <s v="Miller, Gonzalez and Kelly"/>
    <x v="6"/>
    <x v="5"/>
    <s v="Reinforcement Learning"/>
    <s v=" Flask"/>
    <s v=" C++"/>
    <s v=" Azure"/>
    <s v=" Hugging Face"/>
    <n v="128037"/>
    <s v=" Python"/>
    <s v="Senior"/>
    <x v="3"/>
    <s v="Kellyborough"/>
    <s v=" PA"/>
    <n v="107193"/>
    <n v="148881"/>
    <d v="2023-10-26T00:00:00"/>
    <x v="2"/>
    <s v="Scikit-learn"/>
    <m/>
    <m/>
    <x v="21"/>
    <n v="104"/>
    <x v="7"/>
    <n v="255"/>
  </r>
  <r>
    <n v="1200"/>
    <s v="Marquez and Sons"/>
    <x v="3"/>
    <x v="5"/>
    <s v="TensorFlow"/>
    <s v=" Scikit-learn"/>
    <s v=" NumPy"/>
    <s v=" C++"/>
    <s v=" Hugging Face"/>
    <n v="130091"/>
    <m/>
    <s v="Entry"/>
    <x v="2"/>
    <s v="Pooleview"/>
    <s v=" NL"/>
    <n v="101110"/>
    <n v="159072"/>
    <d v="2025-03-31T00:00:00"/>
    <x v="0"/>
    <s v="FastAPI"/>
    <s v=" MLflow"/>
    <s v=" PyTorch"/>
    <x v="19"/>
    <n v="95"/>
    <x v="1"/>
    <n v="251"/>
  </r>
  <r>
    <n v="1201"/>
    <s v="Anderson, Lucas and Clements"/>
    <x v="6"/>
    <x v="4"/>
    <s v="SQL"/>
    <s v=" AWS"/>
    <s v=" TensorFlow"/>
    <m/>
    <m/>
    <n v="183357"/>
    <m/>
    <s v="Entry"/>
    <x v="0"/>
    <s v="West Bethanyshire"/>
    <s v=" HU"/>
    <n v="136800"/>
    <n v="229914"/>
    <d v="2024-09-21T00:00:00"/>
    <x v="1"/>
    <s v="PyTorch"/>
    <m/>
    <m/>
    <x v="17"/>
    <n v="88"/>
    <x v="5"/>
    <n v="233"/>
  </r>
  <r>
    <n v="1202"/>
    <s v="Williams LLC"/>
    <x v="1"/>
    <x v="3"/>
    <s v="Hugging Face"/>
    <s v=" Pandas"/>
    <s v=" SQL"/>
    <m/>
    <m/>
    <n v="155736.5"/>
    <m/>
    <s v="Mid"/>
    <x v="1"/>
    <s v="East Nicholeberg"/>
    <s v=" DE"/>
    <n v="124475"/>
    <n v="186998"/>
    <d v="2025-03-25T00:00:00"/>
    <x v="2"/>
    <s v="MLflow"/>
    <s v=" PyTorch"/>
    <s v=" BigQuery"/>
    <x v="9"/>
    <n v="89"/>
    <x v="6"/>
    <n v="259"/>
  </r>
  <r>
    <n v="1203"/>
    <s v="Braun Inc"/>
    <x v="1"/>
    <x v="5"/>
    <s v="NumPy"/>
    <s v=" TensorFlow"/>
    <s v=" Pandas"/>
    <s v=" CUDA"/>
    <m/>
    <n v="160031"/>
    <m/>
    <s v="Senior"/>
    <x v="1"/>
    <s v="Brooksbury"/>
    <s v=" GE"/>
    <n v="132410"/>
    <n v="187652"/>
    <d v="2024-08-08T00:00:00"/>
    <x v="0"/>
    <s v="BigQuery"/>
    <m/>
    <m/>
    <x v="0"/>
    <n v="104"/>
    <x v="3"/>
    <n v="238"/>
  </r>
  <r>
    <n v="1204"/>
    <s v="Williams, Carter and Wilson"/>
    <x v="4"/>
    <x v="6"/>
    <s v="C++"/>
    <s v=" Pandas"/>
    <s v=" Keras"/>
    <s v=" Excel"/>
    <m/>
    <n v="145100.5"/>
    <m/>
    <s v="Mid"/>
    <x v="0"/>
    <s v="Juliemouth"/>
    <s v=" TR"/>
    <n v="112490"/>
    <n v="177711"/>
    <d v="2023-11-06T00:00:00"/>
    <x v="2"/>
    <s v="MLflow"/>
    <s v=" KDB+"/>
    <s v=" Scikit-learn"/>
    <x v="8"/>
    <n v="84"/>
    <x v="6"/>
    <n v="259"/>
  </r>
  <r>
    <n v="1205"/>
    <s v="Howard-Farrell"/>
    <x v="6"/>
    <x v="4"/>
    <s v="Scikit-learn"/>
    <s v=" Excel"/>
    <s v=" Flask"/>
    <m/>
    <m/>
    <n v="112864"/>
    <m/>
    <s v="Entry"/>
    <x v="1"/>
    <s v="Fishershire"/>
    <s v=" CN"/>
    <n v="87425"/>
    <n v="138303"/>
    <d v="2025-07-11T00:00:00"/>
    <x v="1"/>
    <s v="FastAPI"/>
    <m/>
    <m/>
    <x v="1"/>
    <n v="76"/>
    <x v="1"/>
    <n v="251"/>
  </r>
  <r>
    <n v="1206"/>
    <s v="Richards-Adams"/>
    <x v="2"/>
    <x v="4"/>
    <s v="FastAPI"/>
    <s v=" C++"/>
    <s v=" NumPy"/>
    <s v=" Flask"/>
    <m/>
    <n v="117048.5"/>
    <m/>
    <s v="Entry"/>
    <x v="2"/>
    <s v="Lake Kathleenville"/>
    <s v=" AZ"/>
    <n v="67422"/>
    <n v="166675"/>
    <d v="2024-08-17T00:00:00"/>
    <x v="0"/>
    <s v="MLflow"/>
    <s v=" LangChain"/>
    <m/>
    <x v="20"/>
    <n v="111"/>
    <x v="6"/>
    <n v="259"/>
  </r>
  <r>
    <n v="1207"/>
    <s v="Olson Group"/>
    <x v="5"/>
    <x v="5"/>
    <s v="SQL"/>
    <s v=" Pandas"/>
    <s v=" Flask"/>
    <m/>
    <m/>
    <n v="94569"/>
    <m/>
    <s v="Senior"/>
    <x v="3"/>
    <s v="East Nicole"/>
    <s v=" GA"/>
    <n v="60629"/>
    <n v="128509"/>
    <d v="2025-01-25T00:00:00"/>
    <x v="1"/>
    <s v="FastAPI"/>
    <s v=" MLflow"/>
    <s v=" BigQuery"/>
    <x v="17"/>
    <n v="88"/>
    <x v="1"/>
    <n v="251"/>
  </r>
  <r>
    <n v="1208"/>
    <s v="Montgomery-Castro"/>
    <x v="5"/>
    <x v="0"/>
    <s v="MLflow"/>
    <s v=" Keras"/>
    <s v=" C++"/>
    <s v=" Reinforcement Learning"/>
    <m/>
    <n v="162453"/>
    <m/>
    <s v="Mid"/>
    <x v="1"/>
    <s v="South Michelebury"/>
    <s v=" AO"/>
    <n v="141368"/>
    <n v="183538"/>
    <d v="2023-10-05T00:00:00"/>
    <x v="2"/>
    <s v="LangChain"/>
    <s v=" FastAPI"/>
    <m/>
    <x v="3"/>
    <n v="80"/>
    <x v="4"/>
    <n v="268"/>
  </r>
  <r>
    <n v="1209"/>
    <s v="Cannon Group"/>
    <x v="4"/>
    <x v="7"/>
    <s v="Hugging Face"/>
    <s v=" Flask"/>
    <s v=" Pandas"/>
    <s v=" SQL"/>
    <s v=" TensorFlow"/>
    <n v="138827"/>
    <m/>
    <s v="Entry"/>
    <x v="3"/>
    <s v="Port Andrew"/>
    <s v=" AF"/>
    <n v="125075"/>
    <n v="152579"/>
    <d v="2024-10-03T00:00:00"/>
    <x v="2"/>
    <s v="FastAPI"/>
    <s v=" MLflow"/>
    <s v=" LangChain"/>
    <x v="9"/>
    <n v="89"/>
    <x v="1"/>
    <n v="251"/>
  </r>
  <r>
    <n v="1210"/>
    <s v="Green-Freeman"/>
    <x v="3"/>
    <x v="5"/>
    <s v="GCP"/>
    <s v=" LangChain"/>
    <s v=" Scikit-learn"/>
    <s v=" NumPy"/>
    <s v=" Pandas"/>
    <n v="161709.5"/>
    <m/>
    <s v="Mid"/>
    <x v="0"/>
    <s v="East Edwardtown"/>
    <s v=" ME"/>
    <n v="140375"/>
    <n v="183044"/>
    <d v="2024-01-11T00:00:00"/>
    <x v="1"/>
    <s v="FastAPI"/>
    <s v=" TensorFlow"/>
    <s v=" MLflow"/>
    <x v="4"/>
    <n v="78"/>
    <x v="1"/>
    <n v="251"/>
  </r>
  <r>
    <n v="1211"/>
    <s v="Sullivan, Spencer and Holland"/>
    <x v="2"/>
    <x v="4"/>
    <s v="FastAPI"/>
    <s v=" TensorFlow"/>
    <s v=" Hugging Face"/>
    <s v=" SQL"/>
    <s v=" Azure"/>
    <n v="102206.5"/>
    <s v=" Reinforcement Learning"/>
    <s v="Entry"/>
    <x v="1"/>
    <s v="Thomasfurt"/>
    <s v=" VA"/>
    <n v="58608"/>
    <n v="145805"/>
    <d v="2023-09-28T00:00:00"/>
    <x v="2"/>
    <s v="Scikit-learn"/>
    <s v=" MLflow"/>
    <s v=" FastAPI"/>
    <x v="20"/>
    <n v="111"/>
    <x v="7"/>
    <n v="255"/>
  </r>
  <r>
    <n v="1212"/>
    <s v="Barrett-Smith"/>
    <x v="5"/>
    <x v="3"/>
    <s v="SQL"/>
    <s v=" R"/>
    <s v=" AWS"/>
    <m/>
    <m/>
    <n v="60168.5"/>
    <m/>
    <s v="Mid"/>
    <x v="1"/>
    <s v="Jessicachester"/>
    <s v=" MW"/>
    <n v="51771"/>
    <n v="68566"/>
    <d v="2025-01-01T00:00:00"/>
    <x v="1"/>
    <s v="MLflow"/>
    <s v=" BigQuery"/>
    <s v=" FastAPI"/>
    <x v="17"/>
    <n v="88"/>
    <x v="6"/>
    <n v="259"/>
  </r>
  <r>
    <n v="1213"/>
    <s v="Vargas-Rodriguez"/>
    <x v="5"/>
    <x v="0"/>
    <s v="AWS"/>
    <s v=" C++"/>
    <s v=" Hugging Face"/>
    <s v=" Azure"/>
    <s v=" TensorFlow"/>
    <n v="125483.5"/>
    <s v=" MLflow"/>
    <s v="Senior"/>
    <x v="1"/>
    <s v="Debraton"/>
    <s v=" GT"/>
    <n v="87515"/>
    <n v="163452"/>
    <d v="2024-06-20T00:00:00"/>
    <x v="2"/>
    <s v="KDB+"/>
    <s v=" BigQuery"/>
    <m/>
    <x v="10"/>
    <n v="97"/>
    <x v="0"/>
    <n v="247"/>
  </r>
  <r>
    <n v="1214"/>
    <s v="Gaines-Vance"/>
    <x v="0"/>
    <x v="6"/>
    <s v="TensorFlow"/>
    <s v=" MLflow"/>
    <s v=" CUDA"/>
    <m/>
    <m/>
    <n v="188486"/>
    <m/>
    <s v="Entry"/>
    <x v="3"/>
    <s v="Cervantesmouth"/>
    <s v=" FM"/>
    <n v="140185"/>
    <n v="236787"/>
    <d v="2025-09-10T00:00:00"/>
    <x v="0"/>
    <s v="MLflow"/>
    <s v=" TensorFlow"/>
    <s v=" FastAPI"/>
    <x v="19"/>
    <n v="95"/>
    <x v="6"/>
    <n v="259"/>
  </r>
  <r>
    <n v="1215"/>
    <s v="Brown, Fox and Stokes"/>
    <x v="0"/>
    <x v="2"/>
    <s v="Flask"/>
    <s v=" CUDA"/>
    <s v=" Hugging Face"/>
    <s v=" MLflow"/>
    <s v=" FastAPI"/>
    <n v="75226.5"/>
    <m/>
    <s v="Mid"/>
    <x v="1"/>
    <s v="Marcmouth"/>
    <s v=" CN"/>
    <n v="52829"/>
    <n v="97624"/>
    <d v="2025-08-13T00:00:00"/>
    <x v="1"/>
    <s v="LangChain"/>
    <m/>
    <m/>
    <x v="16"/>
    <n v="86"/>
    <x v="4"/>
    <n v="268"/>
  </r>
  <r>
    <n v="1216"/>
    <s v="Sparks-Garrison"/>
    <x v="4"/>
    <x v="0"/>
    <s v="FastAPI"/>
    <s v=" GCP"/>
    <s v=" C++"/>
    <m/>
    <m/>
    <n v="181482.5"/>
    <m/>
    <s v="Entry"/>
    <x v="1"/>
    <s v="New Andreastad"/>
    <s v=" RO"/>
    <n v="132513"/>
    <n v="230452"/>
    <d v="2024-07-12T00:00:00"/>
    <x v="1"/>
    <s v="FastAPI"/>
    <s v=" LangChain"/>
    <m/>
    <x v="20"/>
    <n v="111"/>
    <x v="1"/>
    <n v="251"/>
  </r>
  <r>
    <n v="1217"/>
    <s v="Payne, Swanson and Silva"/>
    <x v="5"/>
    <x v="7"/>
    <s v="TensorFlow"/>
    <s v=" Power BI"/>
    <s v=" Scikit-learn"/>
    <s v=" Excel"/>
    <m/>
    <n v="117462"/>
    <m/>
    <s v="Entry"/>
    <x v="3"/>
    <s v="North Jamesside"/>
    <s v=" YE"/>
    <n v="84716"/>
    <n v="150208"/>
    <d v="2024-12-22T00:00:00"/>
    <x v="1"/>
    <s v="FastAPI"/>
    <s v=" PyTorch"/>
    <m/>
    <x v="19"/>
    <n v="95"/>
    <x v="1"/>
    <n v="251"/>
  </r>
  <r>
    <n v="1218"/>
    <s v="Vargas-Edwards"/>
    <x v="1"/>
    <x v="0"/>
    <s v="Power BI"/>
    <s v=" GCP"/>
    <s v=" Scikit-learn"/>
    <m/>
    <m/>
    <n v="67315.5"/>
    <m/>
    <s v="Entry"/>
    <x v="1"/>
    <s v="Adamtown"/>
    <s v=" CH"/>
    <n v="57691"/>
    <n v="76940"/>
    <d v="2025-01-08T00:00:00"/>
    <x v="0"/>
    <s v="KDB+"/>
    <s v=" LangChain"/>
    <m/>
    <x v="18"/>
    <n v="96"/>
    <x v="0"/>
    <n v="247"/>
  </r>
  <r>
    <n v="1219"/>
    <s v="Huynh PLC"/>
    <x v="6"/>
    <x v="7"/>
    <s v="R"/>
    <s v=" Keras"/>
    <s v=" Azure"/>
    <s v=" AWS"/>
    <s v=" NumPy"/>
    <n v="166406"/>
    <s v=" GCP"/>
    <s v="Entry"/>
    <x v="1"/>
    <s v="West Christopher"/>
    <s v=" QA"/>
    <n v="124533"/>
    <n v="208279"/>
    <d v="2024-12-15T00:00:00"/>
    <x v="1"/>
    <s v="LangChain"/>
    <s v=" BigQuery"/>
    <s v=" Scikit-learn"/>
    <x v="11"/>
    <n v="86"/>
    <x v="4"/>
    <n v="268"/>
  </r>
  <r>
    <n v="1220"/>
    <s v="Griffith, Ruiz and Jones"/>
    <x v="0"/>
    <x v="2"/>
    <s v="SQL"/>
    <s v=" FastAPI"/>
    <s v=" CUDA"/>
    <s v=" GCP"/>
    <s v=" LangChain"/>
    <n v="121764"/>
    <s v=" Scikit-learn"/>
    <s v="Entry"/>
    <x v="1"/>
    <s v="West Christina"/>
    <s v=" BW"/>
    <n v="91133"/>
    <n v="152395"/>
    <d v="2024-04-14T00:00:00"/>
    <x v="2"/>
    <s v="TensorFlow"/>
    <m/>
    <m/>
    <x v="17"/>
    <n v="88"/>
    <x v="2"/>
    <n v="249"/>
  </r>
  <r>
    <n v="1221"/>
    <s v="Flowers Group"/>
    <x v="0"/>
    <x v="1"/>
    <s v="NumPy"/>
    <s v=" R"/>
    <s v=" CUDA"/>
    <s v=" MLflow"/>
    <s v=" Azure"/>
    <n v="67924.5"/>
    <s v=" PyTorch"/>
    <s v="Mid"/>
    <x v="0"/>
    <s v="New Robin"/>
    <s v=" NR"/>
    <n v="45671"/>
    <n v="90178"/>
    <d v="2023-10-03T00:00:00"/>
    <x v="1"/>
    <s v="BigQuery"/>
    <s v=" KDB+"/>
    <m/>
    <x v="0"/>
    <n v="104"/>
    <x v="3"/>
    <n v="238"/>
  </r>
  <r>
    <n v="1222"/>
    <s v="Deleon PLC"/>
    <x v="2"/>
    <x v="3"/>
    <s v="Power BI"/>
    <s v=" Keras"/>
    <s v=" TensorFlow"/>
    <m/>
    <m/>
    <n v="110756.5"/>
    <m/>
    <s v="Senior"/>
    <x v="2"/>
    <s v="North Brendaview"/>
    <s v=" SE"/>
    <n v="82804"/>
    <n v="138709"/>
    <d v="2023-11-17T00:00:00"/>
    <x v="1"/>
    <s v="LangChain"/>
    <s v=" Scikit-learn"/>
    <m/>
    <x v="18"/>
    <n v="96"/>
    <x v="4"/>
    <n v="268"/>
  </r>
  <r>
    <n v="1223"/>
    <s v="Mcintosh-Mitchell"/>
    <x v="1"/>
    <x v="3"/>
    <s v="Keras"/>
    <s v=" Power BI"/>
    <s v=" TensorFlow"/>
    <s v=" Excel"/>
    <s v=" SQL"/>
    <n v="112187"/>
    <s v=" LangChain"/>
    <s v="Entry"/>
    <x v="1"/>
    <s v="North John"/>
    <s v=" YE"/>
    <n v="91610"/>
    <n v="132764"/>
    <d v="2024-07-28T00:00:00"/>
    <x v="1"/>
    <s v="MLflow"/>
    <s v=" Scikit-learn"/>
    <s v=" FastAPI"/>
    <x v="7"/>
    <n v="96"/>
    <x v="6"/>
    <n v="259"/>
  </r>
  <r>
    <n v="1224"/>
    <s v="Davies-Valentine"/>
    <x v="2"/>
    <x v="4"/>
    <s v="AWS"/>
    <s v=" GCP"/>
    <s v=" Keras"/>
    <s v=" SQL"/>
    <s v=" Pandas"/>
    <n v="88346"/>
    <s v=" Python"/>
    <s v="Entry"/>
    <x v="0"/>
    <s v="Dixontown"/>
    <s v=" BY"/>
    <n v="68574"/>
    <n v="108118"/>
    <d v="2024-08-29T00:00:00"/>
    <x v="0"/>
    <s v="PyTorch"/>
    <s v=" Scikit-learn"/>
    <m/>
    <x v="10"/>
    <n v="97"/>
    <x v="5"/>
    <n v="233"/>
  </r>
  <r>
    <n v="1225"/>
    <s v="Collins Group"/>
    <x v="6"/>
    <x v="6"/>
    <s v="Azure"/>
    <s v=" PyTorch"/>
    <s v=" LangChain"/>
    <m/>
    <m/>
    <n v="169207"/>
    <m/>
    <s v="Entry"/>
    <x v="1"/>
    <s v="Brandonville"/>
    <s v=" FR"/>
    <n v="124562"/>
    <n v="213852"/>
    <d v="2024-01-07T00:00:00"/>
    <x v="1"/>
    <s v="LangChain"/>
    <s v=" MLflow"/>
    <m/>
    <x v="15"/>
    <n v="90"/>
    <x v="4"/>
    <n v="268"/>
  </r>
  <r>
    <n v="1226"/>
    <s v="Fields-Ramirez"/>
    <x v="3"/>
    <x v="7"/>
    <s v="Hugging Face"/>
    <s v=" LangChain"/>
    <s v=" R"/>
    <s v=" Python"/>
    <s v=" SQL"/>
    <n v="132727.5"/>
    <s v=" TensorFlow"/>
    <s v="Mid"/>
    <x v="1"/>
    <s v="East Alexandratown"/>
    <s v=" BT"/>
    <n v="86589"/>
    <n v="178866"/>
    <d v="2024-03-16T00:00:00"/>
    <x v="0"/>
    <s v="BigQuery"/>
    <m/>
    <m/>
    <x v="9"/>
    <n v="89"/>
    <x v="3"/>
    <n v="238"/>
  </r>
  <r>
    <n v="1227"/>
    <s v="Christensen, Heath and Lopez"/>
    <x v="3"/>
    <x v="4"/>
    <s v="SQL"/>
    <s v=" Scikit-learn"/>
    <s v=" GCP"/>
    <m/>
    <m/>
    <n v="112145"/>
    <m/>
    <s v="Mid"/>
    <x v="3"/>
    <s v="Mcdonaldview"/>
    <s v=" TT"/>
    <n v="93501"/>
    <n v="130789"/>
    <d v="2024-03-07T00:00:00"/>
    <x v="2"/>
    <s v="LangChain"/>
    <s v=" BigQuery"/>
    <s v=" MLflow"/>
    <x v="17"/>
    <n v="88"/>
    <x v="4"/>
    <n v="268"/>
  </r>
  <r>
    <n v="1228"/>
    <s v="Cross-Randall"/>
    <x v="4"/>
    <x v="0"/>
    <s v="Hugging Face"/>
    <s v=" R"/>
    <s v=" TensorFlow"/>
    <m/>
    <m/>
    <n v="71742.5"/>
    <m/>
    <s v="Entry"/>
    <x v="2"/>
    <s v="Brianshire"/>
    <s v=" KE"/>
    <n v="57590"/>
    <n v="85895"/>
    <d v="2024-12-09T00:00:00"/>
    <x v="0"/>
    <s v="TensorFlow"/>
    <s v=" LangChain"/>
    <m/>
    <x v="9"/>
    <n v="89"/>
    <x v="2"/>
    <n v="249"/>
  </r>
  <r>
    <n v="1229"/>
    <s v="Brewer-Bruce"/>
    <x v="2"/>
    <x v="4"/>
    <s v="TensorFlow"/>
    <s v=" Hugging Face"/>
    <s v=" CUDA"/>
    <s v=" PyTorch"/>
    <m/>
    <n v="149931.5"/>
    <m/>
    <s v="Entry"/>
    <x v="2"/>
    <s v="New Donnaville"/>
    <s v=" AG"/>
    <n v="142708"/>
    <n v="157155"/>
    <d v="2024-06-28T00:00:00"/>
    <x v="1"/>
    <s v="BigQuery"/>
    <s v=" MLflow"/>
    <s v=" FastAPI"/>
    <x v="19"/>
    <n v="95"/>
    <x v="3"/>
    <n v="238"/>
  </r>
  <r>
    <n v="1230"/>
    <s v="Henderson, Owens and Jones"/>
    <x v="2"/>
    <x v="2"/>
    <s v="FastAPI"/>
    <s v=" Python"/>
    <s v=" MLflow"/>
    <s v=" R"/>
    <s v=" TensorFlow"/>
    <n v="153694.5"/>
    <m/>
    <s v="Mid"/>
    <x v="1"/>
    <s v="Sullivanborough"/>
    <s v=" TH"/>
    <n v="140520"/>
    <n v="166869"/>
    <d v="2024-03-11T00:00:00"/>
    <x v="2"/>
    <s v="Scikit-learn"/>
    <s v=" LangChain"/>
    <m/>
    <x v="20"/>
    <n v="111"/>
    <x v="7"/>
    <n v="255"/>
  </r>
  <r>
    <n v="1231"/>
    <s v="Lee-Davis"/>
    <x v="1"/>
    <x v="2"/>
    <s v="Excel"/>
    <s v=" Pandas"/>
    <s v=" Power BI"/>
    <s v=" NumPy"/>
    <s v=" Reinforcement Learning"/>
    <n v="123036"/>
    <s v=" C++"/>
    <s v="Senior"/>
    <x v="1"/>
    <s v="Gonzalesland"/>
    <s v=" UZ"/>
    <n v="93505"/>
    <n v="152567"/>
    <d v="2024-03-25T00:00:00"/>
    <x v="2"/>
    <s v="Scikit-learn"/>
    <m/>
    <m/>
    <x v="2"/>
    <n v="101"/>
    <x v="7"/>
    <n v="255"/>
  </r>
  <r>
    <n v="1232"/>
    <s v="Watson-Fernandez"/>
    <x v="0"/>
    <x v="5"/>
    <s v="Flask"/>
    <s v=" Python"/>
    <s v=" C++"/>
    <s v=" Azure"/>
    <m/>
    <n v="145062"/>
    <m/>
    <s v="Entry"/>
    <x v="0"/>
    <s v="Mosesland"/>
    <s v=" FJ"/>
    <n v="137712"/>
    <n v="152412"/>
    <d v="2024-06-17T00:00:00"/>
    <x v="2"/>
    <s v="FastAPI"/>
    <s v=" Scikit-learn"/>
    <m/>
    <x v="16"/>
    <n v="86"/>
    <x v="1"/>
    <n v="251"/>
  </r>
  <r>
    <n v="1233"/>
    <s v="Benjamin, Jordan and Larsen"/>
    <x v="3"/>
    <x v="2"/>
    <s v="Scikit-learn"/>
    <s v=" MLflow"/>
    <s v=" Keras"/>
    <s v=" Hugging Face"/>
    <m/>
    <n v="125457"/>
    <m/>
    <s v="Senior"/>
    <x v="0"/>
    <s v="New Angelton"/>
    <s v=" SM"/>
    <n v="100873"/>
    <n v="150041"/>
    <d v="2024-04-16T00:00:00"/>
    <x v="1"/>
    <s v="PyTorch"/>
    <s v=" FastAPI"/>
    <m/>
    <x v="1"/>
    <n v="76"/>
    <x v="5"/>
    <n v="233"/>
  </r>
  <r>
    <n v="1234"/>
    <s v="Moore LLC"/>
    <x v="2"/>
    <x v="5"/>
    <s v="R"/>
    <s v=" NumPy"/>
    <s v=" Hugging Face"/>
    <s v=" TensorFlow"/>
    <m/>
    <n v="102985"/>
    <m/>
    <s v="Senior"/>
    <x v="1"/>
    <s v="Willischester"/>
    <s v=" ET"/>
    <n v="86191"/>
    <n v="119779"/>
    <d v="2024-10-06T00:00:00"/>
    <x v="2"/>
    <s v="KDB+"/>
    <m/>
    <m/>
    <x v="11"/>
    <n v="86"/>
    <x v="0"/>
    <n v="247"/>
  </r>
  <r>
    <n v="1235"/>
    <s v="Wilson, Roberts and Frank"/>
    <x v="4"/>
    <x v="5"/>
    <s v="PyTorch"/>
    <s v=" Azure"/>
    <s v=" Flask"/>
    <s v=" SQL"/>
    <s v=" Power BI"/>
    <n v="136665.5"/>
    <s v=" TensorFlow"/>
    <s v="Entry"/>
    <x v="0"/>
    <s v="Port Amy"/>
    <s v=" FJ"/>
    <n v="107174"/>
    <n v="166157"/>
    <d v="2023-12-15T00:00:00"/>
    <x v="0"/>
    <s v="Scikit-learn"/>
    <s v=" LangChain"/>
    <m/>
    <x v="14"/>
    <n v="92"/>
    <x v="7"/>
    <n v="255"/>
  </r>
  <r>
    <n v="1236"/>
    <s v="Hernandez, Long and Hutchinson"/>
    <x v="4"/>
    <x v="2"/>
    <s v="GCP"/>
    <s v=" C++"/>
    <s v=" R"/>
    <s v=" Pandas"/>
    <m/>
    <n v="148562.5"/>
    <m/>
    <s v="Senior"/>
    <x v="3"/>
    <s v="Hayesport"/>
    <s v=" CH"/>
    <n v="133743"/>
    <n v="163382"/>
    <d v="2025-06-14T00:00:00"/>
    <x v="2"/>
    <s v="MLflow"/>
    <s v=" KDB+"/>
    <s v=" LangChain"/>
    <x v="4"/>
    <n v="78"/>
    <x v="6"/>
    <n v="259"/>
  </r>
  <r>
    <n v="1237"/>
    <s v="Huffman, Larson and Bryant"/>
    <x v="0"/>
    <x v="6"/>
    <s v="NumPy"/>
    <s v=" C++"/>
    <s v=" Python"/>
    <m/>
    <m/>
    <n v="79447"/>
    <m/>
    <s v="Entry"/>
    <x v="2"/>
    <s v="South Devinburgh"/>
    <s v=" GM"/>
    <n v="44626"/>
    <n v="114268"/>
    <d v="2025-09-07T00:00:00"/>
    <x v="2"/>
    <s v="BigQuery"/>
    <s v=" KDB+"/>
    <m/>
    <x v="0"/>
    <n v="104"/>
    <x v="3"/>
    <n v="238"/>
  </r>
  <r>
    <n v="1238"/>
    <s v="Perry, Ford and Watson"/>
    <x v="2"/>
    <x v="4"/>
    <s v="Python"/>
    <s v=" Excel"/>
    <s v=" Scikit-learn"/>
    <s v=" TensorFlow"/>
    <s v=" R"/>
    <n v="91347"/>
    <m/>
    <s v="Mid"/>
    <x v="3"/>
    <s v="Leeville"/>
    <s v=" IR"/>
    <n v="42058"/>
    <n v="140636"/>
    <d v="2024-06-06T00:00:00"/>
    <x v="2"/>
    <s v="LangChain"/>
    <s v=" BigQuery"/>
    <s v=" FastAPI"/>
    <x v="5"/>
    <n v="94"/>
    <x v="4"/>
    <n v="268"/>
  </r>
  <r>
    <n v="1239"/>
    <s v="Coffey Ltd"/>
    <x v="4"/>
    <x v="7"/>
    <s v="LangChain"/>
    <s v=" GCP"/>
    <s v=" NumPy"/>
    <m/>
    <m/>
    <n v="117506"/>
    <m/>
    <s v="Entry"/>
    <x v="0"/>
    <s v="Port Aprilhaven"/>
    <s v=" MD"/>
    <n v="83416"/>
    <n v="151596"/>
    <d v="2025-07-03T00:00:00"/>
    <x v="0"/>
    <s v="PyTorch"/>
    <s v=" LangChain"/>
    <m/>
    <x v="12"/>
    <n v="100"/>
    <x v="5"/>
    <n v="233"/>
  </r>
  <r>
    <n v="1240"/>
    <s v="Lewis-Suarez"/>
    <x v="3"/>
    <x v="7"/>
    <s v="Power BI"/>
    <s v=" Pandas"/>
    <s v=" Python"/>
    <s v=" Keras"/>
    <s v=" NumPy"/>
    <n v="142676.5"/>
    <s v=" Scikit-learn"/>
    <s v="Mid"/>
    <x v="0"/>
    <s v="New Brandonfurt"/>
    <s v=" TJ"/>
    <n v="136005"/>
    <n v="149348"/>
    <d v="2023-10-29T00:00:00"/>
    <x v="0"/>
    <s v="PyTorch"/>
    <m/>
    <m/>
    <x v="18"/>
    <n v="96"/>
    <x v="5"/>
    <n v="233"/>
  </r>
  <r>
    <n v="1241"/>
    <s v="Dominguez Ltd"/>
    <x v="3"/>
    <x v="6"/>
    <s v="Flask"/>
    <s v=" Pandas"/>
    <s v=" Power BI"/>
    <s v=" Scikit-learn"/>
    <s v=" R"/>
    <n v="176231"/>
    <m/>
    <s v="Senior"/>
    <x v="2"/>
    <s v="Gillbury"/>
    <s v=" LR"/>
    <n v="142696"/>
    <n v="209766"/>
    <d v="2025-01-31T00:00:00"/>
    <x v="1"/>
    <s v="PyTorch"/>
    <s v=" MLflow"/>
    <m/>
    <x v="16"/>
    <n v="86"/>
    <x v="5"/>
    <n v="233"/>
  </r>
  <r>
    <n v="1242"/>
    <s v="Bennett-Peck"/>
    <x v="2"/>
    <x v="7"/>
    <s v="PyTorch"/>
    <s v=" Hugging Face"/>
    <s v=" GCP"/>
    <s v=" Keras"/>
    <s v=" TensorFlow"/>
    <n v="81594"/>
    <s v=" AWS"/>
    <s v="Mid"/>
    <x v="3"/>
    <s v="Port Ernest"/>
    <s v=" PY"/>
    <n v="57791"/>
    <n v="105397"/>
    <d v="2023-09-23T00:00:00"/>
    <x v="0"/>
    <s v="Scikit-learn"/>
    <m/>
    <m/>
    <x v="14"/>
    <n v="92"/>
    <x v="7"/>
    <n v="255"/>
  </r>
  <r>
    <n v="1243"/>
    <s v="Jones and Sons"/>
    <x v="2"/>
    <x v="7"/>
    <s v="Azure"/>
    <s v=" LangChain"/>
    <s v=" Flask"/>
    <m/>
    <m/>
    <n v="164629.5"/>
    <m/>
    <s v="Mid"/>
    <x v="2"/>
    <s v="New Loriberg"/>
    <s v=" OM"/>
    <n v="117104"/>
    <n v="212155"/>
    <d v="2024-03-05T00:00:00"/>
    <x v="0"/>
    <s v="LangChain"/>
    <m/>
    <m/>
    <x v="15"/>
    <n v="90"/>
    <x v="4"/>
    <n v="268"/>
  </r>
  <r>
    <n v="1244"/>
    <s v="Benton-Dunn"/>
    <x v="6"/>
    <x v="5"/>
    <s v="AWS"/>
    <s v=" GCP"/>
    <s v=" PyTorch"/>
    <s v=" Keras"/>
    <s v=" TensorFlow"/>
    <n v="89640"/>
    <m/>
    <s v="Entry"/>
    <x v="0"/>
    <s v="Justinmouth"/>
    <s v=" BF"/>
    <n v="81222"/>
    <n v="98058"/>
    <d v="2024-01-17T00:00:00"/>
    <x v="2"/>
    <s v="Scikit-learn"/>
    <s v=" MLflow"/>
    <s v=" KDB+"/>
    <x v="10"/>
    <n v="97"/>
    <x v="7"/>
    <n v="255"/>
  </r>
  <r>
    <n v="1245"/>
    <s v="Martin and Sons"/>
    <x v="5"/>
    <x v="0"/>
    <s v="Azure"/>
    <s v=" Keras"/>
    <s v=" R"/>
    <s v=" Scikit-learn"/>
    <s v=" TensorFlow"/>
    <n v="176793.5"/>
    <s v=" PyTorch"/>
    <s v="Senior"/>
    <x v="2"/>
    <s v="South Lauraport"/>
    <s v=" MC"/>
    <n v="136657"/>
    <n v="216930"/>
    <d v="2025-02-20T00:00:00"/>
    <x v="0"/>
    <s v="PyTorch"/>
    <s v=" KDB+"/>
    <m/>
    <x v="15"/>
    <n v="90"/>
    <x v="5"/>
    <n v="233"/>
  </r>
  <r>
    <n v="1246"/>
    <s v="Washington, Allen and Watts"/>
    <x v="2"/>
    <x v="1"/>
    <s v="AWS"/>
    <s v=" TensorFlow"/>
    <s v=" R"/>
    <m/>
    <m/>
    <n v="134575.5"/>
    <m/>
    <s v="Mid"/>
    <x v="2"/>
    <s v="Kyliehaven"/>
    <s v=" UY"/>
    <n v="117119"/>
    <n v="152032"/>
    <d v="2025-04-19T00:00:00"/>
    <x v="2"/>
    <s v="FastAPI"/>
    <s v=" KDB+"/>
    <m/>
    <x v="10"/>
    <n v="97"/>
    <x v="1"/>
    <n v="251"/>
  </r>
  <r>
    <n v="1247"/>
    <s v="Bauer, Hayden and Reynolds"/>
    <x v="0"/>
    <x v="6"/>
    <s v="NumPy"/>
    <s v=" Excel"/>
    <s v=" GCP"/>
    <s v=" CUDA"/>
    <s v=" AWS"/>
    <n v="139688.5"/>
    <m/>
    <s v="Entry"/>
    <x v="0"/>
    <s v="Matthewland"/>
    <s v=" FI"/>
    <n v="98470"/>
    <n v="180907"/>
    <d v="2024-02-27T00:00:00"/>
    <x v="0"/>
    <s v="Scikit-learn"/>
    <s v=" PyTorch"/>
    <m/>
    <x v="0"/>
    <n v="104"/>
    <x v="7"/>
    <n v="255"/>
  </r>
  <r>
    <n v="1248"/>
    <s v="Williams-Hamilton"/>
    <x v="1"/>
    <x v="7"/>
    <s v="PyTorch"/>
    <s v=" Keras"/>
    <s v=" R"/>
    <s v=" SQL"/>
    <s v=" Reinforcement Learning"/>
    <n v="149475.5"/>
    <s v=" Excel"/>
    <s v="Entry"/>
    <x v="1"/>
    <s v="West Sierra"/>
    <s v=" LT"/>
    <n v="120633"/>
    <n v="178318"/>
    <d v="2024-01-12T00:00:00"/>
    <x v="1"/>
    <s v="FastAPI"/>
    <m/>
    <m/>
    <x v="14"/>
    <n v="92"/>
    <x v="1"/>
    <n v="251"/>
  </r>
  <r>
    <n v="1249"/>
    <s v="Walters LLC"/>
    <x v="0"/>
    <x v="4"/>
    <s v="SQL"/>
    <s v=" Excel"/>
    <s v=" Flask"/>
    <s v=" Scikit-learn"/>
    <m/>
    <n v="144470.5"/>
    <m/>
    <s v="Senior"/>
    <x v="2"/>
    <s v="Lake Rodneyfort"/>
    <s v=" BF"/>
    <n v="95461"/>
    <n v="193480"/>
    <d v="2024-08-23T00:00:00"/>
    <x v="2"/>
    <s v="BigQuery"/>
    <m/>
    <m/>
    <x v="17"/>
    <n v="88"/>
    <x v="3"/>
    <n v="238"/>
  </r>
  <r>
    <n v="1250"/>
    <s v="Davis, Hanson and Gaines"/>
    <x v="5"/>
    <x v="7"/>
    <s v="Flask"/>
    <s v=" Keras"/>
    <s v=" TensorFlow"/>
    <s v=" CUDA"/>
    <s v=" C++"/>
    <n v="112093"/>
    <m/>
    <s v="Mid"/>
    <x v="2"/>
    <s v="Lake Phyllisburgh"/>
    <s v=" MY"/>
    <n v="102123"/>
    <n v="122063"/>
    <d v="2023-10-04T00:00:00"/>
    <x v="1"/>
    <s v="TensorFlow"/>
    <s v=" FastAPI"/>
    <s v=" BigQuery"/>
    <x v="16"/>
    <n v="86"/>
    <x v="2"/>
    <n v="249"/>
  </r>
  <r>
    <n v="1251"/>
    <s v="Garcia, Smith and James"/>
    <x v="5"/>
    <x v="3"/>
    <s v="NumPy"/>
    <s v=" Pandas"/>
    <s v=" SQL"/>
    <s v=" GCP"/>
    <s v=" FastAPI"/>
    <n v="145203"/>
    <m/>
    <s v="Mid"/>
    <x v="0"/>
    <s v="Lake Gregoryshire"/>
    <s v=" CD"/>
    <n v="111473"/>
    <n v="178933"/>
    <d v="2024-01-15T00:00:00"/>
    <x v="1"/>
    <s v="MLflow"/>
    <s v=" LangChain"/>
    <m/>
    <x v="0"/>
    <n v="104"/>
    <x v="6"/>
    <n v="259"/>
  </r>
  <r>
    <n v="1252"/>
    <s v="Williams PLC"/>
    <x v="6"/>
    <x v="0"/>
    <s v="SQL"/>
    <s v=" Power BI"/>
    <s v=" Excel"/>
    <s v=" Reinforcement Learning"/>
    <m/>
    <n v="177123.5"/>
    <m/>
    <s v="Entry"/>
    <x v="2"/>
    <s v="Vanessafurt"/>
    <s v=" TG"/>
    <n v="128138"/>
    <n v="226109"/>
    <d v="2025-06-29T00:00:00"/>
    <x v="0"/>
    <s v="FastAPI"/>
    <s v=" KDB+"/>
    <m/>
    <x v="17"/>
    <n v="88"/>
    <x v="1"/>
    <n v="251"/>
  </r>
  <r>
    <n v="1253"/>
    <s v="Powell Ltd"/>
    <x v="5"/>
    <x v="1"/>
    <s v="NumPy"/>
    <s v=" CUDA"/>
    <s v=" TensorFlow"/>
    <s v=" Pandas"/>
    <s v=" Hugging Face"/>
    <n v="133710.5"/>
    <s v=" PyTorch"/>
    <s v="Senior"/>
    <x v="3"/>
    <s v="New Donaldmouth"/>
    <s v=" BG"/>
    <n v="97139"/>
    <n v="170282"/>
    <d v="2024-02-26T00:00:00"/>
    <x v="1"/>
    <s v="Scikit-learn"/>
    <s v=" KDB+"/>
    <s v=" LangChain"/>
    <x v="0"/>
    <n v="104"/>
    <x v="7"/>
    <n v="255"/>
  </r>
  <r>
    <n v="1254"/>
    <s v="Bell-Miles"/>
    <x v="1"/>
    <x v="1"/>
    <s v="R"/>
    <s v=" Excel"/>
    <s v=" NumPy"/>
    <s v=" CUDA"/>
    <s v=" Azure"/>
    <n v="151679.5"/>
    <s v=" TensorFlow"/>
    <s v="Senior"/>
    <x v="1"/>
    <s v="East Heather"/>
    <s v=" MX"/>
    <n v="137454"/>
    <n v="165905"/>
    <d v="2025-04-15T00:00:00"/>
    <x v="1"/>
    <s v="Scikit-learn"/>
    <m/>
    <m/>
    <x v="11"/>
    <n v="86"/>
    <x v="7"/>
    <n v="255"/>
  </r>
  <r>
    <n v="1255"/>
    <s v="Cohen-Gardner"/>
    <x v="3"/>
    <x v="2"/>
    <s v="SQL"/>
    <s v=" MLflow"/>
    <s v=" Keras"/>
    <m/>
    <m/>
    <n v="81886.5"/>
    <m/>
    <s v="Mid"/>
    <x v="3"/>
    <s v="Bairdmouth"/>
    <s v=" BF"/>
    <n v="42730"/>
    <n v="121043"/>
    <d v="2024-07-08T00:00:00"/>
    <x v="0"/>
    <s v="MLflow"/>
    <m/>
    <m/>
    <x v="17"/>
    <n v="88"/>
    <x v="6"/>
    <n v="259"/>
  </r>
  <r>
    <n v="1256"/>
    <s v="Smith, Shepherd and Dawson"/>
    <x v="3"/>
    <x v="6"/>
    <s v="Keras"/>
    <s v=" FastAPI"/>
    <s v=" Flask"/>
    <m/>
    <m/>
    <n v="163032.5"/>
    <m/>
    <s v="Senior"/>
    <x v="3"/>
    <s v="East Matthew"/>
    <s v=" KW"/>
    <n v="121082"/>
    <n v="204983"/>
    <d v="2025-07-10T00:00:00"/>
    <x v="2"/>
    <s v="MLflow"/>
    <m/>
    <m/>
    <x v="7"/>
    <n v="96"/>
    <x v="6"/>
    <n v="259"/>
  </r>
  <r>
    <n v="1257"/>
    <s v="Dennis-West"/>
    <x v="5"/>
    <x v="7"/>
    <s v="LangChain"/>
    <s v=" SQL"/>
    <s v=" Hugging Face"/>
    <m/>
    <m/>
    <n v="111351.5"/>
    <m/>
    <s v="Mid"/>
    <x v="3"/>
    <s v="West Carolberg"/>
    <s v=" KW"/>
    <n v="94437"/>
    <n v="128266"/>
    <d v="2025-08-20T00:00:00"/>
    <x v="1"/>
    <s v="MLflow"/>
    <m/>
    <m/>
    <x v="12"/>
    <n v="100"/>
    <x v="6"/>
    <n v="259"/>
  </r>
  <r>
    <n v="1258"/>
    <s v="Cortez, Kirby and Harris"/>
    <x v="2"/>
    <x v="1"/>
    <s v="TensorFlow"/>
    <s v=" Excel"/>
    <s v=" NumPy"/>
    <s v=" Reinforcement Learning"/>
    <s v=" MLflow"/>
    <n v="87289.5"/>
    <s v=" Power BI"/>
    <s v="Senior"/>
    <x v="3"/>
    <s v="North George"/>
    <s v=" LC"/>
    <n v="67907"/>
    <n v="106672"/>
    <d v="2024-03-31T00:00:00"/>
    <x v="2"/>
    <s v="BigQuery"/>
    <m/>
    <m/>
    <x v="19"/>
    <n v="95"/>
    <x v="3"/>
    <n v="238"/>
  </r>
  <r>
    <n v="1259"/>
    <s v="Martin and Sons"/>
    <x v="5"/>
    <x v="5"/>
    <s v="Hugging Face"/>
    <s v=" Pandas"/>
    <s v=" Scikit-learn"/>
    <s v=" Flask"/>
    <m/>
    <n v="141810"/>
    <m/>
    <s v="Entry"/>
    <x v="1"/>
    <s v="Mitchelltown"/>
    <s v=" GE"/>
    <n v="95122"/>
    <n v="188498"/>
    <d v="2025-04-01T00:00:00"/>
    <x v="1"/>
    <s v="KDB+"/>
    <m/>
    <m/>
    <x v="9"/>
    <n v="89"/>
    <x v="0"/>
    <n v="247"/>
  </r>
  <r>
    <n v="1260"/>
    <s v="Jones-Romero"/>
    <x v="3"/>
    <x v="4"/>
    <s v="AWS"/>
    <s v=" Scikit-learn"/>
    <s v=" TensorFlow"/>
    <s v=" FastAPI"/>
    <s v=" Power BI"/>
    <n v="167854.5"/>
    <s v=" Azure"/>
    <s v="Senior"/>
    <x v="0"/>
    <s v="Coxstad"/>
    <s v=" PE"/>
    <n v="141020"/>
    <n v="194689"/>
    <d v="2024-07-20T00:00:00"/>
    <x v="1"/>
    <s v="PyTorch"/>
    <m/>
    <m/>
    <x v="10"/>
    <n v="97"/>
    <x v="5"/>
    <n v="233"/>
  </r>
  <r>
    <n v="1261"/>
    <s v="Mercer, Robinson and Rhodes"/>
    <x v="4"/>
    <x v="5"/>
    <s v="LangChain"/>
    <s v=" FastAPI"/>
    <s v=" R"/>
    <m/>
    <m/>
    <n v="154309.5"/>
    <m/>
    <s v="Senior"/>
    <x v="0"/>
    <s v="Jacksonborough"/>
    <s v=" BH"/>
    <n v="133090"/>
    <n v="175529"/>
    <d v="2025-04-22T00:00:00"/>
    <x v="0"/>
    <s v="MLflow"/>
    <m/>
    <m/>
    <x v="12"/>
    <n v="100"/>
    <x v="6"/>
    <n v="259"/>
  </r>
  <r>
    <n v="1262"/>
    <s v="White-Gomez"/>
    <x v="3"/>
    <x v="0"/>
    <s v="TensorFlow"/>
    <s v=" SQL"/>
    <s v=" Reinforcement Learning"/>
    <s v=" AWS"/>
    <s v=" PyTorch"/>
    <n v="130348"/>
    <s v=" Python"/>
    <s v="Senior"/>
    <x v="2"/>
    <s v="Carlaton"/>
    <s v=" BR"/>
    <n v="96867"/>
    <n v="163829"/>
    <d v="2025-07-24T00:00:00"/>
    <x v="0"/>
    <s v="PyTorch"/>
    <s v=" TensorFlow"/>
    <m/>
    <x v="19"/>
    <n v="95"/>
    <x v="5"/>
    <n v="233"/>
  </r>
  <r>
    <n v="1263"/>
    <s v="Morgan-Phillips"/>
    <x v="4"/>
    <x v="0"/>
    <s v="Scikit-learn"/>
    <s v=" Reinforcement Learning"/>
    <s v=" NumPy"/>
    <s v=" MLflow"/>
    <s v=" Flask"/>
    <n v="164165.5"/>
    <s v=" Hugging Face"/>
    <s v="Entry"/>
    <x v="0"/>
    <s v="Rodriguezchester"/>
    <s v=" SK"/>
    <n v="133145"/>
    <n v="195186"/>
    <d v="2025-03-18T00:00:00"/>
    <x v="1"/>
    <s v="FastAPI"/>
    <m/>
    <m/>
    <x v="1"/>
    <n v="76"/>
    <x v="1"/>
    <n v="251"/>
  </r>
  <r>
    <n v="1264"/>
    <s v="Bailey-York"/>
    <x v="3"/>
    <x v="7"/>
    <s v="FastAPI"/>
    <s v=" Azure"/>
    <s v=" NumPy"/>
    <s v=" GCP"/>
    <s v=" Flask"/>
    <n v="59024.5"/>
    <m/>
    <s v="Mid"/>
    <x v="1"/>
    <s v="Brittanymouth"/>
    <s v=" ME"/>
    <n v="44966"/>
    <n v="73083"/>
    <d v="2024-11-05T00:00:00"/>
    <x v="0"/>
    <s v="FastAPI"/>
    <m/>
    <m/>
    <x v="20"/>
    <n v="111"/>
    <x v="1"/>
    <n v="251"/>
  </r>
  <r>
    <n v="1265"/>
    <s v="Rodriguez-Walters"/>
    <x v="0"/>
    <x v="2"/>
    <s v="Flask"/>
    <s v=" TensorFlow"/>
    <s v=" Python"/>
    <s v=" R"/>
    <s v=" Azure"/>
    <n v="143477.5"/>
    <s v=" SQL"/>
    <s v="Senior"/>
    <x v="0"/>
    <s v="Travistown"/>
    <s v=" PS"/>
    <n v="113803"/>
    <n v="173152"/>
    <d v="2024-01-18T00:00:00"/>
    <x v="1"/>
    <s v="PyTorch"/>
    <s v=" Scikit-learn"/>
    <s v=" KDB+"/>
    <x v="16"/>
    <n v="86"/>
    <x v="5"/>
    <n v="233"/>
  </r>
  <r>
    <n v="1266"/>
    <s v="Ortiz PLC"/>
    <x v="4"/>
    <x v="7"/>
    <s v="Keras"/>
    <s v=" GCP"/>
    <s v=" Scikit-learn"/>
    <s v=" MLflow"/>
    <s v=" NumPy"/>
    <n v="144666.5"/>
    <m/>
    <s v="Entry"/>
    <x v="0"/>
    <s v="Rochastad"/>
    <s v=" BB"/>
    <n v="96732"/>
    <n v="192601"/>
    <d v="2025-02-20T00:00:00"/>
    <x v="0"/>
    <s v="LangChain"/>
    <s v=" PyTorch"/>
    <m/>
    <x v="7"/>
    <n v="96"/>
    <x v="4"/>
    <n v="268"/>
  </r>
  <r>
    <n v="1267"/>
    <s v="Green-Moore"/>
    <x v="6"/>
    <x v="0"/>
    <s v="R"/>
    <s v=" NumPy"/>
    <s v=" PyTorch"/>
    <m/>
    <m/>
    <n v="180135.5"/>
    <m/>
    <s v="Senior"/>
    <x v="0"/>
    <s v="East Valerieville"/>
    <s v=" KE"/>
    <n v="137258"/>
    <n v="223013"/>
    <d v="2024-01-09T00:00:00"/>
    <x v="2"/>
    <s v="PyTorch"/>
    <m/>
    <m/>
    <x v="11"/>
    <n v="86"/>
    <x v="5"/>
    <n v="233"/>
  </r>
  <r>
    <n v="1268"/>
    <s v="Underwood, Scott and Norris"/>
    <x v="3"/>
    <x v="5"/>
    <s v="NumPy"/>
    <s v=" Pandas"/>
    <s v=" LangChain"/>
    <s v=" MLflow"/>
    <s v=" TensorFlow"/>
    <n v="173635.5"/>
    <s v=" R"/>
    <s v="Senior"/>
    <x v="3"/>
    <s v="Davisville"/>
    <s v=" GQ"/>
    <n v="129628"/>
    <n v="217643"/>
    <d v="2024-12-19T00:00:00"/>
    <x v="1"/>
    <s v="BigQuery"/>
    <s v=" TensorFlow"/>
    <s v=" MLflow"/>
    <x v="0"/>
    <n v="104"/>
    <x v="3"/>
    <n v="238"/>
  </r>
  <r>
    <n v="1269"/>
    <s v="Gonzalez-Gordon"/>
    <x v="3"/>
    <x v="5"/>
    <s v="MLflow"/>
    <s v=" LangChain"/>
    <s v=" Power BI"/>
    <s v=" CUDA"/>
    <s v=" SQL"/>
    <n v="135069.5"/>
    <s v=" TensorFlow"/>
    <s v="Senior"/>
    <x v="0"/>
    <s v="Jodyville"/>
    <s v=" BA"/>
    <n v="98960"/>
    <n v="171179"/>
    <d v="2025-02-18T00:00:00"/>
    <x v="0"/>
    <s v="Scikit-learn"/>
    <s v=" LangChain"/>
    <m/>
    <x v="3"/>
    <n v="80"/>
    <x v="7"/>
    <n v="255"/>
  </r>
  <r>
    <n v="1270"/>
    <s v="Gilmore Group"/>
    <x v="1"/>
    <x v="4"/>
    <s v="Scikit-learn"/>
    <s v=" R"/>
    <s v=" Power BI"/>
    <m/>
    <m/>
    <n v="146054.5"/>
    <m/>
    <s v="Mid"/>
    <x v="0"/>
    <s v="North William"/>
    <s v=" FJ"/>
    <n v="98270"/>
    <n v="193839"/>
    <d v="2024-06-05T00:00:00"/>
    <x v="0"/>
    <s v="PyTorch"/>
    <s v=" LangChain"/>
    <s v=" BigQuery"/>
    <x v="1"/>
    <n v="76"/>
    <x v="5"/>
    <n v="233"/>
  </r>
  <r>
    <n v="1271"/>
    <s v="Scott-Jones"/>
    <x v="3"/>
    <x v="5"/>
    <s v="Keras"/>
    <s v=" NumPy"/>
    <s v=" Reinforcement Learning"/>
    <s v=" Scikit-learn"/>
    <s v=" Azure"/>
    <n v="159588.5"/>
    <s v=" Pandas"/>
    <s v="Mid"/>
    <x v="1"/>
    <s v="Haneyview"/>
    <s v=" KR"/>
    <n v="112886"/>
    <n v="206291"/>
    <d v="2025-03-28T00:00:00"/>
    <x v="0"/>
    <s v="PyTorch"/>
    <s v=" BigQuery"/>
    <m/>
    <x v="7"/>
    <n v="96"/>
    <x v="5"/>
    <n v="233"/>
  </r>
  <r>
    <n v="1272"/>
    <s v="Johnson-Peters"/>
    <x v="1"/>
    <x v="6"/>
    <s v="LangChain"/>
    <s v=" GCP"/>
    <s v=" NumPy"/>
    <s v=" Python"/>
    <s v=" R"/>
    <n v="111217.5"/>
    <m/>
    <s v="Entry"/>
    <x v="2"/>
    <s v="North Daniel"/>
    <s v=" AZ"/>
    <n v="74842"/>
    <n v="147593"/>
    <d v="2025-04-18T00:00:00"/>
    <x v="2"/>
    <s v="LangChain"/>
    <m/>
    <m/>
    <x v="12"/>
    <n v="100"/>
    <x v="4"/>
    <n v="268"/>
  </r>
  <r>
    <n v="1273"/>
    <s v="Black, Baker and Sanchez"/>
    <x v="0"/>
    <x v="7"/>
    <s v="FastAPI"/>
    <s v=" Flask"/>
    <s v=" Power BI"/>
    <s v=" Reinforcement Learning"/>
    <s v=" PyTorch"/>
    <n v="168738.5"/>
    <m/>
    <s v="Entry"/>
    <x v="0"/>
    <s v="West Josebury"/>
    <s v=" IS"/>
    <n v="132532"/>
    <n v="204945"/>
    <d v="2024-01-19T00:00:00"/>
    <x v="2"/>
    <s v="MLflow"/>
    <m/>
    <m/>
    <x v="20"/>
    <n v="111"/>
    <x v="6"/>
    <n v="259"/>
  </r>
  <r>
    <n v="1274"/>
    <s v="Durham Ltd"/>
    <x v="3"/>
    <x v="0"/>
    <s v="SQL"/>
    <s v=" MLflow"/>
    <s v=" Keras"/>
    <s v=" TensorFlow"/>
    <s v=" NumPy"/>
    <n v="124184"/>
    <s v=" Reinforcement Learning"/>
    <s v="Entry"/>
    <x v="2"/>
    <s v="Lake Marychester"/>
    <s v=" CU"/>
    <n v="85034"/>
    <n v="163334"/>
    <d v="2025-09-05T00:00:00"/>
    <x v="2"/>
    <s v="KDB+"/>
    <s v=" MLflow"/>
    <m/>
    <x v="17"/>
    <n v="88"/>
    <x v="0"/>
    <n v="247"/>
  </r>
  <r>
    <n v="1275"/>
    <s v="Lee LLC"/>
    <x v="0"/>
    <x v="7"/>
    <s v="AWS"/>
    <s v=" NumPy"/>
    <s v=" TensorFlow"/>
    <s v=" Hugging Face"/>
    <s v=" CUDA"/>
    <n v="108481"/>
    <s v=" Power BI"/>
    <s v="Senior"/>
    <x v="0"/>
    <s v="South Feliciafurt"/>
    <s v=" SA"/>
    <n v="69810"/>
    <n v="147152"/>
    <d v="2024-01-02T00:00:00"/>
    <x v="1"/>
    <s v="PyTorch"/>
    <s v=" FastAPI"/>
    <s v=" Scikit-learn"/>
    <x v="10"/>
    <n v="97"/>
    <x v="5"/>
    <n v="233"/>
  </r>
  <r>
    <n v="1276"/>
    <s v="Lindsey LLC"/>
    <x v="5"/>
    <x v="2"/>
    <s v="AWS"/>
    <s v=" Flask"/>
    <s v=" C++"/>
    <s v=" GCP"/>
    <s v=" Hugging Face"/>
    <n v="134423"/>
    <m/>
    <s v="Senior"/>
    <x v="2"/>
    <s v="West Lauren"/>
    <s v=" FM"/>
    <n v="123414"/>
    <n v="145432"/>
    <d v="2025-01-31T00:00:00"/>
    <x v="2"/>
    <s v="FastAPI"/>
    <s v=" TensorFlow"/>
    <m/>
    <x v="10"/>
    <n v="97"/>
    <x v="1"/>
    <n v="251"/>
  </r>
  <r>
    <n v="1277"/>
    <s v="Miller, Garcia and Juarez"/>
    <x v="5"/>
    <x v="7"/>
    <s v="Reinforcement Learning"/>
    <s v=" TensorFlow"/>
    <s v=" Flask"/>
    <s v=" Excel"/>
    <s v=" GCP"/>
    <n v="176845.5"/>
    <m/>
    <s v="Senior"/>
    <x v="3"/>
    <s v="Port Kevin"/>
    <s v=" TV"/>
    <n v="142118"/>
    <n v="211573"/>
    <d v="2025-02-10T00:00:00"/>
    <x v="1"/>
    <s v="Scikit-learn"/>
    <s v=" LangChain"/>
    <s v=" FastAPI"/>
    <x v="21"/>
    <n v="104"/>
    <x v="7"/>
    <n v="255"/>
  </r>
  <r>
    <n v="1278"/>
    <s v="Matthews and Sons"/>
    <x v="6"/>
    <x v="6"/>
    <s v="TensorFlow"/>
    <s v=" Hugging Face"/>
    <s v=" MLflow"/>
    <s v=" GCP"/>
    <s v=" PyTorch"/>
    <n v="137878.5"/>
    <m/>
    <s v="Senior"/>
    <x v="1"/>
    <s v="Port Crystal"/>
    <s v=" SN"/>
    <n v="93048"/>
    <n v="182709"/>
    <d v="2024-09-10T00:00:00"/>
    <x v="0"/>
    <s v="FastAPI"/>
    <s v=" TensorFlow"/>
    <m/>
    <x v="19"/>
    <n v="95"/>
    <x v="1"/>
    <n v="251"/>
  </r>
  <r>
    <n v="1279"/>
    <s v="Cannon-Phelps"/>
    <x v="6"/>
    <x v="4"/>
    <s v="FastAPI"/>
    <s v=" Scikit-learn"/>
    <s v=" LangChain"/>
    <m/>
    <m/>
    <n v="167911.5"/>
    <m/>
    <s v="Entry"/>
    <x v="0"/>
    <s v="Lake Danielle"/>
    <s v=" IE"/>
    <n v="143586"/>
    <n v="192237"/>
    <d v="2024-10-23T00:00:00"/>
    <x v="2"/>
    <s v="FastAPI"/>
    <s v=" MLflow"/>
    <m/>
    <x v="20"/>
    <n v="111"/>
    <x v="1"/>
    <n v="251"/>
  </r>
  <r>
    <n v="1280"/>
    <s v="Anderson PLC"/>
    <x v="5"/>
    <x v="6"/>
    <s v="R"/>
    <s v=" FastAPI"/>
    <s v=" TensorFlow"/>
    <m/>
    <m/>
    <n v="162945.5"/>
    <m/>
    <s v="Entry"/>
    <x v="1"/>
    <s v="Sandovalberg"/>
    <s v=" BY"/>
    <n v="130633"/>
    <n v="195258"/>
    <d v="2025-02-20T00:00:00"/>
    <x v="1"/>
    <s v="Scikit-learn"/>
    <m/>
    <m/>
    <x v="11"/>
    <n v="86"/>
    <x v="7"/>
    <n v="255"/>
  </r>
  <r>
    <n v="1281"/>
    <s v="Brady and Sons"/>
    <x v="4"/>
    <x v="3"/>
    <s v="Excel"/>
    <s v=" R"/>
    <s v=" Pandas"/>
    <m/>
    <m/>
    <n v="57327"/>
    <m/>
    <s v="Entry"/>
    <x v="3"/>
    <s v="Stewartfort"/>
    <s v=" AM"/>
    <n v="47496"/>
    <n v="67158"/>
    <d v="2024-05-30T00:00:00"/>
    <x v="0"/>
    <s v="FastAPI"/>
    <s v=" PyTorch"/>
    <m/>
    <x v="2"/>
    <n v="101"/>
    <x v="1"/>
    <n v="251"/>
  </r>
  <r>
    <n v="1282"/>
    <s v="Johnson Inc"/>
    <x v="2"/>
    <x v="4"/>
    <s v="PyTorch"/>
    <s v=" CUDA"/>
    <s v=" TensorFlow"/>
    <s v=" FastAPI"/>
    <s v=" Keras"/>
    <n v="138946.5"/>
    <m/>
    <s v="Senior"/>
    <x v="0"/>
    <s v="West Jason"/>
    <s v=" CU"/>
    <n v="98888"/>
    <n v="179005"/>
    <d v="2023-10-19T00:00:00"/>
    <x v="2"/>
    <s v="Scikit-learn"/>
    <m/>
    <m/>
    <x v="14"/>
    <n v="92"/>
    <x v="7"/>
    <n v="255"/>
  </r>
  <r>
    <n v="1283"/>
    <s v="Gonzalez, Burnett and Alexander"/>
    <x v="5"/>
    <x v="0"/>
    <s v="Reinforcement Learning"/>
    <s v=" Hugging Face"/>
    <s v=" CUDA"/>
    <s v=" PyTorch"/>
    <m/>
    <n v="85102"/>
    <m/>
    <s v="Mid"/>
    <x v="3"/>
    <s v="North Paulburgh"/>
    <s v=" BF"/>
    <n v="68341"/>
    <n v="101863"/>
    <d v="2025-01-10T00:00:00"/>
    <x v="2"/>
    <s v="BigQuery"/>
    <s v=" PyTorch"/>
    <m/>
    <x v="21"/>
    <n v="104"/>
    <x v="3"/>
    <n v="238"/>
  </r>
  <r>
    <n v="1284"/>
    <s v="Morris-Lee"/>
    <x v="6"/>
    <x v="6"/>
    <s v="Reinforcement Learning"/>
    <s v=" TensorFlow"/>
    <s v=" Pandas"/>
    <s v=" Keras"/>
    <s v=" Python"/>
    <n v="72337.5"/>
    <s v=" PyTorch"/>
    <s v="Mid"/>
    <x v="1"/>
    <s v="West Eric"/>
    <s v=" ZA"/>
    <n v="53719"/>
    <n v="90956"/>
    <d v="2024-03-28T00:00:00"/>
    <x v="2"/>
    <s v="Scikit-learn"/>
    <m/>
    <m/>
    <x v="21"/>
    <n v="104"/>
    <x v="7"/>
    <n v="255"/>
  </r>
  <r>
    <n v="1285"/>
    <s v="Baxter and Sons"/>
    <x v="0"/>
    <x v="5"/>
    <s v="Pandas"/>
    <s v=" Reinforcement Learning"/>
    <s v=" FastAPI"/>
    <s v=" Power BI"/>
    <m/>
    <n v="111299.5"/>
    <m/>
    <s v="Senior"/>
    <x v="2"/>
    <s v="West Carolynside"/>
    <s v=" TN"/>
    <n v="85034"/>
    <n v="137565"/>
    <d v="2024-02-06T00:00:00"/>
    <x v="2"/>
    <s v="FastAPI"/>
    <m/>
    <m/>
    <x v="6"/>
    <n v="78"/>
    <x v="1"/>
    <n v="251"/>
  </r>
  <r>
    <n v="1286"/>
    <s v="King, Hatfield and Small"/>
    <x v="5"/>
    <x v="3"/>
    <s v="Reinforcement Learning"/>
    <s v=" TensorFlow"/>
    <s v=" Hugging Face"/>
    <s v=" SQL"/>
    <s v=" C++"/>
    <n v="126431.5"/>
    <s v=" LangChain"/>
    <s v="Senior"/>
    <x v="3"/>
    <s v="Wheelerview"/>
    <s v=" BZ"/>
    <n v="78685"/>
    <n v="174178"/>
    <d v="2025-03-26T00:00:00"/>
    <x v="2"/>
    <s v="KDB+"/>
    <m/>
    <m/>
    <x v="21"/>
    <n v="104"/>
    <x v="0"/>
    <n v="247"/>
  </r>
  <r>
    <n v="1287"/>
    <s v="Bailey, Chavez and Green"/>
    <x v="1"/>
    <x v="5"/>
    <s v="R"/>
    <s v=" Scikit-learn"/>
    <s v=" LangChain"/>
    <s v=" Flask"/>
    <m/>
    <n v="136601"/>
    <m/>
    <s v="Entry"/>
    <x v="0"/>
    <s v="East Marcus"/>
    <s v=" TH"/>
    <n v="125195"/>
    <n v="148007"/>
    <d v="2025-04-28T00:00:00"/>
    <x v="0"/>
    <s v="BigQuery"/>
    <s v=" TensorFlow"/>
    <m/>
    <x v="11"/>
    <n v="86"/>
    <x v="3"/>
    <n v="238"/>
  </r>
  <r>
    <n v="1288"/>
    <s v="Daniels, Lambert and Porter"/>
    <x v="4"/>
    <x v="0"/>
    <s v="LangChain"/>
    <s v=" C++"/>
    <s v=" Power BI"/>
    <m/>
    <m/>
    <n v="86548"/>
    <m/>
    <s v="Entry"/>
    <x v="0"/>
    <s v="Tylerberg"/>
    <s v=" CU"/>
    <n v="59356"/>
    <n v="113740"/>
    <d v="2025-03-03T00:00:00"/>
    <x v="0"/>
    <s v="LangChain"/>
    <m/>
    <m/>
    <x v="12"/>
    <n v="100"/>
    <x v="4"/>
    <n v="268"/>
  </r>
  <r>
    <n v="1289"/>
    <s v="Casey Ltd"/>
    <x v="4"/>
    <x v="3"/>
    <s v="NumPy"/>
    <s v=" SQL"/>
    <s v=" Flask"/>
    <s v=" Python"/>
    <m/>
    <n v="117497"/>
    <m/>
    <s v="Entry"/>
    <x v="0"/>
    <s v="Priceland"/>
    <s v=" TL"/>
    <n v="98434"/>
    <n v="136560"/>
    <d v="2025-03-18T00:00:00"/>
    <x v="2"/>
    <s v="TensorFlow"/>
    <m/>
    <m/>
    <x v="0"/>
    <n v="104"/>
    <x v="2"/>
    <n v="249"/>
  </r>
  <r>
    <n v="1290"/>
    <s v="Williams, Robinson and Scott"/>
    <x v="1"/>
    <x v="3"/>
    <s v="Excel"/>
    <s v=" Scikit-learn"/>
    <s v=" AWS"/>
    <s v=" Flask"/>
    <s v=" LangChain"/>
    <n v="141234.5"/>
    <m/>
    <s v="Mid"/>
    <x v="3"/>
    <s v="Parkborough"/>
    <s v=" BI"/>
    <n v="114993"/>
    <n v="167476"/>
    <d v="2024-08-30T00:00:00"/>
    <x v="2"/>
    <s v="TensorFlow"/>
    <m/>
    <m/>
    <x v="2"/>
    <n v="101"/>
    <x v="2"/>
    <n v="249"/>
  </r>
  <r>
    <n v="1291"/>
    <s v="Palmer Group"/>
    <x v="2"/>
    <x v="5"/>
    <s v="Excel"/>
    <s v=" Pandas"/>
    <s v=" SQL"/>
    <s v=" R"/>
    <s v=" Azure"/>
    <n v="75026"/>
    <m/>
    <s v="Senior"/>
    <x v="3"/>
    <s v="Port Amyberg"/>
    <s v=" CD"/>
    <n v="44859"/>
    <n v="105193"/>
    <d v="2024-01-22T00:00:00"/>
    <x v="0"/>
    <s v="BigQuery"/>
    <m/>
    <m/>
    <x v="2"/>
    <n v="101"/>
    <x v="3"/>
    <n v="238"/>
  </r>
  <r>
    <n v="1292"/>
    <s v="Brooks Group"/>
    <x v="0"/>
    <x v="7"/>
    <s v="Pandas"/>
    <s v=" GCP"/>
    <s v=" Power BI"/>
    <s v=" Hugging Face"/>
    <s v=" Reinforcement Learning"/>
    <n v="140169"/>
    <s v=" CUDA"/>
    <s v="Senior"/>
    <x v="1"/>
    <s v="New Jerome"/>
    <s v=" CY"/>
    <n v="112082"/>
    <n v="168256"/>
    <d v="2024-12-27T00:00:00"/>
    <x v="2"/>
    <s v="Scikit-learn"/>
    <s v=" TensorFlow"/>
    <m/>
    <x v="6"/>
    <n v="78"/>
    <x v="7"/>
    <n v="255"/>
  </r>
  <r>
    <n v="1293"/>
    <s v="Martinez, Nelson and Hernandez"/>
    <x v="3"/>
    <x v="0"/>
    <s v="PyTorch"/>
    <s v=" Python"/>
    <s v=" AWS"/>
    <s v=" Reinforcement Learning"/>
    <s v=" FastAPI"/>
    <n v="113679"/>
    <s v=" CUDA"/>
    <s v="Senior"/>
    <x v="3"/>
    <s v="Port Justin"/>
    <s v=" RW"/>
    <n v="74410"/>
    <n v="152948"/>
    <d v="2024-09-22T00:00:00"/>
    <x v="2"/>
    <s v="KDB+"/>
    <s v=" PyTorch"/>
    <s v=" FastAPI"/>
    <x v="14"/>
    <n v="92"/>
    <x v="0"/>
    <n v="247"/>
  </r>
  <r>
    <n v="1294"/>
    <s v="Sanchez Ltd"/>
    <x v="6"/>
    <x v="4"/>
    <s v="Scikit-learn"/>
    <s v=" PyTorch"/>
    <s v=" Python"/>
    <m/>
    <m/>
    <n v="93975"/>
    <m/>
    <s v="Entry"/>
    <x v="2"/>
    <s v="North Nicoleland"/>
    <s v=" AF"/>
    <n v="86695"/>
    <n v="101255"/>
    <d v="2024-06-27T00:00:00"/>
    <x v="1"/>
    <s v="Scikit-learn"/>
    <m/>
    <m/>
    <x v="1"/>
    <n v="76"/>
    <x v="7"/>
    <n v="255"/>
  </r>
  <r>
    <n v="1295"/>
    <s v="Riley Ltd"/>
    <x v="6"/>
    <x v="5"/>
    <s v="LangChain"/>
    <s v=" Power BI"/>
    <s v=" Python"/>
    <m/>
    <m/>
    <n v="176690.5"/>
    <m/>
    <s v="Mid"/>
    <x v="1"/>
    <s v="Williamside"/>
    <s v=" ST"/>
    <n v="133790"/>
    <n v="219591"/>
    <d v="2025-07-11T00:00:00"/>
    <x v="2"/>
    <s v="MLflow"/>
    <s v=" PyTorch"/>
    <m/>
    <x v="12"/>
    <n v="100"/>
    <x v="6"/>
    <n v="259"/>
  </r>
  <r>
    <n v="1296"/>
    <s v="Hunter Inc"/>
    <x v="1"/>
    <x v="7"/>
    <s v="NumPy"/>
    <s v=" PyTorch"/>
    <s v=" Excel"/>
    <m/>
    <m/>
    <n v="72408.5"/>
    <m/>
    <s v="Mid"/>
    <x v="3"/>
    <s v="Lindabury"/>
    <s v=" HN"/>
    <n v="52444"/>
    <n v="92373"/>
    <d v="2023-10-26T00:00:00"/>
    <x v="0"/>
    <s v="KDB+"/>
    <m/>
    <m/>
    <x v="0"/>
    <n v="104"/>
    <x v="0"/>
    <n v="247"/>
  </r>
  <r>
    <n v="1297"/>
    <s v="Day, Jones and Castillo"/>
    <x v="2"/>
    <x v="4"/>
    <s v="Scikit-learn"/>
    <s v=" PyTorch"/>
    <s v=" Reinforcement Learning"/>
    <s v=" Flask"/>
    <s v=" FastAPI"/>
    <n v="155555"/>
    <s v=" MLflow"/>
    <s v="Mid"/>
    <x v="1"/>
    <s v="North Carolfurt"/>
    <s v=" MM"/>
    <n v="123880"/>
    <n v="187230"/>
    <d v="2025-05-25T00:00:00"/>
    <x v="1"/>
    <s v="MLflow"/>
    <s v=" KDB+"/>
    <m/>
    <x v="1"/>
    <n v="76"/>
    <x v="6"/>
    <n v="259"/>
  </r>
  <r>
    <n v="1298"/>
    <s v="Tran, Williams and Ochoa"/>
    <x v="5"/>
    <x v="6"/>
    <s v="CUDA"/>
    <s v=" Pandas"/>
    <s v=" Scikit-learn"/>
    <m/>
    <m/>
    <n v="189034"/>
    <m/>
    <s v="Mid"/>
    <x v="0"/>
    <s v="Lake Micheal"/>
    <s v=" SC"/>
    <n v="146084"/>
    <n v="231984"/>
    <d v="2024-10-11T00:00:00"/>
    <x v="0"/>
    <s v="MLflow"/>
    <s v=" KDB+"/>
    <m/>
    <x v="13"/>
    <n v="75"/>
    <x v="6"/>
    <n v="259"/>
  </r>
  <r>
    <n v="1299"/>
    <s v="Deleon, Fuller and Hall"/>
    <x v="0"/>
    <x v="1"/>
    <s v="NumPy"/>
    <s v=" PyTorch"/>
    <s v=" SQL"/>
    <s v=" TensorFlow"/>
    <m/>
    <n v="70497"/>
    <m/>
    <s v="Entry"/>
    <x v="2"/>
    <s v="Parrishburgh"/>
    <s v=" OM"/>
    <n v="56481"/>
    <n v="84513"/>
    <d v="2025-05-16T00:00:00"/>
    <x v="1"/>
    <s v="MLflow"/>
    <m/>
    <m/>
    <x v="0"/>
    <n v="104"/>
    <x v="6"/>
    <n v="259"/>
  </r>
  <r>
    <n v="1300"/>
    <s v="Pierce, White and Poole"/>
    <x v="6"/>
    <x v="6"/>
    <s v="Reinforcement Learning"/>
    <s v=" Pandas"/>
    <s v=" Azure"/>
    <s v=" SQL"/>
    <s v=" C++"/>
    <n v="62971"/>
    <m/>
    <s v="Senior"/>
    <x v="0"/>
    <s v="Port John"/>
    <s v=" LU"/>
    <n v="57340"/>
    <n v="68602"/>
    <d v="2024-07-08T00:00:00"/>
    <x v="2"/>
    <s v="TensorFlow"/>
    <s v=" Scikit-learn"/>
    <m/>
    <x v="21"/>
    <n v="104"/>
    <x v="2"/>
    <n v="249"/>
  </r>
  <r>
    <n v="1301"/>
    <s v="Johnson LLC"/>
    <x v="2"/>
    <x v="6"/>
    <s v="FastAPI"/>
    <s v=" LangChain"/>
    <s v=" Python"/>
    <s v=" AWS"/>
    <s v=" R"/>
    <n v="160367"/>
    <s v=" TensorFlow"/>
    <s v="Senior"/>
    <x v="0"/>
    <s v="Zacharyberg"/>
    <s v=" PG"/>
    <n v="118381"/>
    <n v="202353"/>
    <d v="2025-09-18T00:00:00"/>
    <x v="2"/>
    <s v="MLflow"/>
    <m/>
    <m/>
    <x v="20"/>
    <n v="111"/>
    <x v="6"/>
    <n v="259"/>
  </r>
  <r>
    <n v="1302"/>
    <s v="Tucker LLC"/>
    <x v="3"/>
    <x v="6"/>
    <s v="AWS"/>
    <s v=" Power BI"/>
    <s v=" Pandas"/>
    <s v=" TensorFlow"/>
    <m/>
    <n v="128952"/>
    <m/>
    <s v="Mid"/>
    <x v="0"/>
    <s v="East Justin"/>
    <s v=" FJ"/>
    <n v="119065"/>
    <n v="138839"/>
    <d v="2024-04-07T00:00:00"/>
    <x v="0"/>
    <s v="MLflow"/>
    <s v=" BigQuery"/>
    <s v=" FastAPI"/>
    <x v="10"/>
    <n v="97"/>
    <x v="6"/>
    <n v="259"/>
  </r>
  <r>
    <n v="1303"/>
    <s v="Washington, Kirby and Kennedy"/>
    <x v="0"/>
    <x v="2"/>
    <s v="Hugging Face"/>
    <s v=" LangChain"/>
    <s v=" Flask"/>
    <s v=" AWS"/>
    <m/>
    <n v="184009"/>
    <m/>
    <s v="Entry"/>
    <x v="3"/>
    <s v="Lake Bryan"/>
    <s v=" CD"/>
    <n v="137144"/>
    <n v="230874"/>
    <d v="2025-07-17T00:00:00"/>
    <x v="0"/>
    <s v="FastAPI"/>
    <s v=" LangChain"/>
    <s v=" MLflow"/>
    <x v="9"/>
    <n v="89"/>
    <x v="1"/>
    <n v="251"/>
  </r>
  <r>
    <n v="1304"/>
    <s v="Mills LLC"/>
    <x v="6"/>
    <x v="5"/>
    <s v="PyTorch"/>
    <s v=" C++"/>
    <s v=" Flask"/>
    <s v=" Pandas"/>
    <s v=" NumPy"/>
    <n v="91022.5"/>
    <m/>
    <s v="Mid"/>
    <x v="3"/>
    <s v="New Sonya"/>
    <s v=" FJ"/>
    <n v="55380"/>
    <n v="126665"/>
    <d v="2025-07-18T00:00:00"/>
    <x v="2"/>
    <s v="MLflow"/>
    <s v=" LangChain"/>
    <s v=" TensorFlow"/>
    <x v="14"/>
    <n v="92"/>
    <x v="6"/>
    <n v="259"/>
  </r>
  <r>
    <n v="1305"/>
    <s v="Stewart Inc"/>
    <x v="5"/>
    <x v="2"/>
    <s v="CUDA"/>
    <s v=" LangChain"/>
    <s v=" NumPy"/>
    <s v=" GCP"/>
    <s v=" Flask"/>
    <n v="142299.5"/>
    <s v=" Azure"/>
    <s v="Entry"/>
    <x v="1"/>
    <s v="Bradleystad"/>
    <s v=" KI"/>
    <n v="97367"/>
    <n v="187232"/>
    <d v="2024-08-18T00:00:00"/>
    <x v="2"/>
    <s v="KDB+"/>
    <s v=" MLflow"/>
    <m/>
    <x v="13"/>
    <n v="75"/>
    <x v="0"/>
    <n v="247"/>
  </r>
  <r>
    <n v="1306"/>
    <s v="Mckay-Patton"/>
    <x v="5"/>
    <x v="6"/>
    <s v="Excel"/>
    <s v=" Azure"/>
    <s v=" R"/>
    <s v=" FastAPI"/>
    <s v=" PyTorch"/>
    <n v="88793"/>
    <s v=" Power BI"/>
    <s v="Mid"/>
    <x v="3"/>
    <s v="Kimfurt"/>
    <s v=" MW"/>
    <n v="61468"/>
    <n v="116118"/>
    <d v="2024-09-10T00:00:00"/>
    <x v="0"/>
    <s v="LangChain"/>
    <m/>
    <m/>
    <x v="2"/>
    <n v="101"/>
    <x v="4"/>
    <n v="268"/>
  </r>
  <r>
    <n v="1307"/>
    <s v="Cooley LLC"/>
    <x v="1"/>
    <x v="0"/>
    <s v="TensorFlow"/>
    <s v=" GCP"/>
    <s v=" Power BI"/>
    <s v=" FastAPI"/>
    <s v=" Pandas"/>
    <n v="131137.5"/>
    <s v=" R"/>
    <s v="Entry"/>
    <x v="3"/>
    <s v="East Jasonfort"/>
    <s v=" MU"/>
    <n v="115727"/>
    <n v="146548"/>
    <d v="2024-10-26T00:00:00"/>
    <x v="1"/>
    <s v="LangChain"/>
    <m/>
    <m/>
    <x v="19"/>
    <n v="95"/>
    <x v="4"/>
    <n v="268"/>
  </r>
  <r>
    <n v="1308"/>
    <s v="Williams PLC"/>
    <x v="6"/>
    <x v="1"/>
    <s v="NumPy"/>
    <s v=" Keras"/>
    <s v=" Reinforcement Learning"/>
    <m/>
    <m/>
    <n v="114004.5"/>
    <m/>
    <s v="Mid"/>
    <x v="1"/>
    <s v="South Latoya"/>
    <s v=" CV"/>
    <n v="87853"/>
    <n v="140156"/>
    <d v="2024-06-29T00:00:00"/>
    <x v="2"/>
    <s v="Scikit-learn"/>
    <m/>
    <m/>
    <x v="0"/>
    <n v="104"/>
    <x v="7"/>
    <n v="255"/>
  </r>
  <r>
    <n v="1309"/>
    <s v="Carlson, Taylor and Johnson"/>
    <x v="2"/>
    <x v="4"/>
    <s v="Excel"/>
    <s v=" SQL"/>
    <s v=" AWS"/>
    <s v=" Scikit-learn"/>
    <s v=" GCP"/>
    <n v="161810"/>
    <m/>
    <s v="Senior"/>
    <x v="2"/>
    <s v="Scottmouth"/>
    <s v=" NP"/>
    <n v="143861"/>
    <n v="179759"/>
    <d v="2024-05-25T00:00:00"/>
    <x v="2"/>
    <s v="LangChain"/>
    <s v=" MLflow"/>
    <s v=" Scikit-learn"/>
    <x v="2"/>
    <n v="101"/>
    <x v="4"/>
    <n v="268"/>
  </r>
  <r>
    <n v="1310"/>
    <s v="Price LLC"/>
    <x v="5"/>
    <x v="6"/>
    <s v="PyTorch"/>
    <s v=" Excel"/>
    <s v=" LangChain"/>
    <s v=" Scikit-learn"/>
    <m/>
    <n v="94472.5"/>
    <m/>
    <s v="Senior"/>
    <x v="0"/>
    <s v="Brittanyborough"/>
    <s v=" GN"/>
    <n v="67012"/>
    <n v="121933"/>
    <d v="2024-07-12T00:00:00"/>
    <x v="2"/>
    <s v="TensorFlow"/>
    <s v=" FastAPI"/>
    <s v=" KDB+"/>
    <x v="14"/>
    <n v="92"/>
    <x v="2"/>
    <n v="249"/>
  </r>
  <r>
    <n v="1311"/>
    <s v="Adams and Sons"/>
    <x v="1"/>
    <x v="7"/>
    <s v="Scikit-learn"/>
    <s v=" CUDA"/>
    <s v=" GCP"/>
    <s v=" SQL"/>
    <s v=" Reinforcement Learning"/>
    <n v="59803"/>
    <m/>
    <s v="Entry"/>
    <x v="2"/>
    <s v="Port Judyside"/>
    <s v=" SL"/>
    <n v="41971"/>
    <n v="77635"/>
    <d v="2024-07-09T00:00:00"/>
    <x v="0"/>
    <s v="LangChain"/>
    <s v=" BigQuery"/>
    <m/>
    <x v="1"/>
    <n v="76"/>
    <x v="4"/>
    <n v="268"/>
  </r>
  <r>
    <n v="1312"/>
    <s v="Roberts Ltd"/>
    <x v="6"/>
    <x v="6"/>
    <s v="SQL"/>
    <s v=" PyTorch"/>
    <s v=" Keras"/>
    <s v=" Reinforcement Learning"/>
    <s v=" C++"/>
    <n v="162148.5"/>
    <s v=" Hugging Face"/>
    <s v="Senior"/>
    <x v="3"/>
    <s v="East Charles"/>
    <s v=" CL"/>
    <n v="139502"/>
    <n v="184795"/>
    <d v="2024-08-08T00:00:00"/>
    <x v="2"/>
    <s v="TensorFlow"/>
    <s v=" LangChain"/>
    <m/>
    <x v="17"/>
    <n v="88"/>
    <x v="2"/>
    <n v="249"/>
  </r>
  <r>
    <n v="1313"/>
    <s v="Johnson, Fuller and Rogers"/>
    <x v="6"/>
    <x v="4"/>
    <s v="Excel"/>
    <s v=" LangChain"/>
    <s v=" FastAPI"/>
    <s v=" SQL"/>
    <s v=" Azure"/>
    <n v="59295"/>
    <s v=" Keras"/>
    <s v="Mid"/>
    <x v="0"/>
    <s v="New Antoniomouth"/>
    <s v=" VN"/>
    <n v="45567"/>
    <n v="73023"/>
    <d v="2024-01-31T00:00:00"/>
    <x v="2"/>
    <s v="PyTorch"/>
    <s v=" TensorFlow"/>
    <m/>
    <x v="2"/>
    <n v="101"/>
    <x v="5"/>
    <n v="233"/>
  </r>
  <r>
    <n v="1314"/>
    <s v="Morgan PLC"/>
    <x v="6"/>
    <x v="6"/>
    <s v="C++"/>
    <s v=" Azure"/>
    <s v=" Hugging Face"/>
    <s v=" Keras"/>
    <s v=" PyTorch"/>
    <n v="172666"/>
    <m/>
    <s v="Entry"/>
    <x v="1"/>
    <s v="Martinchester"/>
    <s v=" SO"/>
    <n v="136733"/>
    <n v="208599"/>
    <d v="2025-02-10T00:00:00"/>
    <x v="2"/>
    <s v="KDB+"/>
    <m/>
    <m/>
    <x v="8"/>
    <n v="84"/>
    <x v="0"/>
    <n v="247"/>
  </r>
  <r>
    <n v="1315"/>
    <s v="Evans PLC"/>
    <x v="5"/>
    <x v="4"/>
    <s v="SQL"/>
    <s v=" Azure"/>
    <s v=" Reinforcement Learning"/>
    <s v=" C++"/>
    <m/>
    <n v="111185.5"/>
    <m/>
    <s v="Mid"/>
    <x v="2"/>
    <s v="West Karen"/>
    <s v=" LI"/>
    <n v="89039"/>
    <n v="133332"/>
    <d v="2024-09-23T00:00:00"/>
    <x v="1"/>
    <s v="FastAPI"/>
    <m/>
    <m/>
    <x v="17"/>
    <n v="88"/>
    <x v="1"/>
    <n v="251"/>
  </r>
  <r>
    <n v="1316"/>
    <s v="Young-Flores"/>
    <x v="4"/>
    <x v="5"/>
    <s v="Pandas"/>
    <s v=" FastAPI"/>
    <s v=" Azure"/>
    <s v=" Flask"/>
    <s v=" Python"/>
    <n v="125687"/>
    <s v=" SQL"/>
    <s v="Mid"/>
    <x v="2"/>
    <s v="North Debbie"/>
    <s v=" DJ"/>
    <n v="115624"/>
    <n v="135750"/>
    <d v="2023-10-03T00:00:00"/>
    <x v="0"/>
    <s v="PyTorch"/>
    <m/>
    <m/>
    <x v="6"/>
    <n v="78"/>
    <x v="5"/>
    <n v="233"/>
  </r>
  <r>
    <n v="1317"/>
    <s v="Howard, Owens and Coleman"/>
    <x v="3"/>
    <x v="7"/>
    <s v="SQL"/>
    <s v=" NumPy"/>
    <s v=" GCP"/>
    <m/>
    <m/>
    <n v="143622"/>
    <m/>
    <s v="Mid"/>
    <x v="1"/>
    <s v="Hollowayfort"/>
    <s v=" QA"/>
    <n v="101178"/>
    <n v="186066"/>
    <d v="2024-04-16T00:00:00"/>
    <x v="0"/>
    <s v="MLflow"/>
    <s v=" TensorFlow"/>
    <s v=" PyTorch"/>
    <x v="17"/>
    <n v="88"/>
    <x v="6"/>
    <n v="259"/>
  </r>
  <r>
    <n v="1318"/>
    <s v="Jefferson-Cooper"/>
    <x v="4"/>
    <x v="6"/>
    <s v="Flask"/>
    <s v=" GCP"/>
    <s v=" C++"/>
    <s v=" Hugging Face"/>
    <s v=" PyTorch"/>
    <n v="152655.5"/>
    <m/>
    <s v="Senior"/>
    <x v="3"/>
    <s v="Marissabury"/>
    <s v=" AO"/>
    <n v="123425"/>
    <n v="181886"/>
    <d v="2025-02-13T00:00:00"/>
    <x v="2"/>
    <s v="MLflow"/>
    <s v=" TensorFlow"/>
    <s v=" FastAPI"/>
    <x v="16"/>
    <n v="86"/>
    <x v="6"/>
    <n v="259"/>
  </r>
  <r>
    <n v="1319"/>
    <s v="Mosley, Schultz and Wilson"/>
    <x v="3"/>
    <x v="3"/>
    <s v="Hugging Face"/>
    <s v=" MLflow"/>
    <s v=" PyTorch"/>
    <m/>
    <m/>
    <n v="99709"/>
    <m/>
    <s v="Entry"/>
    <x v="1"/>
    <s v="Roseland"/>
    <s v=" IT"/>
    <n v="70478"/>
    <n v="128940"/>
    <d v="2025-08-28T00:00:00"/>
    <x v="0"/>
    <s v="PyTorch"/>
    <m/>
    <m/>
    <x v="9"/>
    <n v="89"/>
    <x v="5"/>
    <n v="233"/>
  </r>
  <r>
    <n v="1320"/>
    <s v="Collier, Houston and Brown"/>
    <x v="4"/>
    <x v="4"/>
    <s v="Reinforcement Learning"/>
    <s v=" C++"/>
    <s v=" TensorFlow"/>
    <m/>
    <m/>
    <n v="67021.5"/>
    <m/>
    <s v="Mid"/>
    <x v="2"/>
    <s v="Adrianstad"/>
    <s v=" SG"/>
    <n v="54468"/>
    <n v="79575"/>
    <d v="2024-03-23T00:00:00"/>
    <x v="0"/>
    <s v="PyTorch"/>
    <m/>
    <m/>
    <x v="21"/>
    <n v="104"/>
    <x v="5"/>
    <n v="233"/>
  </r>
  <r>
    <n v="1321"/>
    <s v="Raymond-Powell"/>
    <x v="6"/>
    <x v="3"/>
    <s v="Azure"/>
    <s v=" LangChain"/>
    <s v=" R"/>
    <m/>
    <m/>
    <n v="125265"/>
    <m/>
    <s v="Entry"/>
    <x v="1"/>
    <s v="Alexchester"/>
    <s v=" GT"/>
    <n v="118961"/>
    <n v="131569"/>
    <d v="2024-04-28T00:00:00"/>
    <x v="0"/>
    <s v="PyTorch"/>
    <m/>
    <m/>
    <x v="15"/>
    <n v="90"/>
    <x v="5"/>
    <n v="233"/>
  </r>
  <r>
    <n v="1322"/>
    <s v="Booth-Gibbs"/>
    <x v="4"/>
    <x v="3"/>
    <s v="Flask"/>
    <s v=" Excel"/>
    <s v=" Azure"/>
    <s v=" MLflow"/>
    <s v=" Keras"/>
    <n v="108327"/>
    <s v=" LangChain"/>
    <s v="Senior"/>
    <x v="3"/>
    <s v="Michaelchester"/>
    <s v=" BR"/>
    <n v="77357"/>
    <n v="139297"/>
    <d v="2025-03-10T00:00:00"/>
    <x v="1"/>
    <s v="LangChain"/>
    <m/>
    <m/>
    <x v="16"/>
    <n v="86"/>
    <x v="4"/>
    <n v="268"/>
  </r>
  <r>
    <n v="1323"/>
    <s v="Henderson-Lewis"/>
    <x v="6"/>
    <x v="2"/>
    <s v="Scikit-learn"/>
    <s v=" TensorFlow"/>
    <s v=" Power BI"/>
    <s v=" SQL"/>
    <s v=" Hugging Face"/>
    <n v="99267.5"/>
    <s v=" Excel"/>
    <s v="Entry"/>
    <x v="1"/>
    <s v="Nelsonbury"/>
    <s v=" AE"/>
    <n v="73723"/>
    <n v="124812"/>
    <d v="2024-06-13T00:00:00"/>
    <x v="2"/>
    <s v="LangChain"/>
    <s v=" TensorFlow"/>
    <m/>
    <x v="1"/>
    <n v="76"/>
    <x v="4"/>
    <n v="268"/>
  </r>
  <r>
    <n v="1324"/>
    <s v="Rhodes PLC"/>
    <x v="4"/>
    <x v="2"/>
    <s v="Excel"/>
    <s v=" GCP"/>
    <s v=" R"/>
    <m/>
    <m/>
    <n v="82429"/>
    <m/>
    <s v="Entry"/>
    <x v="1"/>
    <s v="West Laura"/>
    <s v=" SE"/>
    <n v="56407"/>
    <n v="108451"/>
    <d v="2023-12-13T00:00:00"/>
    <x v="2"/>
    <s v="Scikit-learn"/>
    <m/>
    <m/>
    <x v="2"/>
    <n v="101"/>
    <x v="7"/>
    <n v="255"/>
  </r>
  <r>
    <n v="1325"/>
    <s v="Yang, Wyatt and Jackson"/>
    <x v="3"/>
    <x v="7"/>
    <s v="Power BI"/>
    <s v=" NumPy"/>
    <s v=" GCP"/>
    <m/>
    <m/>
    <n v="75864.5"/>
    <m/>
    <s v="Senior"/>
    <x v="0"/>
    <s v="Fitzgeraldmouth"/>
    <s v=" TL"/>
    <n v="66257"/>
    <n v="85472"/>
    <d v="2025-01-02T00:00:00"/>
    <x v="1"/>
    <s v="KDB+"/>
    <m/>
    <m/>
    <x v="18"/>
    <n v="96"/>
    <x v="0"/>
    <n v="247"/>
  </r>
  <r>
    <n v="1326"/>
    <s v="Ortiz-Hogan"/>
    <x v="1"/>
    <x v="6"/>
    <s v="C++"/>
    <s v=" R"/>
    <s v=" LangChain"/>
    <s v=" Keras"/>
    <m/>
    <n v="165194"/>
    <m/>
    <s v="Entry"/>
    <x v="3"/>
    <s v="Port Kellieview"/>
    <s v=" FR"/>
    <n v="119426"/>
    <n v="210962"/>
    <d v="2025-03-12T00:00:00"/>
    <x v="0"/>
    <s v="Scikit-learn"/>
    <s v=" TensorFlow"/>
    <m/>
    <x v="8"/>
    <n v="84"/>
    <x v="7"/>
    <n v="255"/>
  </r>
  <r>
    <n v="1327"/>
    <s v="Morgan-Kelly"/>
    <x v="5"/>
    <x v="7"/>
    <s v="Hugging Face"/>
    <s v=" AWS"/>
    <s v=" R"/>
    <m/>
    <m/>
    <n v="166692.5"/>
    <m/>
    <s v="Senior"/>
    <x v="2"/>
    <s v="Fryeside"/>
    <s v=" UZ"/>
    <n v="143238"/>
    <n v="190147"/>
    <d v="2025-06-06T00:00:00"/>
    <x v="1"/>
    <s v="MLflow"/>
    <s v=" LangChain"/>
    <s v=" BigQuery"/>
    <x v="9"/>
    <n v="89"/>
    <x v="6"/>
    <n v="259"/>
  </r>
  <r>
    <n v="1328"/>
    <s v="Kelly-Conrad"/>
    <x v="4"/>
    <x v="0"/>
    <s v="CUDA"/>
    <s v=" NumPy"/>
    <s v=" Power BI"/>
    <s v=" Azure"/>
    <s v=" SQL"/>
    <n v="124758.5"/>
    <s v=" Keras"/>
    <s v="Mid"/>
    <x v="2"/>
    <s v="Lake Kevinmouth"/>
    <s v=" SE"/>
    <n v="95911"/>
    <n v="153606"/>
    <d v="2024-09-15T00:00:00"/>
    <x v="0"/>
    <s v="KDB+"/>
    <m/>
    <m/>
    <x v="13"/>
    <n v="75"/>
    <x v="0"/>
    <n v="247"/>
  </r>
  <r>
    <n v="1329"/>
    <s v="Briggs, Chase and Thompson"/>
    <x v="4"/>
    <x v="6"/>
    <s v="Azure"/>
    <s v=" MLflow"/>
    <s v=" Keras"/>
    <s v=" Scikit-learn"/>
    <m/>
    <n v="163559"/>
    <m/>
    <s v="Entry"/>
    <x v="2"/>
    <s v="Claudiaberg"/>
    <s v=" DZ"/>
    <n v="144692"/>
    <n v="182426"/>
    <d v="2024-08-09T00:00:00"/>
    <x v="0"/>
    <s v="PyTorch"/>
    <s v=" Scikit-learn"/>
    <s v=" KDB+"/>
    <x v="15"/>
    <n v="90"/>
    <x v="5"/>
    <n v="233"/>
  </r>
  <r>
    <n v="1330"/>
    <s v="Payne-Reese"/>
    <x v="2"/>
    <x v="2"/>
    <s v="GCP"/>
    <s v=" Hugging Face"/>
    <s v=" NumPy"/>
    <s v=" Power BI"/>
    <s v=" Excel"/>
    <n v="96909.5"/>
    <s v=" Keras"/>
    <s v="Mid"/>
    <x v="2"/>
    <s v="Campbellville"/>
    <s v=" BS"/>
    <n v="65633"/>
    <n v="128186"/>
    <d v="2025-09-03T00:00:00"/>
    <x v="0"/>
    <s v="PyTorch"/>
    <s v=" Scikit-learn"/>
    <m/>
    <x v="4"/>
    <n v="78"/>
    <x v="5"/>
    <n v="233"/>
  </r>
  <r>
    <n v="1331"/>
    <s v="Mullins, Black and Ferrell"/>
    <x v="3"/>
    <x v="7"/>
    <s v="R"/>
    <s v=" Scikit-learn"/>
    <s v=" Excel"/>
    <s v=" Hugging Face"/>
    <m/>
    <n v="107122.5"/>
    <m/>
    <s v="Mid"/>
    <x v="3"/>
    <s v="North Donald"/>
    <s v=" TL"/>
    <n v="96745"/>
    <n v="117500"/>
    <d v="2025-09-15T00:00:00"/>
    <x v="1"/>
    <s v="LangChain"/>
    <s v=" TensorFlow"/>
    <m/>
    <x v="11"/>
    <n v="86"/>
    <x v="4"/>
    <n v="268"/>
  </r>
  <r>
    <n v="1332"/>
    <s v="Williams, Johnson and Williams"/>
    <x v="5"/>
    <x v="7"/>
    <s v="Azure"/>
    <s v=" Pandas"/>
    <s v=" Scikit-learn"/>
    <m/>
    <m/>
    <n v="103877.5"/>
    <m/>
    <s v="Entry"/>
    <x v="3"/>
    <s v="Charlesberg"/>
    <s v=" DO"/>
    <n v="90844"/>
    <n v="116911"/>
    <d v="2024-08-23T00:00:00"/>
    <x v="0"/>
    <s v="KDB+"/>
    <m/>
    <m/>
    <x v="15"/>
    <n v="90"/>
    <x v="0"/>
    <n v="247"/>
  </r>
  <r>
    <n v="1333"/>
    <s v="Vega, Trujillo and Sanchez"/>
    <x v="0"/>
    <x v="5"/>
    <s v="Azure"/>
    <s v=" TensorFlow"/>
    <s v=" AWS"/>
    <s v=" NumPy"/>
    <m/>
    <n v="170542"/>
    <m/>
    <s v="Senior"/>
    <x v="1"/>
    <s v="East Lauraland"/>
    <s v=" QA"/>
    <n v="127738"/>
    <n v="213346"/>
    <d v="2025-02-24T00:00:00"/>
    <x v="0"/>
    <s v="TensorFlow"/>
    <m/>
    <m/>
    <x v="15"/>
    <n v="90"/>
    <x v="2"/>
    <n v="249"/>
  </r>
  <r>
    <n v="1334"/>
    <s v="Parker Group"/>
    <x v="4"/>
    <x v="1"/>
    <s v="NumPy"/>
    <s v=" Flask"/>
    <s v=" MLflow"/>
    <m/>
    <m/>
    <n v="81237.5"/>
    <m/>
    <s v="Entry"/>
    <x v="3"/>
    <s v="North Kelly"/>
    <s v=" SI"/>
    <n v="40044"/>
    <n v="122431"/>
    <d v="2023-11-05T00:00:00"/>
    <x v="1"/>
    <s v="PyTorch"/>
    <s v=" FastAPI"/>
    <s v=" Scikit-learn"/>
    <x v="0"/>
    <n v="104"/>
    <x v="5"/>
    <n v="233"/>
  </r>
  <r>
    <n v="1335"/>
    <s v="Miranda, Gonzalez and Long"/>
    <x v="0"/>
    <x v="7"/>
    <s v="R"/>
    <s v=" Excel"/>
    <s v=" FastAPI"/>
    <s v=" Pandas"/>
    <s v=" TensorFlow"/>
    <n v="120901.5"/>
    <s v=" NumPy"/>
    <s v="Entry"/>
    <x v="0"/>
    <s v="New Brettburgh"/>
    <s v=" BR"/>
    <n v="87576"/>
    <n v="154227"/>
    <d v="2024-05-17T00:00:00"/>
    <x v="0"/>
    <s v="LangChain"/>
    <s v=" FastAPI"/>
    <s v=" MLflow"/>
    <x v="11"/>
    <n v="86"/>
    <x v="4"/>
    <n v="268"/>
  </r>
  <r>
    <n v="1336"/>
    <s v="Franklin, Saunders and Gray"/>
    <x v="5"/>
    <x v="7"/>
    <s v="CUDA"/>
    <s v=" Hugging Face"/>
    <s v=" Azure"/>
    <m/>
    <m/>
    <n v="149465"/>
    <m/>
    <s v="Senior"/>
    <x v="0"/>
    <s v="Lake Kaitlyn"/>
    <s v=" BH"/>
    <n v="127240"/>
    <n v="171690"/>
    <d v="2023-12-11T00:00:00"/>
    <x v="0"/>
    <s v="FastAPI"/>
    <s v=" PyTorch"/>
    <m/>
    <x v="13"/>
    <n v="75"/>
    <x v="1"/>
    <n v="251"/>
  </r>
  <r>
    <n v="1337"/>
    <s v="Smith, Montes and Rodriguez"/>
    <x v="3"/>
    <x v="3"/>
    <s v="FastAPI"/>
    <s v=" CUDA"/>
    <s v=" NumPy"/>
    <m/>
    <m/>
    <n v="123245"/>
    <m/>
    <s v="Entry"/>
    <x v="3"/>
    <s v="Johnborough"/>
    <s v=" IR"/>
    <n v="79966"/>
    <n v="166524"/>
    <d v="2025-07-06T00:00:00"/>
    <x v="1"/>
    <s v="TensorFlow"/>
    <s v=" Scikit-learn"/>
    <m/>
    <x v="20"/>
    <n v="111"/>
    <x v="2"/>
    <n v="249"/>
  </r>
  <r>
    <n v="1338"/>
    <s v="Klein, Mason and Edwards"/>
    <x v="2"/>
    <x v="3"/>
    <s v="PyTorch"/>
    <s v=" TensorFlow"/>
    <s v=" FastAPI"/>
    <s v=" NumPy"/>
    <s v=" Reinforcement Learning"/>
    <n v="164226.5"/>
    <m/>
    <s v="Senior"/>
    <x v="2"/>
    <s v="Carlsonside"/>
    <s v=" KR"/>
    <n v="145861"/>
    <n v="182592"/>
    <d v="2025-02-21T00:00:00"/>
    <x v="2"/>
    <s v="BigQuery"/>
    <m/>
    <m/>
    <x v="14"/>
    <n v="92"/>
    <x v="3"/>
    <n v="238"/>
  </r>
  <r>
    <n v="1339"/>
    <s v="Mcbride-Harrison"/>
    <x v="6"/>
    <x v="5"/>
    <s v="Python"/>
    <s v=" Pandas"/>
    <s v=" R"/>
    <s v=" Reinforcement Learning"/>
    <m/>
    <n v="106557.5"/>
    <m/>
    <s v="Entry"/>
    <x v="3"/>
    <s v="East Angelaville"/>
    <s v=" DM"/>
    <n v="72218"/>
    <n v="140897"/>
    <d v="2025-05-18T00:00:00"/>
    <x v="0"/>
    <s v="FastAPI"/>
    <s v=" MLflow"/>
    <s v=" BigQuery"/>
    <x v="5"/>
    <n v="94"/>
    <x v="1"/>
    <n v="251"/>
  </r>
  <r>
    <n v="1340"/>
    <s v="Brown-Shaffer"/>
    <x v="0"/>
    <x v="3"/>
    <s v="Azure"/>
    <s v=" Hugging Face"/>
    <s v=" C++"/>
    <s v=" Power BI"/>
    <m/>
    <n v="66203"/>
    <m/>
    <s v="Mid"/>
    <x v="0"/>
    <s v="East Kimberlystad"/>
    <s v=" LK"/>
    <n v="44006"/>
    <n v="88400"/>
    <d v="2024-04-14T00:00:00"/>
    <x v="1"/>
    <s v="FastAPI"/>
    <s v=" BigQuery"/>
    <m/>
    <x v="15"/>
    <n v="90"/>
    <x v="1"/>
    <n v="251"/>
  </r>
  <r>
    <n v="1341"/>
    <s v="Mcintyre, Bradley and Scott"/>
    <x v="3"/>
    <x v="4"/>
    <s v="SQL"/>
    <s v=" FastAPI"/>
    <s v=" NumPy"/>
    <s v=" TensorFlow"/>
    <s v=" Keras"/>
    <n v="64069"/>
    <s v=" Reinforcement Learning"/>
    <s v="Entry"/>
    <x v="3"/>
    <s v="Lake Pamelafurt"/>
    <s v=" BB"/>
    <n v="43780"/>
    <n v="84358"/>
    <d v="2024-01-15T00:00:00"/>
    <x v="1"/>
    <s v="TensorFlow"/>
    <s v=" MLflow"/>
    <m/>
    <x v="17"/>
    <n v="88"/>
    <x v="2"/>
    <n v="249"/>
  </r>
  <r>
    <n v="1342"/>
    <s v="Harris-Miller"/>
    <x v="1"/>
    <x v="4"/>
    <s v="Scikit-learn"/>
    <s v=" Keras"/>
    <s v=" Pandas"/>
    <m/>
    <m/>
    <n v="97994.5"/>
    <m/>
    <s v="Entry"/>
    <x v="1"/>
    <s v="New Matthew"/>
    <s v=" GM"/>
    <n v="61249"/>
    <n v="134740"/>
    <d v="2024-01-20T00:00:00"/>
    <x v="0"/>
    <s v="PyTorch"/>
    <s v=" BigQuery"/>
    <m/>
    <x v="1"/>
    <n v="76"/>
    <x v="5"/>
    <n v="233"/>
  </r>
  <r>
    <n v="1343"/>
    <s v="Meadows PLC"/>
    <x v="3"/>
    <x v="0"/>
    <s v="FastAPI"/>
    <s v=" MLflow"/>
    <s v=" Excel"/>
    <s v=" Reinforcement Learning"/>
    <s v=" Hugging Face"/>
    <n v="172424"/>
    <s v=" Pandas"/>
    <s v="Entry"/>
    <x v="1"/>
    <s v="Hendrickstown"/>
    <s v=" UG"/>
    <n v="149324"/>
    <n v="195524"/>
    <d v="2024-12-04T00:00:00"/>
    <x v="0"/>
    <s v="BigQuery"/>
    <s v=" TensorFlow"/>
    <m/>
    <x v="20"/>
    <n v="111"/>
    <x v="3"/>
    <n v="238"/>
  </r>
  <r>
    <n v="1344"/>
    <s v="Crawford, Perry and Reynolds"/>
    <x v="4"/>
    <x v="5"/>
    <s v="C++"/>
    <s v=" Scikit-learn"/>
    <s v=" FastAPI"/>
    <s v=" GCP"/>
    <m/>
    <n v="155967.5"/>
    <m/>
    <s v="Entry"/>
    <x v="2"/>
    <s v="East Alexisbury"/>
    <s v=" MC"/>
    <n v="143363"/>
    <n v="168572"/>
    <d v="2025-09-02T00:00:00"/>
    <x v="2"/>
    <s v="BigQuery"/>
    <s v=" FastAPI"/>
    <m/>
    <x v="8"/>
    <n v="84"/>
    <x v="3"/>
    <n v="238"/>
  </r>
  <r>
    <n v="1345"/>
    <s v="Taylor PLC"/>
    <x v="5"/>
    <x v="7"/>
    <s v="Python"/>
    <s v=" Keras"/>
    <s v=" NumPy"/>
    <s v=" R"/>
    <s v=" Scikit-learn"/>
    <n v="100950"/>
    <s v=" PyTorch"/>
    <s v="Senior"/>
    <x v="1"/>
    <s v="Murrayton"/>
    <s v=" ST"/>
    <n v="93073"/>
    <n v="108827"/>
    <d v="2023-12-01T00:00:00"/>
    <x v="0"/>
    <s v="KDB+"/>
    <s v=" Scikit-learn"/>
    <m/>
    <x v="5"/>
    <n v="94"/>
    <x v="0"/>
    <n v="247"/>
  </r>
  <r>
    <n v="1346"/>
    <s v="Herring, Smith and Fletcher"/>
    <x v="0"/>
    <x v="4"/>
    <s v="Keras"/>
    <s v=" C++"/>
    <s v=" Flask"/>
    <s v=" Python"/>
    <s v=" GCP"/>
    <n v="194145.5"/>
    <s v=" NumPy"/>
    <s v="Entry"/>
    <x v="0"/>
    <s v="Monroemouth"/>
    <s v=" GQ"/>
    <n v="144902"/>
    <n v="243389"/>
    <d v="2025-05-20T00:00:00"/>
    <x v="0"/>
    <s v="PyTorch"/>
    <s v=" FastAPI"/>
    <m/>
    <x v="7"/>
    <n v="96"/>
    <x v="5"/>
    <n v="233"/>
  </r>
  <r>
    <n v="1347"/>
    <s v="Howard-Johnson"/>
    <x v="5"/>
    <x v="2"/>
    <s v="Keras"/>
    <s v=" TensorFlow"/>
    <s v=" Excel"/>
    <s v=" CUDA"/>
    <s v=" PyTorch"/>
    <n v="85037"/>
    <m/>
    <s v="Mid"/>
    <x v="2"/>
    <s v="Westville"/>
    <s v=" ZA"/>
    <n v="73201"/>
    <n v="96873"/>
    <d v="2025-01-21T00:00:00"/>
    <x v="1"/>
    <s v="MLflow"/>
    <m/>
    <m/>
    <x v="7"/>
    <n v="96"/>
    <x v="6"/>
    <n v="259"/>
  </r>
  <r>
    <n v="1348"/>
    <s v="Kidd PLC"/>
    <x v="1"/>
    <x v="2"/>
    <s v="TensorFlow"/>
    <s v=" Flask"/>
    <s v=" GCP"/>
    <s v=" Pandas"/>
    <m/>
    <n v="87623.5"/>
    <m/>
    <s v="Entry"/>
    <x v="2"/>
    <s v="Madisonstad"/>
    <s v=" BT"/>
    <n v="53695"/>
    <n v="121552"/>
    <d v="2024-02-01T00:00:00"/>
    <x v="0"/>
    <s v="LangChain"/>
    <s v=" BigQuery"/>
    <s v=" MLflow"/>
    <x v="19"/>
    <n v="95"/>
    <x v="4"/>
    <n v="268"/>
  </r>
  <r>
    <n v="1349"/>
    <s v="Mccoy Inc"/>
    <x v="6"/>
    <x v="3"/>
    <s v="AWS"/>
    <s v=" FastAPI"/>
    <s v=" Keras"/>
    <m/>
    <m/>
    <n v="91510.5"/>
    <m/>
    <s v="Mid"/>
    <x v="2"/>
    <s v="North Donnaside"/>
    <s v=" FM"/>
    <n v="42104"/>
    <n v="140917"/>
    <d v="2025-08-29T00:00:00"/>
    <x v="1"/>
    <s v="TensorFlow"/>
    <s v=" MLflow"/>
    <m/>
    <x v="10"/>
    <n v="97"/>
    <x v="2"/>
    <n v="249"/>
  </r>
  <r>
    <n v="1350"/>
    <s v="Riddle, Costa and Morris"/>
    <x v="4"/>
    <x v="3"/>
    <s v="Reinforcement Learning"/>
    <s v=" Excel"/>
    <s v=" LangChain"/>
    <s v=" TensorFlow"/>
    <s v=" FastAPI"/>
    <n v="155958.5"/>
    <s v=" R"/>
    <s v="Mid"/>
    <x v="1"/>
    <s v="Leeton"/>
    <s v=" ZA"/>
    <n v="146786"/>
    <n v="165131"/>
    <d v="2023-10-18T00:00:00"/>
    <x v="0"/>
    <s v="TensorFlow"/>
    <m/>
    <m/>
    <x v="21"/>
    <n v="104"/>
    <x v="2"/>
    <n v="249"/>
  </r>
  <r>
    <n v="1351"/>
    <s v="Allen-Middleton"/>
    <x v="4"/>
    <x v="7"/>
    <s v="Excel"/>
    <s v=" FastAPI"/>
    <s v=" Power BI"/>
    <s v=" R"/>
    <m/>
    <n v="57607.5"/>
    <m/>
    <s v="Senior"/>
    <x v="2"/>
    <s v="North Shannon"/>
    <s v=" QA"/>
    <n v="52261"/>
    <n v="62954"/>
    <d v="2025-07-30T00:00:00"/>
    <x v="2"/>
    <s v="LangChain"/>
    <m/>
    <m/>
    <x v="2"/>
    <n v="101"/>
    <x v="4"/>
    <n v="268"/>
  </r>
  <r>
    <n v="1352"/>
    <s v="Walker, Parks and Ray"/>
    <x v="5"/>
    <x v="3"/>
    <s v="GCP"/>
    <s v=" Hugging Face"/>
    <s v=" MLflow"/>
    <m/>
    <m/>
    <n v="149865"/>
    <m/>
    <s v="Entry"/>
    <x v="1"/>
    <s v="Sheltonburgh"/>
    <s v=" DE"/>
    <n v="124350"/>
    <n v="175380"/>
    <d v="2024-01-30T00:00:00"/>
    <x v="0"/>
    <s v="PyTorch"/>
    <s v=" Scikit-learn"/>
    <s v=" TensorFlow"/>
    <x v="4"/>
    <n v="78"/>
    <x v="5"/>
    <n v="233"/>
  </r>
  <r>
    <n v="1353"/>
    <s v="Lee, Roberts and Jones"/>
    <x v="3"/>
    <x v="1"/>
    <s v="Azure"/>
    <s v=" SQL"/>
    <s v=" AWS"/>
    <m/>
    <m/>
    <n v="140420"/>
    <m/>
    <s v="Entry"/>
    <x v="1"/>
    <s v="West Nathan"/>
    <s v=" AF"/>
    <n v="122574"/>
    <n v="158266"/>
    <d v="2025-03-06T00:00:00"/>
    <x v="2"/>
    <s v="MLflow"/>
    <m/>
    <m/>
    <x v="15"/>
    <n v="90"/>
    <x v="6"/>
    <n v="259"/>
  </r>
  <r>
    <n v="1354"/>
    <s v="Cox, Jacobson and Gillespie"/>
    <x v="3"/>
    <x v="0"/>
    <s v="Flask"/>
    <s v=" FastAPI"/>
    <s v=" Power BI"/>
    <s v=" Reinforcement Learning"/>
    <s v=" Keras"/>
    <n v="64953.5"/>
    <s v=" SQL"/>
    <s v="Entry"/>
    <x v="0"/>
    <s v="Delgadomouth"/>
    <s v=" ID"/>
    <n v="50676"/>
    <n v="79231"/>
    <d v="2025-03-29T00:00:00"/>
    <x v="1"/>
    <s v="MLflow"/>
    <m/>
    <m/>
    <x v="16"/>
    <n v="86"/>
    <x v="6"/>
    <n v="259"/>
  </r>
  <r>
    <n v="1355"/>
    <s v="Stevenson-Flores"/>
    <x v="6"/>
    <x v="2"/>
    <s v="R"/>
    <s v=" FastAPI"/>
    <s v=" Power BI"/>
    <m/>
    <m/>
    <n v="102334"/>
    <m/>
    <s v="Mid"/>
    <x v="1"/>
    <s v="East Kelli"/>
    <s v=" TZ"/>
    <n v="59596"/>
    <n v="145072"/>
    <d v="2024-07-06T00:00:00"/>
    <x v="0"/>
    <s v="KDB+"/>
    <m/>
    <m/>
    <x v="11"/>
    <n v="86"/>
    <x v="0"/>
    <n v="247"/>
  </r>
  <r>
    <n v="1356"/>
    <s v="Fisher Inc"/>
    <x v="4"/>
    <x v="4"/>
    <s v="Azure"/>
    <s v=" Scikit-learn"/>
    <s v=" Excel"/>
    <s v=" Flask"/>
    <s v=" GCP"/>
    <n v="79176"/>
    <s v=" AWS"/>
    <s v="Mid"/>
    <x v="3"/>
    <s v="Copelandfort"/>
    <s v=" WS"/>
    <n v="52352"/>
    <n v="106000"/>
    <d v="2024-11-12T00:00:00"/>
    <x v="2"/>
    <s v="PyTorch"/>
    <m/>
    <m/>
    <x v="15"/>
    <n v="90"/>
    <x v="5"/>
    <n v="233"/>
  </r>
  <r>
    <n v="1357"/>
    <s v="Santos and Sons"/>
    <x v="5"/>
    <x v="7"/>
    <s v="Azure"/>
    <s v=" GCP"/>
    <s v=" Hugging Face"/>
    <s v=" R"/>
    <s v=" Scikit-learn"/>
    <n v="56477"/>
    <m/>
    <s v="Senior"/>
    <x v="2"/>
    <s v="Desireestad"/>
    <s v=" MG"/>
    <n v="44992"/>
    <n v="67962"/>
    <d v="2024-05-20T00:00:00"/>
    <x v="2"/>
    <s v="LangChain"/>
    <s v=" TensorFlow"/>
    <m/>
    <x v="15"/>
    <n v="90"/>
    <x v="4"/>
    <n v="268"/>
  </r>
  <r>
    <n v="1358"/>
    <s v="Washington Group"/>
    <x v="0"/>
    <x v="2"/>
    <s v="C++"/>
    <s v=" AWS"/>
    <s v=" SQL"/>
    <m/>
    <m/>
    <n v="90494"/>
    <m/>
    <s v="Mid"/>
    <x v="3"/>
    <s v="Jasonstad"/>
    <s v=" RW"/>
    <n v="76958"/>
    <n v="104030"/>
    <d v="2024-10-17T00:00:00"/>
    <x v="2"/>
    <s v="LangChain"/>
    <s v=" Scikit-learn"/>
    <s v=" MLflow"/>
    <x v="8"/>
    <n v="84"/>
    <x v="4"/>
    <n v="268"/>
  </r>
  <r>
    <n v="1359"/>
    <s v="Hoffman LLC"/>
    <x v="5"/>
    <x v="0"/>
    <s v="SQL"/>
    <s v=" Scikit-learn"/>
    <s v=" TensorFlow"/>
    <s v=" LangChain"/>
    <s v=" R"/>
    <n v="127382"/>
    <s v=" Power BI"/>
    <s v="Mid"/>
    <x v="0"/>
    <s v="West Sarahborough"/>
    <s v=" KG"/>
    <n v="113006"/>
    <n v="141758"/>
    <d v="2024-02-03T00:00:00"/>
    <x v="2"/>
    <s v="MLflow"/>
    <s v=" TensorFlow"/>
    <s v=" Scikit-learn"/>
    <x v="17"/>
    <n v="88"/>
    <x v="6"/>
    <n v="259"/>
  </r>
  <r>
    <n v="1360"/>
    <s v="Suarez LLC"/>
    <x v="3"/>
    <x v="2"/>
    <s v="C++"/>
    <s v=" LangChain"/>
    <s v=" NumPy"/>
    <s v=" Azure"/>
    <s v=" MLflow"/>
    <n v="130991"/>
    <m/>
    <s v="Entry"/>
    <x v="1"/>
    <s v="Hodgesborough"/>
    <s v=" ER"/>
    <n v="110023"/>
    <n v="151959"/>
    <d v="2023-12-28T00:00:00"/>
    <x v="0"/>
    <s v="KDB+"/>
    <m/>
    <m/>
    <x v="8"/>
    <n v="84"/>
    <x v="0"/>
    <n v="247"/>
  </r>
  <r>
    <n v="1361"/>
    <s v="Green Ltd"/>
    <x v="2"/>
    <x v="1"/>
    <s v="Keras"/>
    <s v=" Scikit-learn"/>
    <s v=" Pandas"/>
    <s v=" Python"/>
    <s v=" FastAPI"/>
    <n v="181454"/>
    <m/>
    <s v="Senior"/>
    <x v="1"/>
    <s v="Gordontown"/>
    <s v=" CA"/>
    <n v="139711"/>
    <n v="223197"/>
    <d v="2024-01-01T00:00:00"/>
    <x v="2"/>
    <s v="MLflow"/>
    <s v=" LangChain"/>
    <s v=" FastAPI"/>
    <x v="7"/>
    <n v="96"/>
    <x v="6"/>
    <n v="259"/>
  </r>
  <r>
    <n v="1362"/>
    <s v="Fischer-Guzman"/>
    <x v="1"/>
    <x v="1"/>
    <s v="PyTorch"/>
    <s v=" Python"/>
    <s v=" Flask"/>
    <m/>
    <m/>
    <n v="147701"/>
    <m/>
    <s v="Mid"/>
    <x v="1"/>
    <s v="North James"/>
    <s v=" UA"/>
    <n v="101687"/>
    <n v="193715"/>
    <d v="2023-09-26T00:00:00"/>
    <x v="0"/>
    <s v="TensorFlow"/>
    <s v=" KDB+"/>
    <m/>
    <x v="14"/>
    <n v="92"/>
    <x v="2"/>
    <n v="249"/>
  </r>
  <r>
    <n v="1363"/>
    <s v="Powell-Hall"/>
    <x v="4"/>
    <x v="1"/>
    <s v="AWS"/>
    <s v=" R"/>
    <s v=" FastAPI"/>
    <m/>
    <m/>
    <n v="191996.5"/>
    <m/>
    <s v="Senior"/>
    <x v="3"/>
    <s v="Ortizside"/>
    <s v=" PK"/>
    <n v="148358"/>
    <n v="235635"/>
    <d v="2023-11-16T00:00:00"/>
    <x v="2"/>
    <s v="MLflow"/>
    <s v=" LangChain"/>
    <m/>
    <x v="10"/>
    <n v="97"/>
    <x v="6"/>
    <n v="259"/>
  </r>
  <r>
    <n v="1364"/>
    <s v="Price-Johnson"/>
    <x v="4"/>
    <x v="3"/>
    <s v="AWS"/>
    <s v=" PyTorch"/>
    <s v=" Scikit-learn"/>
    <m/>
    <m/>
    <n v="144286.5"/>
    <m/>
    <s v="Senior"/>
    <x v="3"/>
    <s v="Leestad"/>
    <s v=" DE"/>
    <n v="112045"/>
    <n v="176528"/>
    <d v="2024-04-26T00:00:00"/>
    <x v="2"/>
    <s v="Scikit-learn"/>
    <m/>
    <m/>
    <x v="10"/>
    <n v="97"/>
    <x v="7"/>
    <n v="255"/>
  </r>
  <r>
    <n v="1365"/>
    <s v="Boyle, Griffin and Mitchell"/>
    <x v="4"/>
    <x v="7"/>
    <s v="Power BI"/>
    <s v=" TensorFlow"/>
    <s v=" Azure"/>
    <s v=" PyTorch"/>
    <s v=" NumPy"/>
    <n v="119385.5"/>
    <m/>
    <s v="Senior"/>
    <x v="0"/>
    <s v="Michaelport"/>
    <s v=" GW"/>
    <n v="89570"/>
    <n v="149201"/>
    <d v="2024-03-03T00:00:00"/>
    <x v="2"/>
    <s v="TensorFlow"/>
    <m/>
    <m/>
    <x v="18"/>
    <n v="96"/>
    <x v="2"/>
    <n v="249"/>
  </r>
  <r>
    <n v="1366"/>
    <s v="Gould, Owen and Hahn"/>
    <x v="2"/>
    <x v="5"/>
    <s v="FastAPI"/>
    <s v=" AWS"/>
    <s v=" Python"/>
    <m/>
    <m/>
    <n v="83322"/>
    <m/>
    <s v="Entry"/>
    <x v="0"/>
    <s v="South Steven"/>
    <s v=" NE"/>
    <n v="47542"/>
    <n v="119102"/>
    <d v="2025-02-12T00:00:00"/>
    <x v="2"/>
    <s v="MLflow"/>
    <s v=" FastAPI"/>
    <s v=" BigQuery"/>
    <x v="20"/>
    <n v="111"/>
    <x v="6"/>
    <n v="259"/>
  </r>
  <r>
    <n v="1367"/>
    <s v="Fox Inc"/>
    <x v="6"/>
    <x v="1"/>
    <s v="Flask"/>
    <s v=" Pandas"/>
    <s v=" SQL"/>
    <s v=" PyTorch"/>
    <m/>
    <n v="78470.5"/>
    <m/>
    <s v="Mid"/>
    <x v="3"/>
    <s v="Wheelerborough"/>
    <s v=" VC"/>
    <n v="71640"/>
    <n v="85301"/>
    <d v="2025-08-13T00:00:00"/>
    <x v="0"/>
    <s v="FastAPI"/>
    <s v=" PyTorch"/>
    <m/>
    <x v="16"/>
    <n v="86"/>
    <x v="1"/>
    <n v="251"/>
  </r>
  <r>
    <n v="1368"/>
    <s v="Martin, Morrison and Woods"/>
    <x v="0"/>
    <x v="7"/>
    <s v="Pandas"/>
    <s v=" PyTorch"/>
    <s v=" Power BI"/>
    <s v=" FastAPI"/>
    <s v=" TensorFlow"/>
    <n v="126804"/>
    <m/>
    <s v="Mid"/>
    <x v="2"/>
    <s v="South Veronicaberg"/>
    <s v=" AD"/>
    <n v="107629"/>
    <n v="145979"/>
    <d v="2024-05-24T00:00:00"/>
    <x v="0"/>
    <s v="PyTorch"/>
    <s v=" FastAPI"/>
    <s v=" LangChain"/>
    <x v="6"/>
    <n v="78"/>
    <x v="5"/>
    <n v="233"/>
  </r>
  <r>
    <n v="1369"/>
    <s v="Thornton, Johnson and Coleman"/>
    <x v="3"/>
    <x v="4"/>
    <s v="Power BI"/>
    <s v=" C++"/>
    <s v=" NumPy"/>
    <m/>
    <m/>
    <n v="138395.5"/>
    <m/>
    <s v="Senior"/>
    <x v="0"/>
    <s v="Daltontown"/>
    <s v=" GD"/>
    <n v="97661"/>
    <n v="179130"/>
    <d v="2024-02-26T00:00:00"/>
    <x v="1"/>
    <s v="LangChain"/>
    <s v=" Scikit-learn"/>
    <s v=" PyTorch"/>
    <x v="18"/>
    <n v="96"/>
    <x v="4"/>
    <n v="268"/>
  </r>
  <r>
    <n v="1370"/>
    <s v="Nelson PLC"/>
    <x v="4"/>
    <x v="4"/>
    <s v="PyTorch"/>
    <s v=" Pandas"/>
    <s v=" TensorFlow"/>
    <s v=" Azure"/>
    <s v=" NumPy"/>
    <n v="106509.5"/>
    <m/>
    <s v="Entry"/>
    <x v="3"/>
    <s v="North Linda"/>
    <s v=" BG"/>
    <n v="72703"/>
    <n v="140316"/>
    <d v="2023-09-22T00:00:00"/>
    <x v="1"/>
    <s v="KDB+"/>
    <s v=" Scikit-learn"/>
    <m/>
    <x v="14"/>
    <n v="92"/>
    <x v="0"/>
    <n v="247"/>
  </r>
  <r>
    <n v="1371"/>
    <s v="Peters, Martin and Gonzalez"/>
    <x v="2"/>
    <x v="5"/>
    <s v="PyTorch"/>
    <s v=" Excel"/>
    <s v=" Scikit-learn"/>
    <s v=" MLflow"/>
    <m/>
    <n v="136250"/>
    <m/>
    <s v="Mid"/>
    <x v="1"/>
    <s v="South Jeremyborough"/>
    <s v=" MM"/>
    <n v="120028"/>
    <n v="152472"/>
    <d v="2024-05-01T00:00:00"/>
    <x v="1"/>
    <s v="MLflow"/>
    <s v=" TensorFlow"/>
    <m/>
    <x v="14"/>
    <n v="92"/>
    <x v="6"/>
    <n v="259"/>
  </r>
  <r>
    <n v="1372"/>
    <s v="Holmes-Palmer"/>
    <x v="3"/>
    <x v="0"/>
    <s v="NumPy"/>
    <s v=" Excel"/>
    <s v=" LangChain"/>
    <s v=" PyTorch"/>
    <s v=" AWS"/>
    <n v="138243"/>
    <s v=" Power BI"/>
    <s v="Mid"/>
    <x v="0"/>
    <s v="West Melanie"/>
    <s v=" SG"/>
    <n v="94017"/>
    <n v="182469"/>
    <d v="2024-10-26T00:00:00"/>
    <x v="0"/>
    <s v="MLflow"/>
    <s v=" TensorFlow"/>
    <m/>
    <x v="0"/>
    <n v="104"/>
    <x v="6"/>
    <n v="259"/>
  </r>
  <r>
    <n v="1373"/>
    <s v="Bass, Carpenter and Bishop"/>
    <x v="4"/>
    <x v="1"/>
    <s v="Azure"/>
    <s v=" TensorFlow"/>
    <s v=" Excel"/>
    <m/>
    <m/>
    <n v="165443"/>
    <m/>
    <s v="Senior"/>
    <x v="2"/>
    <s v="West Rebeccachester"/>
    <s v=" BE"/>
    <n v="117882"/>
    <n v="213004"/>
    <d v="2024-03-09T00:00:00"/>
    <x v="2"/>
    <s v="Scikit-learn"/>
    <m/>
    <m/>
    <x v="15"/>
    <n v="90"/>
    <x v="7"/>
    <n v="255"/>
  </r>
  <r>
    <n v="1374"/>
    <s v="Robinson Inc"/>
    <x v="3"/>
    <x v="2"/>
    <s v="Excel"/>
    <s v=" MLflow"/>
    <s v=" NumPy"/>
    <m/>
    <m/>
    <n v="73626.5"/>
    <m/>
    <s v="Senior"/>
    <x v="3"/>
    <s v="East Laurie"/>
    <s v=" GH"/>
    <n v="54113"/>
    <n v="93140"/>
    <d v="2025-08-17T00:00:00"/>
    <x v="0"/>
    <s v="LangChain"/>
    <m/>
    <m/>
    <x v="2"/>
    <n v="101"/>
    <x v="4"/>
    <n v="268"/>
  </r>
  <r>
    <n v="1375"/>
    <s v="Moore-Ross"/>
    <x v="5"/>
    <x v="6"/>
    <s v="AWS"/>
    <s v=" MLflow"/>
    <s v=" Reinforcement Learning"/>
    <s v=" FastAPI"/>
    <s v=" Python"/>
    <n v="155414.5"/>
    <m/>
    <s v="Entry"/>
    <x v="3"/>
    <s v="Waltersfurt"/>
    <s v=" KZ"/>
    <n v="115738"/>
    <n v="195091"/>
    <d v="2024-03-05T00:00:00"/>
    <x v="1"/>
    <s v="PyTorch"/>
    <s v=" MLflow"/>
    <s v=" KDB+"/>
    <x v="10"/>
    <n v="97"/>
    <x v="5"/>
    <n v="233"/>
  </r>
  <r>
    <n v="1376"/>
    <s v="Hernandez-Schneider"/>
    <x v="3"/>
    <x v="2"/>
    <s v="Python"/>
    <s v=" MLflow"/>
    <s v=" Azure"/>
    <s v=" Reinforcement Learning"/>
    <m/>
    <n v="99725"/>
    <m/>
    <s v="Entry"/>
    <x v="1"/>
    <s v="South Ravenfurt"/>
    <s v=" TW"/>
    <n v="72794"/>
    <n v="126656"/>
    <d v="2024-07-26T00:00:00"/>
    <x v="0"/>
    <s v="FastAPI"/>
    <s v=" Scikit-learn"/>
    <m/>
    <x v="5"/>
    <n v="94"/>
    <x v="1"/>
    <n v="251"/>
  </r>
  <r>
    <n v="1377"/>
    <s v="Singleton-Morris"/>
    <x v="5"/>
    <x v="2"/>
    <s v="AWS"/>
    <s v=" NumPy"/>
    <s v=" CUDA"/>
    <s v=" Scikit-learn"/>
    <m/>
    <n v="126715.5"/>
    <m/>
    <s v="Entry"/>
    <x v="0"/>
    <s v="East Alyssahaven"/>
    <s v=" ML"/>
    <n v="97964"/>
    <n v="155467"/>
    <d v="2025-07-13T00:00:00"/>
    <x v="1"/>
    <s v="PyTorch"/>
    <s v=" BigQuery"/>
    <m/>
    <x v="10"/>
    <n v="97"/>
    <x v="5"/>
    <n v="233"/>
  </r>
  <r>
    <n v="1378"/>
    <s v="Smith, Barnett and Robles"/>
    <x v="5"/>
    <x v="2"/>
    <s v="Azure"/>
    <s v=" R"/>
    <s v=" MLflow"/>
    <s v=" Python"/>
    <s v=" AWS"/>
    <n v="96634.5"/>
    <m/>
    <s v="Entry"/>
    <x v="0"/>
    <s v="Martinezburgh"/>
    <s v=" IN"/>
    <n v="65913"/>
    <n v="127356"/>
    <d v="2024-05-25T00:00:00"/>
    <x v="1"/>
    <s v="LangChain"/>
    <s v=" BigQuery"/>
    <m/>
    <x v="15"/>
    <n v="90"/>
    <x v="4"/>
    <n v="268"/>
  </r>
  <r>
    <n v="1379"/>
    <s v="Anderson, Perez and Harrison"/>
    <x v="0"/>
    <x v="4"/>
    <s v="GCP"/>
    <s v=" Hugging Face"/>
    <s v=" Python"/>
    <m/>
    <m/>
    <n v="98621.5"/>
    <m/>
    <s v="Mid"/>
    <x v="3"/>
    <s v="East Daniel"/>
    <s v=" JM"/>
    <n v="88549"/>
    <n v="108694"/>
    <d v="2024-07-24T00:00:00"/>
    <x v="0"/>
    <s v="PyTorch"/>
    <m/>
    <m/>
    <x v="4"/>
    <n v="78"/>
    <x v="5"/>
    <n v="233"/>
  </r>
  <r>
    <n v="1380"/>
    <s v="Woodard-Jones"/>
    <x v="2"/>
    <x v="3"/>
    <s v="Hugging Face"/>
    <s v=" PyTorch"/>
    <s v=" SQL"/>
    <s v=" FastAPI"/>
    <m/>
    <n v="173964"/>
    <m/>
    <s v="Mid"/>
    <x v="1"/>
    <s v="East Michael"/>
    <s v=" CI"/>
    <n v="134773"/>
    <n v="213155"/>
    <d v="2025-05-20T00:00:00"/>
    <x v="1"/>
    <s v="Scikit-learn"/>
    <m/>
    <m/>
    <x v="9"/>
    <n v="89"/>
    <x v="7"/>
    <n v="255"/>
  </r>
  <r>
    <n v="1381"/>
    <s v="Taylor, Randolph and Robinson"/>
    <x v="2"/>
    <x v="1"/>
    <s v="CUDA"/>
    <s v=" MLflow"/>
    <s v=" Flask"/>
    <s v=" Python"/>
    <s v=" Scikit-learn"/>
    <n v="93717.5"/>
    <s v=" PyTorch"/>
    <s v="Mid"/>
    <x v="2"/>
    <s v="Derekton"/>
    <s v=" AL"/>
    <n v="54397"/>
    <n v="133038"/>
    <d v="2025-06-24T00:00:00"/>
    <x v="0"/>
    <s v="TensorFlow"/>
    <s v=" PyTorch"/>
    <m/>
    <x v="13"/>
    <n v="75"/>
    <x v="2"/>
    <n v="249"/>
  </r>
  <r>
    <n v="1382"/>
    <s v="Scott, Nguyen and Gomez"/>
    <x v="4"/>
    <x v="5"/>
    <s v="Keras"/>
    <s v=" LangChain"/>
    <s v=" FastAPI"/>
    <m/>
    <m/>
    <n v="113347"/>
    <m/>
    <s v="Senior"/>
    <x v="2"/>
    <s v="West Austinbury"/>
    <s v=" SC"/>
    <n v="106470"/>
    <n v="120224"/>
    <d v="2025-09-19T00:00:00"/>
    <x v="2"/>
    <s v="FastAPI"/>
    <s v=" BigQuery"/>
    <s v=" TensorFlow"/>
    <x v="7"/>
    <n v="96"/>
    <x v="1"/>
    <n v="251"/>
  </r>
  <r>
    <n v="1383"/>
    <s v="Stephens, Barnes and Howard"/>
    <x v="3"/>
    <x v="7"/>
    <s v="AWS"/>
    <s v=" LangChain"/>
    <s v=" Python"/>
    <s v=" PyTorch"/>
    <s v=" R"/>
    <n v="82588"/>
    <m/>
    <s v="Mid"/>
    <x v="0"/>
    <s v="Lake Meganchester"/>
    <s v=" CY"/>
    <n v="69114"/>
    <n v="96062"/>
    <d v="2024-10-27T00:00:00"/>
    <x v="2"/>
    <s v="Scikit-learn"/>
    <s v=" BigQuery"/>
    <m/>
    <x v="10"/>
    <n v="97"/>
    <x v="7"/>
    <n v="255"/>
  </r>
  <r>
    <n v="1384"/>
    <s v="Young-Cook"/>
    <x v="0"/>
    <x v="5"/>
    <s v="CUDA"/>
    <s v=" Pandas"/>
    <s v=" R"/>
    <s v=" Reinforcement Learning"/>
    <s v=" TensorFlow"/>
    <n v="168179.5"/>
    <s v=" Azure"/>
    <s v="Mid"/>
    <x v="1"/>
    <s v="North Stephen"/>
    <s v=" LV"/>
    <n v="132907"/>
    <n v="203452"/>
    <d v="2025-08-28T00:00:00"/>
    <x v="0"/>
    <s v="TensorFlow"/>
    <m/>
    <m/>
    <x v="13"/>
    <n v="75"/>
    <x v="2"/>
    <n v="249"/>
  </r>
  <r>
    <n v="1385"/>
    <s v="Perez-Mills"/>
    <x v="2"/>
    <x v="0"/>
    <s v="NumPy"/>
    <s v=" MLflow"/>
    <s v=" Flask"/>
    <s v=" Keras"/>
    <s v=" TensorFlow"/>
    <n v="74952"/>
    <s v=" FastAPI"/>
    <s v="Senior"/>
    <x v="3"/>
    <s v="Vanessamouth"/>
    <s v=" ID"/>
    <n v="46314"/>
    <n v="103590"/>
    <d v="2023-10-16T00:00:00"/>
    <x v="2"/>
    <s v="PyTorch"/>
    <s v=" MLflow"/>
    <s v=" Scikit-learn"/>
    <x v="0"/>
    <n v="104"/>
    <x v="5"/>
    <n v="233"/>
  </r>
  <r>
    <n v="1386"/>
    <s v="Torres, Williams and Ramos"/>
    <x v="5"/>
    <x v="3"/>
    <s v="GCP"/>
    <s v=" Hugging Face"/>
    <s v=" Keras"/>
    <m/>
    <m/>
    <n v="178274.5"/>
    <m/>
    <s v="Entry"/>
    <x v="1"/>
    <s v="New Stephanieside"/>
    <s v=" LI"/>
    <n v="149066"/>
    <n v="207483"/>
    <d v="2025-08-29T00:00:00"/>
    <x v="2"/>
    <s v="BigQuery"/>
    <s v=" LangChain"/>
    <s v=" Scikit-learn"/>
    <x v="4"/>
    <n v="78"/>
    <x v="3"/>
    <n v="238"/>
  </r>
  <r>
    <n v="1387"/>
    <s v="Mosley-Ferrell"/>
    <x v="6"/>
    <x v="4"/>
    <s v="Reinforcement Learning"/>
    <s v=" C++"/>
    <s v=" Scikit-learn"/>
    <m/>
    <m/>
    <n v="153067"/>
    <m/>
    <s v="Senior"/>
    <x v="0"/>
    <s v="Paulberg"/>
    <s v=" NE"/>
    <n v="125945"/>
    <n v="180189"/>
    <d v="2025-01-27T00:00:00"/>
    <x v="1"/>
    <s v="FastAPI"/>
    <m/>
    <m/>
    <x v="21"/>
    <n v="104"/>
    <x v="1"/>
    <n v="251"/>
  </r>
  <r>
    <n v="1388"/>
    <s v="Roman Inc"/>
    <x v="6"/>
    <x v="1"/>
    <s v="AWS"/>
    <s v=" Power BI"/>
    <s v=" TensorFlow"/>
    <s v=" SQL"/>
    <m/>
    <n v="135905.5"/>
    <m/>
    <s v="Mid"/>
    <x v="3"/>
    <s v="Lake Vanessashire"/>
    <s v=" MW"/>
    <n v="119221"/>
    <n v="152590"/>
    <d v="2024-01-23T00:00:00"/>
    <x v="1"/>
    <s v="LangChain"/>
    <s v=" KDB+"/>
    <s v=" PyTorch"/>
    <x v="10"/>
    <n v="97"/>
    <x v="4"/>
    <n v="268"/>
  </r>
  <r>
    <n v="1389"/>
    <s v="Johnson-Bell"/>
    <x v="5"/>
    <x v="3"/>
    <s v="AWS"/>
    <s v=" Azure"/>
    <s v=" Reinforcement Learning"/>
    <s v=" NumPy"/>
    <m/>
    <n v="97847"/>
    <m/>
    <s v="Senior"/>
    <x v="2"/>
    <s v="Toddfurt"/>
    <s v=" LT"/>
    <n v="84230"/>
    <n v="111464"/>
    <d v="2024-05-08T00:00:00"/>
    <x v="2"/>
    <s v="LangChain"/>
    <m/>
    <m/>
    <x v="10"/>
    <n v="97"/>
    <x v="4"/>
    <n v="268"/>
  </r>
  <r>
    <n v="1390"/>
    <s v="Macias, King and Sanchez"/>
    <x v="3"/>
    <x v="7"/>
    <s v="PyTorch"/>
    <s v=" Reinforcement Learning"/>
    <s v=" Pandas"/>
    <m/>
    <m/>
    <n v="115371"/>
    <m/>
    <s v="Senior"/>
    <x v="2"/>
    <s v="South Jesus"/>
    <s v=" NL"/>
    <n v="65718"/>
    <n v="165024"/>
    <d v="2025-01-13T00:00:00"/>
    <x v="2"/>
    <s v="MLflow"/>
    <s v=" PyTorch"/>
    <s v=" LangChain"/>
    <x v="14"/>
    <n v="92"/>
    <x v="6"/>
    <n v="259"/>
  </r>
  <r>
    <n v="1391"/>
    <s v="Franco and Sons"/>
    <x v="5"/>
    <x v="4"/>
    <s v="Hugging Face"/>
    <s v=" FastAPI"/>
    <s v=" Reinforcement Learning"/>
    <s v=" Flask"/>
    <m/>
    <n v="166374"/>
    <m/>
    <s v="Entry"/>
    <x v="1"/>
    <s v="North Amanda"/>
    <s v=" JO"/>
    <n v="117920"/>
    <n v="214828"/>
    <d v="2025-01-28T00:00:00"/>
    <x v="2"/>
    <s v="KDB+"/>
    <m/>
    <m/>
    <x v="9"/>
    <n v="89"/>
    <x v="0"/>
    <n v="247"/>
  </r>
  <r>
    <n v="1392"/>
    <s v="Villa, Fowler and Oneill"/>
    <x v="1"/>
    <x v="5"/>
    <s v="Power BI"/>
    <s v=" Reinforcement Learning"/>
    <s v=" TensorFlow"/>
    <s v=" CUDA"/>
    <m/>
    <n v="187241.5"/>
    <m/>
    <s v="Senior"/>
    <x v="1"/>
    <s v="New Jacob"/>
    <s v=" CZ"/>
    <n v="139463"/>
    <n v="235020"/>
    <d v="2024-03-08T00:00:00"/>
    <x v="2"/>
    <s v="LangChain"/>
    <s v=" FastAPI"/>
    <m/>
    <x v="18"/>
    <n v="96"/>
    <x v="4"/>
    <n v="268"/>
  </r>
  <r>
    <n v="1393"/>
    <s v="Cervantes-Parker"/>
    <x v="3"/>
    <x v="4"/>
    <s v="Reinforcement Learning"/>
    <s v=" TensorFlow"/>
    <s v=" R"/>
    <s v=" SQL"/>
    <s v=" FastAPI"/>
    <n v="131540"/>
    <m/>
    <s v="Mid"/>
    <x v="2"/>
    <s v="Lake Jessicamouth"/>
    <s v=" CH"/>
    <n v="125497"/>
    <n v="137583"/>
    <d v="2024-07-08T00:00:00"/>
    <x v="0"/>
    <s v="TensorFlow"/>
    <m/>
    <m/>
    <x v="21"/>
    <n v="104"/>
    <x v="2"/>
    <n v="249"/>
  </r>
  <r>
    <n v="1394"/>
    <s v="Gonzalez Inc"/>
    <x v="4"/>
    <x v="3"/>
    <s v="Keras"/>
    <s v=" LangChain"/>
    <s v=" AWS"/>
    <s v=" TensorFlow"/>
    <s v=" Reinforcement Learning"/>
    <n v="158606.5"/>
    <s v=" NumPy"/>
    <s v="Senior"/>
    <x v="1"/>
    <s v="West Brian"/>
    <s v=" VU"/>
    <n v="135863"/>
    <n v="181350"/>
    <d v="2023-12-07T00:00:00"/>
    <x v="0"/>
    <s v="TensorFlow"/>
    <s v=" LangChain"/>
    <s v=" MLflow"/>
    <x v="7"/>
    <n v="96"/>
    <x v="2"/>
    <n v="249"/>
  </r>
  <r>
    <n v="1395"/>
    <s v="Suarez LLC"/>
    <x v="0"/>
    <x v="3"/>
    <s v="NumPy"/>
    <s v=" Excel"/>
    <s v=" Scikit-learn"/>
    <s v=" CUDA"/>
    <s v=" R"/>
    <n v="119020.5"/>
    <s v=" TensorFlow"/>
    <s v="Entry"/>
    <x v="0"/>
    <s v="North Richardburgh"/>
    <s v=" HR"/>
    <n v="106509"/>
    <n v="131532"/>
    <d v="2025-09-06T00:00:00"/>
    <x v="1"/>
    <s v="BigQuery"/>
    <s v=" LangChain"/>
    <m/>
    <x v="0"/>
    <n v="104"/>
    <x v="3"/>
    <n v="238"/>
  </r>
  <r>
    <n v="1396"/>
    <s v="Cox, Taylor and Kent"/>
    <x v="1"/>
    <x v="6"/>
    <s v="C++"/>
    <s v=" TensorFlow"/>
    <s v=" Keras"/>
    <m/>
    <m/>
    <n v="114535.5"/>
    <m/>
    <s v="Entry"/>
    <x v="0"/>
    <s v="New Jamesside"/>
    <s v=" TJ"/>
    <n v="106378"/>
    <n v="122693"/>
    <d v="2024-08-26T00:00:00"/>
    <x v="1"/>
    <s v="BigQuery"/>
    <m/>
    <m/>
    <x v="8"/>
    <n v="84"/>
    <x v="3"/>
    <n v="238"/>
  </r>
  <r>
    <n v="1397"/>
    <s v="Blanchard-Rodriguez"/>
    <x v="5"/>
    <x v="1"/>
    <s v="Excel"/>
    <s v=" Scikit-learn"/>
    <s v=" PyTorch"/>
    <s v=" FastAPI"/>
    <m/>
    <n v="166844"/>
    <m/>
    <s v="Mid"/>
    <x v="3"/>
    <s v="South Corey"/>
    <s v=" LY"/>
    <n v="124196"/>
    <n v="209492"/>
    <d v="2024-11-29T00:00:00"/>
    <x v="0"/>
    <s v="FastAPI"/>
    <s v=" KDB+"/>
    <m/>
    <x v="2"/>
    <n v="101"/>
    <x v="1"/>
    <n v="251"/>
  </r>
  <r>
    <n v="1398"/>
    <s v="Schmitt, Terry and Ramirez"/>
    <x v="0"/>
    <x v="0"/>
    <s v="Hugging Face"/>
    <s v=" PyTorch"/>
    <s v=" AWS"/>
    <s v=" MLflow"/>
    <m/>
    <n v="174747"/>
    <m/>
    <s v="Senior"/>
    <x v="2"/>
    <s v="Petersonstad"/>
    <s v=" MX"/>
    <n v="137549"/>
    <n v="211945"/>
    <d v="2024-08-05T00:00:00"/>
    <x v="1"/>
    <s v="TensorFlow"/>
    <s v=" BigQuery"/>
    <s v=" FastAPI"/>
    <x v="9"/>
    <n v="89"/>
    <x v="2"/>
    <n v="249"/>
  </r>
  <r>
    <n v="1399"/>
    <s v="Nixon-Martinez"/>
    <x v="3"/>
    <x v="6"/>
    <s v="Reinforcement Learning"/>
    <s v=" MLflow"/>
    <s v=" GCP"/>
    <s v=" Azure"/>
    <s v=" Pandas"/>
    <n v="101024.5"/>
    <m/>
    <s v="Senior"/>
    <x v="1"/>
    <s v="Jacksonfurt"/>
    <s v=" EC"/>
    <n v="86557"/>
    <n v="115492"/>
    <d v="2024-02-21T00:00:00"/>
    <x v="2"/>
    <s v="PyTorch"/>
    <m/>
    <m/>
    <x v="21"/>
    <n v="104"/>
    <x v="5"/>
    <n v="233"/>
  </r>
  <r>
    <n v="1400"/>
    <s v="Jenkins Ltd"/>
    <x v="6"/>
    <x v="2"/>
    <s v="Power BI"/>
    <s v=" Python"/>
    <s v=" Scikit-learn"/>
    <s v=" R"/>
    <s v=" Pandas"/>
    <n v="99836.5"/>
    <m/>
    <s v="Entry"/>
    <x v="0"/>
    <s v="New Jessicaburgh"/>
    <s v=" SE"/>
    <n v="89046"/>
    <n v="110627"/>
    <d v="2024-12-16T00:00:00"/>
    <x v="1"/>
    <s v="BigQuery"/>
    <s v=" TensorFlow"/>
    <m/>
    <x v="18"/>
    <n v="96"/>
    <x v="3"/>
    <n v="238"/>
  </r>
  <r>
    <n v="1401"/>
    <s v="Grant, Rosario and Williams"/>
    <x v="6"/>
    <x v="7"/>
    <s v="Keras"/>
    <s v=" AWS"/>
    <s v=" SQL"/>
    <s v=" CUDA"/>
    <s v=" Python"/>
    <n v="174059"/>
    <s v=" GCP"/>
    <s v="Mid"/>
    <x v="3"/>
    <s v="Lake Ryanville"/>
    <s v=" AZ"/>
    <n v="127351"/>
    <n v="220767"/>
    <d v="2024-12-28T00:00:00"/>
    <x v="0"/>
    <s v="TensorFlow"/>
    <s v=" MLflow"/>
    <s v=" PyTorch"/>
    <x v="7"/>
    <n v="96"/>
    <x v="2"/>
    <n v="249"/>
  </r>
  <r>
    <n v="1402"/>
    <s v="Rogers, Nixon and Martinez"/>
    <x v="6"/>
    <x v="3"/>
    <s v="Excel"/>
    <s v=" Flask"/>
    <s v=" FastAPI"/>
    <m/>
    <m/>
    <n v="165302.5"/>
    <m/>
    <s v="Mid"/>
    <x v="1"/>
    <s v="New Lauren"/>
    <s v=" OM"/>
    <n v="122699"/>
    <n v="207906"/>
    <d v="2024-03-30T00:00:00"/>
    <x v="0"/>
    <s v="Scikit-learn"/>
    <m/>
    <m/>
    <x v="2"/>
    <n v="101"/>
    <x v="7"/>
    <n v="255"/>
  </r>
  <r>
    <n v="1403"/>
    <s v="Carter-Lang"/>
    <x v="0"/>
    <x v="7"/>
    <s v="LangChain"/>
    <s v=" MLflow"/>
    <s v=" Azure"/>
    <m/>
    <m/>
    <n v="186915.5"/>
    <m/>
    <s v="Entry"/>
    <x v="0"/>
    <s v="Millerburgh"/>
    <s v=" ZA"/>
    <n v="138388"/>
    <n v="235443"/>
    <d v="2025-03-05T00:00:00"/>
    <x v="1"/>
    <s v="MLflow"/>
    <s v=" BigQuery"/>
    <s v=" LangChain"/>
    <x v="12"/>
    <n v="100"/>
    <x v="6"/>
    <n v="259"/>
  </r>
  <r>
    <n v="1404"/>
    <s v="Moss, Salazar and Stanley"/>
    <x v="6"/>
    <x v="3"/>
    <s v="CUDA"/>
    <s v=" Scikit-learn"/>
    <s v=" Power BI"/>
    <s v=" TensorFlow"/>
    <m/>
    <n v="153879.5"/>
    <m/>
    <s v="Mid"/>
    <x v="0"/>
    <s v="Kimberlyfurt"/>
    <s v=" HN"/>
    <n v="117976"/>
    <n v="189783"/>
    <d v="2024-09-22T00:00:00"/>
    <x v="1"/>
    <s v="Scikit-learn"/>
    <s v=" MLflow"/>
    <m/>
    <x v="13"/>
    <n v="75"/>
    <x v="7"/>
    <n v="255"/>
  </r>
  <r>
    <n v="1405"/>
    <s v="Carlson-Allen"/>
    <x v="6"/>
    <x v="0"/>
    <s v="C++"/>
    <s v=" Azure"/>
    <s v=" CUDA"/>
    <m/>
    <m/>
    <n v="160023"/>
    <m/>
    <s v="Mid"/>
    <x v="3"/>
    <s v="New Kristinatown"/>
    <s v=" GD"/>
    <n v="120521"/>
    <n v="199525"/>
    <d v="2023-11-25T00:00:00"/>
    <x v="1"/>
    <s v="MLflow"/>
    <s v=" FastAPI"/>
    <s v=" LangChain"/>
    <x v="8"/>
    <n v="84"/>
    <x v="6"/>
    <n v="259"/>
  </r>
  <r>
    <n v="1406"/>
    <s v="Robertson-Alvarez"/>
    <x v="5"/>
    <x v="4"/>
    <s v="NumPy"/>
    <s v=" Python"/>
    <s v=" SQL"/>
    <m/>
    <m/>
    <n v="91939"/>
    <m/>
    <s v="Entry"/>
    <x v="1"/>
    <s v="Lake Jacquelineside"/>
    <s v=" SD"/>
    <n v="73584"/>
    <n v="110294"/>
    <d v="2024-11-17T00:00:00"/>
    <x v="0"/>
    <s v="LangChain"/>
    <s v=" TensorFlow"/>
    <s v=" Scikit-learn"/>
    <x v="0"/>
    <n v="104"/>
    <x v="4"/>
    <n v="268"/>
  </r>
  <r>
    <n v="1407"/>
    <s v="Gutierrez-Solomon"/>
    <x v="0"/>
    <x v="1"/>
    <s v="Pandas"/>
    <s v=" Azure"/>
    <s v=" Reinforcement Learning"/>
    <s v=" C++"/>
    <s v=" FastAPI"/>
    <n v="124579"/>
    <m/>
    <s v="Senior"/>
    <x v="0"/>
    <s v="West James"/>
    <s v=" FJ"/>
    <n v="110581"/>
    <n v="138577"/>
    <d v="2025-06-23T00:00:00"/>
    <x v="2"/>
    <s v="Scikit-learn"/>
    <s v=" KDB+"/>
    <m/>
    <x v="6"/>
    <n v="78"/>
    <x v="7"/>
    <n v="255"/>
  </r>
  <r>
    <n v="1408"/>
    <s v="Holland PLC"/>
    <x v="4"/>
    <x v="2"/>
    <s v="C++"/>
    <s v=" R"/>
    <s v=" Python"/>
    <s v=" Scikit-learn"/>
    <s v=" Reinforcement Learning"/>
    <n v="104372.5"/>
    <s v=" LangChain"/>
    <s v="Entry"/>
    <x v="3"/>
    <s v="Michealburgh"/>
    <s v=" BW"/>
    <n v="65517"/>
    <n v="143228"/>
    <d v="2025-05-18T00:00:00"/>
    <x v="1"/>
    <s v="FastAPI"/>
    <s v=" LangChain"/>
    <m/>
    <x v="8"/>
    <n v="84"/>
    <x v="1"/>
    <n v="251"/>
  </r>
  <r>
    <n v="1409"/>
    <s v="Gonzalez, Wilson and Barnett"/>
    <x v="6"/>
    <x v="2"/>
    <s v="TensorFlow"/>
    <s v=" Excel"/>
    <s v=" LangChain"/>
    <m/>
    <m/>
    <n v="153856"/>
    <m/>
    <s v="Senior"/>
    <x v="0"/>
    <s v="Rogersstad"/>
    <s v=" SL"/>
    <n v="116334"/>
    <n v="191378"/>
    <d v="2024-09-25T00:00:00"/>
    <x v="2"/>
    <s v="BigQuery"/>
    <m/>
    <m/>
    <x v="19"/>
    <n v="95"/>
    <x v="3"/>
    <n v="238"/>
  </r>
  <r>
    <n v="1410"/>
    <s v="Tran and Sons"/>
    <x v="5"/>
    <x v="3"/>
    <s v="SQL"/>
    <s v=" Flask"/>
    <s v=" C++"/>
    <m/>
    <m/>
    <n v="142097.5"/>
    <m/>
    <s v="Mid"/>
    <x v="1"/>
    <s v="Lake Jonathanhaven"/>
    <s v=" SE"/>
    <n v="104129"/>
    <n v="180066"/>
    <d v="2025-07-29T00:00:00"/>
    <x v="1"/>
    <s v="Scikit-learn"/>
    <s v=" TensorFlow"/>
    <s v=" PyTorch"/>
    <x v="17"/>
    <n v="88"/>
    <x v="7"/>
    <n v="255"/>
  </r>
  <r>
    <n v="1411"/>
    <s v="Pena, Figueroa and Gregory"/>
    <x v="4"/>
    <x v="6"/>
    <s v="Scikit-learn"/>
    <s v=" Python"/>
    <s v=" Excel"/>
    <s v=" C++"/>
    <m/>
    <n v="58720"/>
    <m/>
    <s v="Senior"/>
    <x v="1"/>
    <s v="West Christophermouth"/>
    <s v=" UZ"/>
    <n v="51112"/>
    <n v="66328"/>
    <d v="2024-11-29T00:00:00"/>
    <x v="2"/>
    <s v="KDB+"/>
    <s v=" PyTorch"/>
    <s v=" BigQuery"/>
    <x v="1"/>
    <n v="76"/>
    <x v="0"/>
    <n v="247"/>
  </r>
  <r>
    <n v="1412"/>
    <s v="Perez-Wilkins"/>
    <x v="0"/>
    <x v="5"/>
    <s v="MLflow"/>
    <s v=" C++"/>
    <s v=" Power BI"/>
    <s v=" LangChain"/>
    <m/>
    <n v="112458.5"/>
    <m/>
    <s v="Senior"/>
    <x v="0"/>
    <s v="Lake Alice"/>
    <s v=" TO"/>
    <n v="101917"/>
    <n v="123000"/>
    <d v="2025-01-04T00:00:00"/>
    <x v="2"/>
    <s v="Scikit-learn"/>
    <s v=" KDB+"/>
    <m/>
    <x v="3"/>
    <n v="80"/>
    <x v="7"/>
    <n v="255"/>
  </r>
  <r>
    <n v="1413"/>
    <s v="Morales-Wallace"/>
    <x v="5"/>
    <x v="2"/>
    <s v="SQL"/>
    <s v=" C++"/>
    <s v=" R"/>
    <s v=" Scikit-learn"/>
    <s v=" NumPy"/>
    <n v="104831"/>
    <m/>
    <s v="Senior"/>
    <x v="0"/>
    <s v="Faulknerfort"/>
    <s v=" SL"/>
    <n v="79029"/>
    <n v="130633"/>
    <d v="2024-04-19T00:00:00"/>
    <x v="0"/>
    <s v="Scikit-learn"/>
    <m/>
    <m/>
    <x v="17"/>
    <n v="88"/>
    <x v="7"/>
    <n v="255"/>
  </r>
  <r>
    <n v="1414"/>
    <s v="Steele-Hansen"/>
    <x v="4"/>
    <x v="2"/>
    <s v="Excel"/>
    <s v=" Power BI"/>
    <s v=" Hugging Face"/>
    <s v=" LangChain"/>
    <s v=" MLflow"/>
    <n v="179293.5"/>
    <m/>
    <s v="Mid"/>
    <x v="2"/>
    <s v="North Jaclynview"/>
    <s v=" JM"/>
    <n v="143756"/>
    <n v="214831"/>
    <d v="2025-07-06T00:00:00"/>
    <x v="2"/>
    <s v="KDB+"/>
    <s v=" LangChain"/>
    <s v=" BigQuery"/>
    <x v="2"/>
    <n v="101"/>
    <x v="0"/>
    <n v="247"/>
  </r>
  <r>
    <n v="1415"/>
    <s v="Martin, Love and Gonzalez"/>
    <x v="1"/>
    <x v="5"/>
    <s v="Reinforcement Learning"/>
    <s v=" FastAPI"/>
    <s v=" AWS"/>
    <m/>
    <m/>
    <n v="97126.5"/>
    <m/>
    <s v="Entry"/>
    <x v="3"/>
    <s v="Port Michael"/>
    <s v=" CI"/>
    <n v="85533"/>
    <n v="108720"/>
    <d v="2024-05-06T00:00:00"/>
    <x v="0"/>
    <s v="FastAPI"/>
    <m/>
    <m/>
    <x v="21"/>
    <n v="104"/>
    <x v="1"/>
    <n v="251"/>
  </r>
  <r>
    <n v="1416"/>
    <s v="Wood PLC"/>
    <x v="5"/>
    <x v="4"/>
    <s v="Excel"/>
    <s v=" Power BI"/>
    <s v=" Hugging Face"/>
    <s v=" Flask"/>
    <s v=" NumPy"/>
    <n v="134990.5"/>
    <m/>
    <s v="Entry"/>
    <x v="0"/>
    <s v="South Javierport"/>
    <s v=" GB"/>
    <n v="113696"/>
    <n v="156285"/>
    <d v="2025-06-09T00:00:00"/>
    <x v="0"/>
    <s v="Scikit-learn"/>
    <s v=" BigQuery"/>
    <m/>
    <x v="2"/>
    <n v="101"/>
    <x v="7"/>
    <n v="255"/>
  </r>
  <r>
    <n v="1417"/>
    <s v="Watson and Sons"/>
    <x v="0"/>
    <x v="1"/>
    <s v="R"/>
    <s v=" LangChain"/>
    <s v=" Power BI"/>
    <s v=" C++"/>
    <m/>
    <n v="79245.5"/>
    <m/>
    <s v="Mid"/>
    <x v="1"/>
    <s v="Port Timothyhaven"/>
    <s v=" MR"/>
    <n v="44327"/>
    <n v="114164"/>
    <d v="2025-03-02T00:00:00"/>
    <x v="2"/>
    <s v="KDB+"/>
    <s v=" BigQuery"/>
    <s v=" FastAPI"/>
    <x v="11"/>
    <n v="86"/>
    <x v="0"/>
    <n v="247"/>
  </r>
  <r>
    <n v="1418"/>
    <s v="Martinez, Frye and Murray"/>
    <x v="5"/>
    <x v="0"/>
    <s v="Hugging Face"/>
    <s v=" Excel"/>
    <s v=" Keras"/>
    <s v=" FastAPI"/>
    <s v=" TensorFlow"/>
    <n v="78976"/>
    <s v=" GCP"/>
    <s v="Senior"/>
    <x v="0"/>
    <s v="Zamorafort"/>
    <s v=" BY"/>
    <n v="42174"/>
    <n v="115778"/>
    <d v="2023-12-22T00:00:00"/>
    <x v="2"/>
    <s v="LangChain"/>
    <s v=" KDB+"/>
    <s v=" MLflow"/>
    <x v="9"/>
    <n v="89"/>
    <x v="4"/>
    <n v="268"/>
  </r>
  <r>
    <n v="1419"/>
    <s v="Austin-Garza"/>
    <x v="3"/>
    <x v="5"/>
    <s v="Reinforcement Learning"/>
    <s v=" Pandas"/>
    <s v=" AWS"/>
    <m/>
    <m/>
    <n v="105540.5"/>
    <m/>
    <s v="Entry"/>
    <x v="2"/>
    <s v="Landryburgh"/>
    <s v=" BO"/>
    <n v="83012"/>
    <n v="128069"/>
    <d v="2025-02-27T00:00:00"/>
    <x v="1"/>
    <s v="KDB+"/>
    <m/>
    <m/>
    <x v="21"/>
    <n v="104"/>
    <x v="0"/>
    <n v="247"/>
  </r>
  <r>
    <n v="1420"/>
    <s v="Cook-Francis"/>
    <x v="5"/>
    <x v="4"/>
    <s v="SQL"/>
    <s v=" GCP"/>
    <s v=" Excel"/>
    <s v=" CUDA"/>
    <s v=" R"/>
    <n v="126814"/>
    <m/>
    <s v="Entry"/>
    <x v="3"/>
    <s v="Bridgesberg"/>
    <s v=" AZ"/>
    <n v="94512"/>
    <n v="159116"/>
    <d v="2024-10-06T00:00:00"/>
    <x v="2"/>
    <s v="BigQuery"/>
    <s v=" KDB+"/>
    <m/>
    <x v="17"/>
    <n v="88"/>
    <x v="3"/>
    <n v="238"/>
  </r>
  <r>
    <n v="1421"/>
    <s v="Frank-Graham"/>
    <x v="3"/>
    <x v="3"/>
    <s v="Scikit-learn"/>
    <s v=" Excel"/>
    <s v=" Python"/>
    <s v=" Flask"/>
    <s v=" GCP"/>
    <n v="76478.5"/>
    <s v=" C++"/>
    <s v="Entry"/>
    <x v="1"/>
    <s v="South Derrick"/>
    <s v=" BT"/>
    <n v="56379"/>
    <n v="96578"/>
    <d v="2024-03-08T00:00:00"/>
    <x v="2"/>
    <s v="TensorFlow"/>
    <s v=" KDB+"/>
    <m/>
    <x v="1"/>
    <n v="76"/>
    <x v="2"/>
    <n v="249"/>
  </r>
  <r>
    <n v="1422"/>
    <s v="Miller Inc"/>
    <x v="1"/>
    <x v="6"/>
    <s v="Pandas"/>
    <s v=" GCP"/>
    <s v=" Azure"/>
    <s v=" Reinforcement Learning"/>
    <s v=" TensorFlow"/>
    <n v="98561"/>
    <s v=" MLflow"/>
    <s v="Mid"/>
    <x v="1"/>
    <s v="Alishire"/>
    <s v=" YE"/>
    <n v="67160"/>
    <n v="129962"/>
    <d v="2024-11-16T00:00:00"/>
    <x v="2"/>
    <s v="PyTorch"/>
    <s v=" LangChain"/>
    <s v=" BigQuery"/>
    <x v="6"/>
    <n v="78"/>
    <x v="5"/>
    <n v="233"/>
  </r>
  <r>
    <n v="1423"/>
    <s v="Hughes Group"/>
    <x v="6"/>
    <x v="1"/>
    <s v="CUDA"/>
    <s v=" SQL"/>
    <s v=" C++"/>
    <s v=" PyTorch"/>
    <s v=" Hugging Face"/>
    <n v="61594.5"/>
    <s v=" AWS"/>
    <s v="Senior"/>
    <x v="0"/>
    <s v="Susanville"/>
    <s v=" JO"/>
    <n v="41141"/>
    <n v="82048"/>
    <d v="2025-07-20T00:00:00"/>
    <x v="2"/>
    <s v="LangChain"/>
    <m/>
    <m/>
    <x v="13"/>
    <n v="75"/>
    <x v="4"/>
    <n v="268"/>
  </r>
  <r>
    <n v="1424"/>
    <s v="Wallace LLC"/>
    <x v="5"/>
    <x v="2"/>
    <s v="Hugging Face"/>
    <s v=" Power BI"/>
    <s v=" TensorFlow"/>
    <s v=" C++"/>
    <s v=" Python"/>
    <n v="149752.5"/>
    <s v=" AWS"/>
    <s v="Mid"/>
    <x v="0"/>
    <s v="Williefort"/>
    <s v=" SE"/>
    <n v="119291"/>
    <n v="180214"/>
    <d v="2024-08-16T00:00:00"/>
    <x v="0"/>
    <s v="Scikit-learn"/>
    <s v=" BigQuery"/>
    <m/>
    <x v="9"/>
    <n v="89"/>
    <x v="7"/>
    <n v="255"/>
  </r>
  <r>
    <n v="1425"/>
    <s v="Little, Bishop and Silva"/>
    <x v="5"/>
    <x v="6"/>
    <s v="LangChain"/>
    <s v=" CUDA"/>
    <s v=" FastAPI"/>
    <s v=" Excel"/>
    <s v=" GCP"/>
    <n v="75912"/>
    <s v=" Power BI"/>
    <s v="Senior"/>
    <x v="2"/>
    <s v="Hubbardville"/>
    <s v=" RU"/>
    <n v="68514"/>
    <n v="83310"/>
    <d v="2025-02-25T00:00:00"/>
    <x v="0"/>
    <s v="Scikit-learn"/>
    <m/>
    <m/>
    <x v="12"/>
    <n v="100"/>
    <x v="7"/>
    <n v="255"/>
  </r>
  <r>
    <n v="1426"/>
    <s v="Randall-Lewis"/>
    <x v="3"/>
    <x v="7"/>
    <s v="MLflow"/>
    <s v=" Python"/>
    <s v=" Reinforcement Learning"/>
    <s v=" SQL"/>
    <s v=" Pandas"/>
    <n v="154689"/>
    <s v=" NumPy"/>
    <s v="Entry"/>
    <x v="1"/>
    <s v="Lake Debbie"/>
    <s v=" DZ"/>
    <n v="136136"/>
    <n v="173242"/>
    <d v="2024-11-12T00:00:00"/>
    <x v="0"/>
    <s v="LangChain"/>
    <s v=" FastAPI"/>
    <m/>
    <x v="3"/>
    <n v="80"/>
    <x v="4"/>
    <n v="268"/>
  </r>
  <r>
    <n v="1427"/>
    <s v="Jones PLC"/>
    <x v="1"/>
    <x v="3"/>
    <s v="Scikit-learn"/>
    <s v=" C++"/>
    <s v=" NumPy"/>
    <s v=" FastAPI"/>
    <m/>
    <n v="97891"/>
    <m/>
    <s v="Senior"/>
    <x v="3"/>
    <s v="Lake Melissaburgh"/>
    <s v=" NP"/>
    <n v="84014"/>
    <n v="111768"/>
    <d v="2025-04-27T00:00:00"/>
    <x v="1"/>
    <s v="BigQuery"/>
    <s v=" KDB+"/>
    <m/>
    <x v="1"/>
    <n v="76"/>
    <x v="3"/>
    <n v="238"/>
  </r>
  <r>
    <n v="1428"/>
    <s v="Diaz, Thomas and Hahn"/>
    <x v="6"/>
    <x v="1"/>
    <s v="TensorFlow"/>
    <s v=" C++"/>
    <s v=" Pandas"/>
    <m/>
    <m/>
    <n v="126027"/>
    <m/>
    <s v="Entry"/>
    <x v="0"/>
    <s v="North Cody"/>
    <s v=" QA"/>
    <n v="95419"/>
    <n v="156635"/>
    <d v="2024-02-18T00:00:00"/>
    <x v="2"/>
    <s v="TensorFlow"/>
    <s v=" KDB+"/>
    <m/>
    <x v="19"/>
    <n v="95"/>
    <x v="2"/>
    <n v="249"/>
  </r>
  <r>
    <n v="1429"/>
    <s v="Strickland-Oliver"/>
    <x v="4"/>
    <x v="0"/>
    <s v="TensorFlow"/>
    <s v=" PyTorch"/>
    <s v=" C++"/>
    <m/>
    <m/>
    <n v="188367"/>
    <m/>
    <s v="Entry"/>
    <x v="2"/>
    <s v="Kimberlyland"/>
    <s v=" SN"/>
    <n v="149578"/>
    <n v="227156"/>
    <d v="2025-09-14T00:00:00"/>
    <x v="1"/>
    <s v="LangChain"/>
    <s v=" FastAPI"/>
    <m/>
    <x v="19"/>
    <n v="95"/>
    <x v="4"/>
    <n v="268"/>
  </r>
  <r>
    <n v="1430"/>
    <s v="Bartlett-Long"/>
    <x v="1"/>
    <x v="6"/>
    <s v="Hugging Face"/>
    <s v=" SQL"/>
    <s v=" AWS"/>
    <s v=" Scikit-learn"/>
    <s v=" C++"/>
    <n v="126044"/>
    <s v=" Pandas"/>
    <s v="Mid"/>
    <x v="1"/>
    <s v="New Chrisport"/>
    <s v=" MC"/>
    <n v="76646"/>
    <n v="175442"/>
    <d v="2024-08-28T00:00:00"/>
    <x v="0"/>
    <s v="TensorFlow"/>
    <s v=" FastAPI"/>
    <m/>
    <x v="9"/>
    <n v="89"/>
    <x v="2"/>
    <n v="249"/>
  </r>
  <r>
    <n v="1431"/>
    <s v="Martin, Reeves and Holt"/>
    <x v="2"/>
    <x v="5"/>
    <s v="CUDA"/>
    <s v=" Scikit-learn"/>
    <s v=" R"/>
    <s v=" Azure"/>
    <m/>
    <n v="80684"/>
    <m/>
    <s v="Senior"/>
    <x v="2"/>
    <s v="Carolport"/>
    <s v=" WS"/>
    <n v="59448"/>
    <n v="101920"/>
    <d v="2024-03-08T00:00:00"/>
    <x v="1"/>
    <s v="BigQuery"/>
    <s v=" LangChain"/>
    <m/>
    <x v="13"/>
    <n v="75"/>
    <x v="3"/>
    <n v="238"/>
  </r>
  <r>
    <n v="1432"/>
    <s v="Roth-Caldwell"/>
    <x v="0"/>
    <x v="6"/>
    <s v="LangChain"/>
    <s v=" PyTorch"/>
    <s v=" TensorFlow"/>
    <s v=" GCP"/>
    <m/>
    <n v="60892.5"/>
    <m/>
    <s v="Entry"/>
    <x v="3"/>
    <s v="Brownmouth"/>
    <s v=" SA"/>
    <n v="41904"/>
    <n v="79881"/>
    <d v="2023-12-27T00:00:00"/>
    <x v="2"/>
    <s v="TensorFlow"/>
    <s v=" MLflow"/>
    <s v=" BigQuery"/>
    <x v="12"/>
    <n v="100"/>
    <x v="2"/>
    <n v="249"/>
  </r>
  <r>
    <n v="1433"/>
    <s v="Cherry, Hernandez and Powell"/>
    <x v="5"/>
    <x v="3"/>
    <s v="MLflow"/>
    <s v=" AWS"/>
    <s v=" SQL"/>
    <s v=" Pandas"/>
    <m/>
    <n v="166623"/>
    <m/>
    <s v="Entry"/>
    <x v="2"/>
    <s v="Carrollbury"/>
    <s v=" TG"/>
    <n v="122152"/>
    <n v="211094"/>
    <d v="2024-08-15T00:00:00"/>
    <x v="2"/>
    <s v="LangChain"/>
    <s v=" FastAPI"/>
    <m/>
    <x v="3"/>
    <n v="80"/>
    <x v="4"/>
    <n v="268"/>
  </r>
  <r>
    <n v="1434"/>
    <s v="Ross-Harris"/>
    <x v="3"/>
    <x v="5"/>
    <s v="Python"/>
    <s v=" Flask"/>
    <s v=" Azure"/>
    <s v=" MLflow"/>
    <s v=" Keras"/>
    <n v="153934"/>
    <s v=" Power BI"/>
    <s v="Mid"/>
    <x v="2"/>
    <s v="East Austinchester"/>
    <s v=" GT"/>
    <n v="148075"/>
    <n v="159793"/>
    <d v="2024-05-05T00:00:00"/>
    <x v="1"/>
    <s v="BigQuery"/>
    <s v=" TensorFlow"/>
    <m/>
    <x v="5"/>
    <n v="94"/>
    <x v="3"/>
    <n v="238"/>
  </r>
  <r>
    <n v="1435"/>
    <s v="Riley-Little"/>
    <x v="3"/>
    <x v="6"/>
    <s v="Power BI"/>
    <s v=" Excel"/>
    <s v=" Scikit-learn"/>
    <s v=" Hugging Face"/>
    <s v=" FastAPI"/>
    <n v="155592.5"/>
    <m/>
    <s v="Senior"/>
    <x v="1"/>
    <s v="South Rachel"/>
    <s v=" MU"/>
    <n v="138448"/>
    <n v="172737"/>
    <d v="2024-01-28T00:00:00"/>
    <x v="2"/>
    <s v="LangChain"/>
    <m/>
    <m/>
    <x v="18"/>
    <n v="96"/>
    <x v="4"/>
    <n v="268"/>
  </r>
  <r>
    <n v="1436"/>
    <s v="Bell, Boyer and Thompson"/>
    <x v="1"/>
    <x v="3"/>
    <s v="Python"/>
    <s v=" Keras"/>
    <s v=" Hugging Face"/>
    <s v=" Flask"/>
    <s v=" TensorFlow"/>
    <n v="126096.5"/>
    <m/>
    <s v="Entry"/>
    <x v="0"/>
    <s v="Stevehaven"/>
    <s v=" VC"/>
    <n v="114961"/>
    <n v="137232"/>
    <d v="2023-12-23T00:00:00"/>
    <x v="1"/>
    <s v="MLflow"/>
    <m/>
    <m/>
    <x v="5"/>
    <n v="94"/>
    <x v="6"/>
    <n v="259"/>
  </r>
  <r>
    <n v="1437"/>
    <s v="Carter, Green and Page"/>
    <x v="5"/>
    <x v="2"/>
    <s v="CUDA"/>
    <s v=" TensorFlow"/>
    <s v=" PyTorch"/>
    <s v=" Python"/>
    <s v=" R"/>
    <n v="159045.5"/>
    <s v=" NumPy"/>
    <s v="Entry"/>
    <x v="1"/>
    <s v="Port Breannastad"/>
    <s v=" DJ"/>
    <n v="120680"/>
    <n v="197411"/>
    <d v="2023-12-23T00:00:00"/>
    <x v="2"/>
    <s v="LangChain"/>
    <s v=" TensorFlow"/>
    <s v=" KDB+"/>
    <x v="13"/>
    <n v="75"/>
    <x v="4"/>
    <n v="268"/>
  </r>
  <r>
    <n v="1438"/>
    <s v="Fernandez-Campos"/>
    <x v="5"/>
    <x v="0"/>
    <s v="Python"/>
    <s v=" TensorFlow"/>
    <s v=" Power BI"/>
    <m/>
    <m/>
    <n v="174957.5"/>
    <m/>
    <s v="Entry"/>
    <x v="3"/>
    <s v="Virginiaside"/>
    <s v=" SA"/>
    <n v="130193"/>
    <n v="219722"/>
    <d v="2025-08-19T00:00:00"/>
    <x v="1"/>
    <s v="FastAPI"/>
    <s v=" KDB+"/>
    <s v=" TensorFlow"/>
    <x v="5"/>
    <n v="94"/>
    <x v="1"/>
    <n v="251"/>
  </r>
  <r>
    <n v="1439"/>
    <s v="Smith, Austin and Robinson"/>
    <x v="1"/>
    <x v="0"/>
    <s v="MLflow"/>
    <s v=" Keras"/>
    <s v=" GCP"/>
    <m/>
    <m/>
    <n v="83111"/>
    <m/>
    <s v="Senior"/>
    <x v="3"/>
    <s v="Jenniferland"/>
    <s v=" PS"/>
    <n v="63320"/>
    <n v="102902"/>
    <d v="2025-04-07T00:00:00"/>
    <x v="0"/>
    <s v="Scikit-learn"/>
    <m/>
    <m/>
    <x v="3"/>
    <n v="80"/>
    <x v="7"/>
    <n v="255"/>
  </r>
  <r>
    <n v="1440"/>
    <s v="Graham-Cox"/>
    <x v="4"/>
    <x v="4"/>
    <s v="MLflow"/>
    <s v=" Hugging Face"/>
    <s v=" Scikit-learn"/>
    <s v=" C++"/>
    <m/>
    <n v="189270"/>
    <m/>
    <s v="Mid"/>
    <x v="0"/>
    <s v="Suzanneton"/>
    <s v=" GQ"/>
    <n v="144303"/>
    <n v="234237"/>
    <d v="2025-07-05T00:00:00"/>
    <x v="2"/>
    <s v="TensorFlow"/>
    <m/>
    <m/>
    <x v="3"/>
    <n v="80"/>
    <x v="2"/>
    <n v="249"/>
  </r>
  <r>
    <n v="1441"/>
    <s v="Blake, Chen and Barnes"/>
    <x v="2"/>
    <x v="1"/>
    <s v="Pandas"/>
    <s v=" TensorFlow"/>
    <s v=" Hugging Face"/>
    <m/>
    <m/>
    <n v="158420.5"/>
    <m/>
    <s v="Mid"/>
    <x v="2"/>
    <s v="Davidmouth"/>
    <s v=" AR"/>
    <n v="125644"/>
    <n v="191197"/>
    <d v="2025-04-18T00:00:00"/>
    <x v="2"/>
    <s v="TensorFlow"/>
    <m/>
    <m/>
    <x v="6"/>
    <n v="78"/>
    <x v="2"/>
    <n v="249"/>
  </r>
  <r>
    <n v="1442"/>
    <s v="Wilson-Anderson"/>
    <x v="6"/>
    <x v="1"/>
    <s v="Power BI"/>
    <s v=" NumPy"/>
    <s v=" TensorFlow"/>
    <s v=" Flask"/>
    <s v=" SQL"/>
    <n v="152158.5"/>
    <m/>
    <s v="Senior"/>
    <x v="0"/>
    <s v="South Alexton"/>
    <s v=" IQ"/>
    <n v="124397"/>
    <n v="179920"/>
    <d v="2024-07-25T00:00:00"/>
    <x v="2"/>
    <s v="BigQuery"/>
    <s v=" FastAPI"/>
    <m/>
    <x v="18"/>
    <n v="96"/>
    <x v="3"/>
    <n v="238"/>
  </r>
  <r>
    <n v="1443"/>
    <s v="Allison, Jensen and Wilson"/>
    <x v="2"/>
    <x v="0"/>
    <s v="Hugging Face"/>
    <s v=" Scikit-learn"/>
    <s v=" GCP"/>
    <s v=" TensorFlow"/>
    <s v=" NumPy"/>
    <n v="129942"/>
    <m/>
    <s v="Senior"/>
    <x v="0"/>
    <s v="West Larrybury"/>
    <s v=" GB"/>
    <n v="100967"/>
    <n v="158917"/>
    <d v="2023-10-20T00:00:00"/>
    <x v="2"/>
    <s v="BigQuery"/>
    <m/>
    <m/>
    <x v="9"/>
    <n v="89"/>
    <x v="3"/>
    <n v="238"/>
  </r>
  <r>
    <n v="1444"/>
    <s v="Smith PLC"/>
    <x v="1"/>
    <x v="1"/>
    <s v="Power BI"/>
    <s v=" Hugging Face"/>
    <s v=" Azure"/>
    <s v=" NumPy"/>
    <s v=" SQL"/>
    <n v="127626.5"/>
    <m/>
    <s v="Mid"/>
    <x v="2"/>
    <s v="West Gerald"/>
    <s v=" SV"/>
    <n v="86614"/>
    <n v="168639"/>
    <d v="2025-05-29T00:00:00"/>
    <x v="1"/>
    <s v="BigQuery"/>
    <s v=" PyTorch"/>
    <m/>
    <x v="18"/>
    <n v="96"/>
    <x v="3"/>
    <n v="238"/>
  </r>
  <r>
    <n v="1445"/>
    <s v="Rose-Knight"/>
    <x v="6"/>
    <x v="1"/>
    <s v="MLflow"/>
    <s v=" TensorFlow"/>
    <s v=" Reinforcement Learning"/>
    <m/>
    <m/>
    <n v="104374"/>
    <m/>
    <s v="Entry"/>
    <x v="1"/>
    <s v="Marcustown"/>
    <s v=" TL"/>
    <n v="91509"/>
    <n v="117239"/>
    <d v="2023-11-23T00:00:00"/>
    <x v="0"/>
    <s v="FastAPI"/>
    <m/>
    <m/>
    <x v="3"/>
    <n v="80"/>
    <x v="1"/>
    <n v="251"/>
  </r>
  <r>
    <n v="1446"/>
    <s v="Castro-Carpenter"/>
    <x v="4"/>
    <x v="2"/>
    <s v="Flask"/>
    <s v=" AWS"/>
    <s v=" TensorFlow"/>
    <s v=" NumPy"/>
    <m/>
    <n v="134656"/>
    <m/>
    <s v="Mid"/>
    <x v="1"/>
    <s v="East Jonathanville"/>
    <s v=" CF"/>
    <n v="105140"/>
    <n v="164172"/>
    <d v="2025-01-05T00:00:00"/>
    <x v="0"/>
    <s v="Scikit-learn"/>
    <s v=" KDB+"/>
    <m/>
    <x v="16"/>
    <n v="86"/>
    <x v="7"/>
    <n v="255"/>
  </r>
  <r>
    <n v="1447"/>
    <s v="Wilson PLC"/>
    <x v="6"/>
    <x v="0"/>
    <s v="Scikit-learn"/>
    <s v=" GCP"/>
    <s v=" LangChain"/>
    <s v=" Python"/>
    <s v=" CUDA"/>
    <n v="163349.5"/>
    <s v=" Excel"/>
    <s v="Entry"/>
    <x v="3"/>
    <s v="Lake Patrickmouth"/>
    <s v=" SG"/>
    <n v="117356"/>
    <n v="209343"/>
    <d v="2024-11-24T00:00:00"/>
    <x v="2"/>
    <s v="LangChain"/>
    <m/>
    <m/>
    <x v="1"/>
    <n v="76"/>
    <x v="4"/>
    <n v="268"/>
  </r>
  <r>
    <n v="1448"/>
    <s v="Hodges-Johnson"/>
    <x v="2"/>
    <x v="2"/>
    <s v="Hugging Face"/>
    <s v=" Excel"/>
    <s v=" Scikit-learn"/>
    <s v=" CUDA"/>
    <s v=" SQL"/>
    <n v="162501.5"/>
    <s v=" PyTorch"/>
    <s v="Senior"/>
    <x v="3"/>
    <s v="Robersonport"/>
    <s v=" DO"/>
    <n v="140190"/>
    <n v="184813"/>
    <d v="2025-04-19T00:00:00"/>
    <x v="2"/>
    <s v="BigQuery"/>
    <s v=" LangChain"/>
    <s v=" Scikit-learn"/>
    <x v="9"/>
    <n v="89"/>
    <x v="3"/>
    <n v="238"/>
  </r>
  <r>
    <n v="1449"/>
    <s v="Alvarado PLC"/>
    <x v="3"/>
    <x v="4"/>
    <s v="Pandas"/>
    <s v=" MLflow"/>
    <s v=" Power BI"/>
    <s v=" Python"/>
    <m/>
    <n v="102683.5"/>
    <m/>
    <s v="Senior"/>
    <x v="1"/>
    <s v="Lake William"/>
    <s v=" FI"/>
    <n v="91516"/>
    <n v="113851"/>
    <d v="2024-07-02T00:00:00"/>
    <x v="2"/>
    <s v="LangChain"/>
    <s v=" TensorFlow"/>
    <m/>
    <x v="6"/>
    <n v="78"/>
    <x v="4"/>
    <n v="268"/>
  </r>
  <r>
    <n v="1450"/>
    <s v="Brown, White and Alvarado"/>
    <x v="6"/>
    <x v="3"/>
    <s v="Hugging Face"/>
    <s v=" TensorFlow"/>
    <s v=" C++"/>
    <s v=" Keras"/>
    <s v=" AWS"/>
    <n v="86525"/>
    <m/>
    <s v="Senior"/>
    <x v="0"/>
    <s v="Loweland"/>
    <s v=" CN"/>
    <n v="42598"/>
    <n v="130452"/>
    <d v="2024-03-04T00:00:00"/>
    <x v="2"/>
    <s v="Scikit-learn"/>
    <s v=" BigQuery"/>
    <m/>
    <x v="9"/>
    <n v="89"/>
    <x v="7"/>
    <n v="255"/>
  </r>
  <r>
    <n v="1451"/>
    <s v="Flores-Lee"/>
    <x v="0"/>
    <x v="0"/>
    <s v="C++"/>
    <s v=" Excel"/>
    <s v=" Pandas"/>
    <m/>
    <m/>
    <n v="60149"/>
    <m/>
    <s v="Entry"/>
    <x v="3"/>
    <s v="Catherineshire"/>
    <s v=" BG"/>
    <n v="43782"/>
    <n v="76516"/>
    <d v="2025-02-19T00:00:00"/>
    <x v="2"/>
    <s v="TensorFlow"/>
    <m/>
    <m/>
    <x v="8"/>
    <n v="84"/>
    <x v="2"/>
    <n v="249"/>
  </r>
  <r>
    <n v="1452"/>
    <s v="Sexton, Woods and Allen"/>
    <x v="0"/>
    <x v="3"/>
    <s v="NumPy"/>
    <s v=" Python"/>
    <s v=" PyTorch"/>
    <m/>
    <m/>
    <n v="127196"/>
    <m/>
    <s v="Senior"/>
    <x v="1"/>
    <s v="West Ruth"/>
    <s v=" NZ"/>
    <n v="113253"/>
    <n v="141139"/>
    <d v="2025-01-25T00:00:00"/>
    <x v="1"/>
    <s v="PyTorch"/>
    <m/>
    <m/>
    <x v="0"/>
    <n v="104"/>
    <x v="5"/>
    <n v="233"/>
  </r>
  <r>
    <n v="1453"/>
    <s v="Robinson Ltd"/>
    <x v="0"/>
    <x v="3"/>
    <s v="Reinforcement Learning"/>
    <s v=" TensorFlow"/>
    <s v=" Excel"/>
    <s v=" Azure"/>
    <m/>
    <n v="152413"/>
    <m/>
    <s v="Senior"/>
    <x v="0"/>
    <s v="West Michael"/>
    <s v=" BS"/>
    <n v="103189"/>
    <n v="201637"/>
    <d v="2024-12-21T00:00:00"/>
    <x v="2"/>
    <s v="TensorFlow"/>
    <s v=" LangChain"/>
    <m/>
    <x v="21"/>
    <n v="104"/>
    <x v="2"/>
    <n v="249"/>
  </r>
  <r>
    <n v="1454"/>
    <s v="Williams-Cooper"/>
    <x v="5"/>
    <x v="0"/>
    <s v="Excel"/>
    <s v=" R"/>
    <s v=" FastAPI"/>
    <m/>
    <m/>
    <n v="49431"/>
    <m/>
    <s v="Senior"/>
    <x v="2"/>
    <s v="North Kelly"/>
    <s v=" JO"/>
    <n v="40447"/>
    <n v="58415"/>
    <d v="2024-09-13T00:00:00"/>
    <x v="2"/>
    <s v="Scikit-learn"/>
    <s v=" MLflow"/>
    <m/>
    <x v="2"/>
    <n v="101"/>
    <x v="7"/>
    <n v="255"/>
  </r>
  <r>
    <n v="1455"/>
    <s v="Garcia-Moss"/>
    <x v="0"/>
    <x v="2"/>
    <s v="Excel"/>
    <s v=" R"/>
    <s v=" MLflow"/>
    <s v=" Azure"/>
    <s v=" Flask"/>
    <n v="95187"/>
    <s v=" TensorFlow"/>
    <s v="Senior"/>
    <x v="1"/>
    <s v="North Jay"/>
    <s v=" AG"/>
    <n v="66165"/>
    <n v="124209"/>
    <d v="2025-02-24T00:00:00"/>
    <x v="2"/>
    <s v="PyTorch"/>
    <s v=" TensorFlow"/>
    <s v=" MLflow"/>
    <x v="2"/>
    <n v="101"/>
    <x v="5"/>
    <n v="233"/>
  </r>
  <r>
    <n v="1456"/>
    <s v="Lopez, Kelley and Davis"/>
    <x v="5"/>
    <x v="6"/>
    <s v="LangChain"/>
    <s v=" SQL"/>
    <s v=" Hugging Face"/>
    <s v=" AWS"/>
    <s v=" CUDA"/>
    <n v="64169.5"/>
    <m/>
    <s v="Senior"/>
    <x v="2"/>
    <s v="West Robertfort"/>
    <s v=" NR"/>
    <n v="55662"/>
    <n v="72677"/>
    <d v="2025-01-13T00:00:00"/>
    <x v="2"/>
    <s v="KDB+"/>
    <s v=" FastAPI"/>
    <s v=" PyTorch"/>
    <x v="12"/>
    <n v="100"/>
    <x v="0"/>
    <n v="247"/>
  </r>
  <r>
    <n v="1457"/>
    <s v="Hunter Inc"/>
    <x v="3"/>
    <x v="6"/>
    <s v="Excel"/>
    <s v=" Power BI"/>
    <s v=" Python"/>
    <m/>
    <m/>
    <n v="119942.5"/>
    <m/>
    <s v="Senior"/>
    <x v="0"/>
    <s v="Adamfort"/>
    <s v=" PK"/>
    <n v="82452"/>
    <n v="157433"/>
    <d v="2025-01-07T00:00:00"/>
    <x v="1"/>
    <s v="FastAPI"/>
    <s v=" PyTorch"/>
    <m/>
    <x v="2"/>
    <n v="101"/>
    <x v="1"/>
    <n v="251"/>
  </r>
  <r>
    <n v="1458"/>
    <s v="Bush Inc"/>
    <x v="3"/>
    <x v="7"/>
    <s v="MLflow"/>
    <s v=" Pandas"/>
    <s v=" NumPy"/>
    <s v=" GCP"/>
    <s v=" FastAPI"/>
    <n v="126487.5"/>
    <s v=" LangChain"/>
    <s v="Entry"/>
    <x v="0"/>
    <s v="New Christophermouth"/>
    <s v=" MC"/>
    <n v="89994"/>
    <n v="162981"/>
    <d v="2025-03-09T00:00:00"/>
    <x v="2"/>
    <s v="FastAPI"/>
    <s v=" KDB+"/>
    <s v=" PyTorch"/>
    <x v="3"/>
    <n v="80"/>
    <x v="1"/>
    <n v="251"/>
  </r>
  <r>
    <n v="1459"/>
    <s v="Martin, Joseph and Baldwin"/>
    <x v="6"/>
    <x v="6"/>
    <s v="GCP"/>
    <s v=" Flask"/>
    <s v=" TensorFlow"/>
    <s v=" MLflow"/>
    <m/>
    <n v="119855"/>
    <m/>
    <s v="Entry"/>
    <x v="0"/>
    <s v="North Jamiestad"/>
    <s v=" CA"/>
    <n v="88502"/>
    <n v="151208"/>
    <d v="2025-08-13T00:00:00"/>
    <x v="0"/>
    <s v="BigQuery"/>
    <s v=" PyTorch"/>
    <m/>
    <x v="4"/>
    <n v="78"/>
    <x v="3"/>
    <n v="238"/>
  </r>
  <r>
    <n v="1460"/>
    <s v="Kelly and Sons"/>
    <x v="6"/>
    <x v="6"/>
    <s v="Reinforcement Learning"/>
    <s v=" MLflow"/>
    <s v=" Hugging Face"/>
    <s v=" C++"/>
    <s v=" Azure"/>
    <n v="149631"/>
    <m/>
    <s v="Senior"/>
    <x v="3"/>
    <s v="Taylorchester"/>
    <s v=" VE"/>
    <n v="104608"/>
    <n v="194654"/>
    <d v="2023-11-12T00:00:00"/>
    <x v="2"/>
    <s v="MLflow"/>
    <m/>
    <m/>
    <x v="21"/>
    <n v="104"/>
    <x v="6"/>
    <n v="259"/>
  </r>
  <r>
    <n v="1461"/>
    <s v="Wheeler LLC"/>
    <x v="2"/>
    <x v="1"/>
    <s v="Hugging Face"/>
    <s v=" TensorFlow"/>
    <s v=" MLflow"/>
    <m/>
    <m/>
    <n v="98310"/>
    <m/>
    <s v="Senior"/>
    <x v="3"/>
    <s v="Wellsport"/>
    <s v=" SL"/>
    <n v="59714"/>
    <n v="136906"/>
    <d v="2024-02-16T00:00:00"/>
    <x v="2"/>
    <s v="PyTorch"/>
    <s v=" KDB+"/>
    <s v=" TensorFlow"/>
    <x v="9"/>
    <n v="89"/>
    <x v="5"/>
    <n v="233"/>
  </r>
  <r>
    <n v="1462"/>
    <s v="Moore, Smith and Obrien"/>
    <x v="3"/>
    <x v="4"/>
    <s v="FastAPI"/>
    <s v=" Scikit-learn"/>
    <s v=" MLflow"/>
    <m/>
    <m/>
    <n v="174499"/>
    <m/>
    <s v="Mid"/>
    <x v="2"/>
    <s v="West Chad"/>
    <s v=" GY"/>
    <n v="129435"/>
    <n v="219563"/>
    <d v="2025-01-18T00:00:00"/>
    <x v="2"/>
    <s v="BigQuery"/>
    <m/>
    <m/>
    <x v="20"/>
    <n v="111"/>
    <x v="3"/>
    <n v="238"/>
  </r>
  <r>
    <n v="1463"/>
    <s v="Perez, Rangel and Pugh"/>
    <x v="3"/>
    <x v="2"/>
    <s v="MLflow"/>
    <s v=" CUDA"/>
    <s v=" GCP"/>
    <s v=" Pandas"/>
    <s v=" Power BI"/>
    <n v="107404"/>
    <m/>
    <s v="Mid"/>
    <x v="3"/>
    <s v="Jeremyshire"/>
    <s v=" CI"/>
    <n v="98022"/>
    <n v="116786"/>
    <d v="2024-05-30T00:00:00"/>
    <x v="1"/>
    <s v="KDB+"/>
    <s v=" Scikit-learn"/>
    <s v=" MLflow"/>
    <x v="3"/>
    <n v="80"/>
    <x v="0"/>
    <n v="247"/>
  </r>
  <r>
    <n v="1464"/>
    <s v="Martinez-Williams"/>
    <x v="3"/>
    <x v="0"/>
    <s v="Python"/>
    <s v=" Azure"/>
    <s v=" CUDA"/>
    <s v=" NumPy"/>
    <s v=" Power BI"/>
    <n v="87857"/>
    <m/>
    <s v="Senior"/>
    <x v="2"/>
    <s v="Christopherfort"/>
    <s v=" BJ"/>
    <n v="74164"/>
    <n v="101550"/>
    <d v="2024-10-24T00:00:00"/>
    <x v="0"/>
    <s v="FastAPI"/>
    <s v=" KDB+"/>
    <m/>
    <x v="5"/>
    <n v="94"/>
    <x v="1"/>
    <n v="251"/>
  </r>
  <r>
    <n v="1465"/>
    <s v="Klein-Williams"/>
    <x v="4"/>
    <x v="6"/>
    <s v="Pandas"/>
    <s v=" MLflow"/>
    <s v=" C++"/>
    <s v=" Reinforcement Learning"/>
    <s v=" SQL"/>
    <n v="157099"/>
    <s v=" Python"/>
    <s v="Mid"/>
    <x v="1"/>
    <s v="Amberchester"/>
    <s v=" AU"/>
    <n v="125699"/>
    <n v="188499"/>
    <d v="2024-05-14T00:00:00"/>
    <x v="2"/>
    <s v="LangChain"/>
    <s v=" MLflow"/>
    <m/>
    <x v="6"/>
    <n v="78"/>
    <x v="4"/>
    <n v="268"/>
  </r>
  <r>
    <n v="1466"/>
    <s v="Vazquez and Sons"/>
    <x v="0"/>
    <x v="7"/>
    <s v="GCP"/>
    <s v=" C++"/>
    <s v=" FastAPI"/>
    <m/>
    <m/>
    <n v="104712.5"/>
    <m/>
    <s v="Senior"/>
    <x v="2"/>
    <s v="Porterland"/>
    <s v=" UZ"/>
    <n v="81948"/>
    <n v="127477"/>
    <d v="2025-03-09T00:00:00"/>
    <x v="0"/>
    <s v="TensorFlow"/>
    <m/>
    <m/>
    <x v="4"/>
    <n v="78"/>
    <x v="2"/>
    <n v="249"/>
  </r>
  <r>
    <n v="1467"/>
    <s v="Calderon, Kelly and Velasquez"/>
    <x v="1"/>
    <x v="3"/>
    <s v="NumPy"/>
    <s v=" Python"/>
    <s v=" SQL"/>
    <s v=" CUDA"/>
    <s v=" Hugging Face"/>
    <n v="126862"/>
    <m/>
    <s v="Entry"/>
    <x v="1"/>
    <s v="West Drew"/>
    <s v=" MU"/>
    <n v="86924"/>
    <n v="166800"/>
    <d v="2024-10-14T00:00:00"/>
    <x v="1"/>
    <s v="FastAPI"/>
    <s v=" BigQuery"/>
    <m/>
    <x v="0"/>
    <n v="104"/>
    <x v="1"/>
    <n v="251"/>
  </r>
  <r>
    <n v="1468"/>
    <s v="Johnson-Rivas"/>
    <x v="6"/>
    <x v="7"/>
    <s v="GCP"/>
    <s v=" TensorFlow"/>
    <s v=" Hugging Face"/>
    <m/>
    <m/>
    <n v="148045"/>
    <m/>
    <s v="Senior"/>
    <x v="2"/>
    <s v="North Lauren"/>
    <s v=" LU"/>
    <n v="139991"/>
    <n v="156099"/>
    <d v="2024-09-12T00:00:00"/>
    <x v="2"/>
    <s v="LangChain"/>
    <s v=" TensorFlow"/>
    <s v=" BigQuery"/>
    <x v="4"/>
    <n v="78"/>
    <x v="4"/>
    <n v="268"/>
  </r>
  <r>
    <n v="1469"/>
    <s v="Lee, Huerta and Mcclain"/>
    <x v="1"/>
    <x v="7"/>
    <s v="Excel"/>
    <s v=" LangChain"/>
    <s v=" AWS"/>
    <s v=" CUDA"/>
    <s v=" Hugging Face"/>
    <n v="140119"/>
    <s v=" Power BI"/>
    <s v="Entry"/>
    <x v="0"/>
    <s v="New Benjamin"/>
    <s v=" NO"/>
    <n v="121461"/>
    <n v="158777"/>
    <d v="2024-02-12T00:00:00"/>
    <x v="1"/>
    <s v="Scikit-learn"/>
    <s v=" MLflow"/>
    <m/>
    <x v="2"/>
    <n v="101"/>
    <x v="7"/>
    <n v="255"/>
  </r>
  <r>
    <n v="1470"/>
    <s v="Wilson LLC"/>
    <x v="6"/>
    <x v="0"/>
    <s v="Power BI"/>
    <s v=" GCP"/>
    <s v=" NumPy"/>
    <m/>
    <m/>
    <n v="76397.5"/>
    <m/>
    <s v="Senior"/>
    <x v="0"/>
    <s v="Stacyview"/>
    <s v=" AO"/>
    <n v="41311"/>
    <n v="111484"/>
    <d v="2024-10-31T00:00:00"/>
    <x v="1"/>
    <s v="LangChain"/>
    <s v=" MLflow"/>
    <m/>
    <x v="18"/>
    <n v="96"/>
    <x v="4"/>
    <n v="268"/>
  </r>
  <r>
    <n v="1471"/>
    <s v="Beck-Miller"/>
    <x v="6"/>
    <x v="1"/>
    <s v="Reinforcement Learning"/>
    <s v=" Keras"/>
    <s v=" TensorFlow"/>
    <s v=" Python"/>
    <s v=" LangChain"/>
    <n v="50505"/>
    <m/>
    <s v="Senior"/>
    <x v="3"/>
    <s v="Bushport"/>
    <s v=" SC"/>
    <n v="42488"/>
    <n v="58522"/>
    <d v="2024-08-08T00:00:00"/>
    <x v="2"/>
    <s v="Scikit-learn"/>
    <s v=" MLflow"/>
    <s v=" LangChain"/>
    <x v="21"/>
    <n v="104"/>
    <x v="7"/>
    <n v="255"/>
  </r>
  <r>
    <n v="1472"/>
    <s v="Dominguez LLC"/>
    <x v="3"/>
    <x v="0"/>
    <s v="Reinforcement Learning"/>
    <s v=" Keras"/>
    <s v=" MLflow"/>
    <s v=" PyTorch"/>
    <s v=" Pandas"/>
    <n v="122831"/>
    <m/>
    <s v="Entry"/>
    <x v="3"/>
    <s v="New Austin"/>
    <s v=" CN"/>
    <n v="74011"/>
    <n v="171651"/>
    <d v="2024-09-11T00:00:00"/>
    <x v="1"/>
    <s v="TensorFlow"/>
    <m/>
    <m/>
    <x v="21"/>
    <n v="104"/>
    <x v="2"/>
    <n v="249"/>
  </r>
  <r>
    <n v="1473"/>
    <s v="Ruiz-Smith"/>
    <x v="4"/>
    <x v="7"/>
    <s v="Pandas"/>
    <s v=" MLflow"/>
    <s v=" LangChain"/>
    <s v=" Hugging Face"/>
    <s v=" TensorFlow"/>
    <n v="140329.5"/>
    <s v=" PyTorch"/>
    <s v="Senior"/>
    <x v="0"/>
    <s v="Jennifershire"/>
    <s v=" ES"/>
    <n v="91345"/>
    <n v="189314"/>
    <d v="2025-06-20T00:00:00"/>
    <x v="1"/>
    <s v="FastAPI"/>
    <m/>
    <m/>
    <x v="6"/>
    <n v="78"/>
    <x v="1"/>
    <n v="251"/>
  </r>
  <r>
    <n v="1474"/>
    <s v="Johnson LLC"/>
    <x v="0"/>
    <x v="3"/>
    <s v="Hugging Face"/>
    <s v=" Excel"/>
    <s v=" TensorFlow"/>
    <s v=" R"/>
    <s v=" Keras"/>
    <n v="144006"/>
    <m/>
    <s v="Mid"/>
    <x v="2"/>
    <s v="West Samanthamouth"/>
    <s v=" VU"/>
    <n v="114617"/>
    <n v="173395"/>
    <d v="2024-09-11T00:00:00"/>
    <x v="0"/>
    <s v="PyTorch"/>
    <m/>
    <m/>
    <x v="9"/>
    <n v="89"/>
    <x v="5"/>
    <n v="233"/>
  </r>
  <r>
    <n v="1475"/>
    <s v="Gonzalez, Smith and Rice"/>
    <x v="2"/>
    <x v="5"/>
    <s v="Flask"/>
    <s v=" PyTorch"/>
    <s v=" LangChain"/>
    <s v=" Pandas"/>
    <s v=" Azure"/>
    <n v="57806.5"/>
    <s v=" FastAPI"/>
    <s v="Senior"/>
    <x v="2"/>
    <s v="Port Robert"/>
    <s v=" CG"/>
    <n v="52660"/>
    <n v="62953"/>
    <d v="2025-02-05T00:00:00"/>
    <x v="1"/>
    <s v="TensorFlow"/>
    <s v=" PyTorch"/>
    <m/>
    <x v="16"/>
    <n v="86"/>
    <x v="2"/>
    <n v="249"/>
  </r>
  <r>
    <n v="1476"/>
    <s v="Trevino, Adams and Carroll"/>
    <x v="5"/>
    <x v="1"/>
    <s v="GCP"/>
    <s v=" Power BI"/>
    <s v=" AWS"/>
    <s v=" LangChain"/>
    <m/>
    <n v="106872"/>
    <m/>
    <s v="Mid"/>
    <x v="1"/>
    <s v="East Jocelynfort"/>
    <s v=" HN"/>
    <n v="78844"/>
    <n v="134900"/>
    <d v="2024-08-04T00:00:00"/>
    <x v="2"/>
    <s v="FastAPI"/>
    <s v=" Scikit-learn"/>
    <m/>
    <x v="4"/>
    <n v="78"/>
    <x v="1"/>
    <n v="251"/>
  </r>
  <r>
    <n v="1477"/>
    <s v="Ellis, Jones and Grant"/>
    <x v="3"/>
    <x v="6"/>
    <s v="Python"/>
    <s v=" Pandas"/>
    <s v=" C++"/>
    <m/>
    <m/>
    <n v="129042.5"/>
    <m/>
    <s v="Entry"/>
    <x v="0"/>
    <s v="Johnbury"/>
    <s v=" TR"/>
    <n v="95991"/>
    <n v="162094"/>
    <d v="2025-01-31T00:00:00"/>
    <x v="0"/>
    <s v="FastAPI"/>
    <s v=" BigQuery"/>
    <s v=" PyTorch"/>
    <x v="5"/>
    <n v="94"/>
    <x v="1"/>
    <n v="251"/>
  </r>
  <r>
    <n v="1478"/>
    <s v="Griffin and Sons"/>
    <x v="2"/>
    <x v="1"/>
    <s v="R"/>
    <s v=" NumPy"/>
    <s v=" PyTorch"/>
    <s v=" Pandas"/>
    <m/>
    <n v="162714"/>
    <m/>
    <s v="Senior"/>
    <x v="2"/>
    <s v="Ronaldbury"/>
    <s v=" LA"/>
    <n v="119616"/>
    <n v="205812"/>
    <d v="2024-02-15T00:00:00"/>
    <x v="0"/>
    <s v="PyTorch"/>
    <m/>
    <m/>
    <x v="11"/>
    <n v="86"/>
    <x v="5"/>
    <n v="233"/>
  </r>
  <r>
    <n v="1479"/>
    <s v="Crawford Ltd"/>
    <x v="1"/>
    <x v="4"/>
    <s v="R"/>
    <s v=" Pandas"/>
    <s v=" CUDA"/>
    <m/>
    <m/>
    <n v="77089"/>
    <m/>
    <s v="Entry"/>
    <x v="2"/>
    <s v="Ericfurt"/>
    <s v=" NO"/>
    <n v="68863"/>
    <n v="85315"/>
    <d v="2025-03-18T00:00:00"/>
    <x v="2"/>
    <s v="FastAPI"/>
    <m/>
    <m/>
    <x v="11"/>
    <n v="86"/>
    <x v="1"/>
    <n v="251"/>
  </r>
  <r>
    <n v="1480"/>
    <s v="Bell, Ruiz and Hull"/>
    <x v="3"/>
    <x v="5"/>
    <s v="MLflow"/>
    <s v=" FastAPI"/>
    <s v=" GCP"/>
    <m/>
    <m/>
    <n v="92240.5"/>
    <m/>
    <s v="Entry"/>
    <x v="2"/>
    <s v="Michaeltown"/>
    <s v=" PW"/>
    <n v="47522"/>
    <n v="136959"/>
    <d v="2023-09-24T00:00:00"/>
    <x v="0"/>
    <s v="TensorFlow"/>
    <s v=" FastAPI"/>
    <s v=" BigQuery"/>
    <x v="3"/>
    <n v="80"/>
    <x v="2"/>
    <n v="249"/>
  </r>
  <r>
    <n v="1481"/>
    <s v="Wilkerson LLC"/>
    <x v="1"/>
    <x v="6"/>
    <s v="NumPy"/>
    <s v=" Flask"/>
    <s v=" Pandas"/>
    <m/>
    <m/>
    <n v="108868.5"/>
    <m/>
    <s v="Mid"/>
    <x v="1"/>
    <s v="Jenniferbury"/>
    <s v=" DJ"/>
    <n v="72658"/>
    <n v="145079"/>
    <d v="2023-10-19T00:00:00"/>
    <x v="2"/>
    <s v="KDB+"/>
    <m/>
    <m/>
    <x v="0"/>
    <n v="104"/>
    <x v="0"/>
    <n v="247"/>
  </r>
  <r>
    <n v="1482"/>
    <s v="Davis-Owen"/>
    <x v="2"/>
    <x v="6"/>
    <s v="Hugging Face"/>
    <s v=" MLflow"/>
    <s v=" Python"/>
    <s v=" Reinforcement Learning"/>
    <m/>
    <n v="120858"/>
    <m/>
    <s v="Mid"/>
    <x v="3"/>
    <s v="Nicholaston"/>
    <s v=" MN"/>
    <n v="72872"/>
    <n v="168844"/>
    <d v="2024-11-16T00:00:00"/>
    <x v="2"/>
    <s v="BigQuery"/>
    <s v=" TensorFlow"/>
    <m/>
    <x v="9"/>
    <n v="89"/>
    <x v="3"/>
    <n v="238"/>
  </r>
  <r>
    <n v="1483"/>
    <s v="Fry Inc"/>
    <x v="4"/>
    <x v="0"/>
    <s v="Power BI"/>
    <s v=" CUDA"/>
    <s v=" Excel"/>
    <m/>
    <m/>
    <n v="82880"/>
    <m/>
    <s v="Senior"/>
    <x v="2"/>
    <s v="North Melanie"/>
    <s v=" SG"/>
    <n v="49176"/>
    <n v="116584"/>
    <d v="2025-07-19T00:00:00"/>
    <x v="2"/>
    <s v="BigQuery"/>
    <s v=" MLflow"/>
    <m/>
    <x v="18"/>
    <n v="96"/>
    <x v="3"/>
    <n v="238"/>
  </r>
  <r>
    <n v="1484"/>
    <s v="Myers PLC"/>
    <x v="2"/>
    <x v="6"/>
    <s v="Power BI"/>
    <s v=" TensorFlow"/>
    <s v=" NumPy"/>
    <s v=" MLflow"/>
    <m/>
    <n v="59185"/>
    <m/>
    <s v="Mid"/>
    <x v="3"/>
    <s v="West Denise"/>
    <s v=" SZ"/>
    <n v="40845"/>
    <n v="77525"/>
    <d v="2025-02-17T00:00:00"/>
    <x v="2"/>
    <s v="FastAPI"/>
    <m/>
    <m/>
    <x v="18"/>
    <n v="96"/>
    <x v="1"/>
    <n v="251"/>
  </r>
  <r>
    <n v="1485"/>
    <s v="Rosales Ltd"/>
    <x v="3"/>
    <x v="4"/>
    <s v="PyTorch"/>
    <s v=" GCP"/>
    <s v=" Reinforcement Learning"/>
    <s v=" TensorFlow"/>
    <s v=" FastAPI"/>
    <n v="124710.5"/>
    <m/>
    <s v="Mid"/>
    <x v="3"/>
    <s v="Mitchellview"/>
    <s v=" CO"/>
    <n v="105204"/>
    <n v="144217"/>
    <d v="2023-10-29T00:00:00"/>
    <x v="1"/>
    <s v="KDB+"/>
    <s v=" Scikit-learn"/>
    <s v=" PyTorch"/>
    <x v="14"/>
    <n v="92"/>
    <x v="0"/>
    <n v="247"/>
  </r>
  <r>
    <n v="1486"/>
    <s v="Wilkerson, Chase and Rivera"/>
    <x v="1"/>
    <x v="5"/>
    <s v="AWS"/>
    <s v=" R"/>
    <s v=" FastAPI"/>
    <s v=" Python"/>
    <s v=" MLflow"/>
    <n v="153008"/>
    <m/>
    <s v="Mid"/>
    <x v="3"/>
    <s v="Torresport"/>
    <s v=" IL"/>
    <n v="108521"/>
    <n v="197495"/>
    <d v="2023-11-19T00:00:00"/>
    <x v="1"/>
    <s v="TensorFlow"/>
    <m/>
    <m/>
    <x v="10"/>
    <n v="97"/>
    <x v="2"/>
    <n v="249"/>
  </r>
  <r>
    <n v="1487"/>
    <s v="Clark Ltd"/>
    <x v="0"/>
    <x v="2"/>
    <s v="R"/>
    <s v=" GCP"/>
    <s v=" Power BI"/>
    <s v=" Python"/>
    <s v=" Pandas"/>
    <n v="93042"/>
    <m/>
    <s v="Mid"/>
    <x v="1"/>
    <s v="North Cassandraville"/>
    <s v=" SI"/>
    <n v="43865"/>
    <n v="142219"/>
    <d v="2025-09-10T00:00:00"/>
    <x v="2"/>
    <s v="LangChain"/>
    <s v=" MLflow"/>
    <s v=" TensorFlow"/>
    <x v="11"/>
    <n v="86"/>
    <x v="4"/>
    <n v="268"/>
  </r>
  <r>
    <n v="1488"/>
    <s v="Holt-Wells"/>
    <x v="5"/>
    <x v="1"/>
    <s v="Reinforcement Learning"/>
    <s v=" C++"/>
    <s v=" Pandas"/>
    <s v=" Keras"/>
    <s v=" NumPy"/>
    <n v="177868.5"/>
    <m/>
    <s v="Senior"/>
    <x v="2"/>
    <s v="Bryanshire"/>
    <s v=" JM"/>
    <n v="133579"/>
    <n v="222158"/>
    <d v="2024-12-12T00:00:00"/>
    <x v="2"/>
    <s v="MLflow"/>
    <s v=" Scikit-learn"/>
    <m/>
    <x v="21"/>
    <n v="104"/>
    <x v="6"/>
    <n v="259"/>
  </r>
  <r>
    <n v="1489"/>
    <s v="Larson Ltd"/>
    <x v="1"/>
    <x v="3"/>
    <s v="FastAPI"/>
    <s v=" Keras"/>
    <s v=" C++"/>
    <s v=" LangChain"/>
    <s v=" SQL"/>
    <n v="59861.5"/>
    <s v=" AWS"/>
    <s v="Mid"/>
    <x v="0"/>
    <s v="Carterton"/>
    <s v=" BN"/>
    <n v="46712"/>
    <n v="73011"/>
    <d v="2024-07-27T00:00:00"/>
    <x v="1"/>
    <s v="PyTorch"/>
    <s v=" LangChain"/>
    <m/>
    <x v="20"/>
    <n v="111"/>
    <x v="5"/>
    <n v="233"/>
  </r>
  <r>
    <n v="1490"/>
    <s v="Ray-Edwards"/>
    <x v="5"/>
    <x v="7"/>
    <s v="Python"/>
    <s v=" Hugging Face"/>
    <s v=" Flask"/>
    <s v=" Excel"/>
    <m/>
    <n v="125840.5"/>
    <m/>
    <s v="Entry"/>
    <x v="0"/>
    <s v="Port Krista"/>
    <s v=" BZ"/>
    <n v="84284"/>
    <n v="167397"/>
    <d v="2023-11-08T00:00:00"/>
    <x v="1"/>
    <s v="MLflow"/>
    <s v=" LangChain"/>
    <s v=" FastAPI"/>
    <x v="5"/>
    <n v="94"/>
    <x v="6"/>
    <n v="259"/>
  </r>
  <r>
    <n v="1491"/>
    <s v="Roth, Johnson and Cummings"/>
    <x v="0"/>
    <x v="6"/>
    <s v="Pandas"/>
    <s v=" Python"/>
    <s v=" C++"/>
    <m/>
    <m/>
    <n v="166738"/>
    <m/>
    <s v="Senior"/>
    <x v="0"/>
    <s v="Brianfurt"/>
    <s v=" RO"/>
    <n v="135833"/>
    <n v="197643"/>
    <d v="2025-02-12T00:00:00"/>
    <x v="0"/>
    <s v="FastAPI"/>
    <s v=" MLflow"/>
    <s v=" LangChain"/>
    <x v="6"/>
    <n v="78"/>
    <x v="1"/>
    <n v="251"/>
  </r>
  <r>
    <n v="1492"/>
    <s v="Powell-Parker"/>
    <x v="5"/>
    <x v="1"/>
    <s v="MLflow"/>
    <s v=" Scikit-learn"/>
    <s v=" TensorFlow"/>
    <s v=" Azure"/>
    <s v=" SQL"/>
    <n v="148387"/>
    <s v=" R"/>
    <s v="Entry"/>
    <x v="0"/>
    <s v="West Jeffreyburgh"/>
    <s v=" CR"/>
    <n v="141467"/>
    <n v="155307"/>
    <d v="2024-11-03T00:00:00"/>
    <x v="2"/>
    <s v="BigQuery"/>
    <m/>
    <m/>
    <x v="3"/>
    <n v="80"/>
    <x v="3"/>
    <n v="238"/>
  </r>
  <r>
    <n v="1493"/>
    <s v="Montoya Inc"/>
    <x v="2"/>
    <x v="1"/>
    <s v="Azure"/>
    <s v=" R"/>
    <s v=" Pandas"/>
    <s v=" MLflow"/>
    <s v=" TensorFlow"/>
    <n v="163336.5"/>
    <s v=" Keras"/>
    <s v="Mid"/>
    <x v="3"/>
    <s v="Simmonsfurt"/>
    <s v=" GT"/>
    <n v="123819"/>
    <n v="202854"/>
    <d v="2024-09-28T00:00:00"/>
    <x v="1"/>
    <s v="LangChain"/>
    <s v=" TensorFlow"/>
    <m/>
    <x v="15"/>
    <n v="90"/>
    <x v="4"/>
    <n v="268"/>
  </r>
  <r>
    <n v="1494"/>
    <s v="Allen, Hernandez and Salazar"/>
    <x v="2"/>
    <x v="0"/>
    <s v="Reinforcement Learning"/>
    <s v=" Power BI"/>
    <s v=" C++"/>
    <s v=" AWS"/>
    <m/>
    <n v="117160.5"/>
    <m/>
    <s v="Entry"/>
    <x v="0"/>
    <s v="East Anthony"/>
    <s v=" HU"/>
    <n v="98582"/>
    <n v="135739"/>
    <d v="2025-07-05T00:00:00"/>
    <x v="0"/>
    <s v="TensorFlow"/>
    <m/>
    <m/>
    <x v="21"/>
    <n v="104"/>
    <x v="2"/>
    <n v="249"/>
  </r>
  <r>
    <n v="1495"/>
    <s v="Miller-Salazar"/>
    <x v="0"/>
    <x v="7"/>
    <s v="Excel"/>
    <s v=" TensorFlow"/>
    <s v=" Hugging Face"/>
    <s v=" MLflow"/>
    <s v=" SQL"/>
    <n v="117816.5"/>
    <m/>
    <s v="Entry"/>
    <x v="0"/>
    <s v="Mccoyfort"/>
    <s v=" BB"/>
    <n v="92626"/>
    <n v="143007"/>
    <d v="2023-11-13T00:00:00"/>
    <x v="1"/>
    <s v="FastAPI"/>
    <s v=" TensorFlow"/>
    <s v=" BigQuery"/>
    <x v="2"/>
    <n v="101"/>
    <x v="1"/>
    <n v="251"/>
  </r>
  <r>
    <n v="1496"/>
    <s v="Klein, Brown and Wallace"/>
    <x v="0"/>
    <x v="2"/>
    <s v="Hugging Face"/>
    <s v=" LangChain"/>
    <s v=" Azure"/>
    <s v=" AWS"/>
    <s v=" SQL"/>
    <n v="151860"/>
    <m/>
    <s v="Senior"/>
    <x v="2"/>
    <s v="Markside"/>
    <s v=" UY"/>
    <n v="108432"/>
    <n v="195288"/>
    <d v="2024-09-09T00:00:00"/>
    <x v="0"/>
    <s v="FastAPI"/>
    <s v=" PyTorch"/>
    <s v=" KDB+"/>
    <x v="9"/>
    <n v="89"/>
    <x v="1"/>
    <n v="251"/>
  </r>
  <r>
    <n v="1497"/>
    <s v="Kim, Farrell and Tucker"/>
    <x v="4"/>
    <x v="2"/>
    <s v="C++"/>
    <s v=" Scikit-learn"/>
    <s v=" FastAPI"/>
    <m/>
    <m/>
    <n v="163237"/>
    <m/>
    <s v="Entry"/>
    <x v="3"/>
    <s v="New Julie"/>
    <s v=" KZ"/>
    <n v="121907"/>
    <n v="204567"/>
    <d v="2024-07-04T00:00:00"/>
    <x v="0"/>
    <s v="TensorFlow"/>
    <m/>
    <m/>
    <x v="8"/>
    <n v="84"/>
    <x v="2"/>
    <n v="249"/>
  </r>
  <r>
    <n v="1498"/>
    <s v="Mckee-Brown"/>
    <x v="2"/>
    <x v="6"/>
    <s v="FastAPI"/>
    <s v=" Reinforcement Learning"/>
    <s v=" PyTorch"/>
    <s v=" C++"/>
    <s v=" Keras"/>
    <n v="116849"/>
    <m/>
    <s v="Entry"/>
    <x v="2"/>
    <s v="Zacharyside"/>
    <s v=" HR"/>
    <n v="85589"/>
    <n v="148109"/>
    <d v="2024-12-23T00:00:00"/>
    <x v="1"/>
    <s v="FastAPI"/>
    <m/>
    <m/>
    <x v="20"/>
    <n v="111"/>
    <x v="1"/>
    <n v="251"/>
  </r>
  <r>
    <n v="1499"/>
    <s v="Campbell, Winters and Glover"/>
    <x v="1"/>
    <x v="6"/>
    <s v="CUDA"/>
    <s v=" Pandas"/>
    <s v=" AWS"/>
    <s v=" LangChain"/>
    <m/>
    <n v="189411"/>
    <m/>
    <s v="Senior"/>
    <x v="2"/>
    <s v="Haroldside"/>
    <s v=" SN"/>
    <n v="139437"/>
    <n v="239385"/>
    <d v="2025-06-07T00:00:00"/>
    <x v="0"/>
    <s v="TensorFlow"/>
    <s v=" KDB+"/>
    <m/>
    <x v="13"/>
    <n v="75"/>
    <x v="2"/>
    <n v="249"/>
  </r>
  <r>
    <n v="1500"/>
    <s v="Hart LLC"/>
    <x v="4"/>
    <x v="4"/>
    <s v="LangChain"/>
    <s v=" AWS"/>
    <s v=" MLflow"/>
    <s v=" SQL"/>
    <s v=" Hugging Face"/>
    <n v="109493"/>
    <s v=" Power BI"/>
    <s v="Senior"/>
    <x v="1"/>
    <s v="Lake Grace"/>
    <s v=" ID"/>
    <n v="90279"/>
    <n v="128707"/>
    <d v="2024-02-22T00:00:00"/>
    <x v="2"/>
    <s v="Scikit-learn"/>
    <m/>
    <m/>
    <x v="12"/>
    <n v="100"/>
    <x v="7"/>
    <n v="255"/>
  </r>
  <r>
    <n v="1501"/>
    <s v="Burns-Guzman"/>
    <x v="1"/>
    <x v="4"/>
    <s v="Flask"/>
    <s v=" LangChain"/>
    <s v=" C++"/>
    <m/>
    <m/>
    <n v="88723"/>
    <m/>
    <s v="Entry"/>
    <x v="1"/>
    <s v="South Stacymouth"/>
    <s v=" KP"/>
    <n v="71813"/>
    <n v="105633"/>
    <d v="2024-01-27T00:00:00"/>
    <x v="0"/>
    <s v="TensorFlow"/>
    <m/>
    <m/>
    <x v="16"/>
    <n v="86"/>
    <x v="2"/>
    <n v="249"/>
  </r>
  <r>
    <n v="1502"/>
    <s v="Craig, Ortiz and Gross"/>
    <x v="2"/>
    <x v="1"/>
    <s v="Azure"/>
    <s v=" Hugging Face"/>
    <s v=" TensorFlow"/>
    <s v=" NumPy"/>
    <s v=" PyTorch"/>
    <n v="85215.5"/>
    <m/>
    <s v="Senior"/>
    <x v="1"/>
    <s v="Garyfurt"/>
    <s v=" PK"/>
    <n v="55539"/>
    <n v="114892"/>
    <d v="2025-08-28T00:00:00"/>
    <x v="0"/>
    <s v="Scikit-learn"/>
    <s v=" BigQuery"/>
    <s v=" KDB+"/>
    <x v="15"/>
    <n v="90"/>
    <x v="7"/>
    <n v="255"/>
  </r>
  <r>
    <n v="1503"/>
    <s v="Mccormick Group"/>
    <x v="4"/>
    <x v="7"/>
    <s v="R"/>
    <s v=" Reinforcement Learning"/>
    <s v=" LangChain"/>
    <s v=" Hugging Face"/>
    <s v=" CUDA"/>
    <n v="169202.5"/>
    <s v=" Flask"/>
    <s v="Entry"/>
    <x v="3"/>
    <s v="Julieton"/>
    <s v=" NL"/>
    <n v="145430"/>
    <n v="192975"/>
    <d v="2024-11-21T00:00:00"/>
    <x v="0"/>
    <s v="KDB+"/>
    <m/>
    <m/>
    <x v="11"/>
    <n v="86"/>
    <x v="0"/>
    <n v="247"/>
  </r>
  <r>
    <n v="1504"/>
    <s v="Ortiz and Sons"/>
    <x v="3"/>
    <x v="2"/>
    <s v="CUDA"/>
    <s v=" FastAPI"/>
    <s v=" Power BI"/>
    <s v=" Flask"/>
    <s v=" SQL"/>
    <n v="93774.5"/>
    <m/>
    <s v="Senior"/>
    <x v="1"/>
    <s v="East Nancy"/>
    <s v=" PG"/>
    <n v="47867"/>
    <n v="139682"/>
    <d v="2025-07-22T00:00:00"/>
    <x v="1"/>
    <s v="PyTorch"/>
    <s v=" MLflow"/>
    <m/>
    <x v="13"/>
    <n v="75"/>
    <x v="5"/>
    <n v="233"/>
  </r>
  <r>
    <n v="1505"/>
    <s v="Guzman, Peterson and Perry"/>
    <x v="1"/>
    <x v="1"/>
    <s v="GCP"/>
    <s v=" CUDA"/>
    <s v=" R"/>
    <m/>
    <m/>
    <n v="114396.5"/>
    <m/>
    <s v="Mid"/>
    <x v="0"/>
    <s v="North Mikayla"/>
    <s v=" BZ"/>
    <n v="64749"/>
    <n v="164044"/>
    <d v="2025-06-26T00:00:00"/>
    <x v="0"/>
    <s v="TensorFlow"/>
    <m/>
    <m/>
    <x v="4"/>
    <n v="78"/>
    <x v="2"/>
    <n v="249"/>
  </r>
  <r>
    <n v="1506"/>
    <s v="Vazquez-Davis"/>
    <x v="1"/>
    <x v="2"/>
    <s v="Flask"/>
    <s v=" Hugging Face"/>
    <s v=" Keras"/>
    <s v=" Excel"/>
    <s v=" Scikit-learn"/>
    <n v="112000.5"/>
    <m/>
    <s v="Mid"/>
    <x v="3"/>
    <s v="North Emilyton"/>
    <s v=" PT"/>
    <n v="72744"/>
    <n v="151257"/>
    <d v="2024-02-28T00:00:00"/>
    <x v="2"/>
    <s v="LangChain"/>
    <s v=" TensorFlow"/>
    <s v=" FastAPI"/>
    <x v="16"/>
    <n v="86"/>
    <x v="4"/>
    <n v="268"/>
  </r>
  <r>
    <n v="1507"/>
    <s v="Gross PLC"/>
    <x v="4"/>
    <x v="1"/>
    <s v="CUDA"/>
    <s v=" Excel"/>
    <s v=" Keras"/>
    <s v=" C++"/>
    <s v=" PyTorch"/>
    <n v="129500"/>
    <s v=" GCP"/>
    <s v="Mid"/>
    <x v="3"/>
    <s v="Billyton"/>
    <s v=" LS"/>
    <n v="102252"/>
    <n v="156748"/>
    <d v="2024-11-15T00:00:00"/>
    <x v="0"/>
    <s v="PyTorch"/>
    <m/>
    <m/>
    <x v="13"/>
    <n v="75"/>
    <x v="5"/>
    <n v="233"/>
  </r>
  <r>
    <n v="1508"/>
    <s v="Lee-Johnson"/>
    <x v="6"/>
    <x v="2"/>
    <s v="GCP"/>
    <s v=" C++"/>
    <s v=" MLflow"/>
    <s v=" PyTorch"/>
    <s v=" Scikit-learn"/>
    <n v="82682.5"/>
    <s v=" FastAPI"/>
    <s v="Entry"/>
    <x v="1"/>
    <s v="Rachelside"/>
    <s v=" MM"/>
    <n v="75063"/>
    <n v="90302"/>
    <d v="2024-03-10T00:00:00"/>
    <x v="2"/>
    <s v="TensorFlow"/>
    <s v=" KDB+"/>
    <m/>
    <x v="4"/>
    <n v="78"/>
    <x v="2"/>
    <n v="249"/>
  </r>
  <r>
    <n v="1509"/>
    <s v="Kelly Group"/>
    <x v="3"/>
    <x v="0"/>
    <s v="Pandas"/>
    <s v=" LangChain"/>
    <s v=" Excel"/>
    <s v=" Power BI"/>
    <s v=" Keras"/>
    <n v="60658.5"/>
    <m/>
    <s v="Entry"/>
    <x v="0"/>
    <s v="East Robertmouth"/>
    <s v=" SO"/>
    <n v="49065"/>
    <n v="72252"/>
    <d v="2025-06-08T00:00:00"/>
    <x v="1"/>
    <s v="Scikit-learn"/>
    <m/>
    <m/>
    <x v="6"/>
    <n v="78"/>
    <x v="7"/>
    <n v="255"/>
  </r>
  <r>
    <n v="1510"/>
    <s v="Johnson-Guzman"/>
    <x v="5"/>
    <x v="6"/>
    <s v="Power BI"/>
    <s v=" Reinforcement Learning"/>
    <s v=" LangChain"/>
    <s v=" SQL"/>
    <s v=" Excel"/>
    <n v="162491.5"/>
    <s v=" Scikit-learn"/>
    <s v="Entry"/>
    <x v="2"/>
    <s v="Elizabethbury"/>
    <s v=" VE"/>
    <n v="138980"/>
    <n v="186003"/>
    <d v="2024-12-17T00:00:00"/>
    <x v="2"/>
    <s v="TensorFlow"/>
    <s v=" PyTorch"/>
    <s v=" MLflow"/>
    <x v="18"/>
    <n v="96"/>
    <x v="2"/>
    <n v="249"/>
  </r>
  <r>
    <n v="1511"/>
    <s v="Schneider-Barnett"/>
    <x v="2"/>
    <x v="7"/>
    <s v="TensorFlow"/>
    <s v=" CUDA"/>
    <s v=" Reinforcement Learning"/>
    <s v=" GCP"/>
    <s v=" Excel"/>
    <n v="141233.5"/>
    <m/>
    <s v="Entry"/>
    <x v="1"/>
    <s v="Jenniferfurt"/>
    <s v=" SN"/>
    <n v="116702"/>
    <n v="165765"/>
    <d v="2024-10-24T00:00:00"/>
    <x v="1"/>
    <s v="PyTorch"/>
    <m/>
    <m/>
    <x v="19"/>
    <n v="95"/>
    <x v="5"/>
    <n v="233"/>
  </r>
  <r>
    <n v="1512"/>
    <s v="Evans, Le and Gomez"/>
    <x v="3"/>
    <x v="6"/>
    <s v="Keras"/>
    <s v=" NumPy"/>
    <s v=" Reinforcement Learning"/>
    <s v=" Azure"/>
    <s v=" GCP"/>
    <n v="61337"/>
    <s v=" Power BI"/>
    <s v="Senior"/>
    <x v="0"/>
    <s v="Phyllisburgh"/>
    <s v=" BS"/>
    <n v="49864"/>
    <n v="72810"/>
    <d v="2024-03-21T00:00:00"/>
    <x v="2"/>
    <s v="BigQuery"/>
    <m/>
    <m/>
    <x v="7"/>
    <n v="96"/>
    <x v="3"/>
    <n v="238"/>
  </r>
  <r>
    <n v="1513"/>
    <s v="Wade PLC"/>
    <x v="1"/>
    <x v="7"/>
    <s v="Power BI"/>
    <s v=" Keras"/>
    <s v=" GCP"/>
    <s v=" FastAPI"/>
    <m/>
    <n v="125651"/>
    <m/>
    <s v="Mid"/>
    <x v="3"/>
    <s v="Greenmouth"/>
    <s v=" VC"/>
    <n v="105130"/>
    <n v="146172"/>
    <d v="2023-12-08T00:00:00"/>
    <x v="0"/>
    <s v="TensorFlow"/>
    <m/>
    <m/>
    <x v="18"/>
    <n v="96"/>
    <x v="2"/>
    <n v="249"/>
  </r>
  <r>
    <n v="1514"/>
    <s v="Figueroa LLC"/>
    <x v="0"/>
    <x v="0"/>
    <s v="MLflow"/>
    <s v=" FastAPI"/>
    <s v=" Azure"/>
    <s v=" Keras"/>
    <s v=" Pandas"/>
    <n v="98204.5"/>
    <s v=" CUDA"/>
    <s v="Entry"/>
    <x v="0"/>
    <s v="East Nathan"/>
    <s v=" MV"/>
    <n v="74633"/>
    <n v="121776"/>
    <d v="2024-12-29T00:00:00"/>
    <x v="2"/>
    <s v="Scikit-learn"/>
    <m/>
    <m/>
    <x v="3"/>
    <n v="80"/>
    <x v="7"/>
    <n v="255"/>
  </r>
  <r>
    <n v="1515"/>
    <s v="Marshall LLC"/>
    <x v="0"/>
    <x v="4"/>
    <s v="MLflow"/>
    <s v=" TensorFlow"/>
    <s v=" CUDA"/>
    <s v=" GCP"/>
    <m/>
    <n v="106257"/>
    <m/>
    <s v="Senior"/>
    <x v="3"/>
    <s v="Peterville"/>
    <s v=" SM"/>
    <n v="56993"/>
    <n v="155521"/>
    <d v="2025-07-13T00:00:00"/>
    <x v="0"/>
    <s v="BigQuery"/>
    <s v=" MLflow"/>
    <s v=" KDB+"/>
    <x v="3"/>
    <n v="80"/>
    <x v="3"/>
    <n v="238"/>
  </r>
  <r>
    <n v="1516"/>
    <s v="Browning, Sanchez and Elliott"/>
    <x v="5"/>
    <x v="1"/>
    <s v="Python"/>
    <s v=" Pandas"/>
    <s v=" LangChain"/>
    <s v=" PyTorch"/>
    <s v=" Hugging Face"/>
    <n v="56714"/>
    <m/>
    <s v="Entry"/>
    <x v="0"/>
    <s v="Spearshaven"/>
    <s v=" RU"/>
    <n v="46611"/>
    <n v="66817"/>
    <d v="2023-12-20T00:00:00"/>
    <x v="0"/>
    <s v="PyTorch"/>
    <s v=" MLflow"/>
    <s v=" Scikit-learn"/>
    <x v="5"/>
    <n v="94"/>
    <x v="5"/>
    <n v="233"/>
  </r>
  <r>
    <n v="1517"/>
    <s v="Thompson, Baker and Ortega"/>
    <x v="2"/>
    <x v="5"/>
    <s v="Reinforcement Learning"/>
    <s v=" Pandas"/>
    <s v=" Flask"/>
    <m/>
    <m/>
    <n v="79698.5"/>
    <m/>
    <s v="Senior"/>
    <x v="1"/>
    <s v="Parkerfort"/>
    <s v=" IT"/>
    <n v="46024"/>
    <n v="113373"/>
    <d v="2024-10-25T00:00:00"/>
    <x v="1"/>
    <s v="PyTorch"/>
    <s v=" FastAPI"/>
    <s v=" TensorFlow"/>
    <x v="21"/>
    <n v="104"/>
    <x v="5"/>
    <n v="233"/>
  </r>
  <r>
    <n v="1518"/>
    <s v="Bailey, Wilson and Fry"/>
    <x v="6"/>
    <x v="1"/>
    <s v="LangChain"/>
    <s v=" Azure"/>
    <s v=" GCP"/>
    <s v=" Python"/>
    <s v=" R"/>
    <n v="67860.5"/>
    <s v=" C++"/>
    <s v="Senior"/>
    <x v="1"/>
    <s v="South Michael"/>
    <s v=" KM"/>
    <n v="41220"/>
    <n v="94501"/>
    <d v="2023-12-29T00:00:00"/>
    <x v="2"/>
    <s v="KDB+"/>
    <s v=" MLflow"/>
    <s v=" Scikit-learn"/>
    <x v="12"/>
    <n v="100"/>
    <x v="0"/>
    <n v="247"/>
  </r>
  <r>
    <n v="1519"/>
    <s v="Gallagher, Montes and Rowe"/>
    <x v="1"/>
    <x v="5"/>
    <s v="AWS"/>
    <s v=" Flask"/>
    <s v=" Reinforcement Learning"/>
    <s v=" LangChain"/>
    <s v=" R"/>
    <n v="184544"/>
    <m/>
    <s v="Senior"/>
    <x v="1"/>
    <s v="New Brian"/>
    <s v=" KH"/>
    <n v="140240"/>
    <n v="228848"/>
    <d v="2024-01-08T00:00:00"/>
    <x v="1"/>
    <s v="FastAPI"/>
    <s v=" TensorFlow"/>
    <s v=" MLflow"/>
    <x v="10"/>
    <n v="97"/>
    <x v="1"/>
    <n v="251"/>
  </r>
  <r>
    <n v="1520"/>
    <s v="Chan, Miller and Meyer"/>
    <x v="4"/>
    <x v="2"/>
    <s v="Pandas"/>
    <s v=" Reinforcement Learning"/>
    <s v=" NumPy"/>
    <s v=" TensorFlow"/>
    <s v=" Keras"/>
    <n v="180039"/>
    <s v=" CUDA"/>
    <s v="Mid"/>
    <x v="2"/>
    <s v="Lake Michele"/>
    <s v=" AU"/>
    <n v="136191"/>
    <n v="223887"/>
    <d v="2024-12-06T00:00:00"/>
    <x v="1"/>
    <s v="FastAPI"/>
    <s v=" TensorFlow"/>
    <m/>
    <x v="6"/>
    <n v="78"/>
    <x v="1"/>
    <n v="251"/>
  </r>
  <r>
    <n v="1521"/>
    <s v="Boyd PLC"/>
    <x v="2"/>
    <x v="3"/>
    <s v="Keras"/>
    <s v=" Scikit-learn"/>
    <s v=" FastAPI"/>
    <s v=" Azure"/>
    <s v=" GCP"/>
    <n v="140316"/>
    <s v=" CUDA"/>
    <s v="Mid"/>
    <x v="1"/>
    <s v="Johnsonport"/>
    <s v=" BT"/>
    <n v="103253"/>
    <n v="177379"/>
    <d v="2025-07-12T00:00:00"/>
    <x v="0"/>
    <s v="TensorFlow"/>
    <s v=" LangChain"/>
    <s v=" BigQuery"/>
    <x v="7"/>
    <n v="96"/>
    <x v="2"/>
    <n v="249"/>
  </r>
  <r>
    <n v="1522"/>
    <s v="Evans Group"/>
    <x v="6"/>
    <x v="6"/>
    <s v="GCP"/>
    <s v=" Keras"/>
    <s v=" Flask"/>
    <s v=" LangChain"/>
    <s v=" TensorFlow"/>
    <n v="168491.5"/>
    <s v=" Python"/>
    <s v="Entry"/>
    <x v="0"/>
    <s v="South Jonathanhaven"/>
    <s v=" PL"/>
    <n v="132044"/>
    <n v="204939"/>
    <d v="2024-10-07T00:00:00"/>
    <x v="1"/>
    <s v="BigQuery"/>
    <m/>
    <m/>
    <x v="4"/>
    <n v="78"/>
    <x v="3"/>
    <n v="238"/>
  </r>
  <r>
    <n v="1523"/>
    <s v="Martin-Torres"/>
    <x v="1"/>
    <x v="7"/>
    <s v="Python"/>
    <s v=" Azure"/>
    <s v=" Power BI"/>
    <s v=" Pandas"/>
    <s v=" C++"/>
    <n v="83045.5"/>
    <s v=" FastAPI"/>
    <s v="Mid"/>
    <x v="1"/>
    <s v="Michaelport"/>
    <s v=" KW"/>
    <n v="50076"/>
    <n v="116015"/>
    <d v="2024-11-27T00:00:00"/>
    <x v="2"/>
    <s v="Scikit-learn"/>
    <s v=" MLflow"/>
    <m/>
    <x v="5"/>
    <n v="94"/>
    <x v="7"/>
    <n v="255"/>
  </r>
  <r>
    <n v="1524"/>
    <s v="Gross, Rivera and Gutierrez"/>
    <x v="5"/>
    <x v="5"/>
    <s v="LangChain"/>
    <s v=" NumPy"/>
    <s v=" Pandas"/>
    <s v=" Azure"/>
    <s v=" Scikit-learn"/>
    <n v="102294.5"/>
    <s v=" Hugging Face"/>
    <s v="Entry"/>
    <x v="3"/>
    <s v="Olivermouth"/>
    <s v=" NG"/>
    <n v="92423"/>
    <n v="112166"/>
    <d v="2024-01-21T00:00:00"/>
    <x v="2"/>
    <s v="KDB+"/>
    <m/>
    <m/>
    <x v="12"/>
    <n v="100"/>
    <x v="0"/>
    <n v="247"/>
  </r>
  <r>
    <n v="1525"/>
    <s v="Holland LLC"/>
    <x v="6"/>
    <x v="6"/>
    <s v="Scikit-learn"/>
    <s v=" MLflow"/>
    <s v=" AWS"/>
    <m/>
    <m/>
    <n v="166269.5"/>
    <m/>
    <s v="Entry"/>
    <x v="1"/>
    <s v="Stewartborough"/>
    <s v=" LV"/>
    <n v="141773"/>
    <n v="190766"/>
    <d v="2023-10-03T00:00:00"/>
    <x v="1"/>
    <s v="Scikit-learn"/>
    <s v=" MLflow"/>
    <m/>
    <x v="1"/>
    <n v="76"/>
    <x v="7"/>
    <n v="255"/>
  </r>
  <r>
    <n v="1526"/>
    <s v="Novak, Clark and Sullivan"/>
    <x v="4"/>
    <x v="6"/>
    <s v="FastAPI"/>
    <s v=" LangChain"/>
    <s v=" R"/>
    <m/>
    <m/>
    <n v="82872.5"/>
    <m/>
    <s v="Mid"/>
    <x v="3"/>
    <s v="Robinview"/>
    <s v=" NZ"/>
    <n v="57442"/>
    <n v="108303"/>
    <d v="2024-09-29T00:00:00"/>
    <x v="1"/>
    <s v="FastAPI"/>
    <s v=" KDB+"/>
    <s v=" BigQuery"/>
    <x v="20"/>
    <n v="111"/>
    <x v="1"/>
    <n v="251"/>
  </r>
  <r>
    <n v="1527"/>
    <s v="Hall PLC"/>
    <x v="1"/>
    <x v="4"/>
    <s v="Flask"/>
    <s v=" Pandas"/>
    <s v=" Reinforcement Learning"/>
    <s v=" Scikit-learn"/>
    <s v=" NumPy"/>
    <n v="148780"/>
    <m/>
    <s v="Entry"/>
    <x v="1"/>
    <s v="Ryanshire"/>
    <s v=" TL"/>
    <n v="125288"/>
    <n v="172272"/>
    <d v="2023-10-21T00:00:00"/>
    <x v="2"/>
    <s v="FastAPI"/>
    <s v=" KDB+"/>
    <m/>
    <x v="16"/>
    <n v="86"/>
    <x v="1"/>
    <n v="251"/>
  </r>
  <r>
    <n v="1528"/>
    <s v="Gamble-Cardenas"/>
    <x v="4"/>
    <x v="4"/>
    <s v="R"/>
    <s v=" Flask"/>
    <s v=" Power BI"/>
    <m/>
    <m/>
    <n v="151071"/>
    <m/>
    <s v="Entry"/>
    <x v="2"/>
    <s v="Kristenside"/>
    <s v=" ZM"/>
    <n v="109244"/>
    <n v="192898"/>
    <d v="2024-09-30T00:00:00"/>
    <x v="0"/>
    <s v="TensorFlow"/>
    <m/>
    <m/>
    <x v="11"/>
    <n v="86"/>
    <x v="2"/>
    <n v="249"/>
  </r>
  <r>
    <n v="1529"/>
    <s v="Sutton, Mcdonald and Vang"/>
    <x v="5"/>
    <x v="2"/>
    <s v="PyTorch"/>
    <s v=" Hugging Face"/>
    <s v=" SQL"/>
    <s v=" MLflow"/>
    <s v=" R"/>
    <n v="109374.5"/>
    <s v=" Python"/>
    <s v="Senior"/>
    <x v="0"/>
    <s v="Jessicafort"/>
    <s v=" MR"/>
    <n v="89405"/>
    <n v="129344"/>
    <d v="2024-03-10T00:00:00"/>
    <x v="0"/>
    <s v="KDB+"/>
    <s v=" LangChain"/>
    <m/>
    <x v="14"/>
    <n v="92"/>
    <x v="0"/>
    <n v="247"/>
  </r>
  <r>
    <n v="1530"/>
    <s v="Foster and Sons"/>
    <x v="1"/>
    <x v="1"/>
    <s v="GCP"/>
    <s v=" Flask"/>
    <s v=" PyTorch"/>
    <s v=" AWS"/>
    <s v=" Excel"/>
    <n v="163283"/>
    <s v=" Keras"/>
    <s v="Mid"/>
    <x v="1"/>
    <s v="Katelynstad"/>
    <s v=" JM"/>
    <n v="125228"/>
    <n v="201338"/>
    <d v="2024-04-04T00:00:00"/>
    <x v="1"/>
    <s v="KDB+"/>
    <s v=" FastAPI"/>
    <s v=" MLflow"/>
    <x v="4"/>
    <n v="78"/>
    <x v="0"/>
    <n v="247"/>
  </r>
  <r>
    <n v="1531"/>
    <s v="Myers Group"/>
    <x v="4"/>
    <x v="2"/>
    <s v="FastAPI"/>
    <s v=" Reinforcement Learning"/>
    <s v=" AWS"/>
    <m/>
    <m/>
    <n v="142079"/>
    <m/>
    <s v="Mid"/>
    <x v="2"/>
    <s v="Williamburgh"/>
    <s v=" KI"/>
    <n v="119543"/>
    <n v="164615"/>
    <d v="2023-12-15T00:00:00"/>
    <x v="1"/>
    <s v="BigQuery"/>
    <s v=" MLflow"/>
    <s v=" KDB+"/>
    <x v="20"/>
    <n v="111"/>
    <x v="3"/>
    <n v="238"/>
  </r>
  <r>
    <n v="1532"/>
    <s v="Davis-French"/>
    <x v="5"/>
    <x v="1"/>
    <s v="AWS"/>
    <s v=" Excel"/>
    <s v=" Flask"/>
    <s v=" PyTorch"/>
    <m/>
    <n v="112513.5"/>
    <m/>
    <s v="Senior"/>
    <x v="1"/>
    <s v="New Miranda"/>
    <s v=" YE"/>
    <n v="69269"/>
    <n v="155758"/>
    <d v="2025-05-18T00:00:00"/>
    <x v="0"/>
    <s v="LangChain"/>
    <s v=" FastAPI"/>
    <m/>
    <x v="10"/>
    <n v="97"/>
    <x v="4"/>
    <n v="268"/>
  </r>
  <r>
    <n v="1533"/>
    <s v="Rivera, Kennedy and Smith"/>
    <x v="6"/>
    <x v="2"/>
    <s v="PyTorch"/>
    <s v=" GCP"/>
    <s v=" Excel"/>
    <s v=" Flask"/>
    <m/>
    <n v="119146"/>
    <m/>
    <s v="Entry"/>
    <x v="0"/>
    <s v="East Debraport"/>
    <s v=" GT"/>
    <n v="75472"/>
    <n v="162820"/>
    <d v="2025-06-24T00:00:00"/>
    <x v="0"/>
    <s v="FastAPI"/>
    <s v=" MLflow"/>
    <s v=" PyTorch"/>
    <x v="14"/>
    <n v="92"/>
    <x v="1"/>
    <n v="251"/>
  </r>
  <r>
    <n v="1534"/>
    <s v="Romero, Clark and Williams"/>
    <x v="6"/>
    <x v="5"/>
    <s v="GCP"/>
    <s v=" Reinforcement Learning"/>
    <s v=" AWS"/>
    <m/>
    <m/>
    <n v="138109"/>
    <m/>
    <s v="Senior"/>
    <x v="0"/>
    <s v="East Josephland"/>
    <s v=" KM"/>
    <n v="120392"/>
    <n v="155826"/>
    <d v="2025-06-23T00:00:00"/>
    <x v="2"/>
    <s v="TensorFlow"/>
    <s v=" PyTorch"/>
    <m/>
    <x v="4"/>
    <n v="78"/>
    <x v="2"/>
    <n v="249"/>
  </r>
  <r>
    <n v="1535"/>
    <s v="Wong-Miller"/>
    <x v="1"/>
    <x v="3"/>
    <s v="Flask"/>
    <s v=" NumPy"/>
    <s v=" Scikit-learn"/>
    <m/>
    <m/>
    <n v="130442.5"/>
    <m/>
    <s v="Entry"/>
    <x v="0"/>
    <s v="Lake Joseph"/>
    <s v=" DO"/>
    <n v="83724"/>
    <n v="177161"/>
    <d v="2024-05-09T00:00:00"/>
    <x v="0"/>
    <s v="LangChain"/>
    <m/>
    <m/>
    <x v="16"/>
    <n v="86"/>
    <x v="4"/>
    <n v="268"/>
  </r>
  <r>
    <n v="1536"/>
    <s v="Franco, Green and Green"/>
    <x v="2"/>
    <x v="3"/>
    <s v="MLflow"/>
    <s v=" GCP"/>
    <s v=" Python"/>
    <s v=" R"/>
    <s v=" TensorFlow"/>
    <n v="69070.5"/>
    <m/>
    <s v="Senior"/>
    <x v="1"/>
    <s v="Michelleborough"/>
    <s v=" AT"/>
    <n v="43526"/>
    <n v="94615"/>
    <d v="2024-01-25T00:00:00"/>
    <x v="1"/>
    <s v="MLflow"/>
    <m/>
    <m/>
    <x v="3"/>
    <n v="80"/>
    <x v="6"/>
    <n v="259"/>
  </r>
  <r>
    <n v="1537"/>
    <s v="Gould Inc"/>
    <x v="5"/>
    <x v="1"/>
    <s v="Azure"/>
    <s v=" CUDA"/>
    <s v=" LangChain"/>
    <s v=" Hugging Face"/>
    <m/>
    <n v="81006.5"/>
    <m/>
    <s v="Mid"/>
    <x v="2"/>
    <s v="North Amber"/>
    <s v=" CH"/>
    <n v="69190"/>
    <n v="92823"/>
    <d v="2024-01-05T00:00:00"/>
    <x v="0"/>
    <s v="Scikit-learn"/>
    <m/>
    <m/>
    <x v="15"/>
    <n v="90"/>
    <x v="7"/>
    <n v="255"/>
  </r>
  <r>
    <n v="1538"/>
    <s v="Page, Garrett and Little"/>
    <x v="1"/>
    <x v="1"/>
    <s v="Keras"/>
    <s v=" Pandas"/>
    <s v=" CUDA"/>
    <m/>
    <m/>
    <n v="163615.5"/>
    <m/>
    <s v="Entry"/>
    <x v="0"/>
    <s v="South Kelly"/>
    <s v=" ZA"/>
    <n v="142140"/>
    <n v="185091"/>
    <d v="2025-08-25T00:00:00"/>
    <x v="1"/>
    <s v="LangChain"/>
    <s v=" PyTorch"/>
    <s v=" KDB+"/>
    <x v="7"/>
    <n v="96"/>
    <x v="4"/>
    <n v="268"/>
  </r>
  <r>
    <n v="1539"/>
    <s v="Moore LLC"/>
    <x v="2"/>
    <x v="5"/>
    <s v="Reinforcement Learning"/>
    <s v=" Power BI"/>
    <s v=" Hugging Face"/>
    <s v=" CUDA"/>
    <s v=" Pandas"/>
    <n v="157670.5"/>
    <m/>
    <s v="Senior"/>
    <x v="1"/>
    <s v="West Gregory"/>
    <s v=" MC"/>
    <n v="137496"/>
    <n v="177845"/>
    <d v="2023-11-29T00:00:00"/>
    <x v="0"/>
    <s v="TensorFlow"/>
    <s v=" BigQuery"/>
    <s v=" Scikit-learn"/>
    <x v="21"/>
    <n v="104"/>
    <x v="2"/>
    <n v="249"/>
  </r>
  <r>
    <n v="1540"/>
    <s v="Schaefer-Mcbride"/>
    <x v="5"/>
    <x v="5"/>
    <s v="AWS"/>
    <s v=" MLflow"/>
    <s v=" Hugging Face"/>
    <s v=" Flask"/>
    <m/>
    <n v="115116.5"/>
    <m/>
    <s v="Mid"/>
    <x v="2"/>
    <s v="South Kurtberg"/>
    <s v=" VC"/>
    <n v="102029"/>
    <n v="128204"/>
    <d v="2024-03-19T00:00:00"/>
    <x v="1"/>
    <s v="BigQuery"/>
    <m/>
    <m/>
    <x v="10"/>
    <n v="97"/>
    <x v="3"/>
    <n v="238"/>
  </r>
  <r>
    <n v="1541"/>
    <s v="Wallace and Sons"/>
    <x v="5"/>
    <x v="1"/>
    <s v="NumPy"/>
    <s v=" R"/>
    <s v=" Pandas"/>
    <m/>
    <m/>
    <n v="172321"/>
    <m/>
    <s v="Entry"/>
    <x v="1"/>
    <s v="Meganmouth"/>
    <s v=" SA"/>
    <n v="124300"/>
    <n v="220342"/>
    <d v="2023-10-17T00:00:00"/>
    <x v="1"/>
    <s v="MLflow"/>
    <s v=" KDB+"/>
    <m/>
    <x v="0"/>
    <n v="104"/>
    <x v="6"/>
    <n v="259"/>
  </r>
  <r>
    <n v="1542"/>
    <s v="Le, Morris and Hernandez"/>
    <x v="6"/>
    <x v="5"/>
    <s v="TensorFlow"/>
    <s v=" Azure"/>
    <s v=" C++"/>
    <s v=" Scikit-learn"/>
    <s v=" Python"/>
    <n v="180953"/>
    <s v=" Flask"/>
    <s v="Entry"/>
    <x v="0"/>
    <s v="Ralphbury"/>
    <s v=" PA"/>
    <n v="149747"/>
    <n v="212159"/>
    <d v="2024-10-06T00:00:00"/>
    <x v="2"/>
    <s v="Scikit-learn"/>
    <s v=" FastAPI"/>
    <s v=" BigQuery"/>
    <x v="19"/>
    <n v="95"/>
    <x v="7"/>
    <n v="255"/>
  </r>
  <r>
    <n v="1543"/>
    <s v="Johnson, Gomez and Neal"/>
    <x v="4"/>
    <x v="5"/>
    <s v="SQL"/>
    <s v=" MLflow"/>
    <s v=" LangChain"/>
    <m/>
    <m/>
    <n v="85879.5"/>
    <m/>
    <s v="Senior"/>
    <x v="3"/>
    <s v="East Elizabeth"/>
    <s v=" TO"/>
    <n v="58550"/>
    <n v="113209"/>
    <d v="2025-01-06T00:00:00"/>
    <x v="0"/>
    <s v="FastAPI"/>
    <s v=" Scikit-learn"/>
    <m/>
    <x v="17"/>
    <n v="88"/>
    <x v="1"/>
    <n v="251"/>
  </r>
  <r>
    <n v="1544"/>
    <s v="Campbell-Yu"/>
    <x v="0"/>
    <x v="3"/>
    <s v="Keras"/>
    <s v=" MLflow"/>
    <s v=" Hugging Face"/>
    <s v=" FastAPI"/>
    <s v=" Azure"/>
    <n v="171281"/>
    <m/>
    <s v="Mid"/>
    <x v="2"/>
    <s v="New Nicholas"/>
    <s v=" GN"/>
    <n v="136005"/>
    <n v="206557"/>
    <d v="2025-01-16T00:00:00"/>
    <x v="0"/>
    <s v="KDB+"/>
    <m/>
    <m/>
    <x v="7"/>
    <n v="96"/>
    <x v="0"/>
    <n v="247"/>
  </r>
  <r>
    <n v="1545"/>
    <s v="Martinez, Gonzalez and Rasmussen"/>
    <x v="5"/>
    <x v="0"/>
    <s v="Excel"/>
    <s v=" Azure"/>
    <s v=" Hugging Face"/>
    <s v=" FastAPI"/>
    <m/>
    <n v="187139.5"/>
    <m/>
    <s v="Entry"/>
    <x v="2"/>
    <s v="Gregorytown"/>
    <s v=" QA"/>
    <n v="149181"/>
    <n v="225098"/>
    <d v="2024-07-12T00:00:00"/>
    <x v="2"/>
    <s v="TensorFlow"/>
    <m/>
    <m/>
    <x v="2"/>
    <n v="101"/>
    <x v="2"/>
    <n v="249"/>
  </r>
  <r>
    <n v="1546"/>
    <s v="Gonzalez, Roth and Gilbert"/>
    <x v="0"/>
    <x v="4"/>
    <s v="AWS"/>
    <s v=" Keras"/>
    <s v=" FastAPI"/>
    <m/>
    <m/>
    <n v="158002"/>
    <m/>
    <s v="Entry"/>
    <x v="3"/>
    <s v="Espinozaside"/>
    <s v=" NG"/>
    <n v="133857"/>
    <n v="182147"/>
    <d v="2025-06-24T00:00:00"/>
    <x v="0"/>
    <s v="LangChain"/>
    <m/>
    <m/>
    <x v="10"/>
    <n v="97"/>
    <x v="4"/>
    <n v="268"/>
  </r>
  <r>
    <n v="1547"/>
    <s v="Brown, Morris and Young"/>
    <x v="3"/>
    <x v="7"/>
    <s v="Power BI"/>
    <s v=" Keras"/>
    <s v=" Pandas"/>
    <s v=" Excel"/>
    <s v=" NumPy"/>
    <n v="145712"/>
    <s v=" PyTorch"/>
    <s v="Senior"/>
    <x v="2"/>
    <s v="West Alicia"/>
    <s v=" EC"/>
    <n v="117573"/>
    <n v="173851"/>
    <d v="2024-05-24T00:00:00"/>
    <x v="0"/>
    <s v="TensorFlow"/>
    <s v=" Scikit-learn"/>
    <m/>
    <x v="18"/>
    <n v="96"/>
    <x v="2"/>
    <n v="249"/>
  </r>
  <r>
    <n v="1548"/>
    <s v="Avila-Johnson"/>
    <x v="0"/>
    <x v="7"/>
    <s v="NumPy"/>
    <s v=" Hugging Face"/>
    <s v=" Keras"/>
    <s v=" Azure"/>
    <m/>
    <n v="107741"/>
    <m/>
    <s v="Senior"/>
    <x v="1"/>
    <s v="Marshallfort"/>
    <s v=" IT"/>
    <n v="85363"/>
    <n v="130119"/>
    <d v="2025-07-11T00:00:00"/>
    <x v="2"/>
    <s v="BigQuery"/>
    <s v=" TensorFlow"/>
    <m/>
    <x v="0"/>
    <n v="104"/>
    <x v="3"/>
    <n v="238"/>
  </r>
  <r>
    <n v="1549"/>
    <s v="Lynch and Sons"/>
    <x v="4"/>
    <x v="4"/>
    <s v="Scikit-learn"/>
    <s v=" Pandas"/>
    <s v=" Python"/>
    <s v=" Keras"/>
    <m/>
    <n v="70174.5"/>
    <m/>
    <s v="Mid"/>
    <x v="3"/>
    <s v="Dennisland"/>
    <s v=" BS"/>
    <n v="56646"/>
    <n v="83703"/>
    <d v="2025-03-09T00:00:00"/>
    <x v="2"/>
    <s v="Scikit-learn"/>
    <s v=" KDB+"/>
    <m/>
    <x v="1"/>
    <n v="76"/>
    <x v="7"/>
    <n v="255"/>
  </r>
  <r>
    <n v="1550"/>
    <s v="Haynes-George"/>
    <x v="3"/>
    <x v="1"/>
    <s v="Flask"/>
    <s v=" GCP"/>
    <s v=" FastAPI"/>
    <s v=" Reinforcement Learning"/>
    <m/>
    <n v="119038.5"/>
    <m/>
    <s v="Mid"/>
    <x v="0"/>
    <s v="Port Jeremiahshire"/>
    <s v=" BT"/>
    <n v="102732"/>
    <n v="135345"/>
    <d v="2023-10-16T00:00:00"/>
    <x v="1"/>
    <s v="Scikit-learn"/>
    <s v=" KDB+"/>
    <s v=" PyTorch"/>
    <x v="16"/>
    <n v="86"/>
    <x v="7"/>
    <n v="255"/>
  </r>
  <r>
    <n v="1551"/>
    <s v="Fowler-Stewart"/>
    <x v="2"/>
    <x v="7"/>
    <s v="Hugging Face"/>
    <s v=" PyTorch"/>
    <s v=" Power BI"/>
    <s v=" Pandas"/>
    <s v=" Flask"/>
    <n v="75478.5"/>
    <m/>
    <s v="Senior"/>
    <x v="3"/>
    <s v="Taylorfort"/>
    <s v=" KP"/>
    <n v="45791"/>
    <n v="105166"/>
    <d v="2024-09-23T00:00:00"/>
    <x v="0"/>
    <s v="MLflow"/>
    <s v=" LangChain"/>
    <m/>
    <x v="9"/>
    <n v="89"/>
    <x v="6"/>
    <n v="259"/>
  </r>
  <r>
    <n v="1552"/>
    <s v="Powell, Ruiz and Smith"/>
    <x v="2"/>
    <x v="2"/>
    <s v="CUDA"/>
    <s v=" NumPy"/>
    <s v=" TensorFlow"/>
    <s v=" Keras"/>
    <m/>
    <n v="73465.5"/>
    <m/>
    <s v="Senior"/>
    <x v="0"/>
    <s v="Adkinshaven"/>
    <s v=" CZ"/>
    <n v="59099"/>
    <n v="87832"/>
    <d v="2025-04-08T00:00:00"/>
    <x v="1"/>
    <s v="KDB+"/>
    <s v=" MLflow"/>
    <m/>
    <x v="13"/>
    <n v="75"/>
    <x v="0"/>
    <n v="247"/>
  </r>
  <r>
    <n v="1553"/>
    <s v="Richardson, Rojas and Patton"/>
    <x v="2"/>
    <x v="4"/>
    <s v="Python"/>
    <s v=" R"/>
    <s v=" TensorFlow"/>
    <s v=" AWS"/>
    <s v=" Hugging Face"/>
    <n v="58912"/>
    <s v=" GCP"/>
    <s v="Entry"/>
    <x v="2"/>
    <s v="East Carolinehaven"/>
    <s v=" IE"/>
    <n v="47248"/>
    <n v="70576"/>
    <d v="2023-09-23T00:00:00"/>
    <x v="1"/>
    <s v="BigQuery"/>
    <s v=" KDB+"/>
    <s v=" MLflow"/>
    <x v="5"/>
    <n v="94"/>
    <x v="3"/>
    <n v="238"/>
  </r>
  <r>
    <n v="1554"/>
    <s v="Patterson-Green"/>
    <x v="2"/>
    <x v="1"/>
    <s v="NumPy"/>
    <s v=" TensorFlow"/>
    <s v=" Reinforcement Learning"/>
    <s v=" Keras"/>
    <m/>
    <n v="112341.5"/>
    <m/>
    <s v="Entry"/>
    <x v="0"/>
    <s v="Mooreland"/>
    <s v=" NZ"/>
    <n v="66493"/>
    <n v="158190"/>
    <d v="2024-10-27T00:00:00"/>
    <x v="2"/>
    <s v="BigQuery"/>
    <s v=" TensorFlow"/>
    <s v=" PyTorch"/>
    <x v="0"/>
    <n v="104"/>
    <x v="3"/>
    <n v="238"/>
  </r>
  <r>
    <n v="1555"/>
    <s v="Conner-Rivera"/>
    <x v="6"/>
    <x v="0"/>
    <s v="LangChain"/>
    <s v=" Keras"/>
    <s v=" SQL"/>
    <s v=" NumPy"/>
    <s v=" TensorFlow"/>
    <n v="163200.5"/>
    <s v=" Scikit-learn"/>
    <s v="Entry"/>
    <x v="1"/>
    <s v="Lake Andrewchester"/>
    <s v=" DJ"/>
    <n v="114601"/>
    <n v="211800"/>
    <d v="2025-02-08T00:00:00"/>
    <x v="0"/>
    <s v="MLflow"/>
    <s v=" FastAPI"/>
    <m/>
    <x v="12"/>
    <n v="100"/>
    <x v="6"/>
    <n v="259"/>
  </r>
  <r>
    <n v="1556"/>
    <s v="Johnson-Murphy"/>
    <x v="3"/>
    <x v="5"/>
    <s v="R"/>
    <s v=" FastAPI"/>
    <s v=" NumPy"/>
    <s v=" PyTorch"/>
    <s v=" Excel"/>
    <n v="144477.5"/>
    <m/>
    <s v="Entry"/>
    <x v="0"/>
    <s v="North Joshuahaven"/>
    <s v=" DO"/>
    <n v="117083"/>
    <n v="171872"/>
    <d v="2024-12-16T00:00:00"/>
    <x v="1"/>
    <s v="KDB+"/>
    <m/>
    <m/>
    <x v="11"/>
    <n v="86"/>
    <x v="0"/>
    <n v="247"/>
  </r>
  <r>
    <n v="1557"/>
    <s v="Freeman, Williams and Thomas"/>
    <x v="2"/>
    <x v="3"/>
    <s v="FastAPI"/>
    <s v=" Azure"/>
    <s v=" Pandas"/>
    <s v=" Keras"/>
    <m/>
    <n v="128134.5"/>
    <m/>
    <s v="Entry"/>
    <x v="0"/>
    <s v="Barajaston"/>
    <s v=" DZ"/>
    <n v="109164"/>
    <n v="147105"/>
    <d v="2024-01-19T00:00:00"/>
    <x v="0"/>
    <s v="Scikit-learn"/>
    <s v=" TensorFlow"/>
    <m/>
    <x v="20"/>
    <n v="111"/>
    <x v="7"/>
    <n v="255"/>
  </r>
  <r>
    <n v="1558"/>
    <s v="Reilly PLC"/>
    <x v="3"/>
    <x v="3"/>
    <s v="AWS"/>
    <s v=" Azure"/>
    <s v=" C++"/>
    <s v=" NumPy"/>
    <m/>
    <n v="186495"/>
    <m/>
    <s v="Senior"/>
    <x v="1"/>
    <s v="Bennettfurt"/>
    <s v=" IQ"/>
    <n v="140820"/>
    <n v="232170"/>
    <d v="2025-09-19T00:00:00"/>
    <x v="2"/>
    <s v="Scikit-learn"/>
    <s v=" BigQuery"/>
    <s v=" LangChain"/>
    <x v="10"/>
    <n v="97"/>
    <x v="7"/>
    <n v="255"/>
  </r>
  <r>
    <n v="1559"/>
    <s v="Sosa, Whitney and Dickerson"/>
    <x v="1"/>
    <x v="2"/>
    <s v="GCP"/>
    <s v=" R"/>
    <s v=" Flask"/>
    <s v=" Azure"/>
    <s v=" Pandas"/>
    <n v="186573.5"/>
    <s v=" FastAPI"/>
    <s v="Mid"/>
    <x v="3"/>
    <s v="Williamshire"/>
    <s v=" TJ"/>
    <n v="143360"/>
    <n v="229787"/>
    <d v="2025-05-27T00:00:00"/>
    <x v="2"/>
    <s v="PyTorch"/>
    <m/>
    <m/>
    <x v="4"/>
    <n v="78"/>
    <x v="5"/>
    <n v="233"/>
  </r>
  <r>
    <n v="1560"/>
    <s v="Johnson PLC"/>
    <x v="3"/>
    <x v="6"/>
    <s v="TensorFlow"/>
    <s v=" GCP"/>
    <s v=" Flask"/>
    <s v=" Excel"/>
    <m/>
    <n v="111453"/>
    <m/>
    <s v="Senior"/>
    <x v="1"/>
    <s v="Jenniferburgh"/>
    <s v=" SC"/>
    <n v="93833"/>
    <n v="129073"/>
    <d v="2024-11-29T00:00:00"/>
    <x v="1"/>
    <s v="MLflow"/>
    <s v=" PyTorch"/>
    <m/>
    <x v="19"/>
    <n v="95"/>
    <x v="6"/>
    <n v="259"/>
  </r>
  <r>
    <n v="1561"/>
    <s v="Rosales-Peterson"/>
    <x v="1"/>
    <x v="3"/>
    <s v="TensorFlow"/>
    <s v=" Flask"/>
    <s v=" AWS"/>
    <s v=" Python"/>
    <m/>
    <n v="85420"/>
    <m/>
    <s v="Entry"/>
    <x v="1"/>
    <s v="Gonzaleshaven"/>
    <s v=" MR"/>
    <n v="52854"/>
    <n v="117986"/>
    <d v="2024-09-26T00:00:00"/>
    <x v="0"/>
    <s v="TensorFlow"/>
    <m/>
    <m/>
    <x v="19"/>
    <n v="95"/>
    <x v="2"/>
    <n v="249"/>
  </r>
  <r>
    <n v="1562"/>
    <s v="Salazar, Wiggins and Campbell"/>
    <x v="0"/>
    <x v="2"/>
    <s v="Reinforcement Learning"/>
    <s v=" C++"/>
    <s v=" Keras"/>
    <m/>
    <m/>
    <n v="58869.5"/>
    <m/>
    <s v="Senior"/>
    <x v="3"/>
    <s v="North Alexandra"/>
    <s v=" MZ"/>
    <n v="50279"/>
    <n v="67460"/>
    <d v="2025-07-29T00:00:00"/>
    <x v="0"/>
    <s v="BigQuery"/>
    <s v=" MLflow"/>
    <s v=" PyTorch"/>
    <x v="21"/>
    <n v="104"/>
    <x v="3"/>
    <n v="238"/>
  </r>
  <r>
    <n v="1563"/>
    <s v="Torres PLC"/>
    <x v="5"/>
    <x v="5"/>
    <s v="SQL"/>
    <s v=" Hugging Face"/>
    <s v=" CUDA"/>
    <s v=" GCP"/>
    <s v=" NumPy"/>
    <n v="57514.5"/>
    <s v=" C++"/>
    <s v="Senior"/>
    <x v="0"/>
    <s v="Rodriguezmouth"/>
    <s v=" AE"/>
    <n v="50207"/>
    <n v="64822"/>
    <d v="2024-06-04T00:00:00"/>
    <x v="1"/>
    <s v="PyTorch"/>
    <s v=" Scikit-learn"/>
    <m/>
    <x v="17"/>
    <n v="88"/>
    <x v="5"/>
    <n v="233"/>
  </r>
  <r>
    <n v="1564"/>
    <s v="Zuniga, Coleman and Guzman"/>
    <x v="2"/>
    <x v="1"/>
    <s v="Python"/>
    <s v=" TensorFlow"/>
    <s v=" Azure"/>
    <s v=" PyTorch"/>
    <s v=" Power BI"/>
    <n v="56051"/>
    <s v=" Hugging Face"/>
    <s v="Entry"/>
    <x v="2"/>
    <s v="South Jamesstad"/>
    <s v=" GT"/>
    <n v="49814"/>
    <n v="62288"/>
    <d v="2025-07-06T00:00:00"/>
    <x v="1"/>
    <s v="TensorFlow"/>
    <s v=" KDB+"/>
    <m/>
    <x v="5"/>
    <n v="94"/>
    <x v="2"/>
    <n v="249"/>
  </r>
  <r>
    <n v="1565"/>
    <s v="Oliver-Miller"/>
    <x v="4"/>
    <x v="2"/>
    <s v="GCP"/>
    <s v=" SQL"/>
    <s v=" Flask"/>
    <s v=" C++"/>
    <s v=" Scikit-learn"/>
    <n v="121012"/>
    <m/>
    <s v="Senior"/>
    <x v="1"/>
    <s v="Sarahton"/>
    <s v=" ER"/>
    <n v="111908"/>
    <n v="130116"/>
    <d v="2025-06-11T00:00:00"/>
    <x v="1"/>
    <s v="BigQuery"/>
    <s v=" FastAPI"/>
    <s v=" Scikit-learn"/>
    <x v="4"/>
    <n v="78"/>
    <x v="3"/>
    <n v="238"/>
  </r>
  <r>
    <n v="1566"/>
    <s v="Mullins, Butler and Moses"/>
    <x v="3"/>
    <x v="7"/>
    <s v="LangChain"/>
    <s v=" Scikit-learn"/>
    <s v=" Hugging Face"/>
    <m/>
    <m/>
    <n v="155988.5"/>
    <m/>
    <s v="Senior"/>
    <x v="3"/>
    <s v="South Jason"/>
    <s v=" PG"/>
    <n v="109390"/>
    <n v="202587"/>
    <d v="2025-06-12T00:00:00"/>
    <x v="0"/>
    <s v="FastAPI"/>
    <m/>
    <m/>
    <x v="12"/>
    <n v="100"/>
    <x v="1"/>
    <n v="251"/>
  </r>
  <r>
    <n v="1567"/>
    <s v="Roberson, Dunlap and Todd"/>
    <x v="4"/>
    <x v="6"/>
    <s v="FastAPI"/>
    <s v=" SQL"/>
    <s v=" GCP"/>
    <s v=" Pandas"/>
    <s v=" CUDA"/>
    <n v="135290.5"/>
    <s v=" Reinforcement Learning"/>
    <s v="Entry"/>
    <x v="1"/>
    <s v="New Samanthaberg"/>
    <s v=" BD"/>
    <n v="101444"/>
    <n v="169137"/>
    <d v="2024-07-11T00:00:00"/>
    <x v="0"/>
    <s v="FastAPI"/>
    <s v=" Scikit-learn"/>
    <s v=" KDB+"/>
    <x v="20"/>
    <n v="111"/>
    <x v="1"/>
    <n v="251"/>
  </r>
  <r>
    <n v="1568"/>
    <s v="Hammond-Miles"/>
    <x v="2"/>
    <x v="5"/>
    <s v="MLflow"/>
    <s v=" Python"/>
    <s v=" AWS"/>
    <s v=" NumPy"/>
    <s v=" Flask"/>
    <n v="166363.5"/>
    <s v=" C++"/>
    <s v="Entry"/>
    <x v="0"/>
    <s v="Lake Brianna"/>
    <s v=" ET"/>
    <n v="117133"/>
    <n v="215594"/>
    <d v="2025-09-05T00:00:00"/>
    <x v="0"/>
    <s v="FastAPI"/>
    <s v=" PyTorch"/>
    <m/>
    <x v="3"/>
    <n v="80"/>
    <x v="1"/>
    <n v="251"/>
  </r>
  <r>
    <n v="1569"/>
    <s v="Walls, Young and Cook"/>
    <x v="4"/>
    <x v="5"/>
    <s v="Reinforcement Learning"/>
    <s v=" Keras"/>
    <s v=" MLflow"/>
    <s v=" Flask"/>
    <s v=" Pandas"/>
    <n v="77929"/>
    <s v=" AWS"/>
    <s v="Senior"/>
    <x v="2"/>
    <s v="New Nicole"/>
    <s v=" AZ"/>
    <n v="55477"/>
    <n v="100381"/>
    <d v="2024-02-12T00:00:00"/>
    <x v="2"/>
    <s v="MLflow"/>
    <m/>
    <m/>
    <x v="21"/>
    <n v="104"/>
    <x v="6"/>
    <n v="259"/>
  </r>
  <r>
    <n v="1570"/>
    <s v="Henderson-Douglas"/>
    <x v="5"/>
    <x v="2"/>
    <s v="C++"/>
    <s v=" Scikit-learn"/>
    <s v=" PyTorch"/>
    <s v=" SQL"/>
    <s v=" Reinforcement Learning"/>
    <n v="128030"/>
    <s v=" Hugging Face"/>
    <s v="Entry"/>
    <x v="0"/>
    <s v="Larsenport"/>
    <s v=" FM"/>
    <n v="92033"/>
    <n v="164027"/>
    <d v="2024-12-07T00:00:00"/>
    <x v="1"/>
    <s v="KDB+"/>
    <m/>
    <m/>
    <x v="8"/>
    <n v="84"/>
    <x v="0"/>
    <n v="247"/>
  </r>
  <r>
    <n v="1571"/>
    <s v="Waters Group"/>
    <x v="0"/>
    <x v="7"/>
    <s v="Azure"/>
    <s v=" CUDA"/>
    <s v=" Excel"/>
    <m/>
    <m/>
    <n v="122985"/>
    <m/>
    <s v="Senior"/>
    <x v="0"/>
    <s v="Lewiston"/>
    <s v=" HN"/>
    <n v="97058"/>
    <n v="148912"/>
    <d v="2024-12-18T00:00:00"/>
    <x v="0"/>
    <s v="KDB+"/>
    <m/>
    <m/>
    <x v="15"/>
    <n v="90"/>
    <x v="0"/>
    <n v="247"/>
  </r>
  <r>
    <n v="1572"/>
    <s v="Evans, Keller and Macdonald"/>
    <x v="4"/>
    <x v="3"/>
    <s v="Excel"/>
    <s v=" Flask"/>
    <s v=" SQL"/>
    <s v=" R"/>
    <m/>
    <n v="76832"/>
    <m/>
    <s v="Senior"/>
    <x v="1"/>
    <s v="Sanchezland"/>
    <s v=" LI"/>
    <n v="70051"/>
    <n v="83613"/>
    <d v="2023-11-01T00:00:00"/>
    <x v="0"/>
    <s v="MLflow"/>
    <m/>
    <m/>
    <x v="2"/>
    <n v="101"/>
    <x v="6"/>
    <n v="259"/>
  </r>
  <r>
    <n v="1573"/>
    <s v="Smith, Smith and Calhoun"/>
    <x v="0"/>
    <x v="3"/>
    <s v="Keras"/>
    <s v=" NumPy"/>
    <s v=" Flask"/>
    <s v=" Python"/>
    <m/>
    <n v="174547"/>
    <m/>
    <s v="Mid"/>
    <x v="0"/>
    <s v="Jamesburgh"/>
    <s v=" LS"/>
    <n v="125724"/>
    <n v="223370"/>
    <d v="2024-04-07T00:00:00"/>
    <x v="2"/>
    <s v="FastAPI"/>
    <m/>
    <m/>
    <x v="7"/>
    <n v="96"/>
    <x v="1"/>
    <n v="251"/>
  </r>
  <r>
    <n v="1574"/>
    <s v="Holmes Inc"/>
    <x v="2"/>
    <x v="2"/>
    <s v="LangChain"/>
    <s v=" NumPy"/>
    <s v=" CUDA"/>
    <m/>
    <m/>
    <n v="142171.5"/>
    <m/>
    <s v="Senior"/>
    <x v="2"/>
    <s v="Bendershire"/>
    <s v=" AG"/>
    <n v="131442"/>
    <n v="152901"/>
    <d v="2024-04-22T00:00:00"/>
    <x v="2"/>
    <s v="BigQuery"/>
    <s v=" KDB+"/>
    <m/>
    <x v="12"/>
    <n v="100"/>
    <x v="3"/>
    <n v="238"/>
  </r>
  <r>
    <n v="1575"/>
    <s v="Gordon-Bradley"/>
    <x v="3"/>
    <x v="4"/>
    <s v="R"/>
    <s v=" Excel"/>
    <s v=" SQL"/>
    <s v=" MLflow"/>
    <s v=" PyTorch"/>
    <n v="88181.5"/>
    <s v=" CUDA"/>
    <s v="Senior"/>
    <x v="3"/>
    <s v="Higginsview"/>
    <s v=" NI"/>
    <n v="79312"/>
    <n v="97051"/>
    <d v="2023-10-30T00:00:00"/>
    <x v="1"/>
    <s v="Scikit-learn"/>
    <m/>
    <m/>
    <x v="11"/>
    <n v="86"/>
    <x v="7"/>
    <n v="255"/>
  </r>
  <r>
    <n v="1576"/>
    <s v="Garrison-Rosales"/>
    <x v="0"/>
    <x v="4"/>
    <s v="GCP"/>
    <s v=" Python"/>
    <s v=" R"/>
    <m/>
    <m/>
    <n v="128559"/>
    <m/>
    <s v="Mid"/>
    <x v="3"/>
    <s v="New Henryshire"/>
    <s v=" TZ"/>
    <n v="115682"/>
    <n v="141436"/>
    <d v="2024-09-17T00:00:00"/>
    <x v="2"/>
    <s v="LangChain"/>
    <m/>
    <m/>
    <x v="4"/>
    <n v="78"/>
    <x v="4"/>
    <n v="268"/>
  </r>
  <r>
    <n v="1577"/>
    <s v="Beasley LLC"/>
    <x v="1"/>
    <x v="0"/>
    <s v="GCP"/>
    <s v=" PyTorch"/>
    <s v=" Keras"/>
    <s v=" Reinforcement Learning"/>
    <s v=" C++"/>
    <n v="180248.5"/>
    <m/>
    <s v="Mid"/>
    <x v="2"/>
    <s v="Port Christinaburgh"/>
    <s v=" TN"/>
    <n v="138711"/>
    <n v="221786"/>
    <d v="2024-06-16T00:00:00"/>
    <x v="1"/>
    <s v="Scikit-learn"/>
    <s v=" FastAPI"/>
    <m/>
    <x v="4"/>
    <n v="78"/>
    <x v="7"/>
    <n v="255"/>
  </r>
  <r>
    <n v="1578"/>
    <s v="Miller, Harris and Johnson"/>
    <x v="6"/>
    <x v="6"/>
    <s v="FastAPI"/>
    <s v=" Pandas"/>
    <s v=" MLflow"/>
    <s v=" R"/>
    <m/>
    <n v="64227.5"/>
    <m/>
    <s v="Entry"/>
    <x v="0"/>
    <s v="Jessicaport"/>
    <s v=" WS"/>
    <n v="46308"/>
    <n v="82147"/>
    <d v="2024-07-27T00:00:00"/>
    <x v="1"/>
    <s v="MLflow"/>
    <s v=" TensorFlow"/>
    <s v=" PyTorch"/>
    <x v="20"/>
    <n v="111"/>
    <x v="6"/>
    <n v="259"/>
  </r>
  <r>
    <n v="1579"/>
    <s v="Miller, Hahn and Jackson"/>
    <x v="2"/>
    <x v="7"/>
    <s v="Reinforcement Learning"/>
    <s v=" AWS"/>
    <s v=" Azure"/>
    <m/>
    <m/>
    <n v="79250.5"/>
    <m/>
    <s v="Mid"/>
    <x v="3"/>
    <s v="Marquezchester"/>
    <s v=" SL"/>
    <n v="46859"/>
    <n v="111642"/>
    <d v="2024-03-16T00:00:00"/>
    <x v="1"/>
    <s v="LangChain"/>
    <s v=" Scikit-learn"/>
    <m/>
    <x v="21"/>
    <n v="104"/>
    <x v="4"/>
    <n v="268"/>
  </r>
  <r>
    <n v="1580"/>
    <s v="Smith-Mcintyre"/>
    <x v="6"/>
    <x v="3"/>
    <s v="AWS"/>
    <s v=" Flask"/>
    <s v=" Reinforcement Learning"/>
    <s v=" Scikit-learn"/>
    <s v=" Excel"/>
    <n v="167681.5"/>
    <m/>
    <s v="Senior"/>
    <x v="3"/>
    <s v="North Sheilaville"/>
    <s v=" IN"/>
    <n v="135050"/>
    <n v="200313"/>
    <d v="2025-06-25T00:00:00"/>
    <x v="2"/>
    <s v="MLflow"/>
    <s v=" Scikit-learn"/>
    <s v=" BigQuery"/>
    <x v="10"/>
    <n v="97"/>
    <x v="6"/>
    <n v="259"/>
  </r>
  <r>
    <n v="1581"/>
    <s v="Martinez Inc"/>
    <x v="0"/>
    <x v="3"/>
    <s v="FastAPI"/>
    <s v=" Pandas"/>
    <s v=" MLflow"/>
    <m/>
    <m/>
    <n v="119579.5"/>
    <m/>
    <s v="Mid"/>
    <x v="0"/>
    <s v="West Morgan"/>
    <s v=" ST"/>
    <n v="106176"/>
    <n v="132983"/>
    <d v="2024-05-16T00:00:00"/>
    <x v="1"/>
    <s v="FastAPI"/>
    <m/>
    <m/>
    <x v="20"/>
    <n v="111"/>
    <x v="1"/>
    <n v="251"/>
  </r>
  <r>
    <n v="1582"/>
    <s v="Jones-Robertson"/>
    <x v="3"/>
    <x v="0"/>
    <s v="FastAPI"/>
    <s v=" Excel"/>
    <s v=" Pandas"/>
    <m/>
    <m/>
    <n v="109882.5"/>
    <m/>
    <s v="Entry"/>
    <x v="3"/>
    <s v="Lake Charles"/>
    <s v=" DM"/>
    <n v="61825"/>
    <n v="157940"/>
    <d v="2025-01-03T00:00:00"/>
    <x v="1"/>
    <s v="MLflow"/>
    <m/>
    <m/>
    <x v="20"/>
    <n v="111"/>
    <x v="6"/>
    <n v="259"/>
  </r>
  <r>
    <n v="1583"/>
    <s v="Schneider-Watson"/>
    <x v="2"/>
    <x v="4"/>
    <s v="C++"/>
    <s v=" Pandas"/>
    <s v=" CUDA"/>
    <s v=" Scikit-learn"/>
    <m/>
    <n v="165018.5"/>
    <m/>
    <s v="Mid"/>
    <x v="2"/>
    <s v="Rosston"/>
    <s v=" PY"/>
    <n v="134559"/>
    <n v="195478"/>
    <d v="2025-02-25T00:00:00"/>
    <x v="2"/>
    <s v="BigQuery"/>
    <s v=" PyTorch"/>
    <s v=" MLflow"/>
    <x v="8"/>
    <n v="84"/>
    <x v="3"/>
    <n v="238"/>
  </r>
  <r>
    <n v="1584"/>
    <s v="Thompson, Castillo and Farrell"/>
    <x v="6"/>
    <x v="7"/>
    <s v="Keras"/>
    <s v=" Hugging Face"/>
    <s v=" Power BI"/>
    <s v=" C++"/>
    <s v=" SQL"/>
    <n v="102335.5"/>
    <s v=" Python"/>
    <s v="Mid"/>
    <x v="0"/>
    <s v="North Jennifer"/>
    <s v=" NA"/>
    <n v="79291"/>
    <n v="125380"/>
    <d v="2024-07-25T00:00:00"/>
    <x v="2"/>
    <s v="MLflow"/>
    <m/>
    <m/>
    <x v="7"/>
    <n v="96"/>
    <x v="6"/>
    <n v="259"/>
  </r>
  <r>
    <n v="1585"/>
    <s v="Acevedo Ltd"/>
    <x v="6"/>
    <x v="2"/>
    <s v="TensorFlow"/>
    <s v=" Pandas"/>
    <s v=" Reinforcement Learning"/>
    <m/>
    <m/>
    <n v="59611"/>
    <m/>
    <s v="Entry"/>
    <x v="2"/>
    <s v="North Martin"/>
    <s v=" AU"/>
    <n v="48218"/>
    <n v="71004"/>
    <d v="2024-11-24T00:00:00"/>
    <x v="2"/>
    <s v="KDB+"/>
    <s v=" PyTorch"/>
    <s v=" FastAPI"/>
    <x v="19"/>
    <n v="95"/>
    <x v="0"/>
    <n v="247"/>
  </r>
  <r>
    <n v="1586"/>
    <s v="Flynn, Arellano and Porter"/>
    <x v="4"/>
    <x v="2"/>
    <s v="Pandas"/>
    <s v=" Reinforcement Learning"/>
    <s v=" TensorFlow"/>
    <m/>
    <m/>
    <n v="81577.5"/>
    <m/>
    <s v="Entry"/>
    <x v="1"/>
    <s v="Reesebury"/>
    <s v=" RO"/>
    <n v="42270"/>
    <n v="120885"/>
    <d v="2025-08-22T00:00:00"/>
    <x v="1"/>
    <s v="Scikit-learn"/>
    <m/>
    <m/>
    <x v="6"/>
    <n v="78"/>
    <x v="7"/>
    <n v="255"/>
  </r>
  <r>
    <n v="1587"/>
    <s v="Harper and Sons"/>
    <x v="6"/>
    <x v="0"/>
    <s v="Reinforcement Learning"/>
    <s v=" Flask"/>
    <s v=" Hugging Face"/>
    <m/>
    <m/>
    <n v="131424.5"/>
    <m/>
    <s v="Mid"/>
    <x v="0"/>
    <s v="South Roystad"/>
    <s v=" TR"/>
    <n v="106925"/>
    <n v="155924"/>
    <d v="2023-12-15T00:00:00"/>
    <x v="2"/>
    <s v="FastAPI"/>
    <s v=" MLflow"/>
    <s v=" KDB+"/>
    <x v="21"/>
    <n v="104"/>
    <x v="1"/>
    <n v="251"/>
  </r>
  <r>
    <n v="1588"/>
    <s v="Molina-Dixon"/>
    <x v="4"/>
    <x v="2"/>
    <s v="AWS"/>
    <s v=" SQL"/>
    <s v=" Python"/>
    <s v=" LangChain"/>
    <s v=" Keras"/>
    <n v="157977"/>
    <s v=" Azure"/>
    <s v="Mid"/>
    <x v="3"/>
    <s v="Lake Eric"/>
    <s v=" CD"/>
    <n v="129266"/>
    <n v="186688"/>
    <d v="2024-02-22T00:00:00"/>
    <x v="2"/>
    <s v="Scikit-learn"/>
    <s v=" LangChain"/>
    <m/>
    <x v="10"/>
    <n v="97"/>
    <x v="7"/>
    <n v="255"/>
  </r>
  <r>
    <n v="1589"/>
    <s v="Baker, Smith and Phillips"/>
    <x v="6"/>
    <x v="2"/>
    <s v="R"/>
    <s v=" Excel"/>
    <s v=" NumPy"/>
    <m/>
    <m/>
    <n v="144195"/>
    <m/>
    <s v="Mid"/>
    <x v="0"/>
    <s v="Lake Christopher"/>
    <s v=" LA"/>
    <n v="119647"/>
    <n v="168743"/>
    <d v="2024-07-02T00:00:00"/>
    <x v="1"/>
    <s v="Scikit-learn"/>
    <s v=" MLflow"/>
    <s v=" PyTorch"/>
    <x v="11"/>
    <n v="86"/>
    <x v="7"/>
    <n v="255"/>
  </r>
  <r>
    <n v="1590"/>
    <s v="Robertson, Miller and Watson"/>
    <x v="4"/>
    <x v="5"/>
    <s v="AWS"/>
    <s v=" Power BI"/>
    <s v=" MLflow"/>
    <s v=" C++"/>
    <m/>
    <n v="100543.5"/>
    <m/>
    <s v="Senior"/>
    <x v="0"/>
    <s v="Cynthiamouth"/>
    <s v=" NE"/>
    <n v="51216"/>
    <n v="149871"/>
    <d v="2024-08-14T00:00:00"/>
    <x v="1"/>
    <s v="MLflow"/>
    <m/>
    <m/>
    <x v="10"/>
    <n v="97"/>
    <x v="6"/>
    <n v="259"/>
  </r>
  <r>
    <n v="1591"/>
    <s v="Bowman, Sutton and Richmond"/>
    <x v="0"/>
    <x v="7"/>
    <s v="Pandas"/>
    <s v=" Azure"/>
    <s v=" Hugging Face"/>
    <s v=" Python"/>
    <m/>
    <n v="185570.5"/>
    <m/>
    <s v="Senior"/>
    <x v="1"/>
    <s v="Ericburgh"/>
    <s v=" BR"/>
    <n v="143939"/>
    <n v="227202"/>
    <d v="2023-10-07T00:00:00"/>
    <x v="1"/>
    <s v="MLflow"/>
    <s v=" KDB+"/>
    <s v=" FastAPI"/>
    <x v="6"/>
    <n v="78"/>
    <x v="6"/>
    <n v="259"/>
  </r>
  <r>
    <n v="1592"/>
    <s v="Moore-Wood"/>
    <x v="2"/>
    <x v="0"/>
    <s v="SQL"/>
    <s v=" FastAPI"/>
    <s v=" Flask"/>
    <s v=" Hugging Face"/>
    <m/>
    <n v="145988"/>
    <m/>
    <s v="Entry"/>
    <x v="0"/>
    <s v="South Christopherchester"/>
    <s v=" MG"/>
    <n v="99415"/>
    <n v="192561"/>
    <d v="2024-11-28T00:00:00"/>
    <x v="0"/>
    <s v="LangChain"/>
    <s v=" BigQuery"/>
    <m/>
    <x v="17"/>
    <n v="88"/>
    <x v="4"/>
    <n v="268"/>
  </r>
  <r>
    <n v="1593"/>
    <s v="Lee, Mitchell and Neal"/>
    <x v="3"/>
    <x v="3"/>
    <s v="Hugging Face"/>
    <s v=" Azure"/>
    <s v=" C++"/>
    <s v=" Reinforcement Learning"/>
    <m/>
    <n v="118672.5"/>
    <m/>
    <s v="Mid"/>
    <x v="1"/>
    <s v="New Shane"/>
    <s v=" MM"/>
    <n v="92763"/>
    <n v="144582"/>
    <d v="2024-10-08T00:00:00"/>
    <x v="1"/>
    <s v="BigQuery"/>
    <s v=" PyTorch"/>
    <s v=" FastAPI"/>
    <x v="9"/>
    <n v="89"/>
    <x v="3"/>
    <n v="238"/>
  </r>
  <r>
    <n v="1594"/>
    <s v="Burton, Reynolds and Dougherty"/>
    <x v="6"/>
    <x v="5"/>
    <s v="Scikit-learn"/>
    <s v=" C++"/>
    <s v=" GCP"/>
    <s v=" FastAPI"/>
    <m/>
    <n v="137379.5"/>
    <m/>
    <s v="Senior"/>
    <x v="2"/>
    <s v="East Monicastad"/>
    <s v=" YE"/>
    <n v="87741"/>
    <n v="187018"/>
    <d v="2024-05-26T00:00:00"/>
    <x v="2"/>
    <s v="TensorFlow"/>
    <s v=" Scikit-learn"/>
    <s v=" BigQuery"/>
    <x v="1"/>
    <n v="76"/>
    <x v="2"/>
    <n v="249"/>
  </r>
  <r>
    <n v="1595"/>
    <s v="Kelly Ltd"/>
    <x v="0"/>
    <x v="5"/>
    <s v="C++"/>
    <s v=" SQL"/>
    <s v=" Reinforcement Learning"/>
    <s v=" PyTorch"/>
    <m/>
    <n v="87394"/>
    <m/>
    <s v="Entry"/>
    <x v="0"/>
    <s v="South Brett"/>
    <s v=" ML"/>
    <n v="70119"/>
    <n v="104669"/>
    <d v="2024-11-07T00:00:00"/>
    <x v="1"/>
    <s v="LangChain"/>
    <s v=" Scikit-learn"/>
    <m/>
    <x v="8"/>
    <n v="84"/>
    <x v="4"/>
    <n v="268"/>
  </r>
  <r>
    <n v="1596"/>
    <s v="Thompson, Morris and Griffin"/>
    <x v="3"/>
    <x v="5"/>
    <s v="AWS"/>
    <s v=" SQL"/>
    <s v=" Reinforcement Learning"/>
    <s v=" Keras"/>
    <s v=" Flask"/>
    <n v="125589.5"/>
    <s v=" C++"/>
    <s v="Mid"/>
    <x v="1"/>
    <s v="Michaelside"/>
    <s v=" TV"/>
    <n v="96233"/>
    <n v="154946"/>
    <d v="2025-07-03T00:00:00"/>
    <x v="2"/>
    <s v="Scikit-learn"/>
    <m/>
    <m/>
    <x v="10"/>
    <n v="97"/>
    <x v="7"/>
    <n v="255"/>
  </r>
  <r>
    <n v="1597"/>
    <s v="Carr Inc"/>
    <x v="0"/>
    <x v="5"/>
    <s v="SQL"/>
    <s v=" R"/>
    <s v=" MLflow"/>
    <s v=" Flask"/>
    <s v=" Reinforcement Learning"/>
    <n v="120906"/>
    <s v=" Python"/>
    <s v="Mid"/>
    <x v="0"/>
    <s v="Browntown"/>
    <s v=" KR"/>
    <n v="84163"/>
    <n v="157649"/>
    <d v="2024-05-08T00:00:00"/>
    <x v="0"/>
    <s v="BigQuery"/>
    <s v=" LangChain"/>
    <s v=" KDB+"/>
    <x v="17"/>
    <n v="88"/>
    <x v="3"/>
    <n v="238"/>
  </r>
  <r>
    <n v="1598"/>
    <s v="Townsend, Strickland and Rodriguez"/>
    <x v="5"/>
    <x v="2"/>
    <s v="GCP"/>
    <s v=" Azure"/>
    <s v=" AWS"/>
    <s v=" SQL"/>
    <s v=" MLflow"/>
    <n v="150567.5"/>
    <s v=" CUDA"/>
    <s v="Mid"/>
    <x v="1"/>
    <s v="East Michael"/>
    <s v=" MD"/>
    <n v="108145"/>
    <n v="192990"/>
    <d v="2024-06-30T00:00:00"/>
    <x v="2"/>
    <s v="TensorFlow"/>
    <s v=" KDB+"/>
    <s v=" FastAPI"/>
    <x v="4"/>
    <n v="78"/>
    <x v="2"/>
    <n v="249"/>
  </r>
  <r>
    <n v="1599"/>
    <s v="Pineda Inc"/>
    <x v="4"/>
    <x v="1"/>
    <s v="Keras"/>
    <s v=" GCP"/>
    <s v=" CUDA"/>
    <s v=" AWS"/>
    <s v=" PyTorch"/>
    <n v="151198.5"/>
    <m/>
    <s v="Mid"/>
    <x v="0"/>
    <s v="Lauriehaven"/>
    <s v=" CV"/>
    <n v="108715"/>
    <n v="193682"/>
    <d v="2025-08-22T00:00:00"/>
    <x v="0"/>
    <s v="BigQuery"/>
    <m/>
    <m/>
    <x v="7"/>
    <n v="96"/>
    <x v="3"/>
    <n v="238"/>
  </r>
  <r>
    <n v="1600"/>
    <s v="Hudson and Sons"/>
    <x v="4"/>
    <x v="2"/>
    <s v="Python"/>
    <s v=" AWS"/>
    <s v=" PyTorch"/>
    <s v=" NumPy"/>
    <m/>
    <n v="173480.5"/>
    <m/>
    <s v="Senior"/>
    <x v="0"/>
    <s v="East Keithview"/>
    <s v=" AR"/>
    <n v="147144"/>
    <n v="199817"/>
    <d v="2025-03-09T00:00:00"/>
    <x v="0"/>
    <s v="MLflow"/>
    <m/>
    <m/>
    <x v="5"/>
    <n v="94"/>
    <x v="6"/>
    <n v="259"/>
  </r>
  <r>
    <n v="1601"/>
    <s v="Miller-Burton"/>
    <x v="5"/>
    <x v="2"/>
    <s v="PyTorch"/>
    <s v=" GCP"/>
    <s v=" Scikit-learn"/>
    <s v=" LangChain"/>
    <s v=" Reinforcement Learning"/>
    <n v="185305.5"/>
    <s v=" Keras"/>
    <s v="Entry"/>
    <x v="3"/>
    <s v="West Kennethton"/>
    <s v=" PA"/>
    <n v="145610"/>
    <n v="225001"/>
    <d v="2024-08-17T00:00:00"/>
    <x v="2"/>
    <s v="TensorFlow"/>
    <m/>
    <m/>
    <x v="14"/>
    <n v="92"/>
    <x v="2"/>
    <n v="249"/>
  </r>
  <r>
    <n v="1602"/>
    <s v="Murillo Inc"/>
    <x v="0"/>
    <x v="1"/>
    <s v="Azure"/>
    <s v=" Hugging Face"/>
    <s v=" Excel"/>
    <s v=" Scikit-learn"/>
    <m/>
    <n v="103692.5"/>
    <m/>
    <s v="Mid"/>
    <x v="2"/>
    <s v="Jonesburgh"/>
    <s v=" BH"/>
    <n v="60515"/>
    <n v="146870"/>
    <d v="2025-02-04T00:00:00"/>
    <x v="1"/>
    <s v="PyTorch"/>
    <s v=" FastAPI"/>
    <s v=" TensorFlow"/>
    <x v="15"/>
    <n v="90"/>
    <x v="5"/>
    <n v="233"/>
  </r>
  <r>
    <n v="1603"/>
    <s v="Alvarez-Butler"/>
    <x v="1"/>
    <x v="0"/>
    <s v="C++"/>
    <s v=" CUDA"/>
    <s v=" Scikit-learn"/>
    <s v=" Keras"/>
    <m/>
    <n v="157180"/>
    <m/>
    <s v="Entry"/>
    <x v="1"/>
    <s v="North James"/>
    <s v=" HT"/>
    <n v="120811"/>
    <n v="193549"/>
    <d v="2025-08-18T00:00:00"/>
    <x v="1"/>
    <s v="KDB+"/>
    <s v=" BigQuery"/>
    <m/>
    <x v="8"/>
    <n v="84"/>
    <x v="0"/>
    <n v="247"/>
  </r>
  <r>
    <n v="1604"/>
    <s v="Glenn-Brady"/>
    <x v="6"/>
    <x v="4"/>
    <s v="FastAPI"/>
    <s v=" Scikit-learn"/>
    <s v=" AWS"/>
    <s v=" NumPy"/>
    <m/>
    <n v="94152"/>
    <m/>
    <s v="Mid"/>
    <x v="3"/>
    <s v="North Dakota"/>
    <s v=" TW"/>
    <n v="61543"/>
    <n v="126761"/>
    <d v="2025-07-27T00:00:00"/>
    <x v="2"/>
    <s v="TensorFlow"/>
    <m/>
    <m/>
    <x v="20"/>
    <n v="111"/>
    <x v="2"/>
    <n v="249"/>
  </r>
  <r>
    <n v="1605"/>
    <s v="Bryant-Martin"/>
    <x v="0"/>
    <x v="3"/>
    <s v="Reinforcement Learning"/>
    <s v=" Flask"/>
    <s v=" NumPy"/>
    <s v=" Keras"/>
    <m/>
    <n v="152638"/>
    <m/>
    <s v="Entry"/>
    <x v="1"/>
    <s v="East John"/>
    <s v=" NR"/>
    <n v="147220"/>
    <n v="158056"/>
    <d v="2024-10-17T00:00:00"/>
    <x v="2"/>
    <s v="MLflow"/>
    <s v=" PyTorch"/>
    <s v=" FastAPI"/>
    <x v="21"/>
    <n v="104"/>
    <x v="6"/>
    <n v="259"/>
  </r>
  <r>
    <n v="1606"/>
    <s v="Bailey PLC"/>
    <x v="6"/>
    <x v="0"/>
    <s v="Hugging Face"/>
    <s v=" Excel"/>
    <s v=" SQL"/>
    <s v=" LangChain"/>
    <m/>
    <n v="111883.5"/>
    <m/>
    <s v="Mid"/>
    <x v="2"/>
    <s v="Port Elizabeth"/>
    <s v=" SY"/>
    <n v="63354"/>
    <n v="160413"/>
    <d v="2023-11-27T00:00:00"/>
    <x v="2"/>
    <s v="KDB+"/>
    <s v=" BigQuery"/>
    <m/>
    <x v="9"/>
    <n v="89"/>
    <x v="0"/>
    <n v="247"/>
  </r>
  <r>
    <n v="1607"/>
    <s v="Swanson, Young and Martin"/>
    <x v="1"/>
    <x v="4"/>
    <s v="PyTorch"/>
    <s v=" LangChain"/>
    <s v=" FastAPI"/>
    <m/>
    <m/>
    <n v="153020.5"/>
    <m/>
    <s v="Senior"/>
    <x v="0"/>
    <s v="East Alexis"/>
    <s v=" LK"/>
    <n v="131169"/>
    <n v="174872"/>
    <d v="2024-02-15T00:00:00"/>
    <x v="1"/>
    <s v="KDB+"/>
    <m/>
    <m/>
    <x v="14"/>
    <n v="92"/>
    <x v="0"/>
    <n v="247"/>
  </r>
  <r>
    <n v="1608"/>
    <s v="Hancock-Wiggins"/>
    <x v="0"/>
    <x v="3"/>
    <s v="Scikit-learn"/>
    <s v=" NumPy"/>
    <s v=" Power BI"/>
    <s v=" Azure"/>
    <s v=" FastAPI"/>
    <n v="88227"/>
    <s v=" Reinforcement Learning"/>
    <s v="Senior"/>
    <x v="0"/>
    <s v="North Adamburgh"/>
    <s v=" AO"/>
    <n v="41566"/>
    <n v="134888"/>
    <d v="2024-08-03T00:00:00"/>
    <x v="2"/>
    <s v="FastAPI"/>
    <s v=" LangChain"/>
    <s v=" TensorFlow"/>
    <x v="1"/>
    <n v="76"/>
    <x v="1"/>
    <n v="251"/>
  </r>
  <r>
    <n v="1609"/>
    <s v="Mcconnell Ltd"/>
    <x v="4"/>
    <x v="4"/>
    <s v="Keras"/>
    <s v=" GCP"/>
    <s v=" PyTorch"/>
    <m/>
    <m/>
    <n v="164671.5"/>
    <m/>
    <s v="Senior"/>
    <x v="1"/>
    <s v="New Allisonshire"/>
    <s v=" MN"/>
    <n v="118883"/>
    <n v="210460"/>
    <d v="2025-02-08T00:00:00"/>
    <x v="2"/>
    <s v="Scikit-learn"/>
    <m/>
    <m/>
    <x v="7"/>
    <n v="96"/>
    <x v="7"/>
    <n v="255"/>
  </r>
  <r>
    <n v="1610"/>
    <s v="Patton and Sons"/>
    <x v="1"/>
    <x v="3"/>
    <s v="Scikit-learn"/>
    <s v=" MLflow"/>
    <s v=" Python"/>
    <s v=" R"/>
    <s v=" Pandas"/>
    <n v="110970.5"/>
    <s v=" FastAPI"/>
    <s v="Senior"/>
    <x v="1"/>
    <s v="Jacktown"/>
    <s v=" TW"/>
    <n v="95354"/>
    <n v="126587"/>
    <d v="2025-06-10T00:00:00"/>
    <x v="2"/>
    <s v="MLflow"/>
    <m/>
    <m/>
    <x v="1"/>
    <n v="76"/>
    <x v="6"/>
    <n v="259"/>
  </r>
  <r>
    <n v="1611"/>
    <s v="Gray-Dixon"/>
    <x v="0"/>
    <x v="1"/>
    <s v="AWS"/>
    <s v=" GCP"/>
    <s v=" CUDA"/>
    <s v=" MLflow"/>
    <m/>
    <n v="179130.5"/>
    <m/>
    <s v="Senior"/>
    <x v="0"/>
    <s v="West Maria"/>
    <s v=" ML"/>
    <n v="142291"/>
    <n v="215970"/>
    <d v="2023-10-01T00:00:00"/>
    <x v="2"/>
    <s v="LangChain"/>
    <s v=" KDB+"/>
    <s v=" FastAPI"/>
    <x v="10"/>
    <n v="97"/>
    <x v="4"/>
    <n v="268"/>
  </r>
  <r>
    <n v="1612"/>
    <s v="Miller, Casey and Gray"/>
    <x v="3"/>
    <x v="1"/>
    <s v="Scikit-learn"/>
    <s v=" Excel"/>
    <s v=" Power BI"/>
    <s v=" Python"/>
    <m/>
    <n v="56335.5"/>
    <m/>
    <s v="Entry"/>
    <x v="3"/>
    <s v="South Michael"/>
    <s v=" CD"/>
    <n v="40629"/>
    <n v="72042"/>
    <d v="2025-05-23T00:00:00"/>
    <x v="1"/>
    <s v="KDB+"/>
    <m/>
    <m/>
    <x v="1"/>
    <n v="76"/>
    <x v="0"/>
    <n v="247"/>
  </r>
  <r>
    <n v="1613"/>
    <s v="Andersen Inc"/>
    <x v="1"/>
    <x v="5"/>
    <s v="LangChain"/>
    <s v=" Pandas"/>
    <s v=" Reinforcement Learning"/>
    <s v=" R"/>
    <s v=" FastAPI"/>
    <n v="100540"/>
    <m/>
    <s v="Mid"/>
    <x v="3"/>
    <s v="Smithbury"/>
    <s v=" BT"/>
    <n v="54969"/>
    <n v="146111"/>
    <d v="2023-11-10T00:00:00"/>
    <x v="1"/>
    <s v="MLflow"/>
    <s v=" KDB+"/>
    <s v=" PyTorch"/>
    <x v="12"/>
    <n v="100"/>
    <x v="6"/>
    <n v="259"/>
  </r>
  <r>
    <n v="1614"/>
    <s v="Bernard, Henry and Zamora"/>
    <x v="3"/>
    <x v="4"/>
    <s v="PyTorch"/>
    <s v=" Power BI"/>
    <s v=" Pandas"/>
    <s v=" Hugging Face"/>
    <m/>
    <n v="129939.5"/>
    <m/>
    <s v="Mid"/>
    <x v="1"/>
    <s v="Breannahaven"/>
    <s v=" MA"/>
    <n v="108252"/>
    <n v="151627"/>
    <d v="2025-08-21T00:00:00"/>
    <x v="2"/>
    <s v="BigQuery"/>
    <m/>
    <m/>
    <x v="14"/>
    <n v="92"/>
    <x v="3"/>
    <n v="238"/>
  </r>
  <r>
    <n v="1615"/>
    <s v="Frost Ltd"/>
    <x v="3"/>
    <x v="7"/>
    <s v="Hugging Face"/>
    <s v=" SQL"/>
    <s v=" LangChain"/>
    <s v=" FastAPI"/>
    <s v=" Flask"/>
    <n v="111402"/>
    <m/>
    <s v="Senior"/>
    <x v="3"/>
    <s v="Vazquezton"/>
    <s v=" BH"/>
    <n v="70656"/>
    <n v="152148"/>
    <d v="2024-04-23T00:00:00"/>
    <x v="2"/>
    <s v="MLflow"/>
    <s v=" TensorFlow"/>
    <m/>
    <x v="9"/>
    <n v="89"/>
    <x v="6"/>
    <n v="259"/>
  </r>
  <r>
    <n v="1616"/>
    <s v="Lewis Group"/>
    <x v="4"/>
    <x v="3"/>
    <s v="FastAPI"/>
    <s v=" C++"/>
    <s v=" MLflow"/>
    <m/>
    <m/>
    <n v="100218"/>
    <m/>
    <s v="Senior"/>
    <x v="2"/>
    <s v="Williamland"/>
    <s v=" KN"/>
    <n v="73293"/>
    <n v="127143"/>
    <d v="2025-05-09T00:00:00"/>
    <x v="2"/>
    <s v="FastAPI"/>
    <s v=" TensorFlow"/>
    <m/>
    <x v="20"/>
    <n v="111"/>
    <x v="1"/>
    <n v="251"/>
  </r>
  <r>
    <n v="1617"/>
    <s v="Tucker, Strong and Bond"/>
    <x v="6"/>
    <x v="7"/>
    <s v="R"/>
    <s v=" C++"/>
    <s v=" Keras"/>
    <s v=" Excel"/>
    <s v=" Azure"/>
    <n v="78485"/>
    <m/>
    <s v="Mid"/>
    <x v="3"/>
    <s v="Wilsonmouth"/>
    <s v=" PW"/>
    <n v="58659"/>
    <n v="98311"/>
    <d v="2024-04-13T00:00:00"/>
    <x v="0"/>
    <s v="MLflow"/>
    <s v=" PyTorch"/>
    <s v=" Scikit-learn"/>
    <x v="11"/>
    <n v="86"/>
    <x v="6"/>
    <n v="259"/>
  </r>
  <r>
    <n v="1618"/>
    <s v="Livingston-Phillips"/>
    <x v="4"/>
    <x v="6"/>
    <s v="PyTorch"/>
    <s v=" SQL"/>
    <s v=" Python"/>
    <m/>
    <m/>
    <n v="132373.5"/>
    <m/>
    <s v="Entry"/>
    <x v="3"/>
    <s v="Knightstad"/>
    <s v=" BD"/>
    <n v="124301"/>
    <n v="140446"/>
    <d v="2024-08-31T00:00:00"/>
    <x v="2"/>
    <s v="FastAPI"/>
    <s v=" LangChain"/>
    <m/>
    <x v="14"/>
    <n v="92"/>
    <x v="1"/>
    <n v="251"/>
  </r>
  <r>
    <n v="1619"/>
    <s v="Snyder Group"/>
    <x v="6"/>
    <x v="2"/>
    <s v="TensorFlow"/>
    <s v=" GCP"/>
    <s v=" CUDA"/>
    <s v=" R"/>
    <m/>
    <n v="126301.5"/>
    <m/>
    <s v="Entry"/>
    <x v="2"/>
    <s v="Jenniferburgh"/>
    <s v=" AE"/>
    <n v="113791"/>
    <n v="138812"/>
    <d v="2023-09-21T00:00:00"/>
    <x v="0"/>
    <s v="LangChain"/>
    <m/>
    <m/>
    <x v="19"/>
    <n v="95"/>
    <x v="4"/>
    <n v="268"/>
  </r>
  <r>
    <n v="1620"/>
    <s v="Herman, Johnson and Barnes"/>
    <x v="1"/>
    <x v="0"/>
    <s v="SQL"/>
    <s v=" CUDA"/>
    <s v=" LangChain"/>
    <s v=" Scikit-learn"/>
    <s v=" Reinforcement Learning"/>
    <n v="184067"/>
    <m/>
    <s v="Mid"/>
    <x v="3"/>
    <s v="Maciasfort"/>
    <s v=" LR"/>
    <n v="145000"/>
    <n v="223134"/>
    <d v="2025-05-09T00:00:00"/>
    <x v="0"/>
    <s v="KDB+"/>
    <s v=" LangChain"/>
    <s v=" BigQuery"/>
    <x v="17"/>
    <n v="88"/>
    <x v="0"/>
    <n v="247"/>
  </r>
  <r>
    <n v="1621"/>
    <s v="Perez-Bailey"/>
    <x v="3"/>
    <x v="2"/>
    <s v="AWS"/>
    <s v=" Power BI"/>
    <s v=" FastAPI"/>
    <m/>
    <m/>
    <n v="103433.5"/>
    <m/>
    <s v="Entry"/>
    <x v="2"/>
    <s v="Santiagoshire"/>
    <s v=" PH"/>
    <n v="90927"/>
    <n v="115940"/>
    <d v="2023-12-04T00:00:00"/>
    <x v="1"/>
    <s v="MLflow"/>
    <s v=" BigQuery"/>
    <m/>
    <x v="10"/>
    <n v="97"/>
    <x v="6"/>
    <n v="259"/>
  </r>
  <r>
    <n v="1622"/>
    <s v="Summers, Swanson and Brown"/>
    <x v="1"/>
    <x v="6"/>
    <s v="Reinforcement Learning"/>
    <s v=" SQL"/>
    <s v=" C++"/>
    <s v=" Pandas"/>
    <m/>
    <n v="88403.5"/>
    <m/>
    <s v="Entry"/>
    <x v="3"/>
    <s v="West Cynthiaburgh"/>
    <s v=" AD"/>
    <n v="81624"/>
    <n v="95183"/>
    <d v="2023-12-28T00:00:00"/>
    <x v="2"/>
    <s v="BigQuery"/>
    <s v=" FastAPI"/>
    <s v=" MLflow"/>
    <x v="21"/>
    <n v="104"/>
    <x v="3"/>
    <n v="238"/>
  </r>
  <r>
    <n v="1623"/>
    <s v="Schmidt-Payne"/>
    <x v="2"/>
    <x v="1"/>
    <s v="Reinforcement Learning"/>
    <s v=" PyTorch"/>
    <s v=" GCP"/>
    <s v=" R"/>
    <s v=" Excel"/>
    <n v="109860.5"/>
    <m/>
    <s v="Senior"/>
    <x v="0"/>
    <s v="Kyleside"/>
    <s v=" JP"/>
    <n v="99722"/>
    <n v="119999"/>
    <d v="2024-02-26T00:00:00"/>
    <x v="2"/>
    <s v="LangChain"/>
    <s v=" KDB+"/>
    <m/>
    <x v="21"/>
    <n v="104"/>
    <x v="4"/>
    <n v="268"/>
  </r>
  <r>
    <n v="1624"/>
    <s v="Ortiz, Hill and Anderson"/>
    <x v="0"/>
    <x v="0"/>
    <s v="Pandas"/>
    <s v=" Excel"/>
    <s v=" FastAPI"/>
    <s v=" Reinforcement Learning"/>
    <s v=" LangChain"/>
    <n v="125039"/>
    <m/>
    <s v="Entry"/>
    <x v="3"/>
    <s v="West Cynthiaton"/>
    <s v=" SM"/>
    <n v="102547"/>
    <n v="147531"/>
    <d v="2024-01-11T00:00:00"/>
    <x v="2"/>
    <s v="TensorFlow"/>
    <s v=" FastAPI"/>
    <s v=" PyTorch"/>
    <x v="6"/>
    <n v="78"/>
    <x v="2"/>
    <n v="249"/>
  </r>
  <r>
    <n v="1625"/>
    <s v="Dalton-Galloway"/>
    <x v="4"/>
    <x v="4"/>
    <s v="Azure"/>
    <s v=" Excel"/>
    <s v=" Power BI"/>
    <s v=" C++"/>
    <s v=" NumPy"/>
    <n v="151443.5"/>
    <m/>
    <s v="Mid"/>
    <x v="1"/>
    <s v="East Priscilla"/>
    <s v=" DO"/>
    <n v="124126"/>
    <n v="178761"/>
    <d v="2024-12-04T00:00:00"/>
    <x v="1"/>
    <s v="KDB+"/>
    <s v=" FastAPI"/>
    <s v=" MLflow"/>
    <x v="15"/>
    <n v="90"/>
    <x v="0"/>
    <n v="247"/>
  </r>
  <r>
    <n v="1626"/>
    <s v="Brown-Garcia"/>
    <x v="0"/>
    <x v="1"/>
    <s v="PyTorch"/>
    <s v=" AWS"/>
    <s v=" LangChain"/>
    <s v=" Pandas"/>
    <s v=" GCP"/>
    <n v="150204"/>
    <m/>
    <s v="Mid"/>
    <x v="1"/>
    <s v="Dillonville"/>
    <s v=" TL"/>
    <n v="100455"/>
    <n v="199953"/>
    <d v="2024-04-28T00:00:00"/>
    <x v="1"/>
    <s v="FastAPI"/>
    <s v=" LangChain"/>
    <m/>
    <x v="14"/>
    <n v="92"/>
    <x v="1"/>
    <n v="251"/>
  </r>
  <r>
    <n v="1627"/>
    <s v="Ramirez, Morrison and Shaffer"/>
    <x v="0"/>
    <x v="3"/>
    <s v="SQL"/>
    <s v=" Azure"/>
    <s v=" MLflow"/>
    <s v=" LangChain"/>
    <m/>
    <n v="179766"/>
    <m/>
    <s v="Mid"/>
    <x v="0"/>
    <s v="East Bobbymouth"/>
    <s v=" LU"/>
    <n v="142229"/>
    <n v="217303"/>
    <d v="2024-12-12T00:00:00"/>
    <x v="1"/>
    <s v="KDB+"/>
    <m/>
    <m/>
    <x v="17"/>
    <n v="88"/>
    <x v="0"/>
    <n v="247"/>
  </r>
  <r>
    <n v="1628"/>
    <s v="Fisher LLC"/>
    <x v="5"/>
    <x v="6"/>
    <s v="AWS"/>
    <s v=" NumPy"/>
    <s v=" CUDA"/>
    <s v=" Azure"/>
    <s v=" SQL"/>
    <n v="132422.5"/>
    <s v=" Hugging Face"/>
    <s v="Mid"/>
    <x v="0"/>
    <s v="Changview"/>
    <s v=" CU"/>
    <n v="99303"/>
    <n v="165542"/>
    <d v="2024-06-24T00:00:00"/>
    <x v="1"/>
    <s v="TensorFlow"/>
    <s v=" FastAPI"/>
    <m/>
    <x v="10"/>
    <n v="97"/>
    <x v="2"/>
    <n v="249"/>
  </r>
  <r>
    <n v="1629"/>
    <s v="Barnes-Gonzalez"/>
    <x v="5"/>
    <x v="6"/>
    <s v="Keras"/>
    <s v=" PyTorch"/>
    <s v=" Azure"/>
    <s v=" C++"/>
    <s v=" Python"/>
    <n v="161002"/>
    <s v=" LangChain"/>
    <s v="Mid"/>
    <x v="3"/>
    <s v="New Cameron"/>
    <s v=" IR"/>
    <n v="127730"/>
    <n v="194274"/>
    <d v="2024-06-30T00:00:00"/>
    <x v="1"/>
    <s v="LangChain"/>
    <m/>
    <m/>
    <x v="7"/>
    <n v="96"/>
    <x v="4"/>
    <n v="268"/>
  </r>
  <r>
    <n v="1630"/>
    <s v="Mann, Taylor and Martin"/>
    <x v="1"/>
    <x v="1"/>
    <s v="LangChain"/>
    <s v=" Scikit-learn"/>
    <s v=" Hugging Face"/>
    <m/>
    <m/>
    <n v="114350.5"/>
    <m/>
    <s v="Mid"/>
    <x v="0"/>
    <s v="Wendytown"/>
    <s v=" KR"/>
    <n v="68119"/>
    <n v="160582"/>
    <d v="2024-02-10T00:00:00"/>
    <x v="2"/>
    <s v="MLflow"/>
    <s v=" Scikit-learn"/>
    <s v=" FastAPI"/>
    <x v="12"/>
    <n v="100"/>
    <x v="6"/>
    <n v="259"/>
  </r>
  <r>
    <n v="1631"/>
    <s v="Bush and Sons"/>
    <x v="3"/>
    <x v="1"/>
    <s v="PyTorch"/>
    <s v=" CUDA"/>
    <s v=" Keras"/>
    <m/>
    <m/>
    <n v="82124.5"/>
    <m/>
    <s v="Entry"/>
    <x v="2"/>
    <s v="Robertstown"/>
    <s v=" GA"/>
    <n v="72082"/>
    <n v="92167"/>
    <d v="2025-05-23T00:00:00"/>
    <x v="2"/>
    <s v="BigQuery"/>
    <m/>
    <m/>
    <x v="14"/>
    <n v="92"/>
    <x v="3"/>
    <n v="238"/>
  </r>
  <r>
    <n v="1632"/>
    <s v="Callahan, Sullivan and Flynn"/>
    <x v="6"/>
    <x v="1"/>
    <s v="Hugging Face"/>
    <s v=" GCP"/>
    <s v=" R"/>
    <s v=" Scikit-learn"/>
    <m/>
    <n v="138121"/>
    <m/>
    <s v="Mid"/>
    <x v="0"/>
    <s v="Port Jennifer"/>
    <s v=" ES"/>
    <n v="124909"/>
    <n v="151333"/>
    <d v="2023-10-06T00:00:00"/>
    <x v="0"/>
    <s v="MLflow"/>
    <s v=" TensorFlow"/>
    <s v=" KDB+"/>
    <x v="9"/>
    <n v="89"/>
    <x v="6"/>
    <n v="259"/>
  </r>
  <r>
    <n v="1633"/>
    <s v="Joseph-Romero"/>
    <x v="6"/>
    <x v="4"/>
    <s v="Power BI"/>
    <s v=" LangChain"/>
    <s v=" FastAPI"/>
    <s v=" Flask"/>
    <s v=" SQL"/>
    <n v="150454"/>
    <s v=" Scikit-learn"/>
    <s v="Mid"/>
    <x v="2"/>
    <s v="Kristenberg"/>
    <s v=" AL"/>
    <n v="102584"/>
    <n v="198324"/>
    <d v="2024-10-15T00:00:00"/>
    <x v="2"/>
    <s v="BigQuery"/>
    <s v=" MLflow"/>
    <s v=" TensorFlow"/>
    <x v="18"/>
    <n v="96"/>
    <x v="3"/>
    <n v="238"/>
  </r>
  <r>
    <n v="1634"/>
    <s v="Singh, Shannon and Castaneda"/>
    <x v="5"/>
    <x v="2"/>
    <s v="NumPy"/>
    <s v=" Reinforcement Learning"/>
    <s v=" GCP"/>
    <s v=" Azure"/>
    <s v=" LangChain"/>
    <n v="62985.5"/>
    <s v=" Scikit-learn"/>
    <s v="Entry"/>
    <x v="3"/>
    <s v="West Justin"/>
    <s v=" IN"/>
    <n v="51986"/>
    <n v="73985"/>
    <d v="2024-10-14T00:00:00"/>
    <x v="1"/>
    <s v="KDB+"/>
    <s v=" TensorFlow"/>
    <s v=" LangChain"/>
    <x v="0"/>
    <n v="104"/>
    <x v="0"/>
    <n v="247"/>
  </r>
  <r>
    <n v="1635"/>
    <s v="Johnson, Sweeney and Hall"/>
    <x v="1"/>
    <x v="7"/>
    <s v="Azure"/>
    <s v=" Flask"/>
    <s v=" PyTorch"/>
    <s v=" Excel"/>
    <s v=" Pandas"/>
    <n v="164670.5"/>
    <m/>
    <s v="Mid"/>
    <x v="2"/>
    <s v="Lindachester"/>
    <s v=" PA"/>
    <n v="132003"/>
    <n v="197338"/>
    <d v="2024-09-20T00:00:00"/>
    <x v="2"/>
    <s v="FastAPI"/>
    <s v=" MLflow"/>
    <s v=" PyTorch"/>
    <x v="15"/>
    <n v="90"/>
    <x v="1"/>
    <n v="251"/>
  </r>
  <r>
    <n v="1636"/>
    <s v="Wu Inc"/>
    <x v="0"/>
    <x v="0"/>
    <s v="TensorFlow"/>
    <s v=" Power BI"/>
    <s v=" MLflow"/>
    <s v=" Flask"/>
    <s v=" CUDA"/>
    <n v="74229.5"/>
    <s v=" Reinforcement Learning"/>
    <s v="Entry"/>
    <x v="3"/>
    <s v="Barnesfurt"/>
    <s v=" SV"/>
    <n v="44162"/>
    <n v="104297"/>
    <d v="2025-07-03T00:00:00"/>
    <x v="0"/>
    <s v="BigQuery"/>
    <s v=" FastAPI"/>
    <s v=" MLflow"/>
    <x v="19"/>
    <n v="95"/>
    <x v="3"/>
    <n v="238"/>
  </r>
  <r>
    <n v="1637"/>
    <s v="Lopez-Williams"/>
    <x v="0"/>
    <x v="0"/>
    <s v="PyTorch"/>
    <s v=" NumPy"/>
    <s v=" SQL"/>
    <s v=" FastAPI"/>
    <m/>
    <n v="87503"/>
    <m/>
    <s v="Senior"/>
    <x v="2"/>
    <s v="North Mark"/>
    <s v=" IN"/>
    <n v="62381"/>
    <n v="112625"/>
    <d v="2024-07-23T00:00:00"/>
    <x v="1"/>
    <s v="FastAPI"/>
    <m/>
    <m/>
    <x v="14"/>
    <n v="92"/>
    <x v="1"/>
    <n v="251"/>
  </r>
  <r>
    <n v="1638"/>
    <s v="Hughes-Figueroa"/>
    <x v="0"/>
    <x v="1"/>
    <s v="TensorFlow"/>
    <s v=" Pandas"/>
    <s v=" Excel"/>
    <s v=" LangChain"/>
    <s v=" MLflow"/>
    <n v="164225"/>
    <m/>
    <s v="Entry"/>
    <x v="1"/>
    <s v="Castilloborough"/>
    <s v=" CH"/>
    <n v="144304"/>
    <n v="184146"/>
    <d v="2025-05-07T00:00:00"/>
    <x v="1"/>
    <s v="MLflow"/>
    <s v=" BigQuery"/>
    <m/>
    <x v="19"/>
    <n v="95"/>
    <x v="6"/>
    <n v="259"/>
  </r>
  <r>
    <n v="1639"/>
    <s v="Randall, Grant and Rosario"/>
    <x v="2"/>
    <x v="7"/>
    <s v="Hugging Face"/>
    <s v=" FastAPI"/>
    <s v=" AWS"/>
    <s v=" Scikit-learn"/>
    <s v=" Keras"/>
    <n v="96766"/>
    <m/>
    <s v="Mid"/>
    <x v="1"/>
    <s v="Kimberlyfort"/>
    <s v=" BJ"/>
    <n v="55918"/>
    <n v="137614"/>
    <d v="2025-06-08T00:00:00"/>
    <x v="2"/>
    <s v="KDB+"/>
    <s v=" FastAPI"/>
    <m/>
    <x v="9"/>
    <n v="89"/>
    <x v="0"/>
    <n v="247"/>
  </r>
  <r>
    <n v="1640"/>
    <s v="Griffith Ltd"/>
    <x v="3"/>
    <x v="6"/>
    <s v="SQL"/>
    <s v=" Pandas"/>
    <s v=" AWS"/>
    <s v=" Power BI"/>
    <s v=" Scikit-learn"/>
    <n v="103486.5"/>
    <m/>
    <s v="Entry"/>
    <x v="2"/>
    <s v="Johnstad"/>
    <s v=" ET"/>
    <n v="59275"/>
    <n v="147698"/>
    <d v="2025-03-17T00:00:00"/>
    <x v="1"/>
    <s v="Scikit-learn"/>
    <s v=" PyTorch"/>
    <m/>
    <x v="17"/>
    <n v="88"/>
    <x v="7"/>
    <n v="255"/>
  </r>
  <r>
    <n v="1641"/>
    <s v="Smith, Woods and Tucker"/>
    <x v="6"/>
    <x v="0"/>
    <s v="TensorFlow"/>
    <s v=" AWS"/>
    <s v=" Flask"/>
    <m/>
    <m/>
    <n v="80896.5"/>
    <m/>
    <s v="Mid"/>
    <x v="0"/>
    <s v="South Dylanmouth"/>
    <s v=" SY"/>
    <n v="51956"/>
    <n v="109837"/>
    <d v="2025-08-10T00:00:00"/>
    <x v="1"/>
    <s v="KDB+"/>
    <m/>
    <m/>
    <x v="19"/>
    <n v="95"/>
    <x v="0"/>
    <n v="247"/>
  </r>
  <r>
    <n v="1642"/>
    <s v="Frazier Inc"/>
    <x v="5"/>
    <x v="6"/>
    <s v="Hugging Face"/>
    <s v=" FastAPI"/>
    <s v=" TensorFlow"/>
    <s v=" GCP"/>
    <m/>
    <n v="71305"/>
    <m/>
    <s v="Mid"/>
    <x v="2"/>
    <s v="North Joel"/>
    <s v=" PG"/>
    <n v="61087"/>
    <n v="81523"/>
    <d v="2025-08-08T00:00:00"/>
    <x v="0"/>
    <s v="TensorFlow"/>
    <m/>
    <m/>
    <x v="9"/>
    <n v="89"/>
    <x v="2"/>
    <n v="249"/>
  </r>
  <r>
    <n v="1643"/>
    <s v="Torres, Campbell and Krause"/>
    <x v="1"/>
    <x v="3"/>
    <s v="TensorFlow"/>
    <s v=" Keras"/>
    <s v=" R"/>
    <m/>
    <m/>
    <n v="168212"/>
    <m/>
    <s v="Mid"/>
    <x v="1"/>
    <s v="East Hollyfurt"/>
    <s v=" AR"/>
    <n v="132865"/>
    <n v="203559"/>
    <d v="2024-04-07T00:00:00"/>
    <x v="0"/>
    <s v="MLflow"/>
    <s v=" TensorFlow"/>
    <s v=" KDB+"/>
    <x v="19"/>
    <n v="95"/>
    <x v="6"/>
    <n v="259"/>
  </r>
  <r>
    <n v="1644"/>
    <s v="Snyder Group"/>
    <x v="2"/>
    <x v="6"/>
    <s v="CUDA"/>
    <s v=" Azure"/>
    <s v=" Python"/>
    <s v=" Scikit-learn"/>
    <s v=" Power BI"/>
    <n v="172026"/>
    <m/>
    <s v="Senior"/>
    <x v="3"/>
    <s v="North Susan"/>
    <s v=" SG"/>
    <n v="146176"/>
    <n v="197876"/>
    <d v="2025-03-16T00:00:00"/>
    <x v="1"/>
    <s v="BigQuery"/>
    <m/>
    <m/>
    <x v="13"/>
    <n v="75"/>
    <x v="3"/>
    <n v="238"/>
  </r>
  <r>
    <n v="1645"/>
    <s v="Lucas-Morris"/>
    <x v="6"/>
    <x v="4"/>
    <s v="Azure"/>
    <s v=" TensorFlow"/>
    <s v=" AWS"/>
    <s v=" Flask"/>
    <s v=" Reinforcement Learning"/>
    <n v="104560"/>
    <s v=" LangChain"/>
    <s v="Mid"/>
    <x v="3"/>
    <s v="Jordanshire"/>
    <s v=" PS"/>
    <n v="92934"/>
    <n v="116186"/>
    <d v="2024-07-14T00:00:00"/>
    <x v="1"/>
    <s v="KDB+"/>
    <s v=" BigQuery"/>
    <m/>
    <x v="15"/>
    <n v="90"/>
    <x v="0"/>
    <n v="247"/>
  </r>
  <r>
    <n v="1646"/>
    <s v="Martinez-Weaver"/>
    <x v="3"/>
    <x v="5"/>
    <s v="Python"/>
    <s v=" Power BI"/>
    <s v=" Flask"/>
    <m/>
    <m/>
    <n v="121501"/>
    <m/>
    <s v="Senior"/>
    <x v="0"/>
    <s v="Lake Valerie"/>
    <s v=" IN"/>
    <n v="116015"/>
    <n v="126987"/>
    <d v="2024-03-22T00:00:00"/>
    <x v="0"/>
    <s v="LangChain"/>
    <s v=" KDB+"/>
    <m/>
    <x v="5"/>
    <n v="94"/>
    <x v="4"/>
    <n v="268"/>
  </r>
  <r>
    <n v="1647"/>
    <s v="Mendez and Sons"/>
    <x v="6"/>
    <x v="7"/>
    <s v="Scikit-learn"/>
    <s v=" AWS"/>
    <s v=" Python"/>
    <s v=" MLflow"/>
    <m/>
    <n v="181185"/>
    <m/>
    <s v="Senior"/>
    <x v="1"/>
    <s v="Jonesbury"/>
    <s v=" PA"/>
    <n v="141959"/>
    <n v="220411"/>
    <d v="2024-08-19T00:00:00"/>
    <x v="1"/>
    <s v="FastAPI"/>
    <m/>
    <m/>
    <x v="1"/>
    <n v="76"/>
    <x v="1"/>
    <n v="251"/>
  </r>
  <r>
    <n v="1648"/>
    <s v="Johnson, Wright and Quinn"/>
    <x v="5"/>
    <x v="6"/>
    <s v="LangChain"/>
    <s v=" R"/>
    <s v=" C++"/>
    <m/>
    <m/>
    <n v="173263.5"/>
    <m/>
    <s v="Senior"/>
    <x v="1"/>
    <s v="North Brian"/>
    <s v=" FI"/>
    <n v="139741"/>
    <n v="206786"/>
    <d v="2024-12-23T00:00:00"/>
    <x v="2"/>
    <s v="PyTorch"/>
    <s v=" Scikit-learn"/>
    <m/>
    <x v="12"/>
    <n v="100"/>
    <x v="5"/>
    <n v="233"/>
  </r>
  <r>
    <n v="1649"/>
    <s v="Mitchell, Collins and Collins"/>
    <x v="4"/>
    <x v="1"/>
    <s v="Azure"/>
    <s v=" C++"/>
    <s v=" TensorFlow"/>
    <s v=" Hugging Face"/>
    <s v=" Python"/>
    <n v="189827"/>
    <s v=" PyTorch"/>
    <s v="Senior"/>
    <x v="1"/>
    <s v="Cobbtown"/>
    <s v=" SZ"/>
    <n v="149199"/>
    <n v="230455"/>
    <d v="2025-02-06T00:00:00"/>
    <x v="0"/>
    <s v="TensorFlow"/>
    <m/>
    <m/>
    <x v="15"/>
    <n v="90"/>
    <x v="2"/>
    <n v="249"/>
  </r>
  <r>
    <n v="1650"/>
    <s v="Williams-Torres"/>
    <x v="4"/>
    <x v="0"/>
    <s v="CUDA"/>
    <s v=" SQL"/>
    <s v=" Keras"/>
    <s v=" Azure"/>
    <s v=" LangChain"/>
    <n v="138457"/>
    <s v=" Reinforcement Learning"/>
    <s v="Entry"/>
    <x v="3"/>
    <s v="Port Tiffanystad"/>
    <s v=" DO"/>
    <n v="115250"/>
    <n v="161664"/>
    <d v="2024-12-24T00:00:00"/>
    <x v="2"/>
    <s v="MLflow"/>
    <s v=" PyTorch"/>
    <m/>
    <x v="13"/>
    <n v="75"/>
    <x v="6"/>
    <n v="259"/>
  </r>
  <r>
    <n v="1651"/>
    <s v="Martinez Group"/>
    <x v="3"/>
    <x v="4"/>
    <s v="LangChain"/>
    <s v=" Keras"/>
    <s v=" Python"/>
    <s v=" FastAPI"/>
    <s v=" R"/>
    <n v="87343.5"/>
    <s v=" C++"/>
    <s v="Senior"/>
    <x v="0"/>
    <s v="Gabriellaborough"/>
    <s v=" HT"/>
    <n v="45887"/>
    <n v="128800"/>
    <d v="2025-08-23T00:00:00"/>
    <x v="2"/>
    <s v="TensorFlow"/>
    <s v=" KDB+"/>
    <s v=" PyTorch"/>
    <x v="12"/>
    <n v="100"/>
    <x v="2"/>
    <n v="249"/>
  </r>
  <r>
    <n v="1652"/>
    <s v="Weaver-Mcdonald"/>
    <x v="1"/>
    <x v="2"/>
    <s v="Python"/>
    <s v=" Power BI"/>
    <s v=" GCP"/>
    <m/>
    <m/>
    <n v="86841"/>
    <m/>
    <s v="Entry"/>
    <x v="1"/>
    <s v="West Richard"/>
    <s v=" SV"/>
    <n v="59665"/>
    <n v="114017"/>
    <d v="2024-10-26T00:00:00"/>
    <x v="1"/>
    <s v="LangChain"/>
    <m/>
    <m/>
    <x v="5"/>
    <n v="94"/>
    <x v="4"/>
    <n v="268"/>
  </r>
  <r>
    <n v="1653"/>
    <s v="Cook-Jarvis"/>
    <x v="4"/>
    <x v="3"/>
    <s v="TensorFlow"/>
    <s v=" Power BI"/>
    <s v=" Scikit-learn"/>
    <s v=" Python"/>
    <s v=" GCP"/>
    <n v="129528"/>
    <s v=" SQL"/>
    <s v="Mid"/>
    <x v="0"/>
    <s v="Jayton"/>
    <s v=" GB"/>
    <n v="109287"/>
    <n v="149769"/>
    <d v="2023-11-07T00:00:00"/>
    <x v="0"/>
    <s v="LangChain"/>
    <m/>
    <m/>
    <x v="19"/>
    <n v="95"/>
    <x v="4"/>
    <n v="268"/>
  </r>
  <r>
    <n v="1654"/>
    <s v="Moreno-Sanchez"/>
    <x v="5"/>
    <x v="7"/>
    <s v="GCP"/>
    <s v=" MLflow"/>
    <s v=" TensorFlow"/>
    <m/>
    <m/>
    <n v="152065.5"/>
    <m/>
    <s v="Mid"/>
    <x v="1"/>
    <s v="Fosterville"/>
    <s v=" TT"/>
    <n v="116431"/>
    <n v="187700"/>
    <d v="2024-09-14T00:00:00"/>
    <x v="1"/>
    <s v="KDB+"/>
    <s v=" BigQuery"/>
    <s v=" Scikit-learn"/>
    <x v="4"/>
    <n v="78"/>
    <x v="0"/>
    <n v="247"/>
  </r>
  <r>
    <n v="1655"/>
    <s v="Kline Group"/>
    <x v="3"/>
    <x v="1"/>
    <s v="Flask"/>
    <s v=" Scikit-learn"/>
    <s v=" NumPy"/>
    <m/>
    <m/>
    <n v="145092.5"/>
    <m/>
    <s v="Mid"/>
    <x v="2"/>
    <s v="Lake Donaldstad"/>
    <s v=" NP"/>
    <n v="126575"/>
    <n v="163610"/>
    <d v="2025-06-20T00:00:00"/>
    <x v="1"/>
    <s v="PyTorch"/>
    <s v=" MLflow"/>
    <s v=" TensorFlow"/>
    <x v="16"/>
    <n v="86"/>
    <x v="5"/>
    <n v="233"/>
  </r>
  <r>
    <n v="1656"/>
    <s v="Brown and Sons"/>
    <x v="2"/>
    <x v="7"/>
    <s v="NumPy"/>
    <s v=" Reinforcement Learning"/>
    <s v=" AWS"/>
    <s v=" Power BI"/>
    <s v=" PyTorch"/>
    <n v="57358.5"/>
    <s v=" SQL"/>
    <s v="Mid"/>
    <x v="2"/>
    <s v="Lake Chris"/>
    <s v=" AO"/>
    <n v="41897"/>
    <n v="72820"/>
    <d v="2024-01-13T00:00:00"/>
    <x v="2"/>
    <s v="KDB+"/>
    <s v=" MLflow"/>
    <s v=" BigQuery"/>
    <x v="0"/>
    <n v="104"/>
    <x v="0"/>
    <n v="247"/>
  </r>
  <r>
    <n v="1657"/>
    <s v="Quinn Group"/>
    <x v="1"/>
    <x v="5"/>
    <s v="Reinforcement Learning"/>
    <s v=" GCP"/>
    <s v=" TensorFlow"/>
    <s v=" Pandas"/>
    <m/>
    <n v="70578"/>
    <m/>
    <s v="Mid"/>
    <x v="1"/>
    <s v="East Michael"/>
    <s v=" UY"/>
    <n v="40844"/>
    <n v="100312"/>
    <d v="2024-09-05T00:00:00"/>
    <x v="0"/>
    <s v="FastAPI"/>
    <m/>
    <m/>
    <x v="21"/>
    <n v="104"/>
    <x v="1"/>
    <n v="251"/>
  </r>
  <r>
    <n v="1658"/>
    <s v="Mills-Mitchell"/>
    <x v="2"/>
    <x v="5"/>
    <s v="PyTorch"/>
    <s v=" NumPy"/>
    <s v=" MLflow"/>
    <m/>
    <m/>
    <n v="123764"/>
    <m/>
    <s v="Entry"/>
    <x v="0"/>
    <s v="Bryantton"/>
    <s v=" CO"/>
    <n v="100222"/>
    <n v="147306"/>
    <d v="2025-07-18T00:00:00"/>
    <x v="0"/>
    <s v="BigQuery"/>
    <s v=" FastAPI"/>
    <m/>
    <x v="14"/>
    <n v="92"/>
    <x v="3"/>
    <n v="238"/>
  </r>
  <r>
    <n v="1659"/>
    <s v="Andrews, Sanchez and Carroll"/>
    <x v="0"/>
    <x v="0"/>
    <s v="Reinforcement Learning"/>
    <s v=" Python"/>
    <s v=" PyTorch"/>
    <s v=" Keras"/>
    <m/>
    <n v="181603"/>
    <m/>
    <s v="Mid"/>
    <x v="1"/>
    <s v="Anthonyberg"/>
    <s v=" DM"/>
    <n v="140982"/>
    <n v="222224"/>
    <d v="2024-08-22T00:00:00"/>
    <x v="0"/>
    <s v="LangChain"/>
    <s v=" KDB+"/>
    <m/>
    <x v="21"/>
    <n v="104"/>
    <x v="4"/>
    <n v="268"/>
  </r>
  <r>
    <n v="1660"/>
    <s v="Smith and Sons"/>
    <x v="5"/>
    <x v="6"/>
    <s v="PyTorch"/>
    <s v=" NumPy"/>
    <s v=" Power BI"/>
    <m/>
    <m/>
    <n v="105810"/>
    <m/>
    <s v="Mid"/>
    <x v="1"/>
    <s v="Meyermouth"/>
    <s v=" GN"/>
    <n v="78788"/>
    <n v="132832"/>
    <d v="2023-12-26T00:00:00"/>
    <x v="0"/>
    <s v="KDB+"/>
    <s v=" BigQuery"/>
    <m/>
    <x v="14"/>
    <n v="92"/>
    <x v="0"/>
    <n v="247"/>
  </r>
  <r>
    <n v="1661"/>
    <s v="Smith-Hall"/>
    <x v="1"/>
    <x v="7"/>
    <s v="Flask"/>
    <s v=" Keras"/>
    <s v=" GCP"/>
    <s v=" Power BI"/>
    <m/>
    <n v="131203.5"/>
    <m/>
    <s v="Entry"/>
    <x v="3"/>
    <s v="South Dustinbury"/>
    <s v=" BY"/>
    <n v="114070"/>
    <n v="148337"/>
    <d v="2025-07-23T00:00:00"/>
    <x v="0"/>
    <s v="KDB+"/>
    <m/>
    <m/>
    <x v="16"/>
    <n v="86"/>
    <x v="0"/>
    <n v="247"/>
  </r>
  <r>
    <n v="1662"/>
    <s v="Anderson, Tucker and Phillips"/>
    <x v="0"/>
    <x v="5"/>
    <s v="Scikit-learn"/>
    <s v=" GCP"/>
    <s v=" MLflow"/>
    <m/>
    <m/>
    <n v="85302"/>
    <m/>
    <s v="Mid"/>
    <x v="3"/>
    <s v="Jenniferborough"/>
    <s v=" CO"/>
    <n v="76395"/>
    <n v="94209"/>
    <d v="2023-12-08T00:00:00"/>
    <x v="0"/>
    <s v="FastAPI"/>
    <s v=" Scikit-learn"/>
    <s v=" LangChain"/>
    <x v="1"/>
    <n v="76"/>
    <x v="1"/>
    <n v="251"/>
  </r>
  <r>
    <n v="1663"/>
    <s v="Kirk-Meyers"/>
    <x v="6"/>
    <x v="4"/>
    <s v="Scikit-learn"/>
    <s v=" CUDA"/>
    <s v=" Python"/>
    <m/>
    <m/>
    <n v="102844.5"/>
    <m/>
    <s v="Entry"/>
    <x v="0"/>
    <s v="New Jose"/>
    <s v=" ET"/>
    <n v="90605"/>
    <n v="115084"/>
    <d v="2024-03-15T00:00:00"/>
    <x v="1"/>
    <s v="PyTorch"/>
    <s v=" FastAPI"/>
    <m/>
    <x v="1"/>
    <n v="76"/>
    <x v="5"/>
    <n v="233"/>
  </r>
  <r>
    <n v="1664"/>
    <s v="Bishop-Contreras"/>
    <x v="1"/>
    <x v="1"/>
    <s v="PyTorch"/>
    <s v=" Excel"/>
    <s v=" TensorFlow"/>
    <s v=" Scikit-learn"/>
    <s v=" Power BI"/>
    <n v="97476"/>
    <m/>
    <s v="Mid"/>
    <x v="1"/>
    <s v="South Ronaldfurt"/>
    <s v=" BB"/>
    <n v="47724"/>
    <n v="147228"/>
    <d v="2024-06-07T00:00:00"/>
    <x v="2"/>
    <s v="KDB+"/>
    <s v=" LangChain"/>
    <m/>
    <x v="14"/>
    <n v="92"/>
    <x v="0"/>
    <n v="247"/>
  </r>
  <r>
    <n v="1665"/>
    <s v="Poole, Ramirez and Sims"/>
    <x v="3"/>
    <x v="6"/>
    <s v="Reinforcement Learning"/>
    <s v=" MLflow"/>
    <s v=" Scikit-learn"/>
    <s v=" Flask"/>
    <s v=" Python"/>
    <n v="186827.5"/>
    <s v=" FastAPI"/>
    <s v="Mid"/>
    <x v="2"/>
    <s v="East David"/>
    <s v=" BW"/>
    <n v="143188"/>
    <n v="230467"/>
    <d v="2024-04-04T00:00:00"/>
    <x v="1"/>
    <s v="FastAPI"/>
    <s v=" KDB+"/>
    <s v=" LangChain"/>
    <x v="21"/>
    <n v="104"/>
    <x v="1"/>
    <n v="251"/>
  </r>
  <r>
    <n v="1666"/>
    <s v="Sandoval Ltd"/>
    <x v="4"/>
    <x v="7"/>
    <s v="LangChain"/>
    <s v=" Hugging Face"/>
    <s v=" Scikit-learn"/>
    <s v=" Flask"/>
    <s v=" Reinforcement Learning"/>
    <n v="116644.5"/>
    <s v=" Excel"/>
    <s v="Mid"/>
    <x v="3"/>
    <s v="Williamsville"/>
    <s v=" EG"/>
    <n v="96395"/>
    <n v="136894"/>
    <d v="2023-09-29T00:00:00"/>
    <x v="2"/>
    <s v="TensorFlow"/>
    <s v=" PyTorch"/>
    <s v=" Scikit-learn"/>
    <x v="12"/>
    <n v="100"/>
    <x v="2"/>
    <n v="249"/>
  </r>
  <r>
    <n v="1667"/>
    <s v="Skinner Inc"/>
    <x v="3"/>
    <x v="3"/>
    <s v="Keras"/>
    <s v=" R"/>
    <s v=" Power BI"/>
    <s v=" LangChain"/>
    <m/>
    <n v="144383"/>
    <m/>
    <s v="Entry"/>
    <x v="2"/>
    <s v="Port James"/>
    <s v=" BS"/>
    <n v="98076"/>
    <n v="190690"/>
    <d v="2024-07-13T00:00:00"/>
    <x v="2"/>
    <s v="KDB+"/>
    <m/>
    <m/>
    <x v="7"/>
    <n v="96"/>
    <x v="0"/>
    <n v="247"/>
  </r>
  <r>
    <n v="1668"/>
    <s v="Kelly, Pace and Rodriguez"/>
    <x v="6"/>
    <x v="0"/>
    <s v="Hugging Face"/>
    <s v=" SQL"/>
    <s v=" LangChain"/>
    <s v=" Reinforcement Learning"/>
    <m/>
    <n v="154662"/>
    <m/>
    <s v="Entry"/>
    <x v="3"/>
    <s v="Esparzaberg"/>
    <s v=" SY"/>
    <n v="134169"/>
    <n v="175155"/>
    <d v="2024-05-04T00:00:00"/>
    <x v="1"/>
    <s v="LangChain"/>
    <m/>
    <m/>
    <x v="9"/>
    <n v="89"/>
    <x v="4"/>
    <n v="268"/>
  </r>
  <r>
    <n v="1669"/>
    <s v="Hunt-Phillips"/>
    <x v="2"/>
    <x v="3"/>
    <s v="PyTorch"/>
    <s v=" Python"/>
    <s v=" Azure"/>
    <s v=" C++"/>
    <s v=" GCP"/>
    <n v="172814"/>
    <m/>
    <s v="Entry"/>
    <x v="3"/>
    <s v="New Emily"/>
    <s v=" DJ"/>
    <n v="132041"/>
    <n v="213587"/>
    <d v="2025-05-16T00:00:00"/>
    <x v="0"/>
    <s v="PyTorch"/>
    <s v=" Scikit-learn"/>
    <s v=" LangChain"/>
    <x v="14"/>
    <n v="92"/>
    <x v="5"/>
    <n v="233"/>
  </r>
  <r>
    <n v="1670"/>
    <s v="Edwards-Jones"/>
    <x v="4"/>
    <x v="1"/>
    <s v="TensorFlow"/>
    <s v=" C++"/>
    <s v=" AWS"/>
    <s v=" CUDA"/>
    <m/>
    <n v="68255.5"/>
    <m/>
    <s v="Entry"/>
    <x v="1"/>
    <s v="Stephanieside"/>
    <s v=" KG"/>
    <n v="60346"/>
    <n v="76165"/>
    <d v="2024-02-25T00:00:00"/>
    <x v="0"/>
    <s v="KDB+"/>
    <s v=" TensorFlow"/>
    <m/>
    <x v="19"/>
    <n v="95"/>
    <x v="0"/>
    <n v="247"/>
  </r>
  <r>
    <n v="1671"/>
    <s v="Williams, Glass and Benson"/>
    <x v="2"/>
    <x v="5"/>
    <s v="Flask"/>
    <s v=" NumPy"/>
    <s v=" C++"/>
    <s v=" Keras"/>
    <s v=" Power BI"/>
    <n v="168284.5"/>
    <m/>
    <s v="Entry"/>
    <x v="1"/>
    <s v="Matthewburgh"/>
    <s v=" GB"/>
    <n v="129117"/>
    <n v="207452"/>
    <d v="2024-11-27T00:00:00"/>
    <x v="0"/>
    <s v="FastAPI"/>
    <s v=" TensorFlow"/>
    <m/>
    <x v="16"/>
    <n v="86"/>
    <x v="1"/>
    <n v="251"/>
  </r>
  <r>
    <n v="1672"/>
    <s v="Jackson, Carrillo and Anderson"/>
    <x v="0"/>
    <x v="7"/>
    <s v="Scikit-learn"/>
    <s v=" Azure"/>
    <s v=" MLflow"/>
    <s v=" LangChain"/>
    <s v=" TensorFlow"/>
    <n v="145732.5"/>
    <m/>
    <s v="Mid"/>
    <x v="0"/>
    <s v="Dustinborough"/>
    <s v=" LT"/>
    <n v="119535"/>
    <n v="171930"/>
    <d v="2025-01-09T00:00:00"/>
    <x v="2"/>
    <s v="PyTorch"/>
    <m/>
    <m/>
    <x v="1"/>
    <n v="76"/>
    <x v="5"/>
    <n v="233"/>
  </r>
  <r>
    <n v="1673"/>
    <s v="Richardson and Sons"/>
    <x v="5"/>
    <x v="6"/>
    <s v="Excel"/>
    <s v=" C++"/>
    <s v=" MLflow"/>
    <s v=" Pandas"/>
    <m/>
    <n v="107124.5"/>
    <m/>
    <s v="Senior"/>
    <x v="0"/>
    <s v="Lake Austin"/>
    <s v=" AT"/>
    <n v="79319"/>
    <n v="134930"/>
    <d v="2025-02-06T00:00:00"/>
    <x v="2"/>
    <s v="PyTorch"/>
    <m/>
    <m/>
    <x v="2"/>
    <n v="101"/>
    <x v="5"/>
    <n v="233"/>
  </r>
  <r>
    <n v="1674"/>
    <s v="Weber, Thompson and Williams"/>
    <x v="0"/>
    <x v="0"/>
    <s v="GCP"/>
    <s v=" MLflow"/>
    <s v=" Reinforcement Learning"/>
    <s v=" SQL"/>
    <s v=" Azure"/>
    <n v="160714.5"/>
    <s v=" Scikit-learn"/>
    <s v="Senior"/>
    <x v="0"/>
    <s v="Valenciafort"/>
    <s v=" RW"/>
    <n v="120828"/>
    <n v="200601"/>
    <d v="2025-05-17T00:00:00"/>
    <x v="0"/>
    <s v="PyTorch"/>
    <s v=" TensorFlow"/>
    <m/>
    <x v="4"/>
    <n v="78"/>
    <x v="5"/>
    <n v="233"/>
  </r>
  <r>
    <n v="1675"/>
    <s v="Lee, Scott and Franco"/>
    <x v="3"/>
    <x v="3"/>
    <s v="R"/>
    <s v=" C++"/>
    <s v=" FastAPI"/>
    <s v=" Excel"/>
    <m/>
    <n v="77279.5"/>
    <m/>
    <s v="Mid"/>
    <x v="2"/>
    <s v="Shawnfurt"/>
    <s v=" LK"/>
    <n v="70609"/>
    <n v="83950"/>
    <d v="2024-01-14T00:00:00"/>
    <x v="1"/>
    <s v="KDB+"/>
    <s v=" FastAPI"/>
    <m/>
    <x v="11"/>
    <n v="86"/>
    <x v="0"/>
    <n v="247"/>
  </r>
  <r>
    <n v="1676"/>
    <s v="Wright Group"/>
    <x v="2"/>
    <x v="4"/>
    <s v="Python"/>
    <s v=" Hugging Face"/>
    <s v=" R"/>
    <m/>
    <m/>
    <n v="96103"/>
    <m/>
    <s v="Mid"/>
    <x v="3"/>
    <s v="Josephville"/>
    <s v=" MW"/>
    <n v="88910"/>
    <n v="103296"/>
    <d v="2025-03-09T00:00:00"/>
    <x v="0"/>
    <s v="MLflow"/>
    <m/>
    <m/>
    <x v="5"/>
    <n v="94"/>
    <x v="6"/>
    <n v="259"/>
  </r>
  <r>
    <n v="1677"/>
    <s v="Daniels and Sons"/>
    <x v="1"/>
    <x v="6"/>
    <s v="TensorFlow"/>
    <s v=" Python"/>
    <s v=" AWS"/>
    <s v=" Power BI"/>
    <s v=" NumPy"/>
    <n v="135997"/>
    <m/>
    <s v="Entry"/>
    <x v="3"/>
    <s v="Shannonhaven"/>
    <s v=" MY"/>
    <n v="90926"/>
    <n v="181068"/>
    <d v="2025-04-08T00:00:00"/>
    <x v="2"/>
    <s v="Scikit-learn"/>
    <m/>
    <m/>
    <x v="19"/>
    <n v="95"/>
    <x v="7"/>
    <n v="255"/>
  </r>
  <r>
    <n v="1678"/>
    <s v="Taylor, Hodges and Martinez"/>
    <x v="4"/>
    <x v="2"/>
    <s v="Python"/>
    <s v=" PyTorch"/>
    <s v=" GCP"/>
    <s v=" Keras"/>
    <s v=" Azure"/>
    <n v="107283.5"/>
    <s v=" Flask"/>
    <s v="Mid"/>
    <x v="0"/>
    <s v="Charlesville"/>
    <s v=" VA"/>
    <n v="64447"/>
    <n v="150120"/>
    <d v="2024-11-19T00:00:00"/>
    <x v="0"/>
    <s v="KDB+"/>
    <s v=" BigQuery"/>
    <m/>
    <x v="5"/>
    <n v="94"/>
    <x v="0"/>
    <n v="247"/>
  </r>
  <r>
    <n v="1679"/>
    <s v="Hanson-Weeks"/>
    <x v="3"/>
    <x v="2"/>
    <s v="GCP"/>
    <s v=" SQL"/>
    <s v=" Power BI"/>
    <s v=" CUDA"/>
    <s v=" AWS"/>
    <n v="135302"/>
    <m/>
    <s v="Mid"/>
    <x v="0"/>
    <s v="Wilsonberg"/>
    <s v=" PA"/>
    <n v="121010"/>
    <n v="149594"/>
    <d v="2025-04-14T00:00:00"/>
    <x v="0"/>
    <s v="KDB+"/>
    <m/>
    <m/>
    <x v="4"/>
    <n v="78"/>
    <x v="0"/>
    <n v="247"/>
  </r>
  <r>
    <n v="1680"/>
    <s v="Barton-Kirby"/>
    <x v="5"/>
    <x v="3"/>
    <s v="GCP"/>
    <s v=" TensorFlow"/>
    <s v=" MLflow"/>
    <m/>
    <m/>
    <n v="129661"/>
    <m/>
    <s v="Mid"/>
    <x v="2"/>
    <s v="West Aliceberg"/>
    <s v=" LV"/>
    <n v="117833"/>
    <n v="141489"/>
    <d v="2024-06-24T00:00:00"/>
    <x v="0"/>
    <s v="PyTorch"/>
    <m/>
    <m/>
    <x v="4"/>
    <n v="78"/>
    <x v="5"/>
    <n v="233"/>
  </r>
  <r>
    <n v="1681"/>
    <s v="Johnson Inc"/>
    <x v="6"/>
    <x v="7"/>
    <s v="SQL"/>
    <s v=" Pandas"/>
    <s v=" Excel"/>
    <m/>
    <m/>
    <n v="77141.5"/>
    <m/>
    <s v="Entry"/>
    <x v="1"/>
    <s v="Rioston"/>
    <s v=" AF"/>
    <n v="51913"/>
    <n v="102370"/>
    <d v="2023-10-03T00:00:00"/>
    <x v="0"/>
    <s v="LangChain"/>
    <s v=" KDB+"/>
    <m/>
    <x v="17"/>
    <n v="88"/>
    <x v="4"/>
    <n v="268"/>
  </r>
  <r>
    <n v="1682"/>
    <s v="Schmitt, James and Campbell"/>
    <x v="4"/>
    <x v="1"/>
    <s v="FastAPI"/>
    <s v=" SQL"/>
    <s v=" Pandas"/>
    <s v=" TensorFlow"/>
    <s v=" MLflow"/>
    <n v="90814"/>
    <m/>
    <s v="Mid"/>
    <x v="2"/>
    <s v="Port Joanne"/>
    <s v=" AZ"/>
    <n v="74357"/>
    <n v="107271"/>
    <d v="2024-09-15T00:00:00"/>
    <x v="0"/>
    <s v="KDB+"/>
    <s v=" TensorFlow"/>
    <s v=" LangChain"/>
    <x v="20"/>
    <n v="111"/>
    <x v="0"/>
    <n v="247"/>
  </r>
  <r>
    <n v="1683"/>
    <s v="Yates-Brown"/>
    <x v="5"/>
    <x v="4"/>
    <s v="PyTorch"/>
    <s v=" Flask"/>
    <s v=" Reinforcement Learning"/>
    <s v=" Power BI"/>
    <m/>
    <n v="101710.5"/>
    <m/>
    <s v="Entry"/>
    <x v="0"/>
    <s v="Port Samuel"/>
    <s v=" IQ"/>
    <n v="57249"/>
    <n v="146172"/>
    <d v="2024-09-26T00:00:00"/>
    <x v="2"/>
    <s v="KDB+"/>
    <s v=" LangChain"/>
    <m/>
    <x v="14"/>
    <n v="92"/>
    <x v="0"/>
    <n v="247"/>
  </r>
  <r>
    <n v="1684"/>
    <s v="James, Wagner and Johnson"/>
    <x v="2"/>
    <x v="1"/>
    <s v="Flask"/>
    <s v=" AWS"/>
    <s v=" Hugging Face"/>
    <m/>
    <m/>
    <n v="193166"/>
    <m/>
    <s v="Entry"/>
    <x v="2"/>
    <s v="Stevenmouth"/>
    <s v=" MK"/>
    <n v="145971"/>
    <n v="240361"/>
    <d v="2025-05-23T00:00:00"/>
    <x v="1"/>
    <s v="TensorFlow"/>
    <s v=" LangChain"/>
    <m/>
    <x v="16"/>
    <n v="86"/>
    <x v="2"/>
    <n v="249"/>
  </r>
  <r>
    <n v="1685"/>
    <s v="Cummings-Reyes"/>
    <x v="6"/>
    <x v="2"/>
    <s v="Hugging Face"/>
    <s v=" Azure"/>
    <s v=" CUDA"/>
    <s v=" NumPy"/>
    <m/>
    <n v="77274.5"/>
    <m/>
    <s v="Senior"/>
    <x v="0"/>
    <s v="Port Mindyborough"/>
    <s v=" SI"/>
    <n v="58633"/>
    <n v="95916"/>
    <d v="2023-12-20T00:00:00"/>
    <x v="1"/>
    <s v="PyTorch"/>
    <s v=" FastAPI"/>
    <m/>
    <x v="9"/>
    <n v="89"/>
    <x v="5"/>
    <n v="233"/>
  </r>
  <r>
    <n v="1686"/>
    <s v="Bishop Ltd"/>
    <x v="6"/>
    <x v="1"/>
    <s v="FastAPI"/>
    <s v=" Keras"/>
    <s v=" Hugging Face"/>
    <s v=" Azure"/>
    <s v=" NumPy"/>
    <n v="158424"/>
    <m/>
    <s v="Senior"/>
    <x v="1"/>
    <s v="Cartershire"/>
    <s v=" DK"/>
    <n v="146101"/>
    <n v="170747"/>
    <d v="2023-11-07T00:00:00"/>
    <x v="0"/>
    <s v="BigQuery"/>
    <m/>
    <m/>
    <x v="20"/>
    <n v="111"/>
    <x v="3"/>
    <n v="238"/>
  </r>
  <r>
    <n v="1687"/>
    <s v="Daniels-Jones"/>
    <x v="6"/>
    <x v="1"/>
    <s v="TensorFlow"/>
    <s v=" NumPy"/>
    <s v=" CUDA"/>
    <s v=" Python"/>
    <s v=" AWS"/>
    <n v="140928.5"/>
    <s v=" Pandas"/>
    <s v="Entry"/>
    <x v="0"/>
    <s v="Olsontown"/>
    <s v=" MK"/>
    <n v="108220"/>
    <n v="173637"/>
    <d v="2025-05-26T00:00:00"/>
    <x v="2"/>
    <s v="MLflow"/>
    <m/>
    <m/>
    <x v="19"/>
    <n v="95"/>
    <x v="6"/>
    <n v="259"/>
  </r>
  <r>
    <n v="1688"/>
    <s v="Reed-Wilson"/>
    <x v="4"/>
    <x v="4"/>
    <s v="Scikit-learn"/>
    <s v=" Reinforcement Learning"/>
    <s v=" Pandas"/>
    <s v=" Azure"/>
    <s v=" R"/>
    <n v="176149.5"/>
    <s v=" GCP"/>
    <s v="Entry"/>
    <x v="3"/>
    <s v="Edgarhaven"/>
    <s v=" MX"/>
    <n v="131341"/>
    <n v="220958"/>
    <d v="2024-12-01T00:00:00"/>
    <x v="0"/>
    <s v="TensorFlow"/>
    <m/>
    <m/>
    <x v="1"/>
    <n v="76"/>
    <x v="2"/>
    <n v="249"/>
  </r>
  <r>
    <n v="1689"/>
    <s v="Smith-Moore"/>
    <x v="0"/>
    <x v="0"/>
    <s v="LangChain"/>
    <s v=" Scikit-learn"/>
    <s v=" Azure"/>
    <s v=" Python"/>
    <s v=" Pandas"/>
    <n v="115478"/>
    <m/>
    <s v="Mid"/>
    <x v="2"/>
    <s v="Gabrielport"/>
    <s v=" TT"/>
    <n v="94305"/>
    <n v="136651"/>
    <d v="2024-03-04T00:00:00"/>
    <x v="1"/>
    <s v="TensorFlow"/>
    <s v=" KDB+"/>
    <m/>
    <x v="12"/>
    <n v="100"/>
    <x v="2"/>
    <n v="249"/>
  </r>
  <r>
    <n v="1690"/>
    <s v="Briggs-House"/>
    <x v="1"/>
    <x v="0"/>
    <s v="GCP"/>
    <s v=" Python"/>
    <s v=" PyTorch"/>
    <s v=" Excel"/>
    <s v=" Power BI"/>
    <n v="125601.5"/>
    <m/>
    <s v="Mid"/>
    <x v="1"/>
    <s v="South Brandon"/>
    <s v=" MG"/>
    <n v="118072"/>
    <n v="133131"/>
    <d v="2024-02-12T00:00:00"/>
    <x v="0"/>
    <s v="MLflow"/>
    <s v=" LangChain"/>
    <m/>
    <x v="4"/>
    <n v="78"/>
    <x v="6"/>
    <n v="259"/>
  </r>
  <r>
    <n v="1691"/>
    <s v="Chen, Moore and Ray"/>
    <x v="1"/>
    <x v="1"/>
    <s v="R"/>
    <s v=" LangChain"/>
    <s v=" FastAPI"/>
    <s v=" Reinforcement Learning"/>
    <s v=" Pandas"/>
    <n v="69673"/>
    <s v=" GCP"/>
    <s v="Mid"/>
    <x v="0"/>
    <s v="Lewisville"/>
    <s v=" SZ"/>
    <n v="49623"/>
    <n v="89723"/>
    <d v="2024-03-23T00:00:00"/>
    <x v="2"/>
    <s v="LangChain"/>
    <s v=" FastAPI"/>
    <m/>
    <x v="11"/>
    <n v="86"/>
    <x v="4"/>
    <n v="268"/>
  </r>
  <r>
    <n v="1692"/>
    <s v="Torres-King"/>
    <x v="0"/>
    <x v="7"/>
    <s v="CUDA"/>
    <s v=" MLflow"/>
    <s v=" C++"/>
    <s v=" Python"/>
    <s v=" Power BI"/>
    <n v="130342"/>
    <s v=" NumPy"/>
    <s v="Entry"/>
    <x v="1"/>
    <s v="East Bryanton"/>
    <s v=" KP"/>
    <n v="89682"/>
    <n v="171002"/>
    <d v="2024-07-30T00:00:00"/>
    <x v="0"/>
    <s v="FastAPI"/>
    <m/>
    <m/>
    <x v="13"/>
    <n v="75"/>
    <x v="1"/>
    <n v="251"/>
  </r>
  <r>
    <n v="1693"/>
    <s v="Johnson, Espinoza and Ali"/>
    <x v="0"/>
    <x v="2"/>
    <s v="FastAPI"/>
    <s v=" C++"/>
    <s v=" R"/>
    <s v=" TensorFlow"/>
    <s v=" Reinforcement Learning"/>
    <n v="171336"/>
    <m/>
    <s v="Mid"/>
    <x v="2"/>
    <s v="Cynthialand"/>
    <s v=" ZM"/>
    <n v="124069"/>
    <n v="218603"/>
    <d v="2025-04-20T00:00:00"/>
    <x v="2"/>
    <s v="PyTorch"/>
    <m/>
    <m/>
    <x v="20"/>
    <n v="111"/>
    <x v="5"/>
    <n v="233"/>
  </r>
  <r>
    <n v="1694"/>
    <s v="Blackwell Ltd"/>
    <x v="1"/>
    <x v="5"/>
    <s v="TensorFlow"/>
    <s v=" SQL"/>
    <s v=" AWS"/>
    <s v=" PyTorch"/>
    <s v=" LangChain"/>
    <n v="83415.5"/>
    <m/>
    <s v="Mid"/>
    <x v="3"/>
    <s v="Stevenberg"/>
    <s v=" SM"/>
    <n v="77044"/>
    <n v="89787"/>
    <d v="2023-10-19T00:00:00"/>
    <x v="2"/>
    <s v="PyTorch"/>
    <m/>
    <m/>
    <x v="19"/>
    <n v="95"/>
    <x v="5"/>
    <n v="233"/>
  </r>
  <r>
    <n v="1695"/>
    <s v="Day-Mckee"/>
    <x v="0"/>
    <x v="0"/>
    <s v="LangChain"/>
    <s v=" MLflow"/>
    <s v=" Azure"/>
    <s v=" Pandas"/>
    <m/>
    <n v="91873.5"/>
    <m/>
    <s v="Entry"/>
    <x v="1"/>
    <s v="Amytown"/>
    <s v=" TD"/>
    <n v="57934"/>
    <n v="125813"/>
    <d v="2025-01-08T00:00:00"/>
    <x v="0"/>
    <s v="KDB+"/>
    <m/>
    <m/>
    <x v="12"/>
    <n v="100"/>
    <x v="0"/>
    <n v="247"/>
  </r>
  <r>
    <n v="1696"/>
    <s v="Ellis LLC"/>
    <x v="6"/>
    <x v="7"/>
    <s v="C++"/>
    <s v=" R"/>
    <s v=" CUDA"/>
    <s v=" Pandas"/>
    <s v=" Azure"/>
    <n v="49122.5"/>
    <m/>
    <s v="Entry"/>
    <x v="2"/>
    <s v="Lake Michaelberg"/>
    <s v=" IN"/>
    <n v="40829"/>
    <n v="57416"/>
    <d v="2024-02-01T00:00:00"/>
    <x v="1"/>
    <s v="BigQuery"/>
    <s v=" Scikit-learn"/>
    <m/>
    <x v="8"/>
    <n v="84"/>
    <x v="3"/>
    <n v="238"/>
  </r>
  <r>
    <n v="1697"/>
    <s v="Good-Gordon"/>
    <x v="5"/>
    <x v="5"/>
    <s v="Keras"/>
    <s v=" PyTorch"/>
    <s v=" Flask"/>
    <m/>
    <m/>
    <n v="137623"/>
    <m/>
    <s v="Entry"/>
    <x v="1"/>
    <s v="South Anthonymouth"/>
    <s v=" HR"/>
    <n v="104387"/>
    <n v="170859"/>
    <d v="2023-10-06T00:00:00"/>
    <x v="0"/>
    <s v="KDB+"/>
    <m/>
    <m/>
    <x v="7"/>
    <n v="96"/>
    <x v="0"/>
    <n v="247"/>
  </r>
  <r>
    <n v="1698"/>
    <s v="Taylor Ltd"/>
    <x v="5"/>
    <x v="4"/>
    <s v="Keras"/>
    <s v=" SQL"/>
    <s v=" PyTorch"/>
    <s v=" Python"/>
    <s v=" Pandas"/>
    <n v="178847.5"/>
    <s v=" Azure"/>
    <s v="Mid"/>
    <x v="3"/>
    <s v="East Andrew"/>
    <s v=" OM"/>
    <n v="129320"/>
    <n v="228375"/>
    <d v="2024-01-06T00:00:00"/>
    <x v="1"/>
    <s v="MLflow"/>
    <s v=" TensorFlow"/>
    <m/>
    <x v="7"/>
    <n v="96"/>
    <x v="6"/>
    <n v="259"/>
  </r>
  <r>
    <n v="1699"/>
    <s v="Walker LLC"/>
    <x v="2"/>
    <x v="3"/>
    <s v="AWS"/>
    <s v=" Scikit-learn"/>
    <s v=" Azure"/>
    <s v=" Python"/>
    <s v=" TensorFlow"/>
    <n v="152612.5"/>
    <s v=" LangChain"/>
    <s v="Mid"/>
    <x v="1"/>
    <s v="Port Matthew"/>
    <s v=" VN"/>
    <n v="137419"/>
    <n v="167806"/>
    <d v="2025-09-11T00:00:00"/>
    <x v="0"/>
    <s v="PyTorch"/>
    <m/>
    <m/>
    <x v="10"/>
    <n v="97"/>
    <x v="5"/>
    <n v="233"/>
  </r>
  <r>
    <n v="1700"/>
    <s v="Simpson, Davis and Higgins"/>
    <x v="5"/>
    <x v="1"/>
    <s v="Flask"/>
    <s v=" R"/>
    <s v=" Excel"/>
    <m/>
    <m/>
    <n v="155365.5"/>
    <m/>
    <s v="Mid"/>
    <x v="0"/>
    <s v="Cassidybury"/>
    <s v=" MU"/>
    <n v="147739"/>
    <n v="162992"/>
    <d v="2024-01-31T00:00:00"/>
    <x v="2"/>
    <s v="LangChain"/>
    <m/>
    <m/>
    <x v="16"/>
    <n v="86"/>
    <x v="4"/>
    <n v="268"/>
  </r>
  <r>
    <n v="1701"/>
    <s v="Simpson Group"/>
    <x v="6"/>
    <x v="7"/>
    <s v="TensorFlow"/>
    <s v=" NumPy"/>
    <s v=" FastAPI"/>
    <m/>
    <m/>
    <n v="92446"/>
    <m/>
    <s v="Entry"/>
    <x v="3"/>
    <s v="Arnoldmouth"/>
    <s v=" NE"/>
    <n v="62811"/>
    <n v="122081"/>
    <d v="2025-02-14T00:00:00"/>
    <x v="2"/>
    <s v="BigQuery"/>
    <s v=" LangChain"/>
    <s v=" MLflow"/>
    <x v="19"/>
    <n v="95"/>
    <x v="3"/>
    <n v="238"/>
  </r>
  <r>
    <n v="1702"/>
    <s v="Klein, Ward and Cooper"/>
    <x v="6"/>
    <x v="5"/>
    <s v="Reinforcement Learning"/>
    <s v=" GCP"/>
    <s v=" TensorFlow"/>
    <m/>
    <m/>
    <n v="149525.5"/>
    <m/>
    <s v="Senior"/>
    <x v="0"/>
    <s v="Huntville"/>
    <s v=" HN"/>
    <n v="136329"/>
    <n v="162722"/>
    <d v="2024-11-30T00:00:00"/>
    <x v="0"/>
    <s v="Scikit-learn"/>
    <s v=" MLflow"/>
    <s v=" LangChain"/>
    <x v="21"/>
    <n v="104"/>
    <x v="7"/>
    <n v="255"/>
  </r>
  <r>
    <n v="1703"/>
    <s v="Horton-Collins"/>
    <x v="4"/>
    <x v="5"/>
    <s v="Azure"/>
    <s v=" Excel"/>
    <s v=" Power BI"/>
    <s v=" SQL"/>
    <m/>
    <n v="143228.5"/>
    <m/>
    <s v="Senior"/>
    <x v="1"/>
    <s v="Georgemouth"/>
    <s v=" UZ"/>
    <n v="103453"/>
    <n v="183004"/>
    <d v="2024-11-26T00:00:00"/>
    <x v="0"/>
    <s v="Scikit-learn"/>
    <m/>
    <m/>
    <x v="15"/>
    <n v="90"/>
    <x v="7"/>
    <n v="255"/>
  </r>
  <r>
    <n v="1704"/>
    <s v="Johnson, Oconnell and Williams"/>
    <x v="2"/>
    <x v="2"/>
    <s v="PyTorch"/>
    <s v=" TensorFlow"/>
    <s v=" SQL"/>
    <s v=" LangChain"/>
    <s v=" CUDA"/>
    <n v="99750"/>
    <m/>
    <s v="Mid"/>
    <x v="3"/>
    <s v="Lake Bradley"/>
    <s v=" AU"/>
    <n v="72972"/>
    <n v="126528"/>
    <d v="2025-02-07T00:00:00"/>
    <x v="0"/>
    <s v="FastAPI"/>
    <s v=" Scikit-learn"/>
    <m/>
    <x v="14"/>
    <n v="92"/>
    <x v="1"/>
    <n v="251"/>
  </r>
  <r>
    <n v="1705"/>
    <s v="Powers, Lewis and Stewart"/>
    <x v="4"/>
    <x v="6"/>
    <s v="Flask"/>
    <s v=" Azure"/>
    <s v=" R"/>
    <m/>
    <m/>
    <n v="128315"/>
    <m/>
    <s v="Senior"/>
    <x v="0"/>
    <s v="Andrewview"/>
    <s v=" NA"/>
    <n v="82976"/>
    <n v="173654"/>
    <d v="2023-10-22T00:00:00"/>
    <x v="0"/>
    <s v="PyTorch"/>
    <m/>
    <m/>
    <x v="16"/>
    <n v="86"/>
    <x v="5"/>
    <n v="233"/>
  </r>
  <r>
    <n v="1706"/>
    <s v="Foley, Green and Farley"/>
    <x v="4"/>
    <x v="0"/>
    <s v="Power BI"/>
    <s v=" GCP"/>
    <s v=" Hugging Face"/>
    <m/>
    <m/>
    <n v="152812.5"/>
    <m/>
    <s v="Entry"/>
    <x v="3"/>
    <s v="Port Ashlee"/>
    <s v=" LI"/>
    <n v="131943"/>
    <n v="173682"/>
    <d v="2023-10-02T00:00:00"/>
    <x v="2"/>
    <s v="Scikit-learn"/>
    <s v=" BigQuery"/>
    <m/>
    <x v="18"/>
    <n v="96"/>
    <x v="7"/>
    <n v="255"/>
  </r>
  <r>
    <n v="1707"/>
    <s v="Smith-Fernandez"/>
    <x v="1"/>
    <x v="2"/>
    <s v="Excel"/>
    <s v=" Hugging Face"/>
    <s v=" R"/>
    <m/>
    <m/>
    <n v="92244.5"/>
    <m/>
    <s v="Entry"/>
    <x v="2"/>
    <s v="South Ruthview"/>
    <s v=" CI"/>
    <n v="82505"/>
    <n v="101984"/>
    <d v="2025-08-05T00:00:00"/>
    <x v="1"/>
    <s v="FastAPI"/>
    <s v=" Scikit-learn"/>
    <s v=" MLflow"/>
    <x v="2"/>
    <n v="101"/>
    <x v="1"/>
    <n v="251"/>
  </r>
  <r>
    <n v="1708"/>
    <s v="Smith, Tapia and Jones"/>
    <x v="3"/>
    <x v="4"/>
    <s v="NumPy"/>
    <s v=" Power BI"/>
    <s v=" LangChain"/>
    <s v=" C++"/>
    <s v=" Keras"/>
    <n v="75049"/>
    <s v=" SQL"/>
    <s v="Mid"/>
    <x v="2"/>
    <s v="East Martin"/>
    <s v=" GB"/>
    <n v="68140"/>
    <n v="81958"/>
    <d v="2024-03-24T00:00:00"/>
    <x v="1"/>
    <s v="KDB+"/>
    <m/>
    <m/>
    <x v="0"/>
    <n v="104"/>
    <x v="0"/>
    <n v="247"/>
  </r>
  <r>
    <n v="1709"/>
    <s v="Sanchez Ltd"/>
    <x v="6"/>
    <x v="2"/>
    <s v="SQL"/>
    <s v=" LangChain"/>
    <s v=" AWS"/>
    <s v=" NumPy"/>
    <s v=" Azure"/>
    <n v="102117.5"/>
    <m/>
    <s v="Senior"/>
    <x v="1"/>
    <s v="Port Anna"/>
    <s v=" PG"/>
    <n v="96190"/>
    <n v="108045"/>
    <d v="2024-08-15T00:00:00"/>
    <x v="2"/>
    <s v="Scikit-learn"/>
    <s v=" BigQuery"/>
    <s v=" MLflow"/>
    <x v="17"/>
    <n v="88"/>
    <x v="7"/>
    <n v="255"/>
  </r>
  <r>
    <n v="1710"/>
    <s v="Floyd Ltd"/>
    <x v="0"/>
    <x v="1"/>
    <s v="Python"/>
    <s v=" C++"/>
    <s v=" NumPy"/>
    <s v=" Reinforcement Learning"/>
    <s v=" GCP"/>
    <n v="128032"/>
    <m/>
    <s v="Mid"/>
    <x v="1"/>
    <s v="Clarkefort"/>
    <s v=" MD"/>
    <n v="99962"/>
    <n v="156102"/>
    <d v="2023-09-26T00:00:00"/>
    <x v="0"/>
    <s v="MLflow"/>
    <s v=" TensorFlow"/>
    <m/>
    <x v="5"/>
    <n v="94"/>
    <x v="6"/>
    <n v="259"/>
  </r>
  <r>
    <n v="1711"/>
    <s v="Clark-Holloway"/>
    <x v="1"/>
    <x v="0"/>
    <s v="Python"/>
    <s v=" Reinforcement Learning"/>
    <s v=" CUDA"/>
    <m/>
    <m/>
    <n v="96137"/>
    <m/>
    <s v="Senior"/>
    <x v="1"/>
    <s v="Karenland"/>
    <s v=" AL"/>
    <n v="83481"/>
    <n v="108793"/>
    <d v="2023-12-21T00:00:00"/>
    <x v="1"/>
    <s v="Scikit-learn"/>
    <s v=" TensorFlow"/>
    <m/>
    <x v="5"/>
    <n v="94"/>
    <x v="7"/>
    <n v="255"/>
  </r>
  <r>
    <n v="1712"/>
    <s v="Johnson Ltd"/>
    <x v="4"/>
    <x v="3"/>
    <s v="TensorFlow"/>
    <s v=" Azure"/>
    <s v=" LangChain"/>
    <s v=" Flask"/>
    <s v=" Excel"/>
    <n v="105038.5"/>
    <m/>
    <s v="Mid"/>
    <x v="2"/>
    <s v="Sosaview"/>
    <s v=" CI"/>
    <n v="64006"/>
    <n v="146071"/>
    <d v="2024-01-21T00:00:00"/>
    <x v="2"/>
    <s v="Scikit-learn"/>
    <m/>
    <m/>
    <x v="19"/>
    <n v="95"/>
    <x v="7"/>
    <n v="255"/>
  </r>
  <r>
    <n v="1713"/>
    <s v="Fox-Cochran"/>
    <x v="2"/>
    <x v="3"/>
    <s v="Azure"/>
    <s v=" SQL"/>
    <s v=" Reinforcement Learning"/>
    <s v=" PyTorch"/>
    <s v=" Hugging Face"/>
    <n v="164294.5"/>
    <m/>
    <s v="Mid"/>
    <x v="0"/>
    <s v="South Marymouth"/>
    <s v=" UG"/>
    <n v="139090"/>
    <n v="189499"/>
    <d v="2025-01-16T00:00:00"/>
    <x v="2"/>
    <s v="LangChain"/>
    <s v=" PyTorch"/>
    <m/>
    <x v="15"/>
    <n v="90"/>
    <x v="4"/>
    <n v="268"/>
  </r>
  <r>
    <n v="1714"/>
    <s v="Villarreal, Ellis and Crane"/>
    <x v="3"/>
    <x v="6"/>
    <s v="Flask"/>
    <s v=" CUDA"/>
    <s v=" FastAPI"/>
    <s v=" Pandas"/>
    <s v=" Excel"/>
    <n v="177816.5"/>
    <m/>
    <s v="Mid"/>
    <x v="0"/>
    <s v="New Williamshire"/>
    <s v=" LI"/>
    <n v="128590"/>
    <n v="227043"/>
    <d v="2025-04-12T00:00:00"/>
    <x v="1"/>
    <s v="TensorFlow"/>
    <s v=" BigQuery"/>
    <m/>
    <x v="16"/>
    <n v="86"/>
    <x v="2"/>
    <n v="249"/>
  </r>
  <r>
    <n v="1715"/>
    <s v="Fox, Davis and Houston"/>
    <x v="2"/>
    <x v="4"/>
    <s v="C++"/>
    <s v=" GCP"/>
    <s v=" LangChain"/>
    <s v=" PyTorch"/>
    <s v=" FastAPI"/>
    <n v="178010.5"/>
    <m/>
    <s v="Senior"/>
    <x v="3"/>
    <s v="Gregoryborough"/>
    <s v=" TN"/>
    <n v="134084"/>
    <n v="221937"/>
    <d v="2024-03-16T00:00:00"/>
    <x v="0"/>
    <s v="Scikit-learn"/>
    <s v=" TensorFlow"/>
    <s v=" KDB+"/>
    <x v="8"/>
    <n v="84"/>
    <x v="7"/>
    <n v="255"/>
  </r>
  <r>
    <n v="1716"/>
    <s v="Nash-Perry"/>
    <x v="1"/>
    <x v="7"/>
    <s v="C++"/>
    <s v=" PyTorch"/>
    <s v=" Power BI"/>
    <m/>
    <m/>
    <n v="127517"/>
    <m/>
    <s v="Entry"/>
    <x v="0"/>
    <s v="Thomasberg"/>
    <s v=" MZ"/>
    <n v="115909"/>
    <n v="139125"/>
    <d v="2025-01-06T00:00:00"/>
    <x v="1"/>
    <s v="MLflow"/>
    <m/>
    <m/>
    <x v="8"/>
    <n v="84"/>
    <x v="6"/>
    <n v="259"/>
  </r>
  <r>
    <n v="1717"/>
    <s v="Murphy and Sons"/>
    <x v="0"/>
    <x v="7"/>
    <s v="Python"/>
    <s v=" Reinforcement Learning"/>
    <s v=" CUDA"/>
    <s v=" Flask"/>
    <s v=" Excel"/>
    <n v="172099.5"/>
    <m/>
    <s v="Senior"/>
    <x v="1"/>
    <s v="West Vernon"/>
    <s v=" LA"/>
    <n v="149070"/>
    <n v="195129"/>
    <d v="2025-07-16T00:00:00"/>
    <x v="2"/>
    <s v="BigQuery"/>
    <m/>
    <m/>
    <x v="5"/>
    <n v="94"/>
    <x v="3"/>
    <n v="238"/>
  </r>
  <r>
    <n v="1718"/>
    <s v="Bailey Inc"/>
    <x v="1"/>
    <x v="4"/>
    <s v="R"/>
    <s v=" C++"/>
    <s v=" Hugging Face"/>
    <s v=" Scikit-learn"/>
    <s v=" Python"/>
    <n v="117758"/>
    <s v=" LangChain"/>
    <s v="Senior"/>
    <x v="0"/>
    <s v="Johnsonburgh"/>
    <s v=" HR"/>
    <n v="97778"/>
    <n v="137738"/>
    <d v="2024-09-03T00:00:00"/>
    <x v="0"/>
    <s v="MLflow"/>
    <m/>
    <m/>
    <x v="11"/>
    <n v="86"/>
    <x v="6"/>
    <n v="259"/>
  </r>
  <r>
    <n v="1719"/>
    <s v="Wright PLC"/>
    <x v="4"/>
    <x v="6"/>
    <s v="FastAPI"/>
    <s v=" NumPy"/>
    <s v=" LangChain"/>
    <s v=" Scikit-learn"/>
    <s v=" Power BI"/>
    <n v="154057"/>
    <m/>
    <s v="Senior"/>
    <x v="1"/>
    <s v="South James"/>
    <s v=" JM"/>
    <n v="110485"/>
    <n v="197629"/>
    <d v="2023-10-07T00:00:00"/>
    <x v="1"/>
    <s v="MLflow"/>
    <s v=" PyTorch"/>
    <m/>
    <x v="20"/>
    <n v="111"/>
    <x v="6"/>
    <n v="259"/>
  </r>
  <r>
    <n v="1720"/>
    <s v="Grimes-Cruz"/>
    <x v="0"/>
    <x v="0"/>
    <s v="Scikit-learn"/>
    <s v=" Hugging Face"/>
    <s v=" LangChain"/>
    <m/>
    <m/>
    <n v="183918.5"/>
    <m/>
    <s v="Entry"/>
    <x v="2"/>
    <s v="West Nicolefurt"/>
    <s v=" US"/>
    <n v="145486"/>
    <n v="222351"/>
    <d v="2024-10-03T00:00:00"/>
    <x v="0"/>
    <s v="PyTorch"/>
    <s v=" KDB+"/>
    <s v=" LangChain"/>
    <x v="1"/>
    <n v="76"/>
    <x v="5"/>
    <n v="233"/>
  </r>
  <r>
    <n v="1721"/>
    <s v="Spence, Mcconnell and Fleming"/>
    <x v="5"/>
    <x v="0"/>
    <s v="AWS"/>
    <s v=" PyTorch"/>
    <s v=" C++"/>
    <s v=" FastAPI"/>
    <m/>
    <n v="117426.5"/>
    <m/>
    <s v="Senior"/>
    <x v="0"/>
    <s v="Garrettville"/>
    <s v=" NR"/>
    <n v="73608"/>
    <n v="161245"/>
    <d v="2024-11-06T00:00:00"/>
    <x v="0"/>
    <s v="FastAPI"/>
    <s v=" LangChain"/>
    <s v=" MLflow"/>
    <x v="10"/>
    <n v="97"/>
    <x v="1"/>
    <n v="251"/>
  </r>
  <r>
    <n v="1722"/>
    <s v="Rush Inc"/>
    <x v="2"/>
    <x v="7"/>
    <s v="Python"/>
    <s v=" Scikit-learn"/>
    <s v=" Pandas"/>
    <m/>
    <m/>
    <n v="138980.5"/>
    <m/>
    <s v="Mid"/>
    <x v="0"/>
    <s v="North Mary"/>
    <s v=" BA"/>
    <n v="126809"/>
    <n v="151152"/>
    <d v="2025-02-24T00:00:00"/>
    <x v="1"/>
    <s v="TensorFlow"/>
    <m/>
    <m/>
    <x v="5"/>
    <n v="94"/>
    <x v="2"/>
    <n v="249"/>
  </r>
  <r>
    <n v="1723"/>
    <s v="Davis PLC"/>
    <x v="5"/>
    <x v="1"/>
    <s v="C++"/>
    <s v=" Pandas"/>
    <s v=" NumPy"/>
    <s v=" R"/>
    <m/>
    <n v="91853"/>
    <m/>
    <s v="Entry"/>
    <x v="0"/>
    <s v="Lake Paulside"/>
    <s v=" TH"/>
    <n v="64760"/>
    <n v="118946"/>
    <d v="2024-07-29T00:00:00"/>
    <x v="1"/>
    <s v="BigQuery"/>
    <s v=" LangChain"/>
    <m/>
    <x v="8"/>
    <n v="84"/>
    <x v="3"/>
    <n v="238"/>
  </r>
  <r>
    <n v="1724"/>
    <s v="Beard Group"/>
    <x v="6"/>
    <x v="5"/>
    <s v="FastAPI"/>
    <s v=" Scikit-learn"/>
    <s v=" CUDA"/>
    <m/>
    <m/>
    <n v="87753.5"/>
    <m/>
    <s v="Entry"/>
    <x v="0"/>
    <s v="Williamchester"/>
    <s v=" BG"/>
    <n v="52280"/>
    <n v="123227"/>
    <d v="2025-06-19T00:00:00"/>
    <x v="1"/>
    <s v="LangChain"/>
    <s v=" KDB+"/>
    <s v=" BigQuery"/>
    <x v="20"/>
    <n v="111"/>
    <x v="4"/>
    <n v="268"/>
  </r>
  <r>
    <n v="1725"/>
    <s v="Johnson-Marshall"/>
    <x v="0"/>
    <x v="0"/>
    <s v="Reinforcement Learning"/>
    <s v=" C++"/>
    <s v=" GCP"/>
    <s v=" AWS"/>
    <s v=" FastAPI"/>
    <n v="117623.5"/>
    <m/>
    <s v="Senior"/>
    <x v="1"/>
    <s v="New Timothy"/>
    <s v=" KG"/>
    <n v="68612"/>
    <n v="166635"/>
    <d v="2025-06-08T00:00:00"/>
    <x v="2"/>
    <s v="Scikit-learn"/>
    <s v=" FastAPI"/>
    <m/>
    <x v="21"/>
    <n v="104"/>
    <x v="7"/>
    <n v="255"/>
  </r>
  <r>
    <n v="1726"/>
    <s v="Adams and Sons"/>
    <x v="6"/>
    <x v="2"/>
    <s v="R"/>
    <s v=" Hugging Face"/>
    <s v=" Flask"/>
    <s v=" NumPy"/>
    <s v=" Keras"/>
    <n v="167929"/>
    <s v=" C++"/>
    <s v="Entry"/>
    <x v="1"/>
    <s v="Duncanhaven"/>
    <s v=" KH"/>
    <n v="138615"/>
    <n v="197243"/>
    <d v="2023-10-17T00:00:00"/>
    <x v="1"/>
    <s v="KDB+"/>
    <m/>
    <m/>
    <x v="11"/>
    <n v="86"/>
    <x v="0"/>
    <n v="247"/>
  </r>
  <r>
    <n v="1727"/>
    <s v="Baker, Lawson and Newton"/>
    <x v="4"/>
    <x v="2"/>
    <s v="MLflow"/>
    <s v=" TensorFlow"/>
    <s v=" Power BI"/>
    <s v=" CUDA"/>
    <s v=" NumPy"/>
    <n v="161903.5"/>
    <s v=" PyTorch"/>
    <s v="Entry"/>
    <x v="1"/>
    <s v="Perezstad"/>
    <s v=" PW"/>
    <n v="121197"/>
    <n v="202610"/>
    <d v="2023-09-29T00:00:00"/>
    <x v="2"/>
    <s v="BigQuery"/>
    <m/>
    <m/>
    <x v="3"/>
    <n v="80"/>
    <x v="3"/>
    <n v="238"/>
  </r>
  <r>
    <n v="1728"/>
    <s v="Chandler Group"/>
    <x v="1"/>
    <x v="2"/>
    <s v="PyTorch"/>
    <s v=" Scikit-learn"/>
    <s v=" C++"/>
    <m/>
    <m/>
    <n v="155929"/>
    <m/>
    <s v="Mid"/>
    <x v="1"/>
    <s v="New Abigail"/>
    <s v=" SD"/>
    <n v="134410"/>
    <n v="177448"/>
    <d v="2023-09-27T00:00:00"/>
    <x v="0"/>
    <s v="MLflow"/>
    <m/>
    <m/>
    <x v="14"/>
    <n v="92"/>
    <x v="6"/>
    <n v="259"/>
  </r>
  <r>
    <n v="1729"/>
    <s v="Hensley LLC"/>
    <x v="0"/>
    <x v="4"/>
    <s v="Power BI"/>
    <s v=" Hugging Face"/>
    <s v=" NumPy"/>
    <s v=" R"/>
    <s v=" PyTorch"/>
    <n v="109527"/>
    <s v=" Keras"/>
    <s v="Entry"/>
    <x v="1"/>
    <s v="Johnstad"/>
    <s v=" CH"/>
    <n v="80993"/>
    <n v="138061"/>
    <d v="2023-11-28T00:00:00"/>
    <x v="1"/>
    <s v="KDB+"/>
    <m/>
    <m/>
    <x v="18"/>
    <n v="96"/>
    <x v="0"/>
    <n v="247"/>
  </r>
  <r>
    <n v="1730"/>
    <s v="Burke, Mitchell and Wright"/>
    <x v="3"/>
    <x v="6"/>
    <s v="Power BI"/>
    <s v=" Hugging Face"/>
    <s v=" Keras"/>
    <m/>
    <m/>
    <n v="110280.5"/>
    <m/>
    <s v="Mid"/>
    <x v="1"/>
    <s v="Flemingmouth"/>
    <s v=" TM"/>
    <n v="77685"/>
    <n v="142876"/>
    <d v="2024-09-29T00:00:00"/>
    <x v="0"/>
    <s v="LangChain"/>
    <s v=" TensorFlow"/>
    <s v=" MLflow"/>
    <x v="18"/>
    <n v="96"/>
    <x v="4"/>
    <n v="268"/>
  </r>
  <r>
    <n v="1731"/>
    <s v="Hernandez Ltd"/>
    <x v="6"/>
    <x v="2"/>
    <s v="Flask"/>
    <s v=" GCP"/>
    <s v=" MLflow"/>
    <s v=" Pandas"/>
    <m/>
    <n v="136015.5"/>
    <m/>
    <s v="Mid"/>
    <x v="0"/>
    <s v="New Nicoleview"/>
    <s v=" KM"/>
    <n v="125294"/>
    <n v="146737"/>
    <d v="2024-08-29T00:00:00"/>
    <x v="2"/>
    <s v="BigQuery"/>
    <s v=" PyTorch"/>
    <m/>
    <x v="16"/>
    <n v="86"/>
    <x v="3"/>
    <n v="238"/>
  </r>
  <r>
    <n v="1732"/>
    <s v="Meadows and Sons"/>
    <x v="0"/>
    <x v="0"/>
    <s v="Pandas"/>
    <s v=" Power BI"/>
    <s v=" MLflow"/>
    <s v=" Python"/>
    <s v=" AWS"/>
    <n v="137313.5"/>
    <m/>
    <s v="Senior"/>
    <x v="1"/>
    <s v="New Michaelland"/>
    <s v=" IR"/>
    <n v="127211"/>
    <n v="147416"/>
    <d v="2025-03-20T00:00:00"/>
    <x v="2"/>
    <s v="MLflow"/>
    <s v=" KDB+"/>
    <m/>
    <x v="6"/>
    <n v="78"/>
    <x v="6"/>
    <n v="259"/>
  </r>
  <r>
    <n v="1733"/>
    <s v="Barr PLC"/>
    <x v="0"/>
    <x v="3"/>
    <s v="TensorFlow"/>
    <s v=" LangChain"/>
    <s v=" AWS"/>
    <m/>
    <m/>
    <n v="157524.5"/>
    <m/>
    <s v="Senior"/>
    <x v="0"/>
    <s v="New Chaseberg"/>
    <s v=" PK"/>
    <n v="122827"/>
    <n v="192222"/>
    <d v="2024-05-27T00:00:00"/>
    <x v="2"/>
    <s v="TensorFlow"/>
    <s v=" KDB+"/>
    <s v=" FastAPI"/>
    <x v="19"/>
    <n v="95"/>
    <x v="2"/>
    <n v="249"/>
  </r>
  <r>
    <n v="1734"/>
    <s v="Marshall Inc"/>
    <x v="0"/>
    <x v="5"/>
    <s v="CUDA"/>
    <s v=" Hugging Face"/>
    <s v=" Python"/>
    <m/>
    <m/>
    <n v="94879"/>
    <m/>
    <s v="Entry"/>
    <x v="3"/>
    <s v="Port James"/>
    <s v=" IE"/>
    <n v="76718"/>
    <n v="113040"/>
    <d v="2023-11-07T00:00:00"/>
    <x v="1"/>
    <s v="FastAPI"/>
    <s v=" PyTorch"/>
    <s v=" TensorFlow"/>
    <x v="13"/>
    <n v="75"/>
    <x v="1"/>
    <n v="251"/>
  </r>
  <r>
    <n v="1735"/>
    <s v="Steele, Sherman and Liu"/>
    <x v="4"/>
    <x v="5"/>
    <s v="R"/>
    <s v=" Python"/>
    <s v=" LangChain"/>
    <s v=" FastAPI"/>
    <m/>
    <n v="115304.5"/>
    <m/>
    <s v="Entry"/>
    <x v="0"/>
    <s v="Stuartchester"/>
    <s v=" PS"/>
    <n v="69019"/>
    <n v="161590"/>
    <d v="2025-05-15T00:00:00"/>
    <x v="0"/>
    <s v="BigQuery"/>
    <s v=" FastAPI"/>
    <s v=" PyTorch"/>
    <x v="11"/>
    <n v="86"/>
    <x v="3"/>
    <n v="238"/>
  </r>
  <r>
    <n v="1736"/>
    <s v="Crane, Johnson and Robinson"/>
    <x v="5"/>
    <x v="2"/>
    <s v="Keras"/>
    <s v=" Excel"/>
    <s v=" GCP"/>
    <m/>
    <m/>
    <n v="137174.5"/>
    <m/>
    <s v="Entry"/>
    <x v="3"/>
    <s v="Ericside"/>
    <s v=" BI"/>
    <n v="118645"/>
    <n v="155704"/>
    <d v="2025-03-03T00:00:00"/>
    <x v="2"/>
    <s v="KDB+"/>
    <s v=" FastAPI"/>
    <s v=" MLflow"/>
    <x v="7"/>
    <n v="96"/>
    <x v="0"/>
    <n v="247"/>
  </r>
  <r>
    <n v="1737"/>
    <s v="Ferguson PLC"/>
    <x v="5"/>
    <x v="4"/>
    <s v="Reinforcement Learning"/>
    <s v=" Excel"/>
    <s v=" NumPy"/>
    <s v=" PyTorch"/>
    <s v=" Pandas"/>
    <n v="116678"/>
    <s v=" SQL"/>
    <s v="Entry"/>
    <x v="1"/>
    <s v="Johnsonmouth"/>
    <s v=" TN"/>
    <n v="92698"/>
    <n v="140658"/>
    <d v="2024-03-21T00:00:00"/>
    <x v="0"/>
    <s v="FastAPI"/>
    <s v=" LangChain"/>
    <m/>
    <x v="21"/>
    <n v="104"/>
    <x v="1"/>
    <n v="251"/>
  </r>
  <r>
    <n v="1738"/>
    <s v="Marshall Group"/>
    <x v="0"/>
    <x v="0"/>
    <s v="Pandas"/>
    <s v=" Power BI"/>
    <s v=" SQL"/>
    <m/>
    <m/>
    <n v="159548.5"/>
    <m/>
    <s v="Senior"/>
    <x v="3"/>
    <s v="Zacharyside"/>
    <s v=" PG"/>
    <n v="136382"/>
    <n v="182715"/>
    <d v="2025-02-14T00:00:00"/>
    <x v="2"/>
    <s v="KDB+"/>
    <s v=" LangChain"/>
    <m/>
    <x v="6"/>
    <n v="78"/>
    <x v="0"/>
    <n v="247"/>
  </r>
  <r>
    <n v="1739"/>
    <s v="Williams, Brown and Howard"/>
    <x v="6"/>
    <x v="1"/>
    <s v="R"/>
    <s v=" Hugging Face"/>
    <s v=" Flask"/>
    <m/>
    <m/>
    <n v="188355"/>
    <m/>
    <s v="Mid"/>
    <x v="0"/>
    <s v="Owensborough"/>
    <s v=" GE"/>
    <n v="149696"/>
    <n v="227014"/>
    <d v="2024-08-22T00:00:00"/>
    <x v="0"/>
    <s v="LangChain"/>
    <s v=" FastAPI"/>
    <s v=" TensorFlow"/>
    <x v="11"/>
    <n v="86"/>
    <x v="4"/>
    <n v="268"/>
  </r>
  <r>
    <n v="1740"/>
    <s v="Miller, Waters and Clark"/>
    <x v="3"/>
    <x v="3"/>
    <s v="Power BI"/>
    <s v=" CUDA"/>
    <s v=" AWS"/>
    <m/>
    <m/>
    <n v="92758"/>
    <m/>
    <s v="Entry"/>
    <x v="3"/>
    <s v="Lake John"/>
    <s v=" CO"/>
    <n v="71669"/>
    <n v="113847"/>
    <d v="2023-12-21T00:00:00"/>
    <x v="1"/>
    <s v="Scikit-learn"/>
    <s v=" BigQuery"/>
    <s v=" KDB+"/>
    <x v="18"/>
    <n v="96"/>
    <x v="7"/>
    <n v="255"/>
  </r>
  <r>
    <n v="1741"/>
    <s v="Montgomery Inc"/>
    <x v="0"/>
    <x v="0"/>
    <s v="Flask"/>
    <s v=" TensorFlow"/>
    <s v=" C++"/>
    <m/>
    <m/>
    <n v="132436.5"/>
    <m/>
    <s v="Senior"/>
    <x v="1"/>
    <s v="West Coreyton"/>
    <s v=" VE"/>
    <n v="119078"/>
    <n v="145795"/>
    <d v="2024-03-15T00:00:00"/>
    <x v="0"/>
    <s v="KDB+"/>
    <s v=" FastAPI"/>
    <s v=" PyTorch"/>
    <x v="16"/>
    <n v="86"/>
    <x v="0"/>
    <n v="247"/>
  </r>
  <r>
    <n v="1742"/>
    <s v="Middleton and Sons"/>
    <x v="0"/>
    <x v="5"/>
    <s v="Scikit-learn"/>
    <s v=" Python"/>
    <s v=" Hugging Face"/>
    <s v=" Pandas"/>
    <s v=" Keras"/>
    <n v="139252.5"/>
    <s v=" MLflow"/>
    <s v="Senior"/>
    <x v="0"/>
    <s v="Lake Melissa"/>
    <s v=" LY"/>
    <n v="126591"/>
    <n v="151914"/>
    <d v="2023-12-14T00:00:00"/>
    <x v="1"/>
    <s v="BigQuery"/>
    <s v=" MLflow"/>
    <m/>
    <x v="1"/>
    <n v="76"/>
    <x v="3"/>
    <n v="238"/>
  </r>
  <r>
    <n v="1743"/>
    <s v="Allen Ltd"/>
    <x v="1"/>
    <x v="4"/>
    <s v="LangChain"/>
    <s v=" SQL"/>
    <s v=" PyTorch"/>
    <s v=" Excel"/>
    <m/>
    <n v="153106.5"/>
    <m/>
    <s v="Mid"/>
    <x v="1"/>
    <s v="Cantrellmouth"/>
    <s v=" AE"/>
    <n v="121727"/>
    <n v="184486"/>
    <d v="2024-09-21T00:00:00"/>
    <x v="1"/>
    <s v="KDB+"/>
    <m/>
    <m/>
    <x v="12"/>
    <n v="100"/>
    <x v="0"/>
    <n v="247"/>
  </r>
  <r>
    <n v="1744"/>
    <s v="Scott-Norris"/>
    <x v="2"/>
    <x v="6"/>
    <s v="Python"/>
    <s v=" MLflow"/>
    <s v=" PyTorch"/>
    <s v=" FastAPI"/>
    <m/>
    <n v="104649.5"/>
    <m/>
    <s v="Senior"/>
    <x v="0"/>
    <s v="Lauramouth"/>
    <s v=" FR"/>
    <n v="90376"/>
    <n v="118923"/>
    <d v="2025-02-13T00:00:00"/>
    <x v="2"/>
    <s v="TensorFlow"/>
    <s v=" FastAPI"/>
    <s v=" KDB+"/>
    <x v="5"/>
    <n v="94"/>
    <x v="2"/>
    <n v="249"/>
  </r>
  <r>
    <n v="1745"/>
    <s v="Ramos Ltd"/>
    <x v="6"/>
    <x v="1"/>
    <s v="Scikit-learn"/>
    <s v=" Flask"/>
    <s v=" PyTorch"/>
    <s v=" SQL"/>
    <m/>
    <n v="144971.5"/>
    <m/>
    <s v="Senior"/>
    <x v="3"/>
    <s v="West Tyler"/>
    <s v=" CN"/>
    <n v="132851"/>
    <n v="157092"/>
    <d v="2023-09-26T00:00:00"/>
    <x v="0"/>
    <s v="BigQuery"/>
    <s v=" TensorFlow"/>
    <m/>
    <x v="1"/>
    <n v="76"/>
    <x v="3"/>
    <n v="238"/>
  </r>
  <r>
    <n v="1746"/>
    <s v="Daniel-Williams"/>
    <x v="1"/>
    <x v="7"/>
    <s v="Keras"/>
    <s v=" Pandas"/>
    <s v=" AWS"/>
    <s v=" SQL"/>
    <m/>
    <n v="173483"/>
    <m/>
    <s v="Mid"/>
    <x v="0"/>
    <s v="West Raymondshire"/>
    <s v=" SK"/>
    <n v="134738"/>
    <n v="212228"/>
    <d v="2025-07-22T00:00:00"/>
    <x v="1"/>
    <s v="BigQuery"/>
    <m/>
    <m/>
    <x v="7"/>
    <n v="96"/>
    <x v="3"/>
    <n v="238"/>
  </r>
  <r>
    <n v="1747"/>
    <s v="Lowery-Henry"/>
    <x v="0"/>
    <x v="7"/>
    <s v="NumPy"/>
    <s v=" Scikit-learn"/>
    <s v=" SQL"/>
    <s v=" LangChain"/>
    <s v=" C++"/>
    <n v="113999.5"/>
    <m/>
    <s v="Senior"/>
    <x v="1"/>
    <s v="Jacobschester"/>
    <s v=" KH"/>
    <n v="107785"/>
    <n v="120214"/>
    <d v="2024-04-03T00:00:00"/>
    <x v="2"/>
    <s v="Scikit-learn"/>
    <s v=" LangChain"/>
    <m/>
    <x v="0"/>
    <n v="104"/>
    <x v="7"/>
    <n v="255"/>
  </r>
  <r>
    <n v="1748"/>
    <s v="Gutierrez, Salazar and Rowe"/>
    <x v="1"/>
    <x v="0"/>
    <s v="MLflow"/>
    <s v=" Keras"/>
    <s v=" CUDA"/>
    <s v=" FastAPI"/>
    <s v=" Flask"/>
    <n v="155205"/>
    <m/>
    <s v="Mid"/>
    <x v="3"/>
    <s v="West Scott"/>
    <s v=" ER"/>
    <n v="125072"/>
    <n v="185338"/>
    <d v="2023-12-07T00:00:00"/>
    <x v="0"/>
    <s v="TensorFlow"/>
    <m/>
    <m/>
    <x v="3"/>
    <n v="80"/>
    <x v="2"/>
    <n v="249"/>
  </r>
  <r>
    <n v="1749"/>
    <s v="Parker Ltd"/>
    <x v="4"/>
    <x v="0"/>
    <s v="Pandas"/>
    <s v=" R"/>
    <s v=" AWS"/>
    <s v=" TensorFlow"/>
    <s v=" NumPy"/>
    <n v="151403.5"/>
    <s v=" Reinforcement Learning"/>
    <s v="Mid"/>
    <x v="1"/>
    <s v="West Amandafort"/>
    <s v=" AR"/>
    <n v="117423"/>
    <n v="185384"/>
    <d v="2024-09-22T00:00:00"/>
    <x v="2"/>
    <s v="FastAPI"/>
    <s v=" TensorFlow"/>
    <m/>
    <x v="6"/>
    <n v="78"/>
    <x v="1"/>
    <n v="251"/>
  </r>
  <r>
    <n v="1750"/>
    <s v="Montes, Graham and Leach"/>
    <x v="0"/>
    <x v="5"/>
    <s v="LangChain"/>
    <s v=" Power BI"/>
    <s v=" Azure"/>
    <s v=" C++"/>
    <s v=" Scikit-learn"/>
    <n v="118643.5"/>
    <s v=" TensorFlow"/>
    <s v="Entry"/>
    <x v="2"/>
    <s v="Lake Michelle"/>
    <s v=" CH"/>
    <n v="82983"/>
    <n v="154304"/>
    <d v="2025-02-04T00:00:00"/>
    <x v="2"/>
    <s v="Scikit-learn"/>
    <s v=" BigQuery"/>
    <m/>
    <x v="12"/>
    <n v="100"/>
    <x v="7"/>
    <n v="255"/>
  </r>
  <r>
    <n v="1751"/>
    <s v="King, Stevens and Schmidt"/>
    <x v="3"/>
    <x v="3"/>
    <s v="Power BI"/>
    <s v=" LangChain"/>
    <s v=" Python"/>
    <s v=" Reinforcement Learning"/>
    <s v=" TensorFlow"/>
    <n v="86092"/>
    <s v=" PyTorch"/>
    <s v="Senior"/>
    <x v="1"/>
    <s v="Donnaton"/>
    <s v=" AD"/>
    <n v="44946"/>
    <n v="127238"/>
    <d v="2024-06-04T00:00:00"/>
    <x v="0"/>
    <s v="Scikit-learn"/>
    <s v=" MLflow"/>
    <m/>
    <x v="18"/>
    <n v="96"/>
    <x v="7"/>
    <n v="255"/>
  </r>
  <r>
    <n v="1752"/>
    <s v="Barron-Zuniga"/>
    <x v="1"/>
    <x v="0"/>
    <s v="GCP"/>
    <s v=" Keras"/>
    <s v=" Flask"/>
    <m/>
    <m/>
    <n v="167462.5"/>
    <m/>
    <s v="Senior"/>
    <x v="3"/>
    <s v="Stevenstad"/>
    <s v=" SD"/>
    <n v="138174"/>
    <n v="196751"/>
    <d v="2025-03-25T00:00:00"/>
    <x v="0"/>
    <s v="KDB+"/>
    <m/>
    <m/>
    <x v="4"/>
    <n v="78"/>
    <x v="0"/>
    <n v="247"/>
  </r>
  <r>
    <n v="1753"/>
    <s v="Caldwell, Silva and Edwards"/>
    <x v="1"/>
    <x v="6"/>
    <s v="SQL"/>
    <s v=" Flask"/>
    <s v=" Azure"/>
    <s v=" LangChain"/>
    <m/>
    <n v="157780.5"/>
    <m/>
    <s v="Entry"/>
    <x v="1"/>
    <s v="Lake Keith"/>
    <s v=" RO"/>
    <n v="141056"/>
    <n v="174505"/>
    <d v="2024-12-12T00:00:00"/>
    <x v="1"/>
    <s v="Scikit-learn"/>
    <m/>
    <m/>
    <x v="17"/>
    <n v="88"/>
    <x v="7"/>
    <n v="255"/>
  </r>
  <r>
    <n v="1754"/>
    <s v="Bell and Sons"/>
    <x v="6"/>
    <x v="6"/>
    <s v="SQL"/>
    <s v=" Python"/>
    <s v=" C++"/>
    <s v=" MLflow"/>
    <s v=" CUDA"/>
    <n v="92728"/>
    <m/>
    <s v="Mid"/>
    <x v="0"/>
    <s v="Lake Kathy"/>
    <s v=" HR"/>
    <n v="56727"/>
    <n v="128729"/>
    <d v="2023-12-14T00:00:00"/>
    <x v="2"/>
    <s v="PyTorch"/>
    <m/>
    <m/>
    <x v="17"/>
    <n v="88"/>
    <x v="5"/>
    <n v="233"/>
  </r>
  <r>
    <n v="1755"/>
    <s v="Lee Inc"/>
    <x v="4"/>
    <x v="7"/>
    <s v="TensorFlow"/>
    <s v=" PyTorch"/>
    <s v=" LangChain"/>
    <m/>
    <m/>
    <n v="153126"/>
    <m/>
    <s v="Mid"/>
    <x v="1"/>
    <s v="Allenchester"/>
    <s v=" NI"/>
    <n v="118148"/>
    <n v="188104"/>
    <d v="2025-04-23T00:00:00"/>
    <x v="2"/>
    <s v="KDB+"/>
    <m/>
    <m/>
    <x v="19"/>
    <n v="95"/>
    <x v="0"/>
    <n v="247"/>
  </r>
  <r>
    <n v="1756"/>
    <s v="Schroeder Group"/>
    <x v="3"/>
    <x v="7"/>
    <s v="C++"/>
    <s v=" TensorFlow"/>
    <s v=" AWS"/>
    <m/>
    <m/>
    <n v="152568"/>
    <m/>
    <s v="Entry"/>
    <x v="2"/>
    <s v="East Kevinfurt"/>
    <s v=" CY"/>
    <n v="139066"/>
    <n v="166070"/>
    <d v="2024-04-26T00:00:00"/>
    <x v="0"/>
    <s v="PyTorch"/>
    <s v=" MLflow"/>
    <m/>
    <x v="8"/>
    <n v="84"/>
    <x v="5"/>
    <n v="233"/>
  </r>
  <r>
    <n v="1757"/>
    <s v="Fields PLC"/>
    <x v="5"/>
    <x v="5"/>
    <s v="FastAPI"/>
    <s v=" Excel"/>
    <s v=" Pandas"/>
    <m/>
    <m/>
    <n v="146813"/>
    <m/>
    <s v="Mid"/>
    <x v="0"/>
    <s v="South Bethhaven"/>
    <s v=" BT"/>
    <n v="108653"/>
    <n v="184973"/>
    <d v="2024-10-24T00:00:00"/>
    <x v="0"/>
    <s v="Scikit-learn"/>
    <s v=" TensorFlow"/>
    <m/>
    <x v="20"/>
    <n v="111"/>
    <x v="7"/>
    <n v="255"/>
  </r>
  <r>
    <n v="1758"/>
    <s v="Hawkins, Holland and Peters"/>
    <x v="0"/>
    <x v="1"/>
    <s v="FastAPI"/>
    <s v=" PyTorch"/>
    <s v=" Excel"/>
    <s v=" SQL"/>
    <m/>
    <n v="115711"/>
    <m/>
    <s v="Entry"/>
    <x v="1"/>
    <s v="Lake Nicoleberg"/>
    <s v=" FM"/>
    <n v="89361"/>
    <n v="142061"/>
    <d v="2024-03-10T00:00:00"/>
    <x v="1"/>
    <s v="PyTorch"/>
    <m/>
    <m/>
    <x v="20"/>
    <n v="111"/>
    <x v="5"/>
    <n v="233"/>
  </r>
  <r>
    <n v="1759"/>
    <s v="Robertson and Sons"/>
    <x v="0"/>
    <x v="3"/>
    <s v="GCP"/>
    <s v=" PyTorch"/>
    <s v=" Power BI"/>
    <s v=" TensorFlow"/>
    <m/>
    <n v="109268.5"/>
    <m/>
    <s v="Entry"/>
    <x v="2"/>
    <s v="East Christine"/>
    <s v=" BW"/>
    <n v="63877"/>
    <n v="154660"/>
    <d v="2025-07-24T00:00:00"/>
    <x v="0"/>
    <s v="TensorFlow"/>
    <s v=" MLflow"/>
    <m/>
    <x v="4"/>
    <n v="78"/>
    <x v="2"/>
    <n v="249"/>
  </r>
  <r>
    <n v="1760"/>
    <s v="Harrison, Marquez and Bailey"/>
    <x v="0"/>
    <x v="5"/>
    <s v="PyTorch"/>
    <s v=" GCP"/>
    <s v=" Reinforcement Learning"/>
    <s v=" Excel"/>
    <s v=" C++"/>
    <n v="174160.5"/>
    <m/>
    <s v="Senior"/>
    <x v="2"/>
    <s v="Nunezmouth"/>
    <s v=" UY"/>
    <n v="126539"/>
    <n v="221782"/>
    <d v="2024-12-31T00:00:00"/>
    <x v="2"/>
    <s v="MLflow"/>
    <s v=" TensorFlow"/>
    <s v=" BigQuery"/>
    <x v="14"/>
    <n v="92"/>
    <x v="6"/>
    <n v="259"/>
  </r>
  <r>
    <n v="1761"/>
    <s v="Chen-Erickson"/>
    <x v="2"/>
    <x v="5"/>
    <s v="FastAPI"/>
    <s v=" SQL"/>
    <s v=" GCP"/>
    <s v=" AWS"/>
    <m/>
    <n v="174468"/>
    <m/>
    <s v="Senior"/>
    <x v="1"/>
    <s v="Williamsmouth"/>
    <s v=" GT"/>
    <n v="148786"/>
    <n v="200150"/>
    <d v="2024-12-06T00:00:00"/>
    <x v="2"/>
    <s v="BigQuery"/>
    <s v=" KDB+"/>
    <s v=" PyTorch"/>
    <x v="20"/>
    <n v="111"/>
    <x v="3"/>
    <n v="238"/>
  </r>
  <r>
    <n v="1762"/>
    <s v="Copeland-Mitchell"/>
    <x v="2"/>
    <x v="3"/>
    <s v="TensorFlow"/>
    <s v=" Scikit-learn"/>
    <s v=" Flask"/>
    <s v=" NumPy"/>
    <s v=" SQL"/>
    <n v="156236.5"/>
    <s v=" LangChain"/>
    <s v="Entry"/>
    <x v="3"/>
    <s v="Bradleyport"/>
    <s v=" AR"/>
    <n v="119811"/>
    <n v="192662"/>
    <d v="2024-08-13T00:00:00"/>
    <x v="0"/>
    <s v="Scikit-learn"/>
    <s v=" PyTorch"/>
    <m/>
    <x v="19"/>
    <n v="95"/>
    <x v="7"/>
    <n v="255"/>
  </r>
  <r>
    <n v="1763"/>
    <s v="Marsh, Foster and Taylor"/>
    <x v="6"/>
    <x v="4"/>
    <s v="NumPy"/>
    <s v=" GCP"/>
    <s v=" Flask"/>
    <s v=" TensorFlow"/>
    <m/>
    <n v="90035"/>
    <m/>
    <s v="Entry"/>
    <x v="2"/>
    <s v="Kathyside"/>
    <s v=" SK"/>
    <n v="81526"/>
    <n v="98544"/>
    <d v="2024-01-03T00:00:00"/>
    <x v="0"/>
    <s v="LangChain"/>
    <m/>
    <m/>
    <x v="0"/>
    <n v="104"/>
    <x v="4"/>
    <n v="268"/>
  </r>
  <r>
    <n v="1764"/>
    <s v="Benson PLC"/>
    <x v="0"/>
    <x v="2"/>
    <s v="TensorFlow"/>
    <s v=" PyTorch"/>
    <s v=" Pandas"/>
    <s v=" Excel"/>
    <s v=" Scikit-learn"/>
    <n v="129986.5"/>
    <s v=" MLflow"/>
    <s v="Senior"/>
    <x v="2"/>
    <s v="West Angelastad"/>
    <s v=" FJ"/>
    <n v="121033"/>
    <n v="138940"/>
    <d v="2025-05-08T00:00:00"/>
    <x v="2"/>
    <s v="MLflow"/>
    <s v=" KDB+"/>
    <m/>
    <x v="19"/>
    <n v="95"/>
    <x v="6"/>
    <n v="259"/>
  </r>
  <r>
    <n v="1765"/>
    <s v="Williams, Thomas and Mueller"/>
    <x v="3"/>
    <x v="0"/>
    <s v="Flask"/>
    <s v=" Keras"/>
    <s v=" GCP"/>
    <s v=" Python"/>
    <s v=" R"/>
    <n v="84063"/>
    <s v=" C++"/>
    <s v="Mid"/>
    <x v="1"/>
    <s v="New Stacybury"/>
    <s v=" UZ"/>
    <n v="72934"/>
    <n v="95192"/>
    <d v="2024-07-29T00:00:00"/>
    <x v="2"/>
    <s v="PyTorch"/>
    <m/>
    <m/>
    <x v="16"/>
    <n v="86"/>
    <x v="5"/>
    <n v="233"/>
  </r>
  <r>
    <n v="1766"/>
    <s v="Bartlett, Hodge and Jones"/>
    <x v="1"/>
    <x v="4"/>
    <s v="Pandas"/>
    <s v=" FastAPI"/>
    <s v=" PyTorch"/>
    <s v=" CUDA"/>
    <s v=" Azure"/>
    <n v="53651"/>
    <m/>
    <s v="Mid"/>
    <x v="0"/>
    <s v="Lake Jordan"/>
    <s v=" GD"/>
    <n v="44039"/>
    <n v="63263"/>
    <d v="2024-02-01T00:00:00"/>
    <x v="2"/>
    <s v="FastAPI"/>
    <s v=" TensorFlow"/>
    <s v=" KDB+"/>
    <x v="6"/>
    <n v="78"/>
    <x v="1"/>
    <n v="251"/>
  </r>
  <r>
    <n v="1767"/>
    <s v="Baldwin LLC"/>
    <x v="0"/>
    <x v="2"/>
    <s v="Keras"/>
    <s v=" Azure"/>
    <s v=" Excel"/>
    <s v=" MLflow"/>
    <s v=" FastAPI"/>
    <n v="86111"/>
    <s v=" Hugging Face"/>
    <s v="Entry"/>
    <x v="3"/>
    <s v="Comptonstad"/>
    <s v=" UA"/>
    <n v="46970"/>
    <n v="125252"/>
    <d v="2025-03-14T00:00:00"/>
    <x v="1"/>
    <s v="Scikit-learn"/>
    <s v=" BigQuery"/>
    <s v=" FastAPI"/>
    <x v="7"/>
    <n v="96"/>
    <x v="7"/>
    <n v="255"/>
  </r>
  <r>
    <n v="1768"/>
    <s v="Mcbride Inc"/>
    <x v="1"/>
    <x v="1"/>
    <s v="TensorFlow"/>
    <s v=" SQL"/>
    <s v=" NumPy"/>
    <s v=" Flask"/>
    <s v=" Scikit-learn"/>
    <n v="158957.5"/>
    <s v=" Hugging Face"/>
    <s v="Entry"/>
    <x v="2"/>
    <s v="Lake Joshuabury"/>
    <s v=" LB"/>
    <n v="118416"/>
    <n v="199499"/>
    <d v="2024-09-27T00:00:00"/>
    <x v="1"/>
    <s v="BigQuery"/>
    <s v=" Scikit-learn"/>
    <s v=" PyTorch"/>
    <x v="19"/>
    <n v="95"/>
    <x v="3"/>
    <n v="238"/>
  </r>
  <r>
    <n v="1769"/>
    <s v="Colon LLC"/>
    <x v="4"/>
    <x v="2"/>
    <s v="Reinforcement Learning"/>
    <s v=" Pandas"/>
    <s v=" AWS"/>
    <s v=" PyTorch"/>
    <s v=" Azure"/>
    <n v="74666.5"/>
    <s v=" C++"/>
    <s v="Entry"/>
    <x v="3"/>
    <s v="Lake Brian"/>
    <s v=" ZM"/>
    <n v="65640"/>
    <n v="83693"/>
    <d v="2024-07-11T00:00:00"/>
    <x v="2"/>
    <s v="LangChain"/>
    <s v=" BigQuery"/>
    <s v=" KDB+"/>
    <x v="21"/>
    <n v="104"/>
    <x v="4"/>
    <n v="268"/>
  </r>
  <r>
    <n v="1770"/>
    <s v="Ashley, Boone and Stein"/>
    <x v="3"/>
    <x v="1"/>
    <s v="Hugging Face"/>
    <s v=" FastAPI"/>
    <s v=" GCP"/>
    <s v=" Pandas"/>
    <s v=" SQL"/>
    <n v="88081.5"/>
    <m/>
    <s v="Mid"/>
    <x v="2"/>
    <s v="Jasminville"/>
    <s v=" SA"/>
    <n v="81177"/>
    <n v="94986"/>
    <d v="2024-05-31T00:00:00"/>
    <x v="0"/>
    <s v="Scikit-learn"/>
    <s v=" LangChain"/>
    <m/>
    <x v="9"/>
    <n v="89"/>
    <x v="7"/>
    <n v="255"/>
  </r>
  <r>
    <n v="1771"/>
    <s v="Wilson, Taylor and Watts"/>
    <x v="1"/>
    <x v="1"/>
    <s v="NumPy"/>
    <s v=" Python"/>
    <s v=" Excel"/>
    <m/>
    <m/>
    <n v="149789.5"/>
    <m/>
    <s v="Mid"/>
    <x v="1"/>
    <s v="Lake Edward"/>
    <s v=" IE"/>
    <n v="103151"/>
    <n v="196428"/>
    <d v="2024-12-16T00:00:00"/>
    <x v="2"/>
    <s v="BigQuery"/>
    <s v=" MLflow"/>
    <s v=" LangChain"/>
    <x v="0"/>
    <n v="104"/>
    <x v="3"/>
    <n v="238"/>
  </r>
  <r>
    <n v="1772"/>
    <s v="Hodge-Fernandez"/>
    <x v="5"/>
    <x v="1"/>
    <s v="Hugging Face"/>
    <s v=" LangChain"/>
    <s v=" Azure"/>
    <s v=" C++"/>
    <m/>
    <n v="147926.5"/>
    <m/>
    <s v="Entry"/>
    <x v="1"/>
    <s v="New Alanville"/>
    <s v=" BB"/>
    <n v="117069"/>
    <n v="178784"/>
    <d v="2023-12-08T00:00:00"/>
    <x v="2"/>
    <s v="TensorFlow"/>
    <s v=" FastAPI"/>
    <s v=" PyTorch"/>
    <x v="9"/>
    <n v="89"/>
    <x v="2"/>
    <n v="249"/>
  </r>
  <r>
    <n v="1773"/>
    <s v="Roman, Moody and Larson"/>
    <x v="3"/>
    <x v="0"/>
    <s v="CUDA"/>
    <s v=" Hugging Face"/>
    <s v=" GCP"/>
    <s v=" FastAPI"/>
    <m/>
    <n v="134407.5"/>
    <m/>
    <s v="Entry"/>
    <x v="0"/>
    <s v="Port Alisonville"/>
    <s v=" AT"/>
    <n v="113673"/>
    <n v="155142"/>
    <d v="2024-05-29T00:00:00"/>
    <x v="0"/>
    <s v="BigQuery"/>
    <s v=" TensorFlow"/>
    <s v=" FastAPI"/>
    <x v="13"/>
    <n v="75"/>
    <x v="3"/>
    <n v="238"/>
  </r>
  <r>
    <n v="1774"/>
    <s v="Waller-Buchanan"/>
    <x v="4"/>
    <x v="6"/>
    <s v="MLflow"/>
    <s v=" Python"/>
    <s v=" Excel"/>
    <s v=" NumPy"/>
    <s v=" LangChain"/>
    <n v="152291"/>
    <s v=" Power BI"/>
    <s v="Senior"/>
    <x v="0"/>
    <s v="North Jonathan"/>
    <s v=" MN"/>
    <n v="138749"/>
    <n v="165833"/>
    <d v="2025-01-21T00:00:00"/>
    <x v="2"/>
    <s v="MLflow"/>
    <s v=" LangChain"/>
    <s v=" PyTorch"/>
    <x v="3"/>
    <n v="80"/>
    <x v="6"/>
    <n v="259"/>
  </r>
  <r>
    <n v="1775"/>
    <s v="Lane-Vaughn"/>
    <x v="2"/>
    <x v="4"/>
    <s v="Python"/>
    <s v=" GCP"/>
    <s v=" Power BI"/>
    <s v=" MLflow"/>
    <m/>
    <n v="132937.5"/>
    <m/>
    <s v="Entry"/>
    <x v="3"/>
    <s v="Maryville"/>
    <s v=" GQ"/>
    <n v="100978"/>
    <n v="164897"/>
    <d v="2025-01-09T00:00:00"/>
    <x v="0"/>
    <s v="BigQuery"/>
    <s v=" TensorFlow"/>
    <s v=" PyTorch"/>
    <x v="5"/>
    <n v="94"/>
    <x v="3"/>
    <n v="238"/>
  </r>
  <r>
    <n v="1776"/>
    <s v="Shaffer, Jones and Weaver"/>
    <x v="5"/>
    <x v="5"/>
    <s v="GCP"/>
    <s v=" AWS"/>
    <s v=" Keras"/>
    <s v=" Azure"/>
    <m/>
    <n v="146936.5"/>
    <m/>
    <s v="Senior"/>
    <x v="0"/>
    <s v="Port Melissa"/>
    <s v=" KE"/>
    <n v="108286"/>
    <n v="185587"/>
    <d v="2025-07-17T00:00:00"/>
    <x v="1"/>
    <s v="KDB+"/>
    <m/>
    <m/>
    <x v="4"/>
    <n v="78"/>
    <x v="0"/>
    <n v="247"/>
  </r>
  <r>
    <n v="1777"/>
    <s v="Wilkinson Ltd"/>
    <x v="2"/>
    <x v="7"/>
    <s v="GCP"/>
    <s v=" Excel"/>
    <s v=" PyTorch"/>
    <m/>
    <m/>
    <n v="91028.5"/>
    <m/>
    <s v="Entry"/>
    <x v="1"/>
    <s v="Port Sabrinaburgh"/>
    <s v=" KI"/>
    <n v="56159"/>
    <n v="125898"/>
    <d v="2024-03-20T00:00:00"/>
    <x v="2"/>
    <s v="Scikit-learn"/>
    <s v=" PyTorch"/>
    <m/>
    <x v="4"/>
    <n v="78"/>
    <x v="7"/>
    <n v="255"/>
  </r>
  <r>
    <n v="1778"/>
    <s v="Gomez PLC"/>
    <x v="6"/>
    <x v="5"/>
    <s v="NumPy"/>
    <s v=" LangChain"/>
    <s v=" FastAPI"/>
    <m/>
    <m/>
    <n v="104207"/>
    <m/>
    <s v="Entry"/>
    <x v="2"/>
    <s v="West Rhondabury"/>
    <s v=" ES"/>
    <n v="77346"/>
    <n v="131068"/>
    <d v="2024-10-06T00:00:00"/>
    <x v="2"/>
    <s v="LangChain"/>
    <s v=" FastAPI"/>
    <m/>
    <x v="0"/>
    <n v="104"/>
    <x v="4"/>
    <n v="268"/>
  </r>
  <r>
    <n v="1779"/>
    <s v="Gray-Thompson"/>
    <x v="2"/>
    <x v="1"/>
    <s v="CUDA"/>
    <s v=" Azure"/>
    <s v=" MLflow"/>
    <s v=" NumPy"/>
    <m/>
    <n v="81514"/>
    <m/>
    <s v="Mid"/>
    <x v="3"/>
    <s v="Jenniferfurt"/>
    <s v=" RW"/>
    <n v="50711"/>
    <n v="112317"/>
    <d v="2024-02-25T00:00:00"/>
    <x v="1"/>
    <s v="FastAPI"/>
    <s v=" Scikit-learn"/>
    <m/>
    <x v="13"/>
    <n v="75"/>
    <x v="1"/>
    <n v="251"/>
  </r>
  <r>
    <n v="1780"/>
    <s v="Rubio, Lutz and Sanders"/>
    <x v="4"/>
    <x v="2"/>
    <s v="PyTorch"/>
    <s v=" Reinforcement Learning"/>
    <s v=" Excel"/>
    <m/>
    <m/>
    <n v="114216.5"/>
    <m/>
    <s v="Entry"/>
    <x v="3"/>
    <s v="Trevinobury"/>
    <s v=" IL"/>
    <n v="105715"/>
    <n v="122718"/>
    <d v="2024-01-23T00:00:00"/>
    <x v="0"/>
    <s v="MLflow"/>
    <s v=" Scikit-learn"/>
    <m/>
    <x v="14"/>
    <n v="92"/>
    <x v="6"/>
    <n v="259"/>
  </r>
  <r>
    <n v="1781"/>
    <s v="Avila LLC"/>
    <x v="6"/>
    <x v="5"/>
    <s v="GCP"/>
    <s v=" Excel"/>
    <s v=" Scikit-learn"/>
    <s v=" Azure"/>
    <m/>
    <n v="90210"/>
    <m/>
    <s v="Mid"/>
    <x v="0"/>
    <s v="North Dominicmouth"/>
    <s v=" MY"/>
    <n v="65347"/>
    <n v="115073"/>
    <d v="2024-05-08T00:00:00"/>
    <x v="2"/>
    <s v="Scikit-learn"/>
    <s v=" LangChain"/>
    <s v=" MLflow"/>
    <x v="4"/>
    <n v="78"/>
    <x v="7"/>
    <n v="255"/>
  </r>
  <r>
    <n v="1782"/>
    <s v="Phillips Inc"/>
    <x v="3"/>
    <x v="6"/>
    <s v="GCP"/>
    <s v=" PyTorch"/>
    <s v=" NumPy"/>
    <s v=" FastAPI"/>
    <s v=" Excel"/>
    <n v="158657.5"/>
    <s v=" Pandas"/>
    <s v="Senior"/>
    <x v="1"/>
    <s v="Davidberg"/>
    <s v=" SZ"/>
    <n v="119430"/>
    <n v="197885"/>
    <d v="2025-05-02T00:00:00"/>
    <x v="1"/>
    <s v="MLflow"/>
    <s v=" TensorFlow"/>
    <m/>
    <x v="4"/>
    <n v="78"/>
    <x v="6"/>
    <n v="259"/>
  </r>
  <r>
    <n v="1783"/>
    <s v="Page, Mccoy and Walsh"/>
    <x v="0"/>
    <x v="5"/>
    <s v="Python"/>
    <s v=" Reinforcement Learning"/>
    <s v=" Hugging Face"/>
    <m/>
    <m/>
    <n v="185408"/>
    <m/>
    <s v="Mid"/>
    <x v="3"/>
    <s v="Johnmouth"/>
    <s v=" GT"/>
    <n v="148872"/>
    <n v="221944"/>
    <d v="2023-12-06T00:00:00"/>
    <x v="1"/>
    <s v="PyTorch"/>
    <m/>
    <m/>
    <x v="5"/>
    <n v="94"/>
    <x v="5"/>
    <n v="233"/>
  </r>
  <r>
    <n v="1784"/>
    <s v="Alvarado-Rhodes"/>
    <x v="4"/>
    <x v="4"/>
    <s v="Azure"/>
    <s v=" Flask"/>
    <s v=" TensorFlow"/>
    <m/>
    <m/>
    <n v="87962.5"/>
    <m/>
    <s v="Mid"/>
    <x v="3"/>
    <s v="Danieltown"/>
    <s v=" SB"/>
    <n v="59784"/>
    <n v="116141"/>
    <d v="2024-10-02T00:00:00"/>
    <x v="1"/>
    <s v="FastAPI"/>
    <m/>
    <m/>
    <x v="15"/>
    <n v="90"/>
    <x v="1"/>
    <n v="251"/>
  </r>
  <r>
    <n v="1785"/>
    <s v="Green-Fleming"/>
    <x v="0"/>
    <x v="2"/>
    <s v="LangChain"/>
    <s v=" CUDA"/>
    <s v=" TensorFlow"/>
    <s v=" Reinforcement Learning"/>
    <s v=" Excel"/>
    <n v="126044.5"/>
    <s v=" Scikit-learn"/>
    <s v="Senior"/>
    <x v="0"/>
    <s v="East Timothybury"/>
    <s v=" GT"/>
    <n v="100903"/>
    <n v="151186"/>
    <d v="2024-12-28T00:00:00"/>
    <x v="2"/>
    <s v="MLflow"/>
    <m/>
    <m/>
    <x v="12"/>
    <n v="100"/>
    <x v="6"/>
    <n v="259"/>
  </r>
  <r>
    <n v="1786"/>
    <s v="Miller-Walker"/>
    <x v="3"/>
    <x v="1"/>
    <s v="Azure"/>
    <s v=" Power BI"/>
    <s v=" Flask"/>
    <m/>
    <m/>
    <n v="106946"/>
    <m/>
    <s v="Mid"/>
    <x v="0"/>
    <s v="East Martha"/>
    <s v=" WS"/>
    <n v="101903"/>
    <n v="111989"/>
    <d v="2023-12-30T00:00:00"/>
    <x v="0"/>
    <s v="BigQuery"/>
    <s v=" MLflow"/>
    <s v=" TensorFlow"/>
    <x v="15"/>
    <n v="90"/>
    <x v="3"/>
    <n v="238"/>
  </r>
  <r>
    <n v="1787"/>
    <s v="Thomas, Mccarthy and King"/>
    <x v="6"/>
    <x v="3"/>
    <s v="Azure"/>
    <s v=" Reinforcement Learning"/>
    <s v=" Flask"/>
    <s v=" Scikit-learn"/>
    <m/>
    <n v="187984.5"/>
    <m/>
    <s v="Entry"/>
    <x v="2"/>
    <s v="New Christopherville"/>
    <s v=" UY"/>
    <n v="147468"/>
    <n v="228501"/>
    <d v="2023-11-12T00:00:00"/>
    <x v="1"/>
    <s v="BigQuery"/>
    <s v=" MLflow"/>
    <s v=" FastAPI"/>
    <x v="15"/>
    <n v="90"/>
    <x v="3"/>
    <n v="238"/>
  </r>
  <r>
    <n v="1788"/>
    <s v="Smith, King and Miller"/>
    <x v="2"/>
    <x v="1"/>
    <s v="Excel"/>
    <s v=" Power BI"/>
    <s v=" GCP"/>
    <s v=" AWS"/>
    <s v=" CUDA"/>
    <n v="170937"/>
    <s v=" C++"/>
    <s v="Senior"/>
    <x v="0"/>
    <s v="East Joanna"/>
    <s v=" BY"/>
    <n v="127777"/>
    <n v="214097"/>
    <d v="2024-04-24T00:00:00"/>
    <x v="1"/>
    <s v="Scikit-learn"/>
    <s v=" TensorFlow"/>
    <m/>
    <x v="2"/>
    <n v="101"/>
    <x v="7"/>
    <n v="255"/>
  </r>
  <r>
    <n v="1789"/>
    <s v="Mann PLC"/>
    <x v="2"/>
    <x v="7"/>
    <s v="LangChain"/>
    <s v=" Power BI"/>
    <s v=" Azure"/>
    <m/>
    <m/>
    <n v="85968"/>
    <m/>
    <s v="Senior"/>
    <x v="3"/>
    <s v="Schwartzport"/>
    <s v=" LB"/>
    <n v="75757"/>
    <n v="96179"/>
    <d v="2024-08-03T00:00:00"/>
    <x v="2"/>
    <s v="Scikit-learn"/>
    <s v=" LangChain"/>
    <m/>
    <x v="12"/>
    <n v="100"/>
    <x v="7"/>
    <n v="255"/>
  </r>
  <r>
    <n v="1790"/>
    <s v="Ellis, Wilson and Ochoa"/>
    <x v="1"/>
    <x v="7"/>
    <s v="Flask"/>
    <s v=" Scikit-learn"/>
    <s v=" FastAPI"/>
    <s v=" CUDA"/>
    <s v=" Azure"/>
    <n v="152660"/>
    <m/>
    <s v="Mid"/>
    <x v="1"/>
    <s v="South Deborahfurt"/>
    <s v=" PT"/>
    <n v="114948"/>
    <n v="190372"/>
    <d v="2024-10-08T00:00:00"/>
    <x v="0"/>
    <s v="BigQuery"/>
    <s v=" LangChain"/>
    <m/>
    <x v="16"/>
    <n v="86"/>
    <x v="3"/>
    <n v="238"/>
  </r>
  <r>
    <n v="1791"/>
    <s v="Quinn Ltd"/>
    <x v="0"/>
    <x v="0"/>
    <s v="Flask"/>
    <s v=" SQL"/>
    <s v=" Azure"/>
    <m/>
    <m/>
    <n v="86950"/>
    <m/>
    <s v="Entry"/>
    <x v="3"/>
    <s v="Kellychester"/>
    <s v=" PW"/>
    <n v="77386"/>
    <n v="96514"/>
    <d v="2025-03-10T00:00:00"/>
    <x v="1"/>
    <s v="MLflow"/>
    <m/>
    <m/>
    <x v="16"/>
    <n v="86"/>
    <x v="6"/>
    <n v="259"/>
  </r>
  <r>
    <n v="1792"/>
    <s v="Ward PLC"/>
    <x v="2"/>
    <x v="0"/>
    <s v="Reinforcement Learning"/>
    <s v=" Excel"/>
    <s v=" Azure"/>
    <s v=" Pandas"/>
    <s v=" GCP"/>
    <n v="94447.5"/>
    <s v=" MLflow"/>
    <s v="Senior"/>
    <x v="2"/>
    <s v="Tiffanyville"/>
    <s v=" MD"/>
    <n v="69451"/>
    <n v="119444"/>
    <d v="2023-11-23T00:00:00"/>
    <x v="1"/>
    <s v="LangChain"/>
    <s v=" KDB+"/>
    <s v=" Scikit-learn"/>
    <x v="21"/>
    <n v="104"/>
    <x v="4"/>
    <n v="268"/>
  </r>
  <r>
    <n v="1793"/>
    <s v="Grant Group"/>
    <x v="6"/>
    <x v="5"/>
    <s v="R"/>
    <s v=" PyTorch"/>
    <s v=" FastAPI"/>
    <s v=" Pandas"/>
    <s v=" Reinforcement Learning"/>
    <n v="110923"/>
    <s v=" Scikit-learn"/>
    <s v="Senior"/>
    <x v="2"/>
    <s v="Lake Ann"/>
    <s v=" TO"/>
    <n v="104456"/>
    <n v="117390"/>
    <d v="2024-02-28T00:00:00"/>
    <x v="1"/>
    <s v="Scikit-learn"/>
    <m/>
    <m/>
    <x v="11"/>
    <n v="86"/>
    <x v="7"/>
    <n v="255"/>
  </r>
  <r>
    <n v="1794"/>
    <s v="Gomez and Sons"/>
    <x v="6"/>
    <x v="7"/>
    <s v="FastAPI"/>
    <s v=" NumPy"/>
    <s v=" PyTorch"/>
    <s v=" Hugging Face"/>
    <s v=" Flask"/>
    <n v="173363"/>
    <m/>
    <s v="Senior"/>
    <x v="3"/>
    <s v="Hollyside"/>
    <s v=" NP"/>
    <n v="148709"/>
    <n v="198017"/>
    <d v="2025-08-30T00:00:00"/>
    <x v="1"/>
    <s v="LangChain"/>
    <s v=" MLflow"/>
    <m/>
    <x v="20"/>
    <n v="111"/>
    <x v="4"/>
    <n v="268"/>
  </r>
  <r>
    <n v="1795"/>
    <s v="Wilson-Myers"/>
    <x v="1"/>
    <x v="2"/>
    <s v="Hugging Face"/>
    <s v=" NumPy"/>
    <s v=" Flask"/>
    <m/>
    <m/>
    <n v="111300.5"/>
    <m/>
    <s v="Mid"/>
    <x v="1"/>
    <s v="Lake Jeffreymouth"/>
    <s v=" AD"/>
    <n v="103079"/>
    <n v="119522"/>
    <d v="2025-05-08T00:00:00"/>
    <x v="0"/>
    <s v="Scikit-learn"/>
    <s v=" FastAPI"/>
    <m/>
    <x v="9"/>
    <n v="89"/>
    <x v="7"/>
    <n v="255"/>
  </r>
  <r>
    <n v="1796"/>
    <s v="Morton-Simpson"/>
    <x v="2"/>
    <x v="5"/>
    <s v="Flask"/>
    <s v=" FastAPI"/>
    <s v=" Scikit-learn"/>
    <s v=" AWS"/>
    <s v=" Reinforcement Learning"/>
    <n v="132820.5"/>
    <s v=" MLflow"/>
    <s v="Entry"/>
    <x v="0"/>
    <s v="Davidmouth"/>
    <s v=" JP"/>
    <n v="113860"/>
    <n v="151781"/>
    <d v="2024-07-26T00:00:00"/>
    <x v="0"/>
    <s v="PyTorch"/>
    <s v=" Scikit-learn"/>
    <m/>
    <x v="16"/>
    <n v="86"/>
    <x v="5"/>
    <n v="233"/>
  </r>
  <r>
    <n v="1797"/>
    <s v="Nguyen LLC"/>
    <x v="4"/>
    <x v="0"/>
    <s v="R"/>
    <s v=" Reinforcement Learning"/>
    <s v=" MLflow"/>
    <s v=" C++"/>
    <s v=" Scikit-learn"/>
    <n v="89036.5"/>
    <m/>
    <s v="Senior"/>
    <x v="0"/>
    <s v="South Nathan"/>
    <s v=" NI"/>
    <n v="74945"/>
    <n v="103128"/>
    <d v="2024-12-14T00:00:00"/>
    <x v="2"/>
    <s v="PyTorch"/>
    <s v=" FastAPI"/>
    <m/>
    <x v="11"/>
    <n v="86"/>
    <x v="5"/>
    <n v="233"/>
  </r>
  <r>
    <n v="1798"/>
    <s v="Combs Inc"/>
    <x v="0"/>
    <x v="3"/>
    <s v="C++"/>
    <s v=" Flask"/>
    <s v=" NumPy"/>
    <s v=" LangChain"/>
    <s v=" SQL"/>
    <n v="136210.5"/>
    <m/>
    <s v="Senior"/>
    <x v="0"/>
    <s v="Susanshire"/>
    <s v=" TL"/>
    <n v="92486"/>
    <n v="179935"/>
    <d v="2023-12-13T00:00:00"/>
    <x v="0"/>
    <s v="MLflow"/>
    <s v=" Scikit-learn"/>
    <s v=" KDB+"/>
    <x v="8"/>
    <n v="84"/>
    <x v="6"/>
    <n v="259"/>
  </r>
  <r>
    <n v="1799"/>
    <s v="Ferguson and Sons"/>
    <x v="0"/>
    <x v="5"/>
    <s v="Power BI"/>
    <s v=" Python"/>
    <s v=" GCP"/>
    <s v=" MLflow"/>
    <m/>
    <n v="145244"/>
    <m/>
    <s v="Entry"/>
    <x v="3"/>
    <s v="West Coryburgh"/>
    <s v=" SL"/>
    <n v="106180"/>
    <n v="184308"/>
    <d v="2024-09-23T00:00:00"/>
    <x v="0"/>
    <s v="BigQuery"/>
    <s v=" KDB+"/>
    <s v=" MLflow"/>
    <x v="18"/>
    <n v="96"/>
    <x v="3"/>
    <n v="238"/>
  </r>
  <r>
    <n v="1800"/>
    <s v="Cook Group"/>
    <x v="5"/>
    <x v="7"/>
    <s v="Flask"/>
    <s v=" Power BI"/>
    <s v=" AWS"/>
    <s v=" NumPy"/>
    <s v=" CUDA"/>
    <n v="146527"/>
    <s v=" Azure"/>
    <s v="Mid"/>
    <x v="3"/>
    <s v="East Rodney"/>
    <s v=" DM"/>
    <n v="132233"/>
    <n v="160821"/>
    <d v="2024-06-09T00:00:00"/>
    <x v="1"/>
    <s v="PyTorch"/>
    <s v=" Scikit-learn"/>
    <m/>
    <x v="16"/>
    <n v="86"/>
    <x v="5"/>
    <n v="233"/>
  </r>
  <r>
    <n v="1801"/>
    <s v="White, Weber and Terry"/>
    <x v="3"/>
    <x v="3"/>
    <s v="Power BI"/>
    <s v=" CUDA"/>
    <s v=" PyTorch"/>
    <s v=" SQL"/>
    <s v=" Excel"/>
    <n v="108522.5"/>
    <s v=" GCP"/>
    <s v="Senior"/>
    <x v="1"/>
    <s v="Jessicabury"/>
    <s v=" DE"/>
    <n v="91241"/>
    <n v="125804"/>
    <d v="2024-07-26T00:00:00"/>
    <x v="2"/>
    <s v="TensorFlow"/>
    <s v=" MLflow"/>
    <m/>
    <x v="18"/>
    <n v="96"/>
    <x v="2"/>
    <n v="249"/>
  </r>
  <r>
    <n v="1802"/>
    <s v="Le-Brown"/>
    <x v="2"/>
    <x v="1"/>
    <s v="C++"/>
    <s v=" Hugging Face"/>
    <s v=" TensorFlow"/>
    <m/>
    <m/>
    <n v="147768.5"/>
    <m/>
    <s v="Senior"/>
    <x v="0"/>
    <s v="Jonesmouth"/>
    <s v=" GT"/>
    <n v="110000"/>
    <n v="185537"/>
    <d v="2024-04-27T00:00:00"/>
    <x v="2"/>
    <s v="PyTorch"/>
    <s v=" MLflow"/>
    <m/>
    <x v="8"/>
    <n v="84"/>
    <x v="5"/>
    <n v="233"/>
  </r>
  <r>
    <n v="1803"/>
    <s v="Boyd, Cochran and Golden"/>
    <x v="3"/>
    <x v="3"/>
    <s v="Python"/>
    <s v=" Excel"/>
    <s v=" FastAPI"/>
    <s v=" PyTorch"/>
    <s v=" LangChain"/>
    <n v="72866"/>
    <s v=" GCP"/>
    <s v="Mid"/>
    <x v="1"/>
    <s v="South Kaitlyn"/>
    <s v=" MD"/>
    <n v="52748"/>
    <n v="92984"/>
    <d v="2024-10-21T00:00:00"/>
    <x v="1"/>
    <s v="BigQuery"/>
    <s v=" MLflow"/>
    <s v=" Scikit-learn"/>
    <x v="5"/>
    <n v="94"/>
    <x v="3"/>
    <n v="238"/>
  </r>
  <r>
    <n v="1804"/>
    <s v="Warren, Kirby and Thomas"/>
    <x v="1"/>
    <x v="3"/>
    <s v="R"/>
    <s v=" LangChain"/>
    <s v=" Hugging Face"/>
    <m/>
    <m/>
    <n v="115746"/>
    <m/>
    <s v="Entry"/>
    <x v="3"/>
    <s v="Dennisstad"/>
    <s v=" GW"/>
    <n v="96779"/>
    <n v="134713"/>
    <d v="2024-08-22T00:00:00"/>
    <x v="1"/>
    <s v="LangChain"/>
    <m/>
    <m/>
    <x v="11"/>
    <n v="86"/>
    <x v="4"/>
    <n v="268"/>
  </r>
  <r>
    <n v="1805"/>
    <s v="Berry LLC"/>
    <x v="5"/>
    <x v="2"/>
    <s v="MLflow"/>
    <s v=" Excel"/>
    <s v=" Scikit-learn"/>
    <s v=" Reinforcement Learning"/>
    <s v=" Python"/>
    <n v="148009.5"/>
    <m/>
    <s v="Mid"/>
    <x v="3"/>
    <s v="Mahoneyshire"/>
    <s v=" CO"/>
    <n v="104125"/>
    <n v="191894"/>
    <d v="2024-07-17T00:00:00"/>
    <x v="2"/>
    <s v="PyTorch"/>
    <m/>
    <m/>
    <x v="3"/>
    <n v="80"/>
    <x v="5"/>
    <n v="233"/>
  </r>
  <r>
    <n v="1806"/>
    <s v="Walker, Brown and Monroe"/>
    <x v="4"/>
    <x v="5"/>
    <s v="GCP"/>
    <s v=" AWS"/>
    <s v=" Pandas"/>
    <s v=" Flask"/>
    <s v=" Python"/>
    <n v="89316"/>
    <m/>
    <s v="Senior"/>
    <x v="2"/>
    <s v="Jadefort"/>
    <s v=" BY"/>
    <n v="69252"/>
    <n v="109380"/>
    <d v="2023-11-28T00:00:00"/>
    <x v="1"/>
    <s v="FastAPI"/>
    <s v=" KDB+"/>
    <s v=" MLflow"/>
    <x v="4"/>
    <n v="78"/>
    <x v="1"/>
    <n v="251"/>
  </r>
  <r>
    <n v="1807"/>
    <s v="Armstrong-Clark"/>
    <x v="3"/>
    <x v="4"/>
    <s v="NumPy"/>
    <s v=" C++"/>
    <s v=" SQL"/>
    <m/>
    <m/>
    <n v="159897.5"/>
    <m/>
    <s v="Entry"/>
    <x v="0"/>
    <s v="Reidfurt"/>
    <s v=" MM"/>
    <n v="111030"/>
    <n v="208765"/>
    <d v="2024-05-21T00:00:00"/>
    <x v="1"/>
    <s v="BigQuery"/>
    <m/>
    <m/>
    <x v="0"/>
    <n v="104"/>
    <x v="3"/>
    <n v="238"/>
  </r>
  <r>
    <n v="1808"/>
    <s v="Hall-Gill"/>
    <x v="3"/>
    <x v="2"/>
    <s v="NumPy"/>
    <s v=" C++"/>
    <s v=" MLflow"/>
    <m/>
    <m/>
    <n v="50712.5"/>
    <m/>
    <s v="Senior"/>
    <x v="3"/>
    <s v="Scottberg"/>
    <s v=" KG"/>
    <n v="41699"/>
    <n v="59726"/>
    <d v="2025-01-12T00:00:00"/>
    <x v="2"/>
    <s v="PyTorch"/>
    <m/>
    <m/>
    <x v="0"/>
    <n v="104"/>
    <x v="5"/>
    <n v="233"/>
  </r>
  <r>
    <n v="1809"/>
    <s v="Riley, Rasmussen and Baker"/>
    <x v="4"/>
    <x v="5"/>
    <s v="Python"/>
    <s v=" Excel"/>
    <s v=" Hugging Face"/>
    <s v=" CUDA"/>
    <s v=" Flask"/>
    <n v="115405"/>
    <m/>
    <s v="Entry"/>
    <x v="2"/>
    <s v="Atkinsstad"/>
    <s v=" AF"/>
    <n v="106640"/>
    <n v="124170"/>
    <d v="2024-08-14T00:00:00"/>
    <x v="0"/>
    <s v="MLflow"/>
    <m/>
    <m/>
    <x v="5"/>
    <n v="94"/>
    <x v="6"/>
    <n v="259"/>
  </r>
  <r>
    <n v="1810"/>
    <s v="Martinez and Sons"/>
    <x v="5"/>
    <x v="1"/>
    <s v="Scikit-learn"/>
    <s v=" C++"/>
    <s v=" Power BI"/>
    <m/>
    <m/>
    <n v="148614.5"/>
    <m/>
    <s v="Entry"/>
    <x v="2"/>
    <s v="Kennethshire"/>
    <s v=" HR"/>
    <n v="100995"/>
    <n v="196234"/>
    <d v="2025-06-02T00:00:00"/>
    <x v="0"/>
    <s v="MLflow"/>
    <m/>
    <m/>
    <x v="1"/>
    <n v="76"/>
    <x v="6"/>
    <n v="259"/>
  </r>
  <r>
    <n v="1811"/>
    <s v="Hernandez Inc"/>
    <x v="6"/>
    <x v="0"/>
    <s v="Excel"/>
    <s v=" Flask"/>
    <s v=" C++"/>
    <s v=" Scikit-learn"/>
    <m/>
    <n v="84443"/>
    <m/>
    <s v="Mid"/>
    <x v="3"/>
    <s v="Rileyside"/>
    <s v=" IS"/>
    <n v="45889"/>
    <n v="122997"/>
    <d v="2024-03-20T00:00:00"/>
    <x v="2"/>
    <s v="LangChain"/>
    <m/>
    <m/>
    <x v="2"/>
    <n v="101"/>
    <x v="4"/>
    <n v="268"/>
  </r>
  <r>
    <n v="1812"/>
    <s v="Moore-Ramirez"/>
    <x v="2"/>
    <x v="0"/>
    <s v="NumPy"/>
    <s v=" MLflow"/>
    <s v=" PyTorch"/>
    <s v=" Power BI"/>
    <s v=" Scikit-learn"/>
    <n v="156825.5"/>
    <s v=" C++"/>
    <s v="Entry"/>
    <x v="3"/>
    <s v="Kimberlyfort"/>
    <s v=" DO"/>
    <n v="143526"/>
    <n v="170125"/>
    <d v="2024-03-29T00:00:00"/>
    <x v="0"/>
    <s v="MLflow"/>
    <s v=" LangChain"/>
    <m/>
    <x v="0"/>
    <n v="104"/>
    <x v="6"/>
    <n v="259"/>
  </r>
  <r>
    <n v="1813"/>
    <s v="Duran-Rangel"/>
    <x v="6"/>
    <x v="6"/>
    <s v="Reinforcement Learning"/>
    <s v=" MLflow"/>
    <s v=" SQL"/>
    <s v=" NumPy"/>
    <m/>
    <n v="82758.5"/>
    <m/>
    <s v="Mid"/>
    <x v="0"/>
    <s v="North Lindsey"/>
    <s v=" CA"/>
    <n v="50742"/>
    <n v="114775"/>
    <d v="2025-05-07T00:00:00"/>
    <x v="0"/>
    <s v="TensorFlow"/>
    <m/>
    <m/>
    <x v="21"/>
    <n v="104"/>
    <x v="2"/>
    <n v="249"/>
  </r>
  <r>
    <n v="1814"/>
    <s v="Black, Rodriguez and Hicks"/>
    <x v="3"/>
    <x v="6"/>
    <s v="CUDA"/>
    <s v=" Keras"/>
    <s v=" Hugging Face"/>
    <s v=" Reinforcement Learning"/>
    <m/>
    <n v="98025"/>
    <m/>
    <s v="Senior"/>
    <x v="1"/>
    <s v="Jerrychester"/>
    <s v=" GE"/>
    <n v="92504"/>
    <n v="103546"/>
    <d v="2024-04-27T00:00:00"/>
    <x v="1"/>
    <s v="MLflow"/>
    <m/>
    <m/>
    <x v="13"/>
    <n v="75"/>
    <x v="6"/>
    <n v="259"/>
  </r>
  <r>
    <n v="1815"/>
    <s v="Wilson PLC"/>
    <x v="1"/>
    <x v="6"/>
    <s v="Power BI"/>
    <s v=" LangChain"/>
    <s v=" AWS"/>
    <s v=" Hugging Face"/>
    <s v=" Flask"/>
    <n v="156797"/>
    <m/>
    <s v="Senior"/>
    <x v="0"/>
    <s v="Allenfurt"/>
    <s v=" RO"/>
    <n v="140645"/>
    <n v="172949"/>
    <d v="2023-12-20T00:00:00"/>
    <x v="1"/>
    <s v="KDB+"/>
    <s v=" LangChain"/>
    <s v=" MLflow"/>
    <x v="18"/>
    <n v="96"/>
    <x v="0"/>
    <n v="247"/>
  </r>
  <r>
    <n v="1816"/>
    <s v="Hines, Castillo and Patterson"/>
    <x v="1"/>
    <x v="1"/>
    <s v="CUDA"/>
    <s v=" C++"/>
    <s v=" Power BI"/>
    <s v=" FastAPI"/>
    <m/>
    <n v="77765"/>
    <m/>
    <s v="Senior"/>
    <x v="0"/>
    <s v="Andrewhaven"/>
    <s v=" HR"/>
    <n v="67314"/>
    <n v="88216"/>
    <d v="2023-10-04T00:00:00"/>
    <x v="1"/>
    <s v="FastAPI"/>
    <s v=" KDB+"/>
    <m/>
    <x v="13"/>
    <n v="75"/>
    <x v="1"/>
    <n v="251"/>
  </r>
  <r>
    <n v="1817"/>
    <s v="Mitchell-Rivera"/>
    <x v="3"/>
    <x v="5"/>
    <s v="Power BI"/>
    <s v=" Reinforcement Learning"/>
    <s v=" R"/>
    <s v=" TensorFlow"/>
    <s v=" GCP"/>
    <n v="153218.5"/>
    <s v=" Python"/>
    <s v="Mid"/>
    <x v="1"/>
    <s v="Collinsside"/>
    <s v=" UZ"/>
    <n v="116027"/>
    <n v="190410"/>
    <d v="2025-02-19T00:00:00"/>
    <x v="2"/>
    <s v="MLflow"/>
    <s v=" KDB+"/>
    <s v=" PyTorch"/>
    <x v="18"/>
    <n v="96"/>
    <x v="6"/>
    <n v="259"/>
  </r>
  <r>
    <n v="1818"/>
    <s v="Williams, Mcdonald and Martin"/>
    <x v="3"/>
    <x v="3"/>
    <s v="TensorFlow"/>
    <s v=" Hugging Face"/>
    <s v=" LangChain"/>
    <m/>
    <m/>
    <n v="96864.5"/>
    <m/>
    <s v="Mid"/>
    <x v="1"/>
    <s v="Lake Melindabury"/>
    <s v=" ER"/>
    <n v="55995"/>
    <n v="137734"/>
    <d v="2025-03-18T00:00:00"/>
    <x v="0"/>
    <s v="PyTorch"/>
    <s v=" LangChain"/>
    <s v=" TensorFlow"/>
    <x v="19"/>
    <n v="95"/>
    <x v="5"/>
    <n v="233"/>
  </r>
  <r>
    <n v="1819"/>
    <s v="Lee PLC"/>
    <x v="2"/>
    <x v="3"/>
    <s v="Scikit-learn"/>
    <s v=" MLflow"/>
    <s v=" FastAPI"/>
    <m/>
    <m/>
    <n v="114658"/>
    <m/>
    <s v="Entry"/>
    <x v="2"/>
    <s v="Cliffordview"/>
    <s v=" IS"/>
    <n v="79142"/>
    <n v="150174"/>
    <d v="2025-09-01T00:00:00"/>
    <x v="2"/>
    <s v="FastAPI"/>
    <s v=" KDB+"/>
    <s v=" Scikit-learn"/>
    <x v="1"/>
    <n v="76"/>
    <x v="1"/>
    <n v="251"/>
  </r>
  <r>
    <n v="1820"/>
    <s v="Wright Inc"/>
    <x v="4"/>
    <x v="0"/>
    <s v="Power BI"/>
    <s v=" CUDA"/>
    <s v=" Pandas"/>
    <m/>
    <m/>
    <n v="71421"/>
    <m/>
    <s v="Entry"/>
    <x v="1"/>
    <s v="Port Carrie"/>
    <s v=" ME"/>
    <n v="49729"/>
    <n v="93113"/>
    <d v="2024-01-27T00:00:00"/>
    <x v="1"/>
    <s v="LangChain"/>
    <s v=" BigQuery"/>
    <s v=" TensorFlow"/>
    <x v="18"/>
    <n v="96"/>
    <x v="4"/>
    <n v="268"/>
  </r>
  <r>
    <n v="1821"/>
    <s v="Townsend Inc"/>
    <x v="3"/>
    <x v="3"/>
    <s v="Reinforcement Learning"/>
    <s v=" PyTorch"/>
    <s v=" Scikit-learn"/>
    <m/>
    <m/>
    <n v="140248"/>
    <m/>
    <s v="Mid"/>
    <x v="3"/>
    <s v="Cooperstad"/>
    <s v=" CO"/>
    <n v="133127"/>
    <n v="147369"/>
    <d v="2024-08-21T00:00:00"/>
    <x v="0"/>
    <s v="FastAPI"/>
    <s v=" LangChain"/>
    <s v=" MLflow"/>
    <x v="21"/>
    <n v="104"/>
    <x v="1"/>
    <n v="251"/>
  </r>
  <r>
    <n v="1822"/>
    <s v="Valentine-Hodge"/>
    <x v="0"/>
    <x v="7"/>
    <s v="AWS"/>
    <s v=" Scikit-learn"/>
    <s v=" Keras"/>
    <s v=" PyTorch"/>
    <s v=" LangChain"/>
    <n v="96217.5"/>
    <m/>
    <s v="Entry"/>
    <x v="2"/>
    <s v="Jasonborough"/>
    <s v=" CG"/>
    <n v="64534"/>
    <n v="127901"/>
    <d v="2025-04-08T00:00:00"/>
    <x v="0"/>
    <s v="KDB+"/>
    <s v=" FastAPI"/>
    <m/>
    <x v="10"/>
    <n v="97"/>
    <x v="0"/>
    <n v="247"/>
  </r>
  <r>
    <n v="1823"/>
    <s v="Scott-Jackson"/>
    <x v="0"/>
    <x v="0"/>
    <s v="Scikit-learn"/>
    <s v=" PyTorch"/>
    <s v=" CUDA"/>
    <m/>
    <m/>
    <n v="122171.5"/>
    <m/>
    <s v="Mid"/>
    <x v="0"/>
    <s v="East Tyler"/>
    <s v=" KP"/>
    <n v="100195"/>
    <n v="144148"/>
    <d v="2023-12-25T00:00:00"/>
    <x v="2"/>
    <s v="KDB+"/>
    <s v=" TensorFlow"/>
    <s v=" LangChain"/>
    <x v="1"/>
    <n v="76"/>
    <x v="0"/>
    <n v="247"/>
  </r>
  <r>
    <n v="1824"/>
    <s v="Austin Group"/>
    <x v="2"/>
    <x v="0"/>
    <s v="Flask"/>
    <s v=" FastAPI"/>
    <s v=" CUDA"/>
    <s v=" AWS"/>
    <m/>
    <n v="90235"/>
    <m/>
    <s v="Entry"/>
    <x v="0"/>
    <s v="Caseychester"/>
    <s v=" SA"/>
    <n v="65884"/>
    <n v="114586"/>
    <d v="2023-09-22T00:00:00"/>
    <x v="2"/>
    <s v="LangChain"/>
    <m/>
    <m/>
    <x v="16"/>
    <n v="86"/>
    <x v="4"/>
    <n v="268"/>
  </r>
  <r>
    <n v="1825"/>
    <s v="Garza-Gilbert"/>
    <x v="3"/>
    <x v="5"/>
    <s v="R"/>
    <s v=" PyTorch"/>
    <s v=" SQL"/>
    <s v=" NumPy"/>
    <s v=" CUDA"/>
    <n v="158832"/>
    <m/>
    <s v="Mid"/>
    <x v="2"/>
    <s v="Robertbury"/>
    <s v=" HR"/>
    <n v="110008"/>
    <n v="207656"/>
    <d v="2023-11-24T00:00:00"/>
    <x v="0"/>
    <s v="KDB+"/>
    <m/>
    <m/>
    <x v="11"/>
    <n v="86"/>
    <x v="0"/>
    <n v="247"/>
  </r>
  <r>
    <n v="1826"/>
    <s v="Nichols-Cook"/>
    <x v="6"/>
    <x v="2"/>
    <s v="Pandas"/>
    <s v=" Power BI"/>
    <s v=" SQL"/>
    <s v=" Reinforcement Learning"/>
    <s v=" LangChain"/>
    <n v="158674"/>
    <m/>
    <s v="Entry"/>
    <x v="1"/>
    <s v="Stevenshire"/>
    <s v=" UG"/>
    <n v="141080"/>
    <n v="176268"/>
    <d v="2024-09-10T00:00:00"/>
    <x v="2"/>
    <s v="MLflow"/>
    <s v=" LangChain"/>
    <s v=" KDB+"/>
    <x v="6"/>
    <n v="78"/>
    <x v="6"/>
    <n v="259"/>
  </r>
  <r>
    <n v="1827"/>
    <s v="Thompson-Powell"/>
    <x v="0"/>
    <x v="6"/>
    <s v="Azure"/>
    <s v=" AWS"/>
    <s v=" Keras"/>
    <s v=" Flask"/>
    <s v=" SQL"/>
    <n v="107349"/>
    <m/>
    <s v="Mid"/>
    <x v="0"/>
    <s v="Katherinebury"/>
    <s v=" PH"/>
    <n v="98451"/>
    <n v="116247"/>
    <d v="2024-08-27T00:00:00"/>
    <x v="1"/>
    <s v="MLflow"/>
    <m/>
    <m/>
    <x v="15"/>
    <n v="90"/>
    <x v="6"/>
    <n v="259"/>
  </r>
  <r>
    <n v="1828"/>
    <s v="Sawyer-Cooper"/>
    <x v="4"/>
    <x v="2"/>
    <s v="R"/>
    <s v=" C++"/>
    <s v=" Keras"/>
    <s v=" Hugging Face"/>
    <m/>
    <n v="141440"/>
    <m/>
    <s v="Entry"/>
    <x v="3"/>
    <s v="Lake Daisyfurt"/>
    <s v=" MC"/>
    <n v="92936"/>
    <n v="189944"/>
    <d v="2024-03-07T00:00:00"/>
    <x v="2"/>
    <s v="Scikit-learn"/>
    <s v=" FastAPI"/>
    <m/>
    <x v="11"/>
    <n v="86"/>
    <x v="7"/>
    <n v="255"/>
  </r>
  <r>
    <n v="1829"/>
    <s v="Ray, Torres and Cortez"/>
    <x v="5"/>
    <x v="2"/>
    <s v="CUDA"/>
    <s v=" Azure"/>
    <s v=" Power BI"/>
    <s v=" LangChain"/>
    <m/>
    <n v="109303.5"/>
    <m/>
    <s v="Senior"/>
    <x v="1"/>
    <s v="Silvastad"/>
    <s v=" LI"/>
    <n v="95352"/>
    <n v="123255"/>
    <d v="2025-08-19T00:00:00"/>
    <x v="1"/>
    <s v="PyTorch"/>
    <m/>
    <m/>
    <x v="13"/>
    <n v="75"/>
    <x v="5"/>
    <n v="233"/>
  </r>
  <r>
    <n v="1830"/>
    <s v="Stokes-Cameron"/>
    <x v="4"/>
    <x v="4"/>
    <s v="GCP"/>
    <s v=" CUDA"/>
    <s v=" PyTorch"/>
    <s v=" FastAPI"/>
    <s v=" TensorFlow"/>
    <n v="79038"/>
    <s v=" Excel"/>
    <s v="Mid"/>
    <x v="2"/>
    <s v="Perrymouth"/>
    <s v=" BG"/>
    <n v="58077"/>
    <n v="99999"/>
    <d v="2025-04-01T00:00:00"/>
    <x v="2"/>
    <s v="KDB+"/>
    <m/>
    <m/>
    <x v="4"/>
    <n v="78"/>
    <x v="0"/>
    <n v="247"/>
  </r>
  <r>
    <n v="1831"/>
    <s v="Hudson-Robertson"/>
    <x v="2"/>
    <x v="0"/>
    <s v="GCP"/>
    <s v=" Pandas"/>
    <s v=" R"/>
    <m/>
    <m/>
    <n v="137865"/>
    <m/>
    <s v="Mid"/>
    <x v="3"/>
    <s v="Port Kristin"/>
    <s v=" LB"/>
    <n v="124312"/>
    <n v="151418"/>
    <d v="2024-07-21T00:00:00"/>
    <x v="0"/>
    <s v="KDB+"/>
    <m/>
    <m/>
    <x v="4"/>
    <n v="78"/>
    <x v="0"/>
    <n v="247"/>
  </r>
  <r>
    <n v="1832"/>
    <s v="Carter-Jimenez"/>
    <x v="0"/>
    <x v="6"/>
    <s v="Power BI"/>
    <s v=" Pandas"/>
    <s v=" Flask"/>
    <m/>
    <m/>
    <n v="111782.5"/>
    <m/>
    <s v="Senior"/>
    <x v="3"/>
    <s v="South Jenniferton"/>
    <s v=" KG"/>
    <n v="93786"/>
    <n v="129779"/>
    <d v="2024-07-19T00:00:00"/>
    <x v="0"/>
    <s v="Scikit-learn"/>
    <s v=" KDB+"/>
    <s v=" FastAPI"/>
    <x v="18"/>
    <n v="96"/>
    <x v="7"/>
    <n v="255"/>
  </r>
  <r>
    <n v="1833"/>
    <s v="Freeman-Reyes"/>
    <x v="1"/>
    <x v="1"/>
    <s v="TensorFlow"/>
    <s v=" Hugging Face"/>
    <s v=" Pandas"/>
    <s v=" Flask"/>
    <s v=" Reinforcement Learning"/>
    <n v="117540.5"/>
    <s v=" Keras"/>
    <s v="Mid"/>
    <x v="1"/>
    <s v="Janetmouth"/>
    <s v=" VE"/>
    <n v="110572"/>
    <n v="124509"/>
    <d v="2024-01-14T00:00:00"/>
    <x v="0"/>
    <s v="FastAPI"/>
    <m/>
    <m/>
    <x v="19"/>
    <n v="95"/>
    <x v="1"/>
    <n v="251"/>
  </r>
  <r>
    <n v="1834"/>
    <s v="Hicks, Webb and Krueger"/>
    <x v="2"/>
    <x v="0"/>
    <s v="Power BI"/>
    <s v=" NumPy"/>
    <s v=" R"/>
    <s v=" FastAPI"/>
    <s v=" Keras"/>
    <n v="72767.5"/>
    <m/>
    <s v="Entry"/>
    <x v="0"/>
    <s v="Jessicaborough"/>
    <s v=" CA"/>
    <n v="51641"/>
    <n v="93894"/>
    <d v="2024-11-30T00:00:00"/>
    <x v="0"/>
    <s v="TensorFlow"/>
    <s v=" LangChain"/>
    <m/>
    <x v="18"/>
    <n v="96"/>
    <x v="2"/>
    <n v="249"/>
  </r>
  <r>
    <n v="1835"/>
    <s v="Cannon, Martin and Watson"/>
    <x v="1"/>
    <x v="6"/>
    <s v="AWS"/>
    <s v=" Excel"/>
    <s v=" Keras"/>
    <s v=" Hugging Face"/>
    <s v=" Azure"/>
    <n v="70060"/>
    <s v=" Reinforcement Learning"/>
    <s v="Senior"/>
    <x v="0"/>
    <s v="South Debra"/>
    <s v=" AD"/>
    <n v="51700"/>
    <n v="88420"/>
    <d v="2024-03-08T00:00:00"/>
    <x v="0"/>
    <s v="BigQuery"/>
    <s v=" PyTorch"/>
    <m/>
    <x v="10"/>
    <n v="97"/>
    <x v="3"/>
    <n v="238"/>
  </r>
  <r>
    <n v="1836"/>
    <s v="Blevins PLC"/>
    <x v="5"/>
    <x v="3"/>
    <s v="Python"/>
    <s v=" Hugging Face"/>
    <s v=" Keras"/>
    <s v=" LangChain"/>
    <m/>
    <n v="133893.5"/>
    <m/>
    <s v="Entry"/>
    <x v="1"/>
    <s v="Jeremyland"/>
    <s v=" AU"/>
    <n v="116899"/>
    <n v="150888"/>
    <d v="2023-12-03T00:00:00"/>
    <x v="2"/>
    <s v="KDB+"/>
    <m/>
    <m/>
    <x v="5"/>
    <n v="94"/>
    <x v="0"/>
    <n v="247"/>
  </r>
  <r>
    <n v="1837"/>
    <s v="Butler, Brown and Thomas"/>
    <x v="5"/>
    <x v="0"/>
    <s v="Excel"/>
    <s v=" Hugging Face"/>
    <s v=" GCP"/>
    <m/>
    <m/>
    <n v="120372.5"/>
    <m/>
    <s v="Mid"/>
    <x v="3"/>
    <s v="Evelynhaven"/>
    <s v=" CN"/>
    <n v="81196"/>
    <n v="159549"/>
    <d v="2025-08-08T00:00:00"/>
    <x v="0"/>
    <s v="Scikit-learn"/>
    <s v=" BigQuery"/>
    <s v=" PyTorch"/>
    <x v="2"/>
    <n v="101"/>
    <x v="7"/>
    <n v="255"/>
  </r>
  <r>
    <n v="1838"/>
    <s v="Ellis Inc"/>
    <x v="0"/>
    <x v="4"/>
    <s v="NumPy"/>
    <s v=" Reinforcement Learning"/>
    <s v=" Python"/>
    <s v=" Hugging Face"/>
    <s v=" PyTorch"/>
    <n v="69606"/>
    <s v=" GCP"/>
    <s v="Entry"/>
    <x v="1"/>
    <s v="Susantown"/>
    <s v=" GB"/>
    <n v="59030"/>
    <n v="80182"/>
    <d v="2024-06-08T00:00:00"/>
    <x v="0"/>
    <s v="TensorFlow"/>
    <m/>
    <m/>
    <x v="0"/>
    <n v="104"/>
    <x v="2"/>
    <n v="249"/>
  </r>
  <r>
    <n v="1839"/>
    <s v="Lindsey Ltd"/>
    <x v="3"/>
    <x v="4"/>
    <s v="NumPy"/>
    <s v=" Python"/>
    <s v=" MLflow"/>
    <s v=" Flask"/>
    <s v=" GCP"/>
    <n v="109146"/>
    <m/>
    <s v="Entry"/>
    <x v="2"/>
    <s v="New Shaun"/>
    <s v=" BJ"/>
    <n v="64001"/>
    <n v="154291"/>
    <d v="2024-07-30T00:00:00"/>
    <x v="1"/>
    <s v="FastAPI"/>
    <s v=" PyTorch"/>
    <m/>
    <x v="0"/>
    <n v="104"/>
    <x v="1"/>
    <n v="251"/>
  </r>
  <r>
    <n v="1840"/>
    <s v="Wu Ltd"/>
    <x v="0"/>
    <x v="4"/>
    <s v="Excel"/>
    <s v=" Keras"/>
    <s v=" GCP"/>
    <s v=" Scikit-learn"/>
    <s v=" Hugging Face"/>
    <n v="121156.5"/>
    <s v=" Pandas"/>
    <s v="Mid"/>
    <x v="0"/>
    <s v="East Christinachester"/>
    <s v=" BO"/>
    <n v="107796"/>
    <n v="134517"/>
    <d v="2024-03-24T00:00:00"/>
    <x v="2"/>
    <s v="KDB+"/>
    <s v=" LangChain"/>
    <s v=" TensorFlow"/>
    <x v="2"/>
    <n v="101"/>
    <x v="0"/>
    <n v="247"/>
  </r>
  <r>
    <n v="1841"/>
    <s v="Ruiz-Payne"/>
    <x v="1"/>
    <x v="5"/>
    <s v="PyTorch"/>
    <s v=" Hugging Face"/>
    <s v=" Excel"/>
    <m/>
    <m/>
    <n v="88598.5"/>
    <m/>
    <s v="Entry"/>
    <x v="3"/>
    <s v="East Christopherberg"/>
    <s v=" BJ"/>
    <n v="71884"/>
    <n v="105313"/>
    <d v="2024-08-01T00:00:00"/>
    <x v="0"/>
    <s v="MLflow"/>
    <m/>
    <m/>
    <x v="14"/>
    <n v="92"/>
    <x v="6"/>
    <n v="259"/>
  </r>
  <r>
    <n v="1842"/>
    <s v="Stewart Group"/>
    <x v="1"/>
    <x v="5"/>
    <s v="Reinforcement Learning"/>
    <s v=" LangChain"/>
    <s v=" Pandas"/>
    <s v=" TensorFlow"/>
    <s v=" MLflow"/>
    <n v="160922.5"/>
    <s v=" FastAPI"/>
    <s v="Senior"/>
    <x v="0"/>
    <s v="Jefferymouth"/>
    <s v=" KW"/>
    <n v="147074"/>
    <n v="174771"/>
    <d v="2025-01-05T00:00:00"/>
    <x v="0"/>
    <s v="LangChain"/>
    <s v=" Scikit-learn"/>
    <m/>
    <x v="21"/>
    <n v="104"/>
    <x v="4"/>
    <n v="268"/>
  </r>
  <r>
    <n v="1843"/>
    <s v="Adams, Finley and Perez"/>
    <x v="1"/>
    <x v="2"/>
    <s v="CUDA"/>
    <s v=" SQL"/>
    <s v=" Azure"/>
    <s v=" Excel"/>
    <s v=" Pandas"/>
    <n v="103471.5"/>
    <m/>
    <s v="Mid"/>
    <x v="0"/>
    <s v="Downsland"/>
    <s v=" TW"/>
    <n v="92572"/>
    <n v="114371"/>
    <d v="2025-08-13T00:00:00"/>
    <x v="0"/>
    <s v="LangChain"/>
    <s v=" FastAPI"/>
    <s v=" Scikit-learn"/>
    <x v="13"/>
    <n v="75"/>
    <x v="4"/>
    <n v="268"/>
  </r>
  <r>
    <n v="1844"/>
    <s v="Ponce-Brewer"/>
    <x v="3"/>
    <x v="2"/>
    <s v="R"/>
    <s v=" Azure"/>
    <s v=" TensorFlow"/>
    <m/>
    <m/>
    <n v="108013"/>
    <m/>
    <s v="Mid"/>
    <x v="3"/>
    <s v="Daymouth"/>
    <s v=" MK"/>
    <n v="102870"/>
    <n v="113156"/>
    <d v="2025-03-23T00:00:00"/>
    <x v="1"/>
    <s v="BigQuery"/>
    <m/>
    <m/>
    <x v="11"/>
    <n v="86"/>
    <x v="3"/>
    <n v="238"/>
  </r>
  <r>
    <n v="1845"/>
    <s v="Strickland-Gray"/>
    <x v="1"/>
    <x v="6"/>
    <s v="AWS"/>
    <s v=" R"/>
    <s v=" Pandas"/>
    <s v=" Power BI"/>
    <s v=" SQL"/>
    <n v="131979.5"/>
    <s v=" Scikit-learn"/>
    <s v="Mid"/>
    <x v="1"/>
    <s v="Taylorport"/>
    <s v=" VU"/>
    <n v="120347"/>
    <n v="143612"/>
    <d v="2024-04-17T00:00:00"/>
    <x v="1"/>
    <s v="KDB+"/>
    <s v=" LangChain"/>
    <m/>
    <x v="10"/>
    <n v="97"/>
    <x v="0"/>
    <n v="247"/>
  </r>
  <r>
    <n v="1846"/>
    <s v="Mckee PLC"/>
    <x v="4"/>
    <x v="5"/>
    <s v="Hugging Face"/>
    <s v=" R"/>
    <s v=" TensorFlow"/>
    <s v=" MLflow"/>
    <s v=" NumPy"/>
    <n v="110466.5"/>
    <m/>
    <s v="Senior"/>
    <x v="1"/>
    <s v="Danielletown"/>
    <s v=" MH"/>
    <n v="75231"/>
    <n v="145702"/>
    <d v="2023-12-27T00:00:00"/>
    <x v="2"/>
    <s v="BigQuery"/>
    <s v=" TensorFlow"/>
    <s v=" LangChain"/>
    <x v="9"/>
    <n v="89"/>
    <x v="3"/>
    <n v="238"/>
  </r>
  <r>
    <n v="1847"/>
    <s v="Keith Inc"/>
    <x v="0"/>
    <x v="5"/>
    <s v="Power BI"/>
    <s v=" Scikit-learn"/>
    <s v=" Excel"/>
    <m/>
    <m/>
    <n v="90220"/>
    <m/>
    <s v="Senior"/>
    <x v="1"/>
    <s v="Lake Robert"/>
    <s v=" TN"/>
    <n v="58470"/>
    <n v="121970"/>
    <d v="2025-02-23T00:00:00"/>
    <x v="0"/>
    <s v="BigQuery"/>
    <s v=" TensorFlow"/>
    <m/>
    <x v="18"/>
    <n v="96"/>
    <x v="3"/>
    <n v="238"/>
  </r>
  <r>
    <n v="1848"/>
    <s v="Willis-Olson"/>
    <x v="5"/>
    <x v="6"/>
    <s v="Hugging Face"/>
    <s v=" Azure"/>
    <s v=" Keras"/>
    <m/>
    <m/>
    <n v="120778"/>
    <m/>
    <s v="Entry"/>
    <x v="0"/>
    <s v="North Aaronberg"/>
    <s v=" ME"/>
    <n v="106459"/>
    <n v="135097"/>
    <d v="2025-08-28T00:00:00"/>
    <x v="1"/>
    <s v="MLflow"/>
    <s v=" PyTorch"/>
    <m/>
    <x v="9"/>
    <n v="89"/>
    <x v="6"/>
    <n v="259"/>
  </r>
  <r>
    <n v="1849"/>
    <s v="Roberts, Gill and Williams"/>
    <x v="1"/>
    <x v="3"/>
    <s v="LangChain"/>
    <s v=" PyTorch"/>
    <s v=" Power BI"/>
    <s v=" Pandas"/>
    <s v=" Scikit-learn"/>
    <n v="163236"/>
    <s v=" R"/>
    <s v="Mid"/>
    <x v="3"/>
    <s v="Lake Scottbury"/>
    <s v=" LB"/>
    <n v="122945"/>
    <n v="203527"/>
    <d v="2025-05-31T00:00:00"/>
    <x v="0"/>
    <s v="LangChain"/>
    <s v=" TensorFlow"/>
    <s v=" PyTorch"/>
    <x v="12"/>
    <n v="100"/>
    <x v="4"/>
    <n v="268"/>
  </r>
  <r>
    <n v="1850"/>
    <s v="Johnson LLC"/>
    <x v="3"/>
    <x v="0"/>
    <s v="Hugging Face"/>
    <s v=" Excel"/>
    <s v=" Pandas"/>
    <s v=" Keras"/>
    <s v=" Reinforcement Learning"/>
    <n v="157887.5"/>
    <s v=" AWS"/>
    <s v="Mid"/>
    <x v="1"/>
    <s v="New Richard"/>
    <s v=" HT"/>
    <n v="124091"/>
    <n v="191684"/>
    <d v="2024-03-09T00:00:00"/>
    <x v="2"/>
    <s v="KDB+"/>
    <s v=" FastAPI"/>
    <m/>
    <x v="9"/>
    <n v="89"/>
    <x v="0"/>
    <n v="247"/>
  </r>
  <r>
    <n v="1851"/>
    <s v="Houston, Ponce and Pennington"/>
    <x v="5"/>
    <x v="1"/>
    <s v="PyTorch"/>
    <s v=" Excel"/>
    <s v=" Pandas"/>
    <s v=" MLflow"/>
    <s v=" Hugging Face"/>
    <n v="167177"/>
    <m/>
    <s v="Senior"/>
    <x v="0"/>
    <s v="Lake Jamesside"/>
    <s v=" DM"/>
    <n v="137315"/>
    <n v="197039"/>
    <d v="2024-03-19T00:00:00"/>
    <x v="2"/>
    <s v="LangChain"/>
    <s v=" BigQuery"/>
    <s v=" MLflow"/>
    <x v="14"/>
    <n v="92"/>
    <x v="4"/>
    <n v="268"/>
  </r>
  <r>
    <n v="1852"/>
    <s v="Smith, Willis and Johnson"/>
    <x v="0"/>
    <x v="7"/>
    <s v="LangChain"/>
    <s v=" SQL"/>
    <s v=" Pandas"/>
    <s v=" R"/>
    <s v=" Reinforcement Learning"/>
    <n v="125016.5"/>
    <s v=" Python"/>
    <s v="Entry"/>
    <x v="3"/>
    <s v="Cathyport"/>
    <s v=" PH"/>
    <n v="106512"/>
    <n v="143521"/>
    <d v="2025-01-23T00:00:00"/>
    <x v="0"/>
    <s v="TensorFlow"/>
    <s v=" KDB+"/>
    <m/>
    <x v="12"/>
    <n v="100"/>
    <x v="2"/>
    <n v="249"/>
  </r>
  <r>
    <n v="1853"/>
    <s v="Greene and Sons"/>
    <x v="6"/>
    <x v="6"/>
    <s v="Reinforcement Learning"/>
    <s v=" TensorFlow"/>
    <s v=" NumPy"/>
    <m/>
    <m/>
    <n v="135968"/>
    <m/>
    <s v="Mid"/>
    <x v="2"/>
    <s v="Pearsonberg"/>
    <s v=" KG"/>
    <n v="98138"/>
    <n v="173798"/>
    <d v="2025-06-12T00:00:00"/>
    <x v="1"/>
    <s v="TensorFlow"/>
    <m/>
    <m/>
    <x v="21"/>
    <n v="104"/>
    <x v="2"/>
    <n v="249"/>
  </r>
  <r>
    <n v="1854"/>
    <s v="Lloyd PLC"/>
    <x v="2"/>
    <x v="1"/>
    <s v="Flask"/>
    <s v=" LangChain"/>
    <s v=" PyTorch"/>
    <s v=" MLflow"/>
    <s v=" SQL"/>
    <n v="146829.5"/>
    <m/>
    <s v="Entry"/>
    <x v="1"/>
    <s v="New Ericafurt"/>
    <s v=" LU"/>
    <n v="135742"/>
    <n v="157917"/>
    <d v="2024-11-24T00:00:00"/>
    <x v="0"/>
    <s v="LangChain"/>
    <s v=" Scikit-learn"/>
    <s v=" BigQuery"/>
    <x v="16"/>
    <n v="86"/>
    <x v="4"/>
    <n v="268"/>
  </r>
  <r>
    <n v="1855"/>
    <s v="Abbott-Gray"/>
    <x v="4"/>
    <x v="3"/>
    <s v="FastAPI"/>
    <s v=" NumPy"/>
    <s v=" C++"/>
    <m/>
    <m/>
    <n v="92519"/>
    <m/>
    <s v="Senior"/>
    <x v="1"/>
    <s v="Howardview"/>
    <s v=" MA"/>
    <n v="83533"/>
    <n v="101505"/>
    <d v="2024-07-23T00:00:00"/>
    <x v="1"/>
    <s v="BigQuery"/>
    <m/>
    <m/>
    <x v="20"/>
    <n v="111"/>
    <x v="3"/>
    <n v="238"/>
  </r>
  <r>
    <n v="1856"/>
    <s v="Ramos and Sons"/>
    <x v="0"/>
    <x v="1"/>
    <s v="Reinforcement Learning"/>
    <s v=" LangChain"/>
    <s v=" CUDA"/>
    <s v=" Hugging Face"/>
    <m/>
    <n v="162770"/>
    <m/>
    <s v="Entry"/>
    <x v="3"/>
    <s v="Rileyborough"/>
    <s v=" HU"/>
    <n v="121547"/>
    <n v="203993"/>
    <d v="2023-10-23T00:00:00"/>
    <x v="1"/>
    <s v="LangChain"/>
    <s v=" MLflow"/>
    <m/>
    <x v="21"/>
    <n v="104"/>
    <x v="4"/>
    <n v="268"/>
  </r>
  <r>
    <n v="1857"/>
    <s v="Hicks Inc"/>
    <x v="6"/>
    <x v="0"/>
    <s v="TensorFlow"/>
    <s v=" Python"/>
    <s v=" SQL"/>
    <m/>
    <m/>
    <n v="142798"/>
    <m/>
    <s v="Entry"/>
    <x v="2"/>
    <s v="North Haileyville"/>
    <s v=" UA"/>
    <n v="120806"/>
    <n v="164790"/>
    <d v="2025-08-05T00:00:00"/>
    <x v="0"/>
    <s v="KDB+"/>
    <m/>
    <m/>
    <x v="19"/>
    <n v="95"/>
    <x v="0"/>
    <n v="247"/>
  </r>
  <r>
    <n v="1858"/>
    <s v="Adams-Bright"/>
    <x v="1"/>
    <x v="1"/>
    <s v="AWS"/>
    <s v=" Keras"/>
    <s v=" GCP"/>
    <s v=" SQL"/>
    <m/>
    <n v="143040"/>
    <m/>
    <s v="Mid"/>
    <x v="1"/>
    <s v="Laneberg"/>
    <s v=" JM"/>
    <n v="98170"/>
    <n v="187910"/>
    <d v="2024-07-11T00:00:00"/>
    <x v="2"/>
    <s v="LangChain"/>
    <m/>
    <m/>
    <x v="10"/>
    <n v="97"/>
    <x v="4"/>
    <n v="268"/>
  </r>
  <r>
    <n v="1859"/>
    <s v="Martin-Gregory"/>
    <x v="3"/>
    <x v="0"/>
    <s v="Python"/>
    <s v=" SQL"/>
    <s v=" PyTorch"/>
    <m/>
    <m/>
    <n v="95503.5"/>
    <m/>
    <s v="Senior"/>
    <x v="1"/>
    <s v="Dawnmouth"/>
    <s v=" MM"/>
    <n v="69719"/>
    <n v="121288"/>
    <d v="2024-10-23T00:00:00"/>
    <x v="2"/>
    <s v="Scikit-learn"/>
    <s v=" MLflow"/>
    <m/>
    <x v="5"/>
    <n v="94"/>
    <x v="7"/>
    <n v="255"/>
  </r>
  <r>
    <n v="1860"/>
    <s v="Wood LLC"/>
    <x v="3"/>
    <x v="4"/>
    <s v="Hugging Face"/>
    <s v=" Flask"/>
    <s v=" Scikit-learn"/>
    <s v=" GCP"/>
    <m/>
    <n v="184652.5"/>
    <m/>
    <s v="Mid"/>
    <x v="1"/>
    <s v="North Brooke"/>
    <s v=" US"/>
    <n v="149745"/>
    <n v="219560"/>
    <d v="2023-09-21T00:00:00"/>
    <x v="0"/>
    <s v="MLflow"/>
    <s v=" FastAPI"/>
    <m/>
    <x v="9"/>
    <n v="89"/>
    <x v="6"/>
    <n v="259"/>
  </r>
  <r>
    <n v="1861"/>
    <s v="Schultz-Sanders"/>
    <x v="0"/>
    <x v="2"/>
    <s v="FastAPI"/>
    <s v=" TensorFlow"/>
    <s v=" Python"/>
    <s v=" GCP"/>
    <m/>
    <n v="144411"/>
    <m/>
    <s v="Entry"/>
    <x v="1"/>
    <s v="South Elizabeth"/>
    <s v=" BI"/>
    <n v="121766"/>
    <n v="167056"/>
    <d v="2024-06-07T00:00:00"/>
    <x v="1"/>
    <s v="FastAPI"/>
    <s v=" BigQuery"/>
    <s v=" PyTorch"/>
    <x v="20"/>
    <n v="111"/>
    <x v="1"/>
    <n v="251"/>
  </r>
  <r>
    <n v="1862"/>
    <s v="Ray LLC"/>
    <x v="5"/>
    <x v="4"/>
    <s v="Hugging Face"/>
    <s v=" C++"/>
    <s v=" NumPy"/>
    <s v=" R"/>
    <m/>
    <n v="142923"/>
    <m/>
    <s v="Senior"/>
    <x v="3"/>
    <s v="West Charles"/>
    <s v=" ZM"/>
    <n v="134147"/>
    <n v="151699"/>
    <d v="2025-09-17T00:00:00"/>
    <x v="1"/>
    <s v="PyTorch"/>
    <s v=" BigQuery"/>
    <m/>
    <x v="9"/>
    <n v="89"/>
    <x v="5"/>
    <n v="233"/>
  </r>
  <r>
    <n v="1863"/>
    <s v="Lee, Rodgers and Hunter"/>
    <x v="2"/>
    <x v="7"/>
    <s v="LangChain"/>
    <s v=" Python"/>
    <s v=" Excel"/>
    <s v=" AWS"/>
    <s v=" Power BI"/>
    <n v="153684"/>
    <s v=" Hugging Face"/>
    <s v="Mid"/>
    <x v="3"/>
    <s v="West Whitney"/>
    <s v=" BH"/>
    <n v="120540"/>
    <n v="186828"/>
    <d v="2023-12-05T00:00:00"/>
    <x v="1"/>
    <s v="KDB+"/>
    <s v=" MLflow"/>
    <m/>
    <x v="12"/>
    <n v="100"/>
    <x v="0"/>
    <n v="247"/>
  </r>
  <r>
    <n v="1864"/>
    <s v="Jones and Sons"/>
    <x v="2"/>
    <x v="7"/>
    <s v="Power BI"/>
    <s v=" Excel"/>
    <s v=" Azure"/>
    <s v=" Keras"/>
    <s v=" C++"/>
    <n v="149314"/>
    <m/>
    <s v="Entry"/>
    <x v="2"/>
    <s v="New Matthew"/>
    <s v=" UG"/>
    <n v="109782"/>
    <n v="188846"/>
    <d v="2023-10-31T00:00:00"/>
    <x v="0"/>
    <s v="TensorFlow"/>
    <s v=" LangChain"/>
    <m/>
    <x v="18"/>
    <n v="96"/>
    <x v="2"/>
    <n v="249"/>
  </r>
  <r>
    <n v="1865"/>
    <s v="Morse-Hodges"/>
    <x v="2"/>
    <x v="6"/>
    <s v="Python"/>
    <s v=" MLflow"/>
    <s v=" PyTorch"/>
    <s v=" C++"/>
    <s v=" GCP"/>
    <n v="164228"/>
    <s v=" Hugging Face"/>
    <s v="Senior"/>
    <x v="0"/>
    <s v="Beckerstad"/>
    <s v=" IN"/>
    <n v="122408"/>
    <n v="206048"/>
    <d v="2025-08-26T00:00:00"/>
    <x v="1"/>
    <s v="MLflow"/>
    <s v=" TensorFlow"/>
    <s v=" PyTorch"/>
    <x v="5"/>
    <n v="94"/>
    <x v="6"/>
    <n v="259"/>
  </r>
  <r>
    <n v="1866"/>
    <s v="West, Williams and Stewart"/>
    <x v="0"/>
    <x v="4"/>
    <s v="Scikit-learn"/>
    <s v=" AWS"/>
    <s v=" Python"/>
    <s v=" CUDA"/>
    <m/>
    <n v="91590.5"/>
    <m/>
    <s v="Mid"/>
    <x v="1"/>
    <s v="Macdonaldfort"/>
    <s v=" JM"/>
    <n v="58854"/>
    <n v="124327"/>
    <d v="2025-07-04T00:00:00"/>
    <x v="0"/>
    <s v="KDB+"/>
    <s v=" FastAPI"/>
    <m/>
    <x v="1"/>
    <n v="76"/>
    <x v="0"/>
    <n v="247"/>
  </r>
  <r>
    <n v="1867"/>
    <s v="Lopez LLC"/>
    <x v="5"/>
    <x v="4"/>
    <s v="Flask"/>
    <s v=" LangChain"/>
    <s v=" AWS"/>
    <s v=" Reinforcement Learning"/>
    <m/>
    <n v="114223"/>
    <m/>
    <s v="Entry"/>
    <x v="1"/>
    <s v="South Ralphfort"/>
    <s v=" MH"/>
    <n v="88941"/>
    <n v="139505"/>
    <d v="2024-11-09T00:00:00"/>
    <x v="2"/>
    <s v="Scikit-learn"/>
    <s v=" BigQuery"/>
    <s v=" PyTorch"/>
    <x v="16"/>
    <n v="86"/>
    <x v="7"/>
    <n v="255"/>
  </r>
  <r>
    <n v="1868"/>
    <s v="Nunez Inc"/>
    <x v="6"/>
    <x v="0"/>
    <s v="Azure"/>
    <s v=" Pandas"/>
    <s v=" Excel"/>
    <s v=" Reinforcement Learning"/>
    <s v=" LangChain"/>
    <n v="109084"/>
    <m/>
    <s v="Entry"/>
    <x v="1"/>
    <s v="New Brianborough"/>
    <s v=" AF"/>
    <n v="72495"/>
    <n v="145673"/>
    <d v="2024-11-20T00:00:00"/>
    <x v="1"/>
    <s v="MLflow"/>
    <m/>
    <m/>
    <x v="15"/>
    <n v="90"/>
    <x v="6"/>
    <n v="259"/>
  </r>
  <r>
    <n v="1869"/>
    <s v="Lewis, Pollard and Rogers"/>
    <x v="6"/>
    <x v="1"/>
    <s v="GCP"/>
    <s v=" C++"/>
    <s v=" Azure"/>
    <s v=" TensorFlow"/>
    <s v=" CUDA"/>
    <n v="131080.5"/>
    <s v=" R"/>
    <s v="Senior"/>
    <x v="1"/>
    <s v="Pearsonmouth"/>
    <s v=" RW"/>
    <n v="82814"/>
    <n v="179347"/>
    <d v="2025-05-26T00:00:00"/>
    <x v="2"/>
    <s v="PyTorch"/>
    <s v=" KDB+"/>
    <m/>
    <x v="4"/>
    <n v="78"/>
    <x v="5"/>
    <n v="233"/>
  </r>
  <r>
    <n v="1870"/>
    <s v="Moody, Oconnor and Brewer"/>
    <x v="2"/>
    <x v="3"/>
    <s v="CUDA"/>
    <s v=" Azure"/>
    <s v=" FastAPI"/>
    <s v=" Flask"/>
    <m/>
    <n v="125685.5"/>
    <m/>
    <s v="Mid"/>
    <x v="1"/>
    <s v="Thompsonborough"/>
    <s v=" AF"/>
    <n v="116933"/>
    <n v="134438"/>
    <d v="2024-09-16T00:00:00"/>
    <x v="1"/>
    <s v="Scikit-learn"/>
    <s v=" BigQuery"/>
    <m/>
    <x v="13"/>
    <n v="75"/>
    <x v="7"/>
    <n v="255"/>
  </r>
  <r>
    <n v="1871"/>
    <s v="Rodriguez-Moore"/>
    <x v="2"/>
    <x v="2"/>
    <s v="Pandas"/>
    <s v=" Python"/>
    <s v=" PyTorch"/>
    <s v=" R"/>
    <s v=" Flask"/>
    <n v="143568"/>
    <m/>
    <s v="Senior"/>
    <x v="1"/>
    <s v="Parkerchester"/>
    <s v=" TN"/>
    <n v="98712"/>
    <n v="188424"/>
    <d v="2024-07-17T00:00:00"/>
    <x v="2"/>
    <s v="TensorFlow"/>
    <s v=" PyTorch"/>
    <m/>
    <x v="6"/>
    <n v="78"/>
    <x v="2"/>
    <n v="249"/>
  </r>
  <r>
    <n v="1872"/>
    <s v="Baker-Williams"/>
    <x v="4"/>
    <x v="0"/>
    <s v="Python"/>
    <s v=" Power BI"/>
    <s v=" Hugging Face"/>
    <s v=" AWS"/>
    <m/>
    <n v="96104.5"/>
    <m/>
    <s v="Mid"/>
    <x v="1"/>
    <s v="Bakerland"/>
    <s v=" NG"/>
    <n v="60237"/>
    <n v="131972"/>
    <d v="2024-06-08T00:00:00"/>
    <x v="1"/>
    <s v="LangChain"/>
    <s v=" BigQuery"/>
    <m/>
    <x v="5"/>
    <n v="94"/>
    <x v="4"/>
    <n v="268"/>
  </r>
  <r>
    <n v="1873"/>
    <s v="Summers, Carter and James"/>
    <x v="5"/>
    <x v="5"/>
    <s v="AWS"/>
    <s v=" SQL"/>
    <s v=" CUDA"/>
    <s v=" GCP"/>
    <s v=" TensorFlow"/>
    <n v="154216.5"/>
    <s v=" C++"/>
    <s v="Mid"/>
    <x v="2"/>
    <s v="Swansonburgh"/>
    <s v=" MV"/>
    <n v="107898"/>
    <n v="200535"/>
    <d v="2024-04-10T00:00:00"/>
    <x v="0"/>
    <s v="KDB+"/>
    <m/>
    <m/>
    <x v="10"/>
    <n v="97"/>
    <x v="0"/>
    <n v="247"/>
  </r>
  <r>
    <n v="1874"/>
    <s v="Hughes, Neal and Davis"/>
    <x v="5"/>
    <x v="1"/>
    <s v="Reinforcement Learning"/>
    <s v=" R"/>
    <s v=" Azure"/>
    <s v=" CUDA"/>
    <s v=" TensorFlow"/>
    <n v="146171.5"/>
    <m/>
    <s v="Entry"/>
    <x v="3"/>
    <s v="Davidbury"/>
    <s v=" CM"/>
    <n v="139581"/>
    <n v="152762"/>
    <d v="2025-09-03T00:00:00"/>
    <x v="2"/>
    <s v="Scikit-learn"/>
    <s v=" KDB+"/>
    <s v=" FastAPI"/>
    <x v="21"/>
    <n v="104"/>
    <x v="7"/>
    <n v="255"/>
  </r>
  <r>
    <n v="1875"/>
    <s v="Robinson Inc"/>
    <x v="0"/>
    <x v="2"/>
    <s v="C++"/>
    <s v=" Keras"/>
    <s v=" Flask"/>
    <s v=" Pandas"/>
    <s v=" PyTorch"/>
    <n v="122663"/>
    <s v=" Excel"/>
    <s v="Senior"/>
    <x v="2"/>
    <s v="Wuland"/>
    <s v=" BO"/>
    <n v="75241"/>
    <n v="170085"/>
    <d v="2025-02-04T00:00:00"/>
    <x v="0"/>
    <s v="TensorFlow"/>
    <m/>
    <m/>
    <x v="8"/>
    <n v="84"/>
    <x v="2"/>
    <n v="249"/>
  </r>
  <r>
    <n v="1876"/>
    <s v="Marsh Inc"/>
    <x v="3"/>
    <x v="4"/>
    <s v="Keras"/>
    <s v=" Reinforcement Learning"/>
    <s v=" Scikit-learn"/>
    <m/>
    <m/>
    <n v="169681.5"/>
    <m/>
    <s v="Mid"/>
    <x v="2"/>
    <s v="Lake Patrickville"/>
    <s v=" SK"/>
    <n v="137255"/>
    <n v="202108"/>
    <d v="2024-09-08T00:00:00"/>
    <x v="2"/>
    <s v="MLflow"/>
    <s v=" BigQuery"/>
    <m/>
    <x v="7"/>
    <n v="96"/>
    <x v="6"/>
    <n v="259"/>
  </r>
  <r>
    <n v="1877"/>
    <s v="Kim-Thornton"/>
    <x v="2"/>
    <x v="5"/>
    <s v="Reinforcement Learning"/>
    <s v=" Excel"/>
    <s v=" C++"/>
    <s v=" CUDA"/>
    <s v=" Keras"/>
    <n v="120868.5"/>
    <m/>
    <s v="Mid"/>
    <x v="0"/>
    <s v="South Peggyton"/>
    <s v=" PW"/>
    <n v="85959"/>
    <n v="155778"/>
    <d v="2025-04-16T00:00:00"/>
    <x v="1"/>
    <s v="LangChain"/>
    <s v=" MLflow"/>
    <m/>
    <x v="21"/>
    <n v="104"/>
    <x v="4"/>
    <n v="268"/>
  </r>
  <r>
    <n v="1878"/>
    <s v="Miller, Wilson and Barker"/>
    <x v="6"/>
    <x v="4"/>
    <s v="Scikit-learn"/>
    <s v=" Azure"/>
    <s v=" Hugging Face"/>
    <m/>
    <m/>
    <n v="163848"/>
    <m/>
    <s v="Mid"/>
    <x v="3"/>
    <s v="Helenport"/>
    <s v=" OM"/>
    <n v="127608"/>
    <n v="200088"/>
    <d v="2024-08-20T00:00:00"/>
    <x v="0"/>
    <s v="Scikit-learn"/>
    <m/>
    <m/>
    <x v="1"/>
    <n v="76"/>
    <x v="7"/>
    <n v="255"/>
  </r>
  <r>
    <n v="1879"/>
    <s v="Stewart, Rodriguez and Jenkins"/>
    <x v="3"/>
    <x v="1"/>
    <s v="TensorFlow"/>
    <s v=" NumPy"/>
    <s v=" CUDA"/>
    <s v=" Power BI"/>
    <m/>
    <n v="145816.5"/>
    <m/>
    <s v="Senior"/>
    <x v="0"/>
    <s v="Port Mitchell"/>
    <s v=" US"/>
    <n v="108442"/>
    <n v="183191"/>
    <d v="2023-12-13T00:00:00"/>
    <x v="0"/>
    <s v="TensorFlow"/>
    <s v=" Scikit-learn"/>
    <s v=" MLflow"/>
    <x v="19"/>
    <n v="95"/>
    <x v="2"/>
    <n v="249"/>
  </r>
  <r>
    <n v="1880"/>
    <s v="Kelly-Cline"/>
    <x v="3"/>
    <x v="5"/>
    <s v="PyTorch"/>
    <s v=" Power BI"/>
    <s v=" Scikit-learn"/>
    <s v=" Flask"/>
    <s v=" NumPy"/>
    <n v="168212"/>
    <s v=" Keras"/>
    <s v="Mid"/>
    <x v="2"/>
    <s v="Port Caroline"/>
    <s v=" NI"/>
    <n v="130051"/>
    <n v="206373"/>
    <d v="2024-04-11T00:00:00"/>
    <x v="0"/>
    <s v="FastAPI"/>
    <s v=" MLflow"/>
    <m/>
    <x v="14"/>
    <n v="92"/>
    <x v="1"/>
    <n v="251"/>
  </r>
  <r>
    <n v="1881"/>
    <s v="Beltran Inc"/>
    <x v="1"/>
    <x v="0"/>
    <s v="Azure"/>
    <s v=" SQL"/>
    <s v=" NumPy"/>
    <m/>
    <m/>
    <n v="107699.5"/>
    <m/>
    <s v="Mid"/>
    <x v="1"/>
    <s v="Lake Joshua"/>
    <s v=" CU"/>
    <n v="97481"/>
    <n v="117918"/>
    <d v="2025-08-10T00:00:00"/>
    <x v="0"/>
    <s v="Scikit-learn"/>
    <s v=" BigQuery"/>
    <m/>
    <x v="15"/>
    <n v="90"/>
    <x v="7"/>
    <n v="255"/>
  </r>
  <r>
    <n v="1882"/>
    <s v="Kennedy, Lopez and Bell"/>
    <x v="6"/>
    <x v="3"/>
    <s v="Python"/>
    <s v=" LangChain"/>
    <s v=" SQL"/>
    <s v=" AWS"/>
    <s v=" GCP"/>
    <n v="124873.5"/>
    <s v=" Power BI"/>
    <s v="Entry"/>
    <x v="2"/>
    <s v="New Michael"/>
    <s v=" TW"/>
    <n v="94087"/>
    <n v="155660"/>
    <d v="2023-12-29T00:00:00"/>
    <x v="1"/>
    <s v="TensorFlow"/>
    <m/>
    <m/>
    <x v="5"/>
    <n v="94"/>
    <x v="2"/>
    <n v="249"/>
  </r>
  <r>
    <n v="1883"/>
    <s v="Watson-Mitchell"/>
    <x v="1"/>
    <x v="3"/>
    <s v="SQL"/>
    <s v=" MLflow"/>
    <s v=" PyTorch"/>
    <s v=" Power BI"/>
    <m/>
    <n v="81089.5"/>
    <m/>
    <s v="Entry"/>
    <x v="0"/>
    <s v="Mariaton"/>
    <s v=" SZ"/>
    <n v="70792"/>
    <n v="91387"/>
    <d v="2025-01-02T00:00:00"/>
    <x v="1"/>
    <s v="LangChain"/>
    <m/>
    <m/>
    <x v="17"/>
    <n v="88"/>
    <x v="4"/>
    <n v="268"/>
  </r>
  <r>
    <n v="1884"/>
    <s v="Wolfe, Stephenson and Sanchez"/>
    <x v="1"/>
    <x v="6"/>
    <s v="Reinforcement Learning"/>
    <s v=" NumPy"/>
    <s v=" Python"/>
    <s v=" Pandas"/>
    <m/>
    <n v="111206"/>
    <m/>
    <s v="Mid"/>
    <x v="0"/>
    <s v="Wallacetown"/>
    <s v=" MG"/>
    <n v="68291"/>
    <n v="154121"/>
    <d v="2023-12-23T00:00:00"/>
    <x v="2"/>
    <s v="FastAPI"/>
    <s v=" BigQuery"/>
    <s v=" PyTorch"/>
    <x v="21"/>
    <n v="104"/>
    <x v="1"/>
    <n v="251"/>
  </r>
  <r>
    <n v="1885"/>
    <s v="Gaines-Nelson"/>
    <x v="5"/>
    <x v="0"/>
    <s v="PyTorch"/>
    <s v=" Power BI"/>
    <s v=" Keras"/>
    <m/>
    <m/>
    <n v="179578"/>
    <m/>
    <s v="Entry"/>
    <x v="1"/>
    <s v="West Ryanport"/>
    <s v=" MZ"/>
    <n v="137372"/>
    <n v="221784"/>
    <d v="2024-03-09T00:00:00"/>
    <x v="0"/>
    <s v="MLflow"/>
    <s v=" PyTorch"/>
    <s v=" TensorFlow"/>
    <x v="14"/>
    <n v="92"/>
    <x v="6"/>
    <n v="259"/>
  </r>
  <r>
    <n v="1886"/>
    <s v="Calhoun, Thomas and Brandt"/>
    <x v="5"/>
    <x v="7"/>
    <s v="Reinforcement Learning"/>
    <s v=" AWS"/>
    <s v=" FastAPI"/>
    <s v=" C++"/>
    <s v=" Azure"/>
    <n v="126134"/>
    <s v=" LangChain"/>
    <s v="Entry"/>
    <x v="3"/>
    <s v="Shepherdport"/>
    <s v=" CY"/>
    <n v="83107"/>
    <n v="169161"/>
    <d v="2025-01-16T00:00:00"/>
    <x v="0"/>
    <s v="TensorFlow"/>
    <s v=" FastAPI"/>
    <m/>
    <x v="21"/>
    <n v="104"/>
    <x v="2"/>
    <n v="249"/>
  </r>
  <r>
    <n v="1887"/>
    <s v="Hernandez, Griffith and Simmons"/>
    <x v="6"/>
    <x v="7"/>
    <s v="FastAPI"/>
    <s v=" Power BI"/>
    <s v=" CUDA"/>
    <m/>
    <m/>
    <n v="136694"/>
    <m/>
    <s v="Mid"/>
    <x v="1"/>
    <s v="West Mark"/>
    <s v=" ET"/>
    <n v="88435"/>
    <n v="184953"/>
    <d v="2025-07-22T00:00:00"/>
    <x v="0"/>
    <s v="BigQuery"/>
    <m/>
    <m/>
    <x v="20"/>
    <n v="111"/>
    <x v="3"/>
    <n v="238"/>
  </r>
  <r>
    <n v="1888"/>
    <s v="Davies-Payne"/>
    <x v="1"/>
    <x v="2"/>
    <s v="FastAPI"/>
    <s v=" CUDA"/>
    <s v=" C++"/>
    <s v=" PyTorch"/>
    <m/>
    <n v="162686"/>
    <m/>
    <s v="Senior"/>
    <x v="0"/>
    <s v="Kristyton"/>
    <s v=" GW"/>
    <n v="136510"/>
    <n v="188862"/>
    <d v="2023-10-02T00:00:00"/>
    <x v="0"/>
    <s v="FastAPI"/>
    <s v=" MLflow"/>
    <s v=" TensorFlow"/>
    <x v="20"/>
    <n v="111"/>
    <x v="1"/>
    <n v="251"/>
  </r>
  <r>
    <n v="1889"/>
    <s v="Hicks Group"/>
    <x v="5"/>
    <x v="0"/>
    <s v="Pandas"/>
    <s v=" TensorFlow"/>
    <s v=" AWS"/>
    <m/>
    <m/>
    <n v="149303"/>
    <m/>
    <s v="Senior"/>
    <x v="3"/>
    <s v="Hollyberg"/>
    <s v=" BB"/>
    <n v="143200"/>
    <n v="155406"/>
    <d v="2025-06-12T00:00:00"/>
    <x v="0"/>
    <s v="BigQuery"/>
    <s v=" TensorFlow"/>
    <s v=" PyTorch"/>
    <x v="6"/>
    <n v="78"/>
    <x v="3"/>
    <n v="238"/>
  </r>
  <r>
    <n v="1890"/>
    <s v="Myers Ltd"/>
    <x v="6"/>
    <x v="1"/>
    <s v="AWS"/>
    <s v=" Excel"/>
    <s v=" TensorFlow"/>
    <s v=" Scikit-learn"/>
    <s v=" Hugging Face"/>
    <n v="132648"/>
    <m/>
    <s v="Entry"/>
    <x v="2"/>
    <s v="Amandahaven"/>
    <s v=" MX"/>
    <n v="82823"/>
    <n v="182473"/>
    <d v="2024-08-13T00:00:00"/>
    <x v="1"/>
    <s v="LangChain"/>
    <s v=" PyTorch"/>
    <s v=" MLflow"/>
    <x v="10"/>
    <n v="97"/>
    <x v="4"/>
    <n v="268"/>
  </r>
  <r>
    <n v="1891"/>
    <s v="Ramirez and Sons"/>
    <x v="5"/>
    <x v="6"/>
    <s v="NumPy"/>
    <s v=" PyTorch"/>
    <s v=" AWS"/>
    <s v=" Hugging Face"/>
    <m/>
    <n v="114547"/>
    <m/>
    <s v="Senior"/>
    <x v="3"/>
    <s v="Brendashire"/>
    <s v=" LR"/>
    <n v="109348"/>
    <n v="119746"/>
    <d v="2025-04-28T00:00:00"/>
    <x v="1"/>
    <s v="PyTorch"/>
    <m/>
    <m/>
    <x v="0"/>
    <n v="104"/>
    <x v="5"/>
    <n v="233"/>
  </r>
  <r>
    <n v="1892"/>
    <s v="Adams-Lee"/>
    <x v="6"/>
    <x v="3"/>
    <s v="Keras"/>
    <s v=" R"/>
    <s v=" Reinforcement Learning"/>
    <s v=" PyTorch"/>
    <m/>
    <n v="91096"/>
    <m/>
    <s v="Entry"/>
    <x v="1"/>
    <s v="New Marthaview"/>
    <s v=" PH"/>
    <n v="65370"/>
    <n v="116822"/>
    <d v="2025-09-13T00:00:00"/>
    <x v="0"/>
    <s v="BigQuery"/>
    <s v=" Scikit-learn"/>
    <m/>
    <x v="7"/>
    <n v="96"/>
    <x v="3"/>
    <n v="238"/>
  </r>
  <r>
    <n v="1893"/>
    <s v="Rosario PLC"/>
    <x v="6"/>
    <x v="0"/>
    <s v="PyTorch"/>
    <s v=" C++"/>
    <s v=" R"/>
    <s v=" Keras"/>
    <s v=" Reinforcement Learning"/>
    <n v="177180"/>
    <s v=" Hugging Face"/>
    <s v="Senior"/>
    <x v="3"/>
    <s v="East John"/>
    <s v=" TV"/>
    <n v="131317"/>
    <n v="223043"/>
    <d v="2025-01-05T00:00:00"/>
    <x v="0"/>
    <s v="LangChain"/>
    <m/>
    <m/>
    <x v="14"/>
    <n v="92"/>
    <x v="4"/>
    <n v="268"/>
  </r>
  <r>
    <n v="1894"/>
    <s v="Mack and Sons"/>
    <x v="5"/>
    <x v="4"/>
    <s v="GCP"/>
    <s v=" FastAPI"/>
    <s v=" Keras"/>
    <s v=" R"/>
    <s v=" CUDA"/>
    <n v="103013"/>
    <s v=" Hugging Face"/>
    <s v="Senior"/>
    <x v="0"/>
    <s v="Rhodestown"/>
    <s v=" LI"/>
    <n v="87751"/>
    <n v="118275"/>
    <d v="2023-10-16T00:00:00"/>
    <x v="1"/>
    <s v="KDB+"/>
    <m/>
    <m/>
    <x v="4"/>
    <n v="78"/>
    <x v="0"/>
    <n v="247"/>
  </r>
  <r>
    <n v="1895"/>
    <s v="Ramos, Hines and Faulkner"/>
    <x v="2"/>
    <x v="5"/>
    <s v="MLflow"/>
    <s v=" Reinforcement Learning"/>
    <s v=" LangChain"/>
    <s v=" CUDA"/>
    <s v=" Python"/>
    <n v="152899"/>
    <m/>
    <s v="Entry"/>
    <x v="3"/>
    <s v="Martinbury"/>
    <s v=" PW"/>
    <n v="119481"/>
    <n v="186317"/>
    <d v="2024-07-24T00:00:00"/>
    <x v="2"/>
    <s v="PyTorch"/>
    <s v=" TensorFlow"/>
    <m/>
    <x v="3"/>
    <n v="80"/>
    <x v="5"/>
    <n v="233"/>
  </r>
  <r>
    <n v="1896"/>
    <s v="Smith-Hall"/>
    <x v="4"/>
    <x v="7"/>
    <s v="Pandas"/>
    <s v=" Excel"/>
    <s v=" R"/>
    <s v=" AWS"/>
    <m/>
    <n v="130630.5"/>
    <m/>
    <s v="Senior"/>
    <x v="3"/>
    <s v="Debbieburgh"/>
    <s v=" FI"/>
    <n v="94861"/>
    <n v="166400"/>
    <d v="2024-10-12T00:00:00"/>
    <x v="2"/>
    <s v="PyTorch"/>
    <s v=" FastAPI"/>
    <m/>
    <x v="6"/>
    <n v="78"/>
    <x v="5"/>
    <n v="233"/>
  </r>
  <r>
    <n v="1897"/>
    <s v="Santos, Lowe and Lindsey"/>
    <x v="2"/>
    <x v="3"/>
    <s v="Flask"/>
    <s v=" Azure"/>
    <s v=" SQL"/>
    <s v=" Hugging Face"/>
    <s v=" Keras"/>
    <n v="155237.5"/>
    <s v=" C++"/>
    <s v="Senior"/>
    <x v="3"/>
    <s v="Humphreyfort"/>
    <s v=" PT"/>
    <n v="114821"/>
    <n v="195654"/>
    <d v="2024-04-09T00:00:00"/>
    <x v="0"/>
    <s v="PyTorch"/>
    <m/>
    <m/>
    <x v="16"/>
    <n v="86"/>
    <x v="5"/>
    <n v="233"/>
  </r>
  <r>
    <n v="1898"/>
    <s v="Wilkins-King"/>
    <x v="4"/>
    <x v="4"/>
    <s v="TensorFlow"/>
    <s v=" C++"/>
    <s v=" Excel"/>
    <s v=" FastAPI"/>
    <s v=" Pandas"/>
    <n v="149986"/>
    <m/>
    <s v="Entry"/>
    <x v="1"/>
    <s v="Lake Mark"/>
    <s v=" CH"/>
    <n v="137105"/>
    <n v="162867"/>
    <d v="2024-10-23T00:00:00"/>
    <x v="1"/>
    <s v="PyTorch"/>
    <m/>
    <m/>
    <x v="19"/>
    <n v="95"/>
    <x v="5"/>
    <n v="233"/>
  </r>
  <r>
    <n v="1899"/>
    <s v="Parker-Harris"/>
    <x v="0"/>
    <x v="1"/>
    <s v="CUDA"/>
    <s v=" Pandas"/>
    <s v=" Scikit-learn"/>
    <s v=" LangChain"/>
    <s v=" Azure"/>
    <n v="78574"/>
    <s v=" FastAPI"/>
    <s v="Mid"/>
    <x v="1"/>
    <s v="Morrisburgh"/>
    <s v=" MH"/>
    <n v="73444"/>
    <n v="83704"/>
    <d v="2024-10-04T00:00:00"/>
    <x v="2"/>
    <s v="MLflow"/>
    <s v=" KDB+"/>
    <s v=" PyTorch"/>
    <x v="13"/>
    <n v="75"/>
    <x v="6"/>
    <n v="259"/>
  </r>
  <r>
    <n v="1900"/>
    <s v="Mitchell-Ayers"/>
    <x v="6"/>
    <x v="3"/>
    <s v="CUDA"/>
    <s v=" SQL"/>
    <s v=" Python"/>
    <s v=" Reinforcement Learning"/>
    <m/>
    <n v="84419.5"/>
    <m/>
    <s v="Mid"/>
    <x v="0"/>
    <s v="Andersonberg"/>
    <s v=" GA"/>
    <n v="76464"/>
    <n v="92375"/>
    <d v="2024-12-19T00:00:00"/>
    <x v="1"/>
    <s v="PyTorch"/>
    <s v=" MLflow"/>
    <m/>
    <x v="13"/>
    <n v="75"/>
    <x v="5"/>
    <n v="233"/>
  </r>
  <r>
    <n v="1901"/>
    <s v="James, Scott and Armstrong"/>
    <x v="4"/>
    <x v="2"/>
    <s v="Azure"/>
    <s v=" MLflow"/>
    <s v=" FastAPI"/>
    <s v=" Hugging Face"/>
    <s v=" LangChain"/>
    <n v="150133.5"/>
    <m/>
    <s v="Entry"/>
    <x v="3"/>
    <s v="Kellyton"/>
    <s v=" TG"/>
    <n v="129651"/>
    <n v="170616"/>
    <d v="2024-12-29T00:00:00"/>
    <x v="1"/>
    <s v="MLflow"/>
    <s v=" KDB+"/>
    <s v=" PyTorch"/>
    <x v="15"/>
    <n v="90"/>
    <x v="6"/>
    <n v="259"/>
  </r>
  <r>
    <n v="1902"/>
    <s v="Mcdonald-Hines"/>
    <x v="6"/>
    <x v="6"/>
    <s v="SQL"/>
    <s v=" Reinforcement Learning"/>
    <s v=" LangChain"/>
    <s v=" R"/>
    <m/>
    <n v="154142.5"/>
    <m/>
    <s v="Senior"/>
    <x v="3"/>
    <s v="West Christian"/>
    <s v=" RS"/>
    <n v="145357"/>
    <n v="162928"/>
    <d v="2024-05-31T00:00:00"/>
    <x v="2"/>
    <s v="PyTorch"/>
    <s v=" KDB+"/>
    <m/>
    <x v="17"/>
    <n v="88"/>
    <x v="5"/>
    <n v="233"/>
  </r>
  <r>
    <n v="1903"/>
    <s v="Alvarez and Sons"/>
    <x v="3"/>
    <x v="5"/>
    <s v="PyTorch"/>
    <s v=" NumPy"/>
    <s v=" C++"/>
    <s v=" AWS"/>
    <s v=" Scikit-learn"/>
    <n v="137875.5"/>
    <s v=" CUDA"/>
    <s v="Senior"/>
    <x v="1"/>
    <s v="Rebeccamouth"/>
    <s v=" CZ"/>
    <n v="130772"/>
    <n v="144979"/>
    <d v="2024-11-15T00:00:00"/>
    <x v="2"/>
    <s v="PyTorch"/>
    <s v=" TensorFlow"/>
    <s v=" Scikit-learn"/>
    <x v="14"/>
    <n v="92"/>
    <x v="5"/>
    <n v="233"/>
  </r>
  <r>
    <n v="1904"/>
    <s v="Shaw-May"/>
    <x v="4"/>
    <x v="0"/>
    <s v="Excel"/>
    <s v=" Power BI"/>
    <s v=" C++"/>
    <s v=" CUDA"/>
    <s v=" Flask"/>
    <n v="89189.5"/>
    <m/>
    <s v="Senior"/>
    <x v="2"/>
    <s v="Saraberg"/>
    <s v=" SO"/>
    <n v="71169"/>
    <n v="107210"/>
    <d v="2024-10-10T00:00:00"/>
    <x v="1"/>
    <s v="FastAPI"/>
    <s v=" MLflow"/>
    <s v=" PyTorch"/>
    <x v="2"/>
    <n v="101"/>
    <x v="1"/>
    <n v="251"/>
  </r>
  <r>
    <n v="1905"/>
    <s v="Deleon, Johnson and Shah"/>
    <x v="5"/>
    <x v="0"/>
    <s v="FastAPI"/>
    <s v=" SQL"/>
    <s v=" GCP"/>
    <m/>
    <m/>
    <n v="114679.5"/>
    <m/>
    <s v="Mid"/>
    <x v="3"/>
    <s v="Markview"/>
    <s v=" TZ"/>
    <n v="108790"/>
    <n v="120569"/>
    <d v="2025-07-04T00:00:00"/>
    <x v="2"/>
    <s v="KDB+"/>
    <s v=" PyTorch"/>
    <s v=" TensorFlow"/>
    <x v="20"/>
    <n v="111"/>
    <x v="0"/>
    <n v="247"/>
  </r>
  <r>
    <n v="1906"/>
    <s v="Stevens LLC"/>
    <x v="6"/>
    <x v="3"/>
    <s v="AWS"/>
    <s v=" LangChain"/>
    <s v=" Hugging Face"/>
    <s v=" Pandas"/>
    <m/>
    <n v="124594.5"/>
    <m/>
    <s v="Entry"/>
    <x v="3"/>
    <s v="Palmershire"/>
    <s v=" ES"/>
    <n v="87504"/>
    <n v="161685"/>
    <d v="2024-03-30T00:00:00"/>
    <x v="0"/>
    <s v="LangChain"/>
    <m/>
    <m/>
    <x v="10"/>
    <n v="97"/>
    <x v="4"/>
    <n v="268"/>
  </r>
  <r>
    <n v="1907"/>
    <s v="Moore, Edwards and Greene"/>
    <x v="2"/>
    <x v="0"/>
    <s v="PyTorch"/>
    <s v=" TensorFlow"/>
    <s v=" Azure"/>
    <s v=" Excel"/>
    <s v=" GCP"/>
    <n v="119140.5"/>
    <m/>
    <s v="Mid"/>
    <x v="0"/>
    <s v="North Angelaside"/>
    <s v=" RU"/>
    <n v="83696"/>
    <n v="154585"/>
    <d v="2024-01-14T00:00:00"/>
    <x v="1"/>
    <s v="LangChain"/>
    <s v=" PyTorch"/>
    <m/>
    <x v="14"/>
    <n v="92"/>
    <x v="4"/>
    <n v="268"/>
  </r>
  <r>
    <n v="1908"/>
    <s v="Lee Group"/>
    <x v="5"/>
    <x v="7"/>
    <s v="Python"/>
    <s v=" Hugging Face"/>
    <s v=" GCP"/>
    <s v=" AWS"/>
    <m/>
    <n v="75695.5"/>
    <m/>
    <s v="Senior"/>
    <x v="0"/>
    <s v="Buchananfort"/>
    <s v=" PS"/>
    <n v="45038"/>
    <n v="106353"/>
    <d v="2025-01-22T00:00:00"/>
    <x v="2"/>
    <s v="MLflow"/>
    <m/>
    <m/>
    <x v="5"/>
    <n v="94"/>
    <x v="6"/>
    <n v="259"/>
  </r>
  <r>
    <n v="1909"/>
    <s v="Smith, Rodriguez and Foster"/>
    <x v="1"/>
    <x v="7"/>
    <s v="LangChain"/>
    <s v=" Power BI"/>
    <s v=" Scikit-learn"/>
    <s v=" SQL"/>
    <s v=" Keras"/>
    <n v="88504"/>
    <m/>
    <s v="Senior"/>
    <x v="3"/>
    <s v="East Laura"/>
    <s v=" YE"/>
    <n v="52265"/>
    <n v="124743"/>
    <d v="2025-04-22T00:00:00"/>
    <x v="1"/>
    <s v="FastAPI"/>
    <m/>
    <m/>
    <x v="12"/>
    <n v="100"/>
    <x v="1"/>
    <n v="251"/>
  </r>
  <r>
    <n v="1910"/>
    <s v="Hale Group"/>
    <x v="5"/>
    <x v="0"/>
    <s v="AWS"/>
    <s v=" TensorFlow"/>
    <s v=" CUDA"/>
    <s v=" Reinforcement Learning"/>
    <s v=" FastAPI"/>
    <n v="172441.5"/>
    <m/>
    <s v="Mid"/>
    <x v="1"/>
    <s v="Jasonbury"/>
    <s v=" ZM"/>
    <n v="147433"/>
    <n v="197450"/>
    <d v="2025-05-20T00:00:00"/>
    <x v="1"/>
    <s v="FastAPI"/>
    <m/>
    <m/>
    <x v="10"/>
    <n v="97"/>
    <x v="1"/>
    <n v="251"/>
  </r>
  <r>
    <n v="1911"/>
    <s v="James PLC"/>
    <x v="3"/>
    <x v="4"/>
    <s v="Scikit-learn"/>
    <s v=" SQL"/>
    <s v=" Python"/>
    <s v=" Hugging Face"/>
    <m/>
    <n v="169485.5"/>
    <m/>
    <s v="Entry"/>
    <x v="1"/>
    <s v="Port Jacqueline"/>
    <s v=" NG"/>
    <n v="129069"/>
    <n v="209902"/>
    <d v="2025-08-30T00:00:00"/>
    <x v="1"/>
    <s v="Scikit-learn"/>
    <s v=" BigQuery"/>
    <m/>
    <x v="1"/>
    <n v="76"/>
    <x v="7"/>
    <n v="255"/>
  </r>
  <r>
    <n v="1912"/>
    <s v="Wagner-Doyle"/>
    <x v="5"/>
    <x v="6"/>
    <s v="CUDA"/>
    <s v=" LangChain"/>
    <s v=" Python"/>
    <s v=" Azure"/>
    <m/>
    <n v="98319"/>
    <m/>
    <s v="Entry"/>
    <x v="0"/>
    <s v="Stephaniefurt"/>
    <s v=" SL"/>
    <n v="53182"/>
    <n v="143456"/>
    <d v="2024-12-22T00:00:00"/>
    <x v="2"/>
    <s v="KDB+"/>
    <s v=" BigQuery"/>
    <m/>
    <x v="13"/>
    <n v="75"/>
    <x v="0"/>
    <n v="247"/>
  </r>
  <r>
    <n v="1913"/>
    <s v="Martinez PLC"/>
    <x v="1"/>
    <x v="2"/>
    <s v="Azure"/>
    <s v=" Pandas"/>
    <s v=" C++"/>
    <s v=" CUDA"/>
    <m/>
    <n v="117034"/>
    <m/>
    <s v="Entry"/>
    <x v="1"/>
    <s v="Mollyside"/>
    <s v=" JO"/>
    <n v="78877"/>
    <n v="155191"/>
    <d v="2025-07-18T00:00:00"/>
    <x v="1"/>
    <s v="PyTorch"/>
    <s v=" BigQuery"/>
    <s v=" Scikit-learn"/>
    <x v="15"/>
    <n v="90"/>
    <x v="5"/>
    <n v="233"/>
  </r>
  <r>
    <n v="1914"/>
    <s v="Allen, Ward and Smith"/>
    <x v="1"/>
    <x v="2"/>
    <s v="Reinforcement Learning"/>
    <s v=" FastAPI"/>
    <s v=" SQL"/>
    <s v=" Excel"/>
    <s v=" Keras"/>
    <n v="99379.5"/>
    <s v=" NumPy"/>
    <s v="Mid"/>
    <x v="0"/>
    <s v="Morganshire"/>
    <s v=" HT"/>
    <n v="79490"/>
    <n v="119269"/>
    <d v="2024-07-30T00:00:00"/>
    <x v="0"/>
    <s v="MLflow"/>
    <s v=" BigQuery"/>
    <s v=" FastAPI"/>
    <x v="21"/>
    <n v="104"/>
    <x v="6"/>
    <n v="259"/>
  </r>
  <r>
    <n v="1915"/>
    <s v="Nelson PLC"/>
    <x v="3"/>
    <x v="1"/>
    <s v="TensorFlow"/>
    <s v=" Scikit-learn"/>
    <s v=" NumPy"/>
    <s v=" C++"/>
    <s v=" FastAPI"/>
    <n v="84224.5"/>
    <m/>
    <s v="Senior"/>
    <x v="1"/>
    <s v="Bennettshire"/>
    <s v=" IR"/>
    <n v="46931"/>
    <n v="121518"/>
    <d v="2023-10-11T00:00:00"/>
    <x v="1"/>
    <s v="KDB+"/>
    <s v=" PyTorch"/>
    <s v=" Scikit-learn"/>
    <x v="19"/>
    <n v="95"/>
    <x v="0"/>
    <n v="247"/>
  </r>
  <r>
    <n v="1916"/>
    <s v="Roach-Flores"/>
    <x v="3"/>
    <x v="7"/>
    <s v="Keras"/>
    <s v=" Reinforcement Learning"/>
    <s v=" GCP"/>
    <s v=" CUDA"/>
    <m/>
    <n v="79159"/>
    <m/>
    <s v="Senior"/>
    <x v="0"/>
    <s v="Brownfurt"/>
    <s v=" LA"/>
    <n v="62605"/>
    <n v="95713"/>
    <d v="2025-04-06T00:00:00"/>
    <x v="2"/>
    <s v="LangChain"/>
    <m/>
    <m/>
    <x v="7"/>
    <n v="96"/>
    <x v="4"/>
    <n v="268"/>
  </r>
  <r>
    <n v="1917"/>
    <s v="Mullins Group"/>
    <x v="5"/>
    <x v="0"/>
    <s v="Pandas"/>
    <s v=" Reinforcement Learning"/>
    <s v=" GCP"/>
    <s v=" Hugging Face"/>
    <m/>
    <n v="168636.5"/>
    <m/>
    <s v="Entry"/>
    <x v="1"/>
    <s v="Goodwinshire"/>
    <s v=" ME"/>
    <n v="138097"/>
    <n v="199176"/>
    <d v="2023-11-18T00:00:00"/>
    <x v="0"/>
    <s v="MLflow"/>
    <s v=" PyTorch"/>
    <s v=" TensorFlow"/>
    <x v="6"/>
    <n v="78"/>
    <x v="6"/>
    <n v="259"/>
  </r>
  <r>
    <n v="1918"/>
    <s v="Smith-Garcia"/>
    <x v="4"/>
    <x v="0"/>
    <s v="Flask"/>
    <s v=" R"/>
    <s v=" LangChain"/>
    <s v=" NumPy"/>
    <s v=" Reinforcement Learning"/>
    <n v="120673"/>
    <s v=" MLflow"/>
    <s v="Entry"/>
    <x v="2"/>
    <s v="Craigport"/>
    <s v=" CV"/>
    <n v="99857"/>
    <n v="141489"/>
    <d v="2024-09-17T00:00:00"/>
    <x v="1"/>
    <s v="BigQuery"/>
    <m/>
    <m/>
    <x v="16"/>
    <n v="86"/>
    <x v="3"/>
    <n v="238"/>
  </r>
  <r>
    <n v="1919"/>
    <s v="White-Frye"/>
    <x v="6"/>
    <x v="0"/>
    <s v="R"/>
    <s v=" Python"/>
    <s v=" Keras"/>
    <m/>
    <m/>
    <n v="140698"/>
    <m/>
    <s v="Senior"/>
    <x v="3"/>
    <s v="Nicoletown"/>
    <s v=" NZ"/>
    <n v="107295"/>
    <n v="174101"/>
    <d v="2024-02-20T00:00:00"/>
    <x v="1"/>
    <s v="TensorFlow"/>
    <s v=" BigQuery"/>
    <m/>
    <x v="11"/>
    <n v="86"/>
    <x v="2"/>
    <n v="249"/>
  </r>
  <r>
    <n v="1920"/>
    <s v="Lewis, Mccormick and Rowland"/>
    <x v="1"/>
    <x v="6"/>
    <s v="AWS"/>
    <s v=" SQL"/>
    <s v=" Reinforcement Learning"/>
    <s v=" TensorFlow"/>
    <m/>
    <n v="173018"/>
    <m/>
    <s v="Entry"/>
    <x v="0"/>
    <s v="Lake Andrea"/>
    <s v=" DM"/>
    <n v="123053"/>
    <n v="222983"/>
    <d v="2025-01-19T00:00:00"/>
    <x v="1"/>
    <s v="LangChain"/>
    <s v=" PyTorch"/>
    <m/>
    <x v="10"/>
    <n v="97"/>
    <x v="4"/>
    <n v="268"/>
  </r>
  <r>
    <n v="1921"/>
    <s v="Mccann, Atkinson and Durham"/>
    <x v="2"/>
    <x v="7"/>
    <s v="MLflow"/>
    <s v=" Power BI"/>
    <s v=" CUDA"/>
    <s v=" R"/>
    <m/>
    <n v="121813"/>
    <m/>
    <s v="Mid"/>
    <x v="2"/>
    <s v="Atkinschester"/>
    <s v=" CO"/>
    <n v="93939"/>
    <n v="149687"/>
    <d v="2024-08-27T00:00:00"/>
    <x v="2"/>
    <s v="PyTorch"/>
    <s v=" LangChain"/>
    <m/>
    <x v="3"/>
    <n v="80"/>
    <x v="5"/>
    <n v="233"/>
  </r>
  <r>
    <n v="1922"/>
    <s v="Campbell PLC"/>
    <x v="3"/>
    <x v="6"/>
    <s v="AWS"/>
    <s v=" Azure"/>
    <s v=" R"/>
    <m/>
    <m/>
    <n v="150052.5"/>
    <m/>
    <s v="Entry"/>
    <x v="1"/>
    <s v="Lucaschester"/>
    <s v=" FJ"/>
    <n v="127132"/>
    <n v="172973"/>
    <d v="2025-01-22T00:00:00"/>
    <x v="2"/>
    <s v="KDB+"/>
    <s v=" FastAPI"/>
    <m/>
    <x v="10"/>
    <n v="97"/>
    <x v="0"/>
    <n v="247"/>
  </r>
  <r>
    <n v="1923"/>
    <s v="Edwards-Pacheco"/>
    <x v="4"/>
    <x v="7"/>
    <s v="R"/>
    <s v=" AWS"/>
    <s v=" Pandas"/>
    <m/>
    <m/>
    <n v="82134.5"/>
    <m/>
    <s v="Mid"/>
    <x v="0"/>
    <s v="Stevenside"/>
    <s v=" CD"/>
    <n v="68948"/>
    <n v="95321"/>
    <d v="2023-11-03T00:00:00"/>
    <x v="0"/>
    <s v="LangChain"/>
    <s v=" TensorFlow"/>
    <m/>
    <x v="11"/>
    <n v="86"/>
    <x v="4"/>
    <n v="268"/>
  </r>
  <r>
    <n v="1924"/>
    <s v="Arroyo Ltd"/>
    <x v="0"/>
    <x v="3"/>
    <s v="Pandas"/>
    <s v=" C++"/>
    <s v=" FastAPI"/>
    <s v=" Excel"/>
    <m/>
    <n v="144133"/>
    <m/>
    <s v="Entry"/>
    <x v="1"/>
    <s v="North Jennifer"/>
    <s v=" HR"/>
    <n v="117098"/>
    <n v="171168"/>
    <d v="2025-08-06T00:00:00"/>
    <x v="1"/>
    <s v="FastAPI"/>
    <s v=" BigQuery"/>
    <m/>
    <x v="6"/>
    <n v="78"/>
    <x v="1"/>
    <n v="251"/>
  </r>
  <r>
    <n v="1925"/>
    <s v="Banks-Wright"/>
    <x v="0"/>
    <x v="3"/>
    <s v="Power BI"/>
    <s v=" AWS"/>
    <s v=" Python"/>
    <s v=" MLflow"/>
    <s v=" Excel"/>
    <n v="115101.5"/>
    <s v=" Reinforcement Learning"/>
    <s v="Entry"/>
    <x v="0"/>
    <s v="South Devintown"/>
    <s v=" MT"/>
    <n v="68093"/>
    <n v="162110"/>
    <d v="2025-09-02T00:00:00"/>
    <x v="1"/>
    <s v="BigQuery"/>
    <s v=" KDB+"/>
    <m/>
    <x v="18"/>
    <n v="96"/>
    <x v="3"/>
    <n v="238"/>
  </r>
  <r>
    <n v="1926"/>
    <s v="Hayes PLC"/>
    <x v="1"/>
    <x v="7"/>
    <s v="PyTorch"/>
    <s v=" Scikit-learn"/>
    <s v=" Azure"/>
    <s v=" LangChain"/>
    <m/>
    <n v="191779.5"/>
    <m/>
    <s v="Mid"/>
    <x v="1"/>
    <s v="Port Kaylatown"/>
    <s v=" SO"/>
    <n v="149051"/>
    <n v="234508"/>
    <d v="2024-10-17T00:00:00"/>
    <x v="0"/>
    <s v="MLflow"/>
    <m/>
    <m/>
    <x v="14"/>
    <n v="92"/>
    <x v="6"/>
    <n v="259"/>
  </r>
  <r>
    <n v="1927"/>
    <s v="Moore, Mitchell and Tapia"/>
    <x v="2"/>
    <x v="6"/>
    <s v="Scikit-learn"/>
    <s v=" Reinforcement Learning"/>
    <s v=" Azure"/>
    <s v=" Power BI"/>
    <s v=" TensorFlow"/>
    <n v="91535.5"/>
    <m/>
    <s v="Mid"/>
    <x v="1"/>
    <s v="North Kimberly"/>
    <s v=" HN"/>
    <n v="68849"/>
    <n v="114222"/>
    <d v="2025-02-20T00:00:00"/>
    <x v="0"/>
    <s v="LangChain"/>
    <m/>
    <m/>
    <x v="1"/>
    <n v="76"/>
    <x v="4"/>
    <n v="268"/>
  </r>
  <r>
    <n v="1928"/>
    <s v="Martin PLC"/>
    <x v="4"/>
    <x v="3"/>
    <s v="Scikit-learn"/>
    <s v=" FastAPI"/>
    <s v=" PyTorch"/>
    <s v=" Hugging Face"/>
    <s v=" GCP"/>
    <n v="194743.5"/>
    <s v=" LangChain"/>
    <s v="Entry"/>
    <x v="2"/>
    <s v="Port Stevenburgh"/>
    <s v=" KN"/>
    <n v="149671"/>
    <n v="239816"/>
    <d v="2024-07-16T00:00:00"/>
    <x v="1"/>
    <s v="BigQuery"/>
    <s v=" MLflow"/>
    <m/>
    <x v="1"/>
    <n v="76"/>
    <x v="3"/>
    <n v="238"/>
  </r>
  <r>
    <n v="1929"/>
    <s v="Garcia, Chambers and Sutton"/>
    <x v="2"/>
    <x v="3"/>
    <s v="CUDA"/>
    <s v=" Excel"/>
    <s v=" Flask"/>
    <s v=" Hugging Face"/>
    <s v=" MLflow"/>
    <n v="119843"/>
    <s v=" Python"/>
    <s v="Mid"/>
    <x v="0"/>
    <s v="South Paulstad"/>
    <s v=" BY"/>
    <n v="70538"/>
    <n v="169148"/>
    <d v="2024-07-16T00:00:00"/>
    <x v="1"/>
    <s v="MLflow"/>
    <s v=" KDB+"/>
    <m/>
    <x v="13"/>
    <n v="75"/>
    <x v="6"/>
    <n v="259"/>
  </r>
  <r>
    <n v="1930"/>
    <s v="Wyatt LLC"/>
    <x v="0"/>
    <x v="6"/>
    <s v="AWS"/>
    <s v=" GCP"/>
    <s v=" Python"/>
    <s v=" MLflow"/>
    <s v=" Scikit-learn"/>
    <n v="52736"/>
    <s v=" Power BI"/>
    <s v="Entry"/>
    <x v="1"/>
    <s v="Jaredport"/>
    <s v=" NA"/>
    <n v="46559"/>
    <n v="58913"/>
    <d v="2025-01-20T00:00:00"/>
    <x v="0"/>
    <s v="KDB+"/>
    <s v=" FastAPI"/>
    <s v=" BigQuery"/>
    <x v="10"/>
    <n v="97"/>
    <x v="0"/>
    <n v="247"/>
  </r>
  <r>
    <n v="1931"/>
    <s v="Weeks, Diaz and Fisher"/>
    <x v="3"/>
    <x v="0"/>
    <s v="Excel"/>
    <s v=" PyTorch"/>
    <s v=" Python"/>
    <s v=" TensorFlow"/>
    <s v=" Hugging Face"/>
    <n v="94409"/>
    <m/>
    <s v="Mid"/>
    <x v="3"/>
    <s v="Hernandeztown"/>
    <s v=" PS"/>
    <n v="56010"/>
    <n v="132808"/>
    <d v="2023-11-16T00:00:00"/>
    <x v="0"/>
    <s v="LangChain"/>
    <s v=" KDB+"/>
    <s v=" Scikit-learn"/>
    <x v="2"/>
    <n v="101"/>
    <x v="4"/>
    <n v="268"/>
  </r>
  <r>
    <n v="1932"/>
    <s v="Murphy Inc"/>
    <x v="0"/>
    <x v="7"/>
    <s v="Hugging Face"/>
    <s v=" Flask"/>
    <s v=" Excel"/>
    <s v=" CUDA"/>
    <s v=" Pandas"/>
    <n v="138299"/>
    <m/>
    <s v="Mid"/>
    <x v="3"/>
    <s v="East Samuelburgh"/>
    <s v=" SL"/>
    <n v="97069"/>
    <n v="179529"/>
    <d v="2023-12-07T00:00:00"/>
    <x v="2"/>
    <s v="MLflow"/>
    <s v=" Scikit-learn"/>
    <m/>
    <x v="9"/>
    <n v="89"/>
    <x v="6"/>
    <n v="259"/>
  </r>
  <r>
    <n v="1933"/>
    <s v="Mahoney LLC"/>
    <x v="6"/>
    <x v="5"/>
    <s v="Keras"/>
    <s v=" CUDA"/>
    <s v=" C++"/>
    <s v=" Python"/>
    <s v=" SQL"/>
    <n v="96462.5"/>
    <s v=" Scikit-learn"/>
    <s v="Entry"/>
    <x v="2"/>
    <s v="North Paigemouth"/>
    <s v=" TO"/>
    <n v="50988"/>
    <n v="141937"/>
    <d v="2025-08-22T00:00:00"/>
    <x v="0"/>
    <s v="KDB+"/>
    <s v=" Scikit-learn"/>
    <s v=" FastAPI"/>
    <x v="7"/>
    <n v="96"/>
    <x v="0"/>
    <n v="247"/>
  </r>
  <r>
    <n v="1934"/>
    <s v="Larsen-Armstrong"/>
    <x v="4"/>
    <x v="7"/>
    <s v="MLflow"/>
    <s v=" PyTorch"/>
    <s v=" GCP"/>
    <s v=" Python"/>
    <m/>
    <n v="136707.5"/>
    <m/>
    <s v="Entry"/>
    <x v="2"/>
    <s v="North Albert"/>
    <s v=" NP"/>
    <n v="127429"/>
    <n v="145986"/>
    <d v="2025-07-28T00:00:00"/>
    <x v="2"/>
    <s v="PyTorch"/>
    <s v=" KDB+"/>
    <m/>
    <x v="3"/>
    <n v="80"/>
    <x v="5"/>
    <n v="233"/>
  </r>
  <r>
    <n v="1935"/>
    <s v="Chavez and Sons"/>
    <x v="6"/>
    <x v="6"/>
    <s v="C++"/>
    <s v=" SQL"/>
    <s v=" NumPy"/>
    <s v=" R"/>
    <s v=" Keras"/>
    <n v="136223"/>
    <m/>
    <s v="Senior"/>
    <x v="1"/>
    <s v="Natashaberg"/>
    <s v=" BA"/>
    <n v="114412"/>
    <n v="158034"/>
    <d v="2024-05-19T00:00:00"/>
    <x v="2"/>
    <s v="MLflow"/>
    <s v=" KDB+"/>
    <s v=" Scikit-learn"/>
    <x v="8"/>
    <n v="84"/>
    <x v="6"/>
    <n v="259"/>
  </r>
  <r>
    <n v="1936"/>
    <s v="Davis Ltd"/>
    <x v="5"/>
    <x v="6"/>
    <s v="C++"/>
    <s v=" SQL"/>
    <s v=" AWS"/>
    <s v=" Azure"/>
    <s v=" R"/>
    <n v="105899.5"/>
    <m/>
    <s v="Entry"/>
    <x v="3"/>
    <s v="North Maryborough"/>
    <s v=" CL"/>
    <n v="77143"/>
    <n v="134656"/>
    <d v="2025-03-13T00:00:00"/>
    <x v="1"/>
    <s v="PyTorch"/>
    <m/>
    <m/>
    <x v="8"/>
    <n v="84"/>
    <x v="5"/>
    <n v="233"/>
  </r>
  <r>
    <n v="1937"/>
    <s v="Baldwin-Norman"/>
    <x v="6"/>
    <x v="1"/>
    <s v="Reinforcement Learning"/>
    <s v=" PyTorch"/>
    <s v=" Pandas"/>
    <s v=" Scikit-learn"/>
    <m/>
    <n v="52169.5"/>
    <m/>
    <s v="Senior"/>
    <x v="1"/>
    <s v="North Oscar"/>
    <s v=" DJ"/>
    <n v="41541"/>
    <n v="62798"/>
    <d v="2024-04-25T00:00:00"/>
    <x v="1"/>
    <s v="Scikit-learn"/>
    <m/>
    <m/>
    <x v="21"/>
    <n v="104"/>
    <x v="7"/>
    <n v="255"/>
  </r>
  <r>
    <n v="1938"/>
    <s v="Lyons, Gardner and Moss"/>
    <x v="4"/>
    <x v="5"/>
    <s v="Hugging Face"/>
    <s v=" TensorFlow"/>
    <s v=" FastAPI"/>
    <s v=" Excel"/>
    <s v=" Pandas"/>
    <n v="59837.5"/>
    <m/>
    <s v="Senior"/>
    <x v="3"/>
    <s v="Tarahaven"/>
    <s v=" IN"/>
    <n v="53775"/>
    <n v="65900"/>
    <d v="2024-05-08T00:00:00"/>
    <x v="0"/>
    <s v="FastAPI"/>
    <s v=" MLflow"/>
    <s v=" Scikit-learn"/>
    <x v="9"/>
    <n v="89"/>
    <x v="1"/>
    <n v="251"/>
  </r>
  <r>
    <n v="1939"/>
    <s v="Smith-Silva"/>
    <x v="6"/>
    <x v="5"/>
    <s v="AWS"/>
    <s v=" Excel"/>
    <s v=" PyTorch"/>
    <s v=" R"/>
    <s v=" Pandas"/>
    <n v="82701.5"/>
    <m/>
    <s v="Senior"/>
    <x v="0"/>
    <s v="West Claudia"/>
    <s v=" RO"/>
    <n v="56922"/>
    <n v="108481"/>
    <d v="2024-02-03T00:00:00"/>
    <x v="0"/>
    <s v="LangChain"/>
    <m/>
    <m/>
    <x v="10"/>
    <n v="97"/>
    <x v="4"/>
    <n v="268"/>
  </r>
  <r>
    <n v="1940"/>
    <s v="Craig-Snyder"/>
    <x v="0"/>
    <x v="2"/>
    <s v="Excel"/>
    <s v=" Flask"/>
    <s v=" CUDA"/>
    <m/>
    <m/>
    <n v="79591.5"/>
    <m/>
    <s v="Entry"/>
    <x v="3"/>
    <s v="Timothyfort"/>
    <s v=" DZ"/>
    <n v="73378"/>
    <n v="85805"/>
    <d v="2025-05-10T00:00:00"/>
    <x v="1"/>
    <s v="PyTorch"/>
    <m/>
    <m/>
    <x v="2"/>
    <n v="101"/>
    <x v="5"/>
    <n v="233"/>
  </r>
  <r>
    <n v="1941"/>
    <s v="Shah PLC"/>
    <x v="4"/>
    <x v="6"/>
    <s v="Keras"/>
    <s v=" Hugging Face"/>
    <s v=" Flask"/>
    <s v=" NumPy"/>
    <m/>
    <n v="188397"/>
    <m/>
    <s v="Senior"/>
    <x v="0"/>
    <s v="Roberttown"/>
    <s v=" AG"/>
    <n v="138785"/>
    <n v="238009"/>
    <d v="2024-08-15T00:00:00"/>
    <x v="2"/>
    <s v="PyTorch"/>
    <m/>
    <m/>
    <x v="7"/>
    <n v="96"/>
    <x v="5"/>
    <n v="233"/>
  </r>
  <r>
    <n v="1942"/>
    <s v="Robinson, Mcdowell and Robinson"/>
    <x v="4"/>
    <x v="6"/>
    <s v="Excel"/>
    <s v=" FastAPI"/>
    <s v=" Keras"/>
    <s v=" PyTorch"/>
    <s v=" Azure"/>
    <n v="96742"/>
    <s v=" Flask"/>
    <s v="Entry"/>
    <x v="2"/>
    <s v="South Elizabeth"/>
    <s v=" GE"/>
    <n v="76728"/>
    <n v="116756"/>
    <d v="2024-05-12T00:00:00"/>
    <x v="0"/>
    <s v="PyTorch"/>
    <s v=" TensorFlow"/>
    <s v=" MLflow"/>
    <x v="2"/>
    <n v="101"/>
    <x v="5"/>
    <n v="233"/>
  </r>
  <r>
    <n v="1943"/>
    <s v="Williams, Brown and Chen"/>
    <x v="2"/>
    <x v="0"/>
    <s v="SQL"/>
    <s v=" Scikit-learn"/>
    <s v=" FastAPI"/>
    <s v=" GCP"/>
    <m/>
    <n v="103684"/>
    <m/>
    <s v="Entry"/>
    <x v="2"/>
    <s v="Cassandraport"/>
    <s v=" MC"/>
    <n v="76471"/>
    <n v="130897"/>
    <d v="2024-01-15T00:00:00"/>
    <x v="1"/>
    <s v="MLflow"/>
    <s v=" TensorFlow"/>
    <m/>
    <x v="17"/>
    <n v="88"/>
    <x v="6"/>
    <n v="259"/>
  </r>
  <r>
    <n v="1944"/>
    <s v="Lopez, Davis and Chapman"/>
    <x v="4"/>
    <x v="6"/>
    <s v="FastAPI"/>
    <s v=" CUDA"/>
    <s v=" C++"/>
    <s v=" Flask"/>
    <s v=" MLflow"/>
    <n v="149993.5"/>
    <s v=" Python"/>
    <s v="Entry"/>
    <x v="2"/>
    <s v="Lake Alisonhaven"/>
    <s v=" NI"/>
    <n v="110388"/>
    <n v="189599"/>
    <d v="2024-01-01T00:00:00"/>
    <x v="1"/>
    <s v="MLflow"/>
    <s v=" Scikit-learn"/>
    <s v=" FastAPI"/>
    <x v="20"/>
    <n v="111"/>
    <x v="6"/>
    <n v="259"/>
  </r>
  <r>
    <n v="1945"/>
    <s v="Walker, Williamson and Brown"/>
    <x v="4"/>
    <x v="5"/>
    <s v="Azure"/>
    <s v=" SQL"/>
    <s v=" Keras"/>
    <s v=" C++"/>
    <s v=" LangChain"/>
    <n v="122116"/>
    <s v=" TensorFlow"/>
    <s v="Entry"/>
    <x v="3"/>
    <s v="Staciechester"/>
    <s v=" AO"/>
    <n v="89874"/>
    <n v="154358"/>
    <d v="2025-08-08T00:00:00"/>
    <x v="0"/>
    <s v="TensorFlow"/>
    <m/>
    <m/>
    <x v="15"/>
    <n v="90"/>
    <x v="2"/>
    <n v="249"/>
  </r>
  <r>
    <n v="1946"/>
    <s v="Fry, Farrell and Hernandez"/>
    <x v="3"/>
    <x v="4"/>
    <s v="SQL"/>
    <s v=" CUDA"/>
    <s v=" GCP"/>
    <m/>
    <m/>
    <n v="68971.5"/>
    <m/>
    <s v="Mid"/>
    <x v="1"/>
    <s v="Taylorview"/>
    <s v=" PL"/>
    <n v="58207"/>
    <n v="79736"/>
    <d v="2023-11-19T00:00:00"/>
    <x v="0"/>
    <s v="FastAPI"/>
    <m/>
    <m/>
    <x v="17"/>
    <n v="88"/>
    <x v="1"/>
    <n v="251"/>
  </r>
  <r>
    <n v="1947"/>
    <s v="Gomez, King and Thompson"/>
    <x v="5"/>
    <x v="4"/>
    <s v="Azure"/>
    <s v=" Keras"/>
    <s v=" TensorFlow"/>
    <m/>
    <m/>
    <n v="107183"/>
    <m/>
    <s v="Entry"/>
    <x v="3"/>
    <s v="North Sheryl"/>
    <s v=" TD"/>
    <n v="71100"/>
    <n v="143266"/>
    <d v="2025-07-01T00:00:00"/>
    <x v="2"/>
    <s v="KDB+"/>
    <m/>
    <m/>
    <x v="15"/>
    <n v="90"/>
    <x v="0"/>
    <n v="247"/>
  </r>
  <r>
    <n v="1948"/>
    <s v="Kim-Woodward"/>
    <x v="4"/>
    <x v="4"/>
    <s v="R"/>
    <s v=" Power BI"/>
    <s v=" Python"/>
    <s v=" Azure"/>
    <s v=" TensorFlow"/>
    <n v="186602"/>
    <s v=" Reinforcement Learning"/>
    <s v="Entry"/>
    <x v="1"/>
    <s v="New Andrea"/>
    <s v=" NI"/>
    <n v="137029"/>
    <n v="236175"/>
    <d v="2025-09-16T00:00:00"/>
    <x v="1"/>
    <s v="TensorFlow"/>
    <m/>
    <m/>
    <x v="11"/>
    <n v="86"/>
    <x v="2"/>
    <n v="249"/>
  </r>
  <r>
    <n v="1949"/>
    <s v="Williams, Moore and Rogers"/>
    <x v="3"/>
    <x v="5"/>
    <s v="TensorFlow"/>
    <s v=" Pandas"/>
    <s v=" Power BI"/>
    <s v=" AWS"/>
    <s v=" Keras"/>
    <n v="154499.5"/>
    <s v=" Reinforcement Learning"/>
    <s v="Senior"/>
    <x v="2"/>
    <s v="New Kimberlyhaven"/>
    <s v=" SN"/>
    <n v="113059"/>
    <n v="195940"/>
    <d v="2025-04-20T00:00:00"/>
    <x v="1"/>
    <s v="LangChain"/>
    <m/>
    <m/>
    <x v="19"/>
    <n v="95"/>
    <x v="4"/>
    <n v="268"/>
  </r>
  <r>
    <n v="1950"/>
    <s v="Roberson, Lucero and Smith"/>
    <x v="0"/>
    <x v="0"/>
    <s v="CUDA"/>
    <s v=" Excel"/>
    <s v=" FastAPI"/>
    <s v=" MLflow"/>
    <m/>
    <n v="87818.5"/>
    <m/>
    <s v="Mid"/>
    <x v="1"/>
    <s v="New Roberto"/>
    <s v=" JP"/>
    <n v="77836"/>
    <n v="97801"/>
    <d v="2024-06-17T00:00:00"/>
    <x v="0"/>
    <s v="Scikit-learn"/>
    <m/>
    <m/>
    <x v="13"/>
    <n v="75"/>
    <x v="7"/>
    <n v="255"/>
  </r>
  <r>
    <n v="1951"/>
    <s v="Hoffman, Gaines and Medina"/>
    <x v="2"/>
    <x v="4"/>
    <s v="GCP"/>
    <s v=" Flask"/>
    <s v=" Scikit-learn"/>
    <s v=" Keras"/>
    <s v=" LangChain"/>
    <n v="174851.5"/>
    <m/>
    <s v="Mid"/>
    <x v="1"/>
    <s v="Harperfort"/>
    <s v=" MT"/>
    <n v="134973"/>
    <n v="214730"/>
    <d v="2025-07-06T00:00:00"/>
    <x v="1"/>
    <s v="TensorFlow"/>
    <s v=" BigQuery"/>
    <m/>
    <x v="4"/>
    <n v="78"/>
    <x v="2"/>
    <n v="249"/>
  </r>
  <r>
    <n v="1952"/>
    <s v="Robinson Ltd"/>
    <x v="3"/>
    <x v="0"/>
    <s v="C++"/>
    <s v=" Pandas"/>
    <s v=" Azure"/>
    <s v=" Keras"/>
    <m/>
    <n v="77667.5"/>
    <m/>
    <s v="Mid"/>
    <x v="1"/>
    <s v="Stevenborough"/>
    <s v=" GR"/>
    <n v="52949"/>
    <n v="102386"/>
    <d v="2025-07-14T00:00:00"/>
    <x v="1"/>
    <s v="KDB+"/>
    <s v=" PyTorch"/>
    <s v=" Scikit-learn"/>
    <x v="8"/>
    <n v="84"/>
    <x v="0"/>
    <n v="247"/>
  </r>
  <r>
    <n v="1953"/>
    <s v="Stark-Collins"/>
    <x v="0"/>
    <x v="0"/>
    <s v="SQL"/>
    <s v=" Excel"/>
    <s v=" LangChain"/>
    <s v=" MLflow"/>
    <s v=" Scikit-learn"/>
    <n v="133033"/>
    <s v=" Python"/>
    <s v="Senior"/>
    <x v="1"/>
    <s v="Port Meganshire"/>
    <s v=" MH"/>
    <n v="119299"/>
    <n v="146767"/>
    <d v="2024-10-15T00:00:00"/>
    <x v="0"/>
    <s v="BigQuery"/>
    <s v=" PyTorch"/>
    <m/>
    <x v="17"/>
    <n v="88"/>
    <x v="3"/>
    <n v="238"/>
  </r>
  <r>
    <n v="1954"/>
    <s v="Allen-Sandoval"/>
    <x v="1"/>
    <x v="6"/>
    <s v="NumPy"/>
    <s v=" Hugging Face"/>
    <s v=" R"/>
    <s v=" CUDA"/>
    <s v=" Pandas"/>
    <n v="125130"/>
    <s v=" Reinforcement Learning"/>
    <s v="Entry"/>
    <x v="3"/>
    <s v="Mallorymouth"/>
    <s v=" MY"/>
    <n v="83982"/>
    <n v="166278"/>
    <d v="2025-08-30T00:00:00"/>
    <x v="0"/>
    <s v="FastAPI"/>
    <s v=" Scikit-learn"/>
    <s v=" TensorFlow"/>
    <x v="0"/>
    <n v="104"/>
    <x v="1"/>
    <n v="251"/>
  </r>
  <r>
    <n v="1955"/>
    <s v="Reid-Armstrong"/>
    <x v="5"/>
    <x v="3"/>
    <s v="Python"/>
    <s v=" R"/>
    <s v=" Hugging Face"/>
    <s v=" Scikit-learn"/>
    <s v=" NumPy"/>
    <n v="72501"/>
    <m/>
    <s v="Entry"/>
    <x v="3"/>
    <s v="Williamstad"/>
    <s v=" VE"/>
    <n v="48725"/>
    <n v="96277"/>
    <d v="2023-11-17T00:00:00"/>
    <x v="0"/>
    <s v="FastAPI"/>
    <s v=" LangChain"/>
    <m/>
    <x v="5"/>
    <n v="94"/>
    <x v="1"/>
    <n v="251"/>
  </r>
  <r>
    <n v="1956"/>
    <s v="Jones-Lopez"/>
    <x v="2"/>
    <x v="4"/>
    <s v="Excel"/>
    <s v=" R"/>
    <s v=" GCP"/>
    <m/>
    <m/>
    <n v="193918"/>
    <m/>
    <s v="Mid"/>
    <x v="2"/>
    <s v="Emilyberg"/>
    <s v=" CH"/>
    <n v="149725"/>
    <n v="238111"/>
    <d v="2025-04-24T00:00:00"/>
    <x v="0"/>
    <s v="MLflow"/>
    <s v=" KDB+"/>
    <s v=" LangChain"/>
    <x v="2"/>
    <n v="101"/>
    <x v="6"/>
    <n v="259"/>
  </r>
  <r>
    <n v="1957"/>
    <s v="Bennett Ltd"/>
    <x v="0"/>
    <x v="6"/>
    <s v="LangChain"/>
    <s v=" FastAPI"/>
    <s v=" C++"/>
    <m/>
    <m/>
    <n v="148142.5"/>
    <m/>
    <s v="Senior"/>
    <x v="1"/>
    <s v="East Casey"/>
    <s v=" EE"/>
    <n v="125120"/>
    <n v="171165"/>
    <d v="2025-02-11T00:00:00"/>
    <x v="0"/>
    <s v="FastAPI"/>
    <s v=" TensorFlow"/>
    <s v=" LangChain"/>
    <x v="12"/>
    <n v="100"/>
    <x v="1"/>
    <n v="251"/>
  </r>
  <r>
    <n v="1958"/>
    <s v="Moore-Martin"/>
    <x v="1"/>
    <x v="5"/>
    <s v="PyTorch"/>
    <s v=" Python"/>
    <s v=" Excel"/>
    <m/>
    <m/>
    <n v="113908"/>
    <m/>
    <s v="Entry"/>
    <x v="1"/>
    <s v="Gregorytown"/>
    <s v=" GA"/>
    <n v="92960"/>
    <n v="134856"/>
    <d v="2023-10-22T00:00:00"/>
    <x v="1"/>
    <s v="FastAPI"/>
    <s v=" BigQuery"/>
    <s v=" TensorFlow"/>
    <x v="14"/>
    <n v="92"/>
    <x v="1"/>
    <n v="251"/>
  </r>
  <r>
    <n v="1959"/>
    <s v="Diaz-Reed"/>
    <x v="3"/>
    <x v="7"/>
    <s v="C++"/>
    <s v=" R"/>
    <s v=" NumPy"/>
    <s v=" PyTorch"/>
    <s v=" GCP"/>
    <n v="96142"/>
    <s v=" Hugging Face"/>
    <s v="Mid"/>
    <x v="3"/>
    <s v="South Benjamin"/>
    <s v=" FR"/>
    <n v="84627"/>
    <n v="107657"/>
    <d v="2024-05-02T00:00:00"/>
    <x v="1"/>
    <s v="LangChain"/>
    <m/>
    <m/>
    <x v="8"/>
    <n v="84"/>
    <x v="4"/>
    <n v="268"/>
  </r>
  <r>
    <n v="1960"/>
    <s v="Clark, Olsen and Williams"/>
    <x v="3"/>
    <x v="1"/>
    <s v="Pandas"/>
    <s v=" Azure"/>
    <s v=" Hugging Face"/>
    <s v=" Power BI"/>
    <m/>
    <n v="127691"/>
    <m/>
    <s v="Senior"/>
    <x v="1"/>
    <s v="Lake Janicehaven"/>
    <s v=" BH"/>
    <n v="113567"/>
    <n v="141815"/>
    <d v="2025-03-08T00:00:00"/>
    <x v="1"/>
    <s v="Scikit-learn"/>
    <s v=" TensorFlow"/>
    <s v=" FastAPI"/>
    <x v="6"/>
    <n v="78"/>
    <x v="7"/>
    <n v="255"/>
  </r>
  <r>
    <n v="1961"/>
    <s v="Daniels-Moore"/>
    <x v="4"/>
    <x v="5"/>
    <s v="NumPy"/>
    <s v=" Hugging Face"/>
    <s v=" C++"/>
    <s v=" Power BI"/>
    <s v=" LangChain"/>
    <n v="60277"/>
    <m/>
    <s v="Mid"/>
    <x v="2"/>
    <s v="West Justinfort"/>
    <s v=" AO"/>
    <n v="40402"/>
    <n v="80152"/>
    <d v="2025-04-22T00:00:00"/>
    <x v="0"/>
    <s v="KDB+"/>
    <s v=" FastAPI"/>
    <s v=" TensorFlow"/>
    <x v="0"/>
    <n v="104"/>
    <x v="0"/>
    <n v="247"/>
  </r>
  <r>
    <n v="1962"/>
    <s v="Ramos, Long and Smith"/>
    <x v="4"/>
    <x v="5"/>
    <s v="C++"/>
    <s v=" Python"/>
    <s v=" R"/>
    <m/>
    <m/>
    <n v="171255"/>
    <m/>
    <s v="Senior"/>
    <x v="1"/>
    <s v="West Danielle"/>
    <s v=" LU"/>
    <n v="130661"/>
    <n v="211849"/>
    <d v="2024-11-04T00:00:00"/>
    <x v="1"/>
    <s v="BigQuery"/>
    <m/>
    <m/>
    <x v="8"/>
    <n v="84"/>
    <x v="3"/>
    <n v="238"/>
  </r>
  <r>
    <n v="1963"/>
    <s v="Miller-Vaughan"/>
    <x v="5"/>
    <x v="4"/>
    <s v="FastAPI"/>
    <s v=" Power BI"/>
    <s v=" CUDA"/>
    <s v=" Keras"/>
    <s v=" Hugging Face"/>
    <n v="58072"/>
    <m/>
    <s v="Entry"/>
    <x v="1"/>
    <s v="New Mistyland"/>
    <s v=" SL"/>
    <n v="49531"/>
    <n v="66613"/>
    <d v="2025-07-25T00:00:00"/>
    <x v="1"/>
    <s v="BigQuery"/>
    <m/>
    <m/>
    <x v="20"/>
    <n v="111"/>
    <x v="3"/>
    <n v="238"/>
  </r>
  <r>
    <n v="1964"/>
    <s v="Hines, Stevens and Johnson"/>
    <x v="3"/>
    <x v="4"/>
    <s v="Azure"/>
    <s v=" FastAPI"/>
    <s v=" Excel"/>
    <s v=" Keras"/>
    <s v=" C++"/>
    <n v="155312.5"/>
    <m/>
    <s v="Mid"/>
    <x v="3"/>
    <s v="Gutierrezmouth"/>
    <s v=" UG"/>
    <n v="130480"/>
    <n v="180145"/>
    <d v="2025-09-05T00:00:00"/>
    <x v="0"/>
    <s v="TensorFlow"/>
    <s v=" FastAPI"/>
    <s v=" BigQuery"/>
    <x v="15"/>
    <n v="90"/>
    <x v="2"/>
    <n v="249"/>
  </r>
  <r>
    <n v="1965"/>
    <s v="Williams-Mcdonald"/>
    <x v="2"/>
    <x v="5"/>
    <s v="PyTorch"/>
    <s v=" AWS"/>
    <s v=" Keras"/>
    <s v=" Excel"/>
    <s v=" SQL"/>
    <n v="87717"/>
    <m/>
    <s v="Mid"/>
    <x v="3"/>
    <s v="West Natalieville"/>
    <s v=" GD"/>
    <n v="74440"/>
    <n v="100994"/>
    <d v="2025-02-06T00:00:00"/>
    <x v="1"/>
    <s v="Scikit-learn"/>
    <s v=" FastAPI"/>
    <s v=" PyTorch"/>
    <x v="14"/>
    <n v="92"/>
    <x v="7"/>
    <n v="255"/>
  </r>
  <r>
    <n v="1966"/>
    <s v="Chen Ltd"/>
    <x v="1"/>
    <x v="4"/>
    <s v="Hugging Face"/>
    <s v=" LangChain"/>
    <s v=" Python"/>
    <s v=" FastAPI"/>
    <s v=" CUDA"/>
    <n v="161190.5"/>
    <m/>
    <s v="Senior"/>
    <x v="0"/>
    <s v="East Markville"/>
    <s v=" GM"/>
    <n v="125311"/>
    <n v="197070"/>
    <d v="2025-01-27T00:00:00"/>
    <x v="2"/>
    <s v="KDB+"/>
    <s v=" BigQuery"/>
    <s v=" LangChain"/>
    <x v="9"/>
    <n v="89"/>
    <x v="0"/>
    <n v="247"/>
  </r>
  <r>
    <n v="1967"/>
    <s v="Joseph Ltd"/>
    <x v="3"/>
    <x v="7"/>
    <s v="GCP"/>
    <s v=" Flask"/>
    <s v=" Hugging Face"/>
    <s v=" AWS"/>
    <m/>
    <n v="99494.5"/>
    <m/>
    <s v="Entry"/>
    <x v="2"/>
    <s v="South Christopher"/>
    <s v=" NE"/>
    <n v="69924"/>
    <n v="129065"/>
    <d v="2024-12-13T00:00:00"/>
    <x v="2"/>
    <s v="LangChain"/>
    <m/>
    <m/>
    <x v="4"/>
    <n v="78"/>
    <x v="4"/>
    <n v="268"/>
  </r>
  <r>
    <n v="1968"/>
    <s v="Williams LLC"/>
    <x v="4"/>
    <x v="3"/>
    <s v="FastAPI"/>
    <s v=" Reinforcement Learning"/>
    <s v=" MLflow"/>
    <m/>
    <m/>
    <n v="173089"/>
    <m/>
    <s v="Mid"/>
    <x v="3"/>
    <s v="Wrightburgh"/>
    <s v=" ML"/>
    <n v="143317"/>
    <n v="202861"/>
    <d v="2023-10-23T00:00:00"/>
    <x v="0"/>
    <s v="MLflow"/>
    <s v=" TensorFlow"/>
    <m/>
    <x v="20"/>
    <n v="111"/>
    <x v="6"/>
    <n v="259"/>
  </r>
  <r>
    <n v="1969"/>
    <s v="Jones, Reyes and Watkins"/>
    <x v="5"/>
    <x v="7"/>
    <s v="Reinforcement Learning"/>
    <s v=" Keras"/>
    <s v=" PyTorch"/>
    <s v=" Pandas"/>
    <s v=" C++"/>
    <n v="155058"/>
    <s v=" Hugging Face"/>
    <s v="Mid"/>
    <x v="3"/>
    <s v="Lindashire"/>
    <s v=" SC"/>
    <n v="107946"/>
    <n v="202170"/>
    <d v="2024-06-20T00:00:00"/>
    <x v="0"/>
    <s v="KDB+"/>
    <s v=" Scikit-learn"/>
    <m/>
    <x v="21"/>
    <n v="104"/>
    <x v="0"/>
    <n v="247"/>
  </r>
  <r>
    <n v="1970"/>
    <s v="Rodriguez, Mccoy and Rojas"/>
    <x v="2"/>
    <x v="5"/>
    <s v="C++"/>
    <s v=" LangChain"/>
    <s v=" Azure"/>
    <s v=" Keras"/>
    <m/>
    <n v="112385"/>
    <m/>
    <s v="Mid"/>
    <x v="3"/>
    <s v="Carterport"/>
    <s v=" UG"/>
    <n v="104516"/>
    <n v="120254"/>
    <d v="2024-01-29T00:00:00"/>
    <x v="1"/>
    <s v="MLflow"/>
    <s v=" LangChain"/>
    <s v=" Scikit-learn"/>
    <x v="8"/>
    <n v="84"/>
    <x v="6"/>
    <n v="259"/>
  </r>
  <r>
    <n v="1971"/>
    <s v="Kim, Mitchell and York"/>
    <x v="1"/>
    <x v="3"/>
    <s v="Power BI"/>
    <s v=" CUDA"/>
    <s v=" TensorFlow"/>
    <m/>
    <m/>
    <n v="125098"/>
    <m/>
    <s v="Entry"/>
    <x v="1"/>
    <s v="Lovemouth"/>
    <s v=" VN"/>
    <n v="100209"/>
    <n v="149987"/>
    <d v="2024-08-02T00:00:00"/>
    <x v="0"/>
    <s v="FastAPI"/>
    <m/>
    <m/>
    <x v="18"/>
    <n v="96"/>
    <x v="1"/>
    <n v="251"/>
  </r>
  <r>
    <n v="1972"/>
    <s v="Jackson-Ortiz"/>
    <x v="3"/>
    <x v="0"/>
    <s v="TensorFlow"/>
    <s v=" Excel"/>
    <s v=" Azure"/>
    <s v=" GCP"/>
    <m/>
    <n v="143311"/>
    <m/>
    <s v="Entry"/>
    <x v="1"/>
    <s v="East Randy"/>
    <s v=" BA"/>
    <n v="125179"/>
    <n v="161443"/>
    <d v="2025-05-14T00:00:00"/>
    <x v="2"/>
    <s v="BigQuery"/>
    <s v=" FastAPI"/>
    <m/>
    <x v="19"/>
    <n v="95"/>
    <x v="3"/>
    <n v="238"/>
  </r>
  <r>
    <n v="1973"/>
    <s v="Miller, Russell and Reed"/>
    <x v="3"/>
    <x v="7"/>
    <s v="Hugging Face"/>
    <s v=" LangChain"/>
    <s v=" Excel"/>
    <s v=" NumPy"/>
    <s v=" Power BI"/>
    <n v="115846.5"/>
    <m/>
    <s v="Senior"/>
    <x v="0"/>
    <s v="East Sylviaborough"/>
    <s v=" ML"/>
    <n v="74296"/>
    <n v="157397"/>
    <d v="2025-06-20T00:00:00"/>
    <x v="1"/>
    <s v="BigQuery"/>
    <s v=" FastAPI"/>
    <s v=" LangChain"/>
    <x v="9"/>
    <n v="89"/>
    <x v="3"/>
    <n v="238"/>
  </r>
  <r>
    <n v="1974"/>
    <s v="Mclaughlin-Woodard"/>
    <x v="5"/>
    <x v="3"/>
    <s v="Reinforcement Learning"/>
    <s v=" Flask"/>
    <s v=" Power BI"/>
    <s v=" TensorFlow"/>
    <m/>
    <n v="141709.5"/>
    <m/>
    <s v="Senior"/>
    <x v="2"/>
    <s v="Lake Alexanderfurt"/>
    <s v=" QA"/>
    <n v="98345"/>
    <n v="185074"/>
    <d v="2025-04-01T00:00:00"/>
    <x v="1"/>
    <s v="KDB+"/>
    <s v=" MLflow"/>
    <s v=" PyTorch"/>
    <x v="21"/>
    <n v="104"/>
    <x v="0"/>
    <n v="247"/>
  </r>
  <r>
    <n v="1975"/>
    <s v="Smith, Simon and Bennett"/>
    <x v="1"/>
    <x v="4"/>
    <s v="CUDA"/>
    <s v=" Hugging Face"/>
    <s v=" GCP"/>
    <s v=" Python"/>
    <s v=" AWS"/>
    <n v="133649.5"/>
    <m/>
    <s v="Entry"/>
    <x v="3"/>
    <s v="West Loganburgh"/>
    <s v=" DJ"/>
    <n v="109031"/>
    <n v="158268"/>
    <d v="2025-08-31T00:00:00"/>
    <x v="2"/>
    <s v="FastAPI"/>
    <s v=" LangChain"/>
    <m/>
    <x v="13"/>
    <n v="75"/>
    <x v="1"/>
    <n v="251"/>
  </r>
  <r>
    <n v="1976"/>
    <s v="Horton and Sons"/>
    <x v="3"/>
    <x v="1"/>
    <s v="Scikit-learn"/>
    <s v=" Keras"/>
    <s v=" NumPy"/>
    <s v=" Reinforcement Learning"/>
    <m/>
    <n v="129978.5"/>
    <m/>
    <s v="Senior"/>
    <x v="2"/>
    <s v="Nicholasmouth"/>
    <s v=" BD"/>
    <n v="117323"/>
    <n v="142634"/>
    <d v="2025-04-20T00:00:00"/>
    <x v="0"/>
    <s v="LangChain"/>
    <s v=" PyTorch"/>
    <m/>
    <x v="1"/>
    <n v="76"/>
    <x v="4"/>
    <n v="268"/>
  </r>
  <r>
    <n v="1977"/>
    <s v="Allen-Patterson"/>
    <x v="1"/>
    <x v="0"/>
    <s v="Pandas"/>
    <s v=" PyTorch"/>
    <s v=" CUDA"/>
    <s v=" Power BI"/>
    <s v=" Flask"/>
    <n v="90825.5"/>
    <m/>
    <s v="Mid"/>
    <x v="2"/>
    <s v="East Shelley"/>
    <s v=" DE"/>
    <n v="63685"/>
    <n v="117966"/>
    <d v="2024-03-06T00:00:00"/>
    <x v="2"/>
    <s v="FastAPI"/>
    <s v=" BigQuery"/>
    <s v=" Scikit-learn"/>
    <x v="6"/>
    <n v="78"/>
    <x v="1"/>
    <n v="251"/>
  </r>
  <r>
    <n v="1978"/>
    <s v="Tate-Burnett"/>
    <x v="1"/>
    <x v="0"/>
    <s v="LangChain"/>
    <s v=" Reinforcement Learning"/>
    <s v=" CUDA"/>
    <s v=" Pandas"/>
    <s v=" Excel"/>
    <n v="122518"/>
    <m/>
    <s v="Senior"/>
    <x v="3"/>
    <s v="Harrischester"/>
    <s v=" ER"/>
    <n v="85582"/>
    <n v="159454"/>
    <d v="2024-07-13T00:00:00"/>
    <x v="0"/>
    <s v="TensorFlow"/>
    <m/>
    <m/>
    <x v="12"/>
    <n v="100"/>
    <x v="2"/>
    <n v="249"/>
  </r>
  <r>
    <n v="1979"/>
    <s v="Johnson, Hughes and Smith"/>
    <x v="4"/>
    <x v="2"/>
    <s v="Python"/>
    <s v=" Power BI"/>
    <s v=" MLflow"/>
    <s v=" Hugging Face"/>
    <s v=" FastAPI"/>
    <n v="151538"/>
    <m/>
    <s v="Senior"/>
    <x v="0"/>
    <s v="New Michaelmouth"/>
    <s v=" NP"/>
    <n v="140375"/>
    <n v="162701"/>
    <d v="2024-11-09T00:00:00"/>
    <x v="0"/>
    <s v="TensorFlow"/>
    <s v=" Scikit-learn"/>
    <m/>
    <x v="5"/>
    <n v="94"/>
    <x v="2"/>
    <n v="249"/>
  </r>
  <r>
    <n v="1980"/>
    <s v="Cook-Fowler"/>
    <x v="2"/>
    <x v="2"/>
    <s v="FastAPI"/>
    <s v=" Keras"/>
    <s v=" Flask"/>
    <s v=" AWS"/>
    <s v=" GCP"/>
    <n v="92770.5"/>
    <m/>
    <s v="Mid"/>
    <x v="1"/>
    <s v="Kevinborough"/>
    <s v=" SE"/>
    <n v="72541"/>
    <n v="113000"/>
    <d v="2024-03-18T00:00:00"/>
    <x v="1"/>
    <s v="MLflow"/>
    <s v=" LangChain"/>
    <m/>
    <x v="20"/>
    <n v="111"/>
    <x v="6"/>
    <n v="259"/>
  </r>
  <r>
    <n v="1981"/>
    <s v="Fleming LLC"/>
    <x v="4"/>
    <x v="2"/>
    <s v="R"/>
    <s v=" SQL"/>
    <s v=" Pandas"/>
    <s v=" Python"/>
    <m/>
    <n v="72060"/>
    <m/>
    <s v="Entry"/>
    <x v="2"/>
    <s v="East Michelleborough"/>
    <s v=" ZA"/>
    <n v="62419"/>
    <n v="81701"/>
    <d v="2025-09-11T00:00:00"/>
    <x v="2"/>
    <s v="Scikit-learn"/>
    <s v=" FastAPI"/>
    <s v=" LangChain"/>
    <x v="11"/>
    <n v="86"/>
    <x v="7"/>
    <n v="255"/>
  </r>
  <r>
    <n v="1982"/>
    <s v="Schmidt Inc"/>
    <x v="4"/>
    <x v="6"/>
    <s v="Flask"/>
    <s v=" GCP"/>
    <s v=" Keras"/>
    <s v=" LangChain"/>
    <s v=" PyTorch"/>
    <n v="125750.5"/>
    <m/>
    <s v="Senior"/>
    <x v="3"/>
    <s v="South Craigchester"/>
    <s v=" KG"/>
    <n v="83082"/>
    <n v="168419"/>
    <d v="2024-03-23T00:00:00"/>
    <x v="2"/>
    <s v="Scikit-learn"/>
    <s v=" LangChain"/>
    <m/>
    <x v="16"/>
    <n v="86"/>
    <x v="7"/>
    <n v="255"/>
  </r>
  <r>
    <n v="1983"/>
    <s v="Ramirez-Love"/>
    <x v="2"/>
    <x v="3"/>
    <s v="C++"/>
    <s v=" PyTorch"/>
    <s v=" MLflow"/>
    <s v=" Scikit-learn"/>
    <s v=" TensorFlow"/>
    <n v="113837"/>
    <m/>
    <s v="Mid"/>
    <x v="2"/>
    <s v="Tylerland"/>
    <s v=" GA"/>
    <n v="97924"/>
    <n v="129750"/>
    <d v="2025-09-12T00:00:00"/>
    <x v="2"/>
    <s v="FastAPI"/>
    <m/>
    <m/>
    <x v="8"/>
    <n v="84"/>
    <x v="1"/>
    <n v="251"/>
  </r>
  <r>
    <n v="1984"/>
    <s v="Ball-Kelly"/>
    <x v="5"/>
    <x v="7"/>
    <s v="Keras"/>
    <s v=" Excel"/>
    <s v=" R"/>
    <m/>
    <m/>
    <n v="166592"/>
    <m/>
    <s v="Senior"/>
    <x v="0"/>
    <s v="North Melissashire"/>
    <s v=" LA"/>
    <n v="126658"/>
    <n v="206526"/>
    <d v="2024-08-06T00:00:00"/>
    <x v="2"/>
    <s v="BigQuery"/>
    <s v=" MLflow"/>
    <s v=" FastAPI"/>
    <x v="7"/>
    <n v="96"/>
    <x v="3"/>
    <n v="238"/>
  </r>
  <r>
    <n v="1985"/>
    <s v="Grimes-Moore"/>
    <x v="5"/>
    <x v="0"/>
    <s v="TensorFlow"/>
    <s v=" Excel"/>
    <s v=" LangChain"/>
    <m/>
    <m/>
    <n v="91656.5"/>
    <m/>
    <s v="Mid"/>
    <x v="2"/>
    <s v="Melissamouth"/>
    <s v=" VC"/>
    <n v="46246"/>
    <n v="137067"/>
    <d v="2025-05-02T00:00:00"/>
    <x v="1"/>
    <s v="KDB+"/>
    <s v=" FastAPI"/>
    <s v=" PyTorch"/>
    <x v="19"/>
    <n v="95"/>
    <x v="0"/>
    <n v="247"/>
  </r>
  <r>
    <n v="1986"/>
    <s v="Jackson, Anthony and Woods"/>
    <x v="2"/>
    <x v="0"/>
    <s v="Reinforcement Learning"/>
    <s v=" LangChain"/>
    <s v=" MLflow"/>
    <s v=" Hugging Face"/>
    <s v=" NumPy"/>
    <n v="149266"/>
    <s v=" Python"/>
    <s v="Entry"/>
    <x v="0"/>
    <s v="Danielview"/>
    <s v=" SA"/>
    <n v="138115"/>
    <n v="160417"/>
    <d v="2024-10-30T00:00:00"/>
    <x v="2"/>
    <s v="MLflow"/>
    <m/>
    <m/>
    <x v="21"/>
    <n v="104"/>
    <x v="6"/>
    <n v="259"/>
  </r>
  <r>
    <n v="1987"/>
    <s v="Douglas, Thomas and Smith"/>
    <x v="0"/>
    <x v="5"/>
    <s v="GCP"/>
    <s v=" Power BI"/>
    <s v=" Hugging Face"/>
    <s v=" SQL"/>
    <m/>
    <n v="83509.5"/>
    <m/>
    <s v="Entry"/>
    <x v="2"/>
    <s v="Gailmouth"/>
    <s v=" PK"/>
    <n v="44089"/>
    <n v="122930"/>
    <d v="2024-07-13T00:00:00"/>
    <x v="1"/>
    <s v="BigQuery"/>
    <s v=" MLflow"/>
    <m/>
    <x v="4"/>
    <n v="78"/>
    <x v="3"/>
    <n v="238"/>
  </r>
  <r>
    <n v="1988"/>
    <s v="Solis, Peters and Walsh"/>
    <x v="1"/>
    <x v="3"/>
    <s v="AWS"/>
    <s v=" Azure"/>
    <s v=" Python"/>
    <s v=" R"/>
    <s v=" Scikit-learn"/>
    <n v="121703.5"/>
    <s v=" GCP"/>
    <s v="Senior"/>
    <x v="1"/>
    <s v="Jennifermouth"/>
    <s v=" HR"/>
    <n v="75187"/>
    <n v="168220"/>
    <d v="2024-10-12T00:00:00"/>
    <x v="0"/>
    <s v="BigQuery"/>
    <s v=" TensorFlow"/>
    <s v=" LangChain"/>
    <x v="10"/>
    <n v="97"/>
    <x v="3"/>
    <n v="238"/>
  </r>
  <r>
    <n v="1989"/>
    <s v="Webb-Walls"/>
    <x v="2"/>
    <x v="2"/>
    <s v="NumPy"/>
    <s v=" R"/>
    <s v=" FastAPI"/>
    <s v=" SQL"/>
    <m/>
    <n v="118122"/>
    <m/>
    <s v="Mid"/>
    <x v="3"/>
    <s v="Port Camerontown"/>
    <s v=" BB"/>
    <n v="75937"/>
    <n v="160307"/>
    <d v="2025-02-10T00:00:00"/>
    <x v="0"/>
    <s v="KDB+"/>
    <s v=" TensorFlow"/>
    <m/>
    <x v="0"/>
    <n v="104"/>
    <x v="0"/>
    <n v="247"/>
  </r>
  <r>
    <n v="1990"/>
    <s v="Hall, Barber and Young"/>
    <x v="1"/>
    <x v="5"/>
    <s v="AWS"/>
    <s v=" Azure"/>
    <s v=" C++"/>
    <s v=" LangChain"/>
    <s v=" Python"/>
    <n v="126160"/>
    <s v=" Flask"/>
    <s v="Entry"/>
    <x v="1"/>
    <s v="Williamshaven"/>
    <s v=" NI"/>
    <n v="101664"/>
    <n v="150656"/>
    <d v="2025-01-09T00:00:00"/>
    <x v="2"/>
    <s v="KDB+"/>
    <s v=" BigQuery"/>
    <m/>
    <x v="10"/>
    <n v="97"/>
    <x v="0"/>
    <n v="247"/>
  </r>
  <r>
    <n v="1991"/>
    <s v="Sanchez Group"/>
    <x v="2"/>
    <x v="1"/>
    <s v="C++"/>
    <s v=" Python"/>
    <s v=" Keras"/>
    <s v=" Scikit-learn"/>
    <m/>
    <n v="165924"/>
    <m/>
    <s v="Entry"/>
    <x v="0"/>
    <s v="Brownton"/>
    <s v=" LB"/>
    <n v="129971"/>
    <n v="201877"/>
    <d v="2024-12-12T00:00:00"/>
    <x v="2"/>
    <s v="FastAPI"/>
    <s v=" PyTorch"/>
    <m/>
    <x v="8"/>
    <n v="84"/>
    <x v="1"/>
    <n v="251"/>
  </r>
  <r>
    <n v="1992"/>
    <s v="Wood-Salas"/>
    <x v="2"/>
    <x v="4"/>
    <s v="Python"/>
    <s v=" C++"/>
    <s v=" Azure"/>
    <s v=" MLflow"/>
    <s v=" Excel"/>
    <n v="114291"/>
    <s v=" CUDA"/>
    <s v="Entry"/>
    <x v="2"/>
    <s v="East Brianborough"/>
    <s v=" IL"/>
    <n v="77772"/>
    <n v="150810"/>
    <d v="2024-02-14T00:00:00"/>
    <x v="2"/>
    <s v="MLflow"/>
    <s v=" FastAPI"/>
    <m/>
    <x v="5"/>
    <n v="94"/>
    <x v="6"/>
    <n v="259"/>
  </r>
  <r>
    <n v="1993"/>
    <s v="Young and Sons"/>
    <x v="5"/>
    <x v="1"/>
    <s v="CUDA"/>
    <s v=" TensorFlow"/>
    <s v=" Scikit-learn"/>
    <s v=" PyTorch"/>
    <m/>
    <n v="54933.5"/>
    <m/>
    <s v="Mid"/>
    <x v="2"/>
    <s v="Lesliefort"/>
    <s v=" ZW"/>
    <n v="43959"/>
    <n v="65908"/>
    <d v="2025-02-28T00:00:00"/>
    <x v="2"/>
    <s v="MLflow"/>
    <s v=" PyTorch"/>
    <m/>
    <x v="13"/>
    <n v="75"/>
    <x v="6"/>
    <n v="259"/>
  </r>
  <r>
    <n v="1994"/>
    <s v="Moran-Brown"/>
    <x v="1"/>
    <x v="6"/>
    <s v="Azure"/>
    <s v=" C++"/>
    <s v=" Keras"/>
    <m/>
    <m/>
    <n v="191729"/>
    <m/>
    <s v="Senior"/>
    <x v="1"/>
    <s v="Brownburgh"/>
    <s v=" WS"/>
    <n v="149301"/>
    <n v="234157"/>
    <d v="2025-01-08T00:00:00"/>
    <x v="1"/>
    <s v="LangChain"/>
    <m/>
    <m/>
    <x v="15"/>
    <n v="90"/>
    <x v="4"/>
    <n v="268"/>
  </r>
  <r>
    <n v="1995"/>
    <s v="Williams-Curtis"/>
    <x v="3"/>
    <x v="7"/>
    <s v="Scikit-learn"/>
    <s v=" Azure"/>
    <s v=" FastAPI"/>
    <s v=" C++"/>
    <m/>
    <n v="107884"/>
    <m/>
    <s v="Mid"/>
    <x v="0"/>
    <s v="Melissaside"/>
    <s v=" ZA"/>
    <n v="63305"/>
    <n v="152463"/>
    <d v="2025-01-30T00:00:00"/>
    <x v="2"/>
    <s v="MLflow"/>
    <s v=" LangChain"/>
    <m/>
    <x v="1"/>
    <n v="76"/>
    <x v="6"/>
    <n v="259"/>
  </r>
  <r>
    <n v="1996"/>
    <s v="Mueller, Ellis and Clark"/>
    <x v="2"/>
    <x v="6"/>
    <s v="Flask"/>
    <s v=" FastAPI"/>
    <s v=" Power BI"/>
    <m/>
    <m/>
    <n v="100254"/>
    <m/>
    <s v="Senior"/>
    <x v="1"/>
    <s v="Washingtonmouth"/>
    <s v=" SD"/>
    <n v="90382"/>
    <n v="110126"/>
    <d v="2024-04-22T00:00:00"/>
    <x v="0"/>
    <s v="MLflow"/>
    <m/>
    <m/>
    <x v="16"/>
    <n v="86"/>
    <x v="6"/>
    <n v="259"/>
  </r>
  <r>
    <n v="1997"/>
    <s v="Roberts-Yu"/>
    <x v="5"/>
    <x v="2"/>
    <s v="R"/>
    <s v=" Flask"/>
    <s v=" Excel"/>
    <s v=" C++"/>
    <s v=" CUDA"/>
    <n v="92521.5"/>
    <s v=" Scikit-learn"/>
    <s v="Mid"/>
    <x v="3"/>
    <s v="Joshuafort"/>
    <s v=" ZA"/>
    <n v="47848"/>
    <n v="137195"/>
    <d v="2023-12-02T00:00:00"/>
    <x v="0"/>
    <s v="KDB+"/>
    <s v=" LangChain"/>
    <s v=" MLflow"/>
    <x v="11"/>
    <n v="86"/>
    <x v="0"/>
    <n v="247"/>
  </r>
  <r>
    <n v="1998"/>
    <s v="Brooks, Williams and Randolph"/>
    <x v="3"/>
    <x v="0"/>
    <s v="Hugging Face"/>
    <s v=" Excel"/>
    <s v=" Scikit-learn"/>
    <s v=" R"/>
    <s v=" MLflow"/>
    <n v="157551"/>
    <m/>
    <s v="Entry"/>
    <x v="2"/>
    <s v="West Brittanyburgh"/>
    <s v=" CG"/>
    <n v="134994"/>
    <n v="180108"/>
    <d v="2023-10-29T00:00:00"/>
    <x v="0"/>
    <s v="PyTorch"/>
    <m/>
    <m/>
    <x v="9"/>
    <n v="89"/>
    <x v="5"/>
    <n v="233"/>
  </r>
  <r>
    <n v="1999"/>
    <s v="Castaneda-Smith"/>
    <x v="3"/>
    <x v="4"/>
    <s v="AWS"/>
    <s v=" Python"/>
    <s v=" Scikit-learn"/>
    <m/>
    <m/>
    <n v="72463.5"/>
    <m/>
    <s v="Senior"/>
    <x v="2"/>
    <s v="Anthonyshire"/>
    <s v=" OM"/>
    <n v="62388"/>
    <n v="82539"/>
    <d v="2024-08-10T00:00:00"/>
    <x v="0"/>
    <s v="MLflow"/>
    <s v=" TensorFlow"/>
    <s v=" FastAPI"/>
    <x v="10"/>
    <n v="97"/>
    <x v="6"/>
    <n v="259"/>
  </r>
  <r>
    <n v="2000"/>
    <s v="Estes Group"/>
    <x v="2"/>
    <x v="4"/>
    <s v="Flask"/>
    <s v=" TensorFlow"/>
    <s v=" Power BI"/>
    <m/>
    <m/>
    <n v="76604.5"/>
    <m/>
    <s v="Senior"/>
    <x v="0"/>
    <s v="Benjaminview"/>
    <s v=" NE"/>
    <n v="55835"/>
    <n v="97374"/>
    <d v="2025-02-20T00:00:00"/>
    <x v="2"/>
    <s v="MLflow"/>
    <m/>
    <m/>
    <x v="16"/>
    <n v="86"/>
    <x v="6"/>
    <n v="25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s v="FastAPI"/>
    <n v="111"/>
  </r>
  <r>
    <s v="NumPy"/>
    <n v="104"/>
  </r>
  <r>
    <s v="Reinforcement Learning"/>
    <n v="104"/>
  </r>
  <r>
    <s v="Excel"/>
    <n v="101"/>
  </r>
  <r>
    <s v="LangChain"/>
    <n v="100"/>
  </r>
  <r>
    <s v="AWS"/>
    <n v="97"/>
  </r>
  <r>
    <s v="Keras"/>
    <n v="96"/>
  </r>
  <r>
    <s v="Power BI"/>
    <n v="96"/>
  </r>
  <r>
    <s v="TensorFlow"/>
    <n v="95"/>
  </r>
  <r>
    <s v="Python"/>
    <n v="94"/>
  </r>
  <r>
    <s v="PyTorch"/>
    <n v="92"/>
  </r>
  <r>
    <s v="Azure"/>
    <n v="90"/>
  </r>
  <r>
    <s v="Hugging Face"/>
    <n v="89"/>
  </r>
  <r>
    <s v="SQL"/>
    <n v="88"/>
  </r>
  <r>
    <s v="R"/>
    <n v="86"/>
  </r>
  <r>
    <s v="Flask"/>
    <n v="86"/>
  </r>
  <r>
    <s v="C++"/>
    <n v="84"/>
  </r>
  <r>
    <s v="MLflow"/>
    <n v="80"/>
  </r>
  <r>
    <s v="GCP"/>
    <n v="78"/>
  </r>
  <r>
    <s v="Pandas"/>
    <n v="78"/>
  </r>
  <r>
    <s v="Scikit-learn"/>
    <n v="76"/>
  </r>
  <r>
    <s v="CUDA"/>
    <n v="7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247"/>
  </r>
  <r>
    <x v="1"/>
    <n v="251"/>
  </r>
  <r>
    <x v="2"/>
    <n v="238"/>
  </r>
  <r>
    <x v="3"/>
    <n v="249"/>
  </r>
  <r>
    <x v="4"/>
    <n v="233"/>
  </r>
  <r>
    <x v="5"/>
    <n v="255"/>
  </r>
  <r>
    <x v="6"/>
    <n v="259"/>
  </r>
  <r>
    <x v="7"/>
    <n v="268"/>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n v="126160"/>
    <s v="AWS, Azure, C++, LangChain, Python, Flask"/>
    <s v="KDB+, BigQuery"/>
    <x v="0"/>
  </r>
  <r>
    <x v="1"/>
    <x v="1"/>
    <x v="1"/>
    <x v="0"/>
    <n v="186495"/>
    <s v="AWS, Azure, C++, NumPy"/>
    <s v="Scikit-learn, BigQuery, LangChain"/>
    <x v="0"/>
  </r>
  <r>
    <x v="2"/>
    <x v="1"/>
    <x v="1"/>
    <x v="1"/>
    <n v="73378.5"/>
    <s v="AWS, Azure, Flask, Reinforcement Learning, TensorFlow, Excel"/>
    <s v="FastAPI, KDB+, TensorFlow"/>
    <x v="0"/>
  </r>
  <r>
    <x v="3"/>
    <x v="0"/>
    <x v="1"/>
    <x v="2"/>
    <n v="130295"/>
    <s v="AWS, Azure, Power BI, CUDA, Reinforcement Learning, Hugging Face"/>
    <s v="BigQuery, FastAPI, KDB+"/>
    <x v="1"/>
  </r>
  <r>
    <x v="0"/>
    <x v="1"/>
    <x v="1"/>
    <x v="0"/>
    <n v="121703.5"/>
    <s v="AWS, Azure, Python, R, Scikit-learn, GCP"/>
    <s v="BigQuery, TensorFlow, LangChain"/>
    <x v="2"/>
  </r>
  <r>
    <x v="1"/>
    <x v="2"/>
    <x v="0"/>
    <x v="0"/>
    <n v="150052.5"/>
    <s v="AWS, Azure, R"/>
    <s v="KDB+, FastAPI"/>
    <x v="0"/>
  </r>
  <r>
    <x v="4"/>
    <x v="1"/>
    <x v="1"/>
    <x v="1"/>
    <n v="97847"/>
    <s v="AWS, Azure, Reinforcement Learning, NumPy"/>
    <s v="LangChain"/>
    <x v="0"/>
  </r>
  <r>
    <x v="4"/>
    <x v="3"/>
    <x v="1"/>
    <x v="0"/>
    <n v="125483.5"/>
    <s v="AWS, C++, Hugging Face, Azure, TensorFlow, MLflow"/>
    <s v="KDB+, BigQuery"/>
    <x v="0"/>
  </r>
  <r>
    <x v="3"/>
    <x v="2"/>
    <x v="0"/>
    <x v="3"/>
    <n v="165886"/>
    <s v="AWS, C++, MLflow"/>
    <s v="MLflow"/>
    <x v="2"/>
  </r>
  <r>
    <x v="5"/>
    <x v="4"/>
    <x v="2"/>
    <x v="1"/>
    <n v="173019.5"/>
    <s v="AWS, CUDA, GCP, Flask, FastAPI, NumPy"/>
    <s v="FastAPI, Scikit-learn"/>
    <x v="0"/>
  </r>
  <r>
    <x v="2"/>
    <x v="5"/>
    <x v="2"/>
    <x v="0"/>
    <n v="169804"/>
    <s v="AWS, CUDA, GCP, Scikit-learn, Azure"/>
    <s v="Scikit-learn, KDB+"/>
    <x v="2"/>
  </r>
  <r>
    <x v="1"/>
    <x v="0"/>
    <x v="1"/>
    <x v="0"/>
    <n v="63829.5"/>
    <s v="AWS, CUDA, MLflow, Python"/>
    <s v="KDB+, PyTorch, FastAPI"/>
    <x v="1"/>
  </r>
  <r>
    <x v="1"/>
    <x v="3"/>
    <x v="0"/>
    <x v="0"/>
    <n v="89922.5"/>
    <s v="AWS, Excel, Azure"/>
    <s v="LangChain, Scikit-learn, PyTorch"/>
    <x v="1"/>
  </r>
  <r>
    <x v="3"/>
    <x v="1"/>
    <x v="2"/>
    <x v="3"/>
    <n v="152448"/>
    <s v="AWS, Excel, C++, Keras"/>
    <s v="Scikit-learn"/>
    <x v="1"/>
  </r>
  <r>
    <x v="4"/>
    <x v="6"/>
    <x v="1"/>
    <x v="0"/>
    <n v="112513.5"/>
    <s v="AWS, Excel, Flask, PyTorch"/>
    <s v="LangChain, FastAPI"/>
    <x v="2"/>
  </r>
  <r>
    <x v="0"/>
    <x v="2"/>
    <x v="1"/>
    <x v="3"/>
    <n v="70060"/>
    <s v="AWS, Excel, Keras, Hugging Face, Azure, Reinforcement Learning"/>
    <s v="BigQuery, PyTorch"/>
    <x v="2"/>
  </r>
  <r>
    <x v="5"/>
    <x v="3"/>
    <x v="1"/>
    <x v="2"/>
    <n v="134659.5"/>
    <s v="AWS, Excel, Keras, Power BI, CUDA, Flask"/>
    <s v="BigQuery, MLflow"/>
    <x v="0"/>
  </r>
  <r>
    <x v="1"/>
    <x v="7"/>
    <x v="1"/>
    <x v="1"/>
    <n v="67704"/>
    <s v="AWS, Excel, Keras, Scikit-learn"/>
    <s v="TensorFlow"/>
    <x v="1"/>
  </r>
  <r>
    <x v="5"/>
    <x v="3"/>
    <x v="0"/>
    <x v="0"/>
    <n v="141099.5"/>
    <s v="AWS, Excel, NumPy, Flask, TensorFlow, Keras"/>
    <s v="Scikit-learn, BigQuery"/>
    <x v="0"/>
  </r>
  <r>
    <x v="5"/>
    <x v="0"/>
    <x v="1"/>
    <x v="3"/>
    <n v="82701.5"/>
    <s v="AWS, Excel, PyTorch, R, Pandas"/>
    <s v="LangChain"/>
    <x v="2"/>
  </r>
  <r>
    <x v="4"/>
    <x v="5"/>
    <x v="0"/>
    <x v="0"/>
    <n v="90786"/>
    <s v="AWS, Excel, R"/>
    <s v="MLflow"/>
    <x v="1"/>
  </r>
  <r>
    <x v="0"/>
    <x v="1"/>
    <x v="1"/>
    <x v="3"/>
    <n v="114475.5"/>
    <s v="AWS, Excel, SQL, Scikit-learn"/>
    <s v="Scikit-learn, KDB+, PyTorch"/>
    <x v="0"/>
  </r>
  <r>
    <x v="5"/>
    <x v="6"/>
    <x v="0"/>
    <x v="1"/>
    <n v="132648"/>
    <s v="AWS, Excel, TensorFlow, Scikit-learn, Hugging Face"/>
    <s v="LangChain, PyTorch, MLflow"/>
    <x v="1"/>
  </r>
  <r>
    <x v="5"/>
    <x v="1"/>
    <x v="2"/>
    <x v="1"/>
    <n v="91510.5"/>
    <s v="AWS, FastAPI, Keras"/>
    <s v="TensorFlow, MLflow"/>
    <x v="1"/>
  </r>
  <r>
    <x v="6"/>
    <x v="6"/>
    <x v="2"/>
    <x v="2"/>
    <n v="149923"/>
    <s v="AWS, FastAPI, MLflow"/>
    <s v="MLflow"/>
    <x v="2"/>
  </r>
  <r>
    <x v="2"/>
    <x v="3"/>
    <x v="1"/>
    <x v="3"/>
    <n v="118949"/>
    <s v="AWS, FastAPI, R, C++, Python, Reinforcement Learning"/>
    <s v="LangChain, MLflow"/>
    <x v="1"/>
  </r>
  <r>
    <x v="4"/>
    <x v="7"/>
    <x v="1"/>
    <x v="1"/>
    <n v="134423"/>
    <s v="AWS, Flask, C++, GCP, Hugging Face"/>
    <s v="FastAPI, TensorFlow"/>
    <x v="0"/>
  </r>
  <r>
    <x v="5"/>
    <x v="0"/>
    <x v="1"/>
    <x v="0"/>
    <n v="166578.5"/>
    <s v="AWS, Flask, Keras, Hugging Face, NumPy, Scikit-learn"/>
    <s v="LangChain"/>
    <x v="2"/>
  </r>
  <r>
    <x v="2"/>
    <x v="4"/>
    <x v="1"/>
    <x v="2"/>
    <n v="174940"/>
    <s v="AWS, Flask, MLflow, FastAPI, Azure"/>
    <s v="LangChain, KDB+"/>
    <x v="2"/>
  </r>
  <r>
    <x v="0"/>
    <x v="5"/>
    <x v="1"/>
    <x v="1"/>
    <n v="173848"/>
    <s v="AWS, Flask, NumPy"/>
    <s v="Scikit-learn"/>
    <x v="1"/>
  </r>
  <r>
    <x v="0"/>
    <x v="0"/>
    <x v="1"/>
    <x v="0"/>
    <n v="184544"/>
    <s v="AWS, Flask, Reinforcement Learning, LangChain, R"/>
    <s v="FastAPI, TensorFlow, MLflow"/>
    <x v="1"/>
  </r>
  <r>
    <x v="5"/>
    <x v="1"/>
    <x v="1"/>
    <x v="2"/>
    <n v="167681.5"/>
    <s v="AWS, Flask, Reinforcement Learning, Scikit-learn, Excel"/>
    <s v="MLflow, Scikit-learn, BigQuery"/>
    <x v="0"/>
  </r>
  <r>
    <x v="4"/>
    <x v="5"/>
    <x v="0"/>
    <x v="1"/>
    <n v="148416"/>
    <s v="AWS, Flask, SQL, Keras, Excel"/>
    <s v="MLflow, PyTorch"/>
    <x v="0"/>
  </r>
  <r>
    <x v="6"/>
    <x v="2"/>
    <x v="0"/>
    <x v="2"/>
    <n v="127050"/>
    <s v="AWS, GCP, Azure"/>
    <s v="TensorFlow, MLflow, LangChain"/>
    <x v="2"/>
  </r>
  <r>
    <x v="2"/>
    <x v="4"/>
    <x v="2"/>
    <x v="0"/>
    <n v="101060"/>
    <s v="AWS, GCP, Azure, Scikit-learn, Python"/>
    <s v="FastAPI, TensorFlow"/>
    <x v="1"/>
  </r>
  <r>
    <x v="3"/>
    <x v="6"/>
    <x v="1"/>
    <x v="3"/>
    <n v="179130.5"/>
    <s v="AWS, GCP, CUDA, MLflow"/>
    <s v="LangChain, KDB+, FastAPI"/>
    <x v="0"/>
  </r>
  <r>
    <x v="2"/>
    <x v="4"/>
    <x v="0"/>
    <x v="3"/>
    <n v="88346"/>
    <s v="AWS, GCP, Keras, SQL, Pandas, Python"/>
    <s v="PyTorch, Scikit-learn"/>
    <x v="2"/>
  </r>
  <r>
    <x v="3"/>
    <x v="2"/>
    <x v="0"/>
    <x v="0"/>
    <n v="52736"/>
    <s v="AWS, GCP, Python, MLflow, Scikit-learn, Power BI"/>
    <s v="KDB+, FastAPI, BigQuery"/>
    <x v="2"/>
  </r>
  <r>
    <x v="5"/>
    <x v="0"/>
    <x v="0"/>
    <x v="3"/>
    <n v="89640"/>
    <s v="AWS, GCP, PyTorch, Keras, TensorFlow"/>
    <s v="Scikit-learn, MLflow, KDB+"/>
    <x v="0"/>
  </r>
  <r>
    <x v="2"/>
    <x v="7"/>
    <x v="1"/>
    <x v="1"/>
    <n v="161282"/>
    <s v="AWS, GCP, R, Power BI"/>
    <s v="BigQuery, Scikit-learn"/>
    <x v="0"/>
  </r>
  <r>
    <x v="2"/>
    <x v="1"/>
    <x v="0"/>
    <x v="3"/>
    <n v="122222.5"/>
    <s v="AWS, GCP, Reinforcement Learning, Pandas, C++, NumPy"/>
    <s v="LangChain"/>
    <x v="1"/>
  </r>
  <r>
    <x v="1"/>
    <x v="1"/>
    <x v="2"/>
    <x v="1"/>
    <n v="138258"/>
    <s v="AWS, Hugging Face, Flask, CUDA"/>
    <s v="BigQuery"/>
    <x v="2"/>
  </r>
  <r>
    <x v="5"/>
    <x v="5"/>
    <x v="2"/>
    <x v="0"/>
    <n v="145066.5"/>
    <s v="AWS, Hugging Face, GCP, Power BI, Keras"/>
    <s v="TensorFlow, PyTorch, FastAPI"/>
    <x v="2"/>
  </r>
  <r>
    <x v="2"/>
    <x v="6"/>
    <x v="0"/>
    <x v="0"/>
    <n v="123097"/>
    <s v="AWS, Hugging Face, MLflow, Excel, C++"/>
    <s v="BigQuery, PyTorch, Scikit-learn"/>
    <x v="2"/>
  </r>
  <r>
    <x v="6"/>
    <x v="2"/>
    <x v="0"/>
    <x v="0"/>
    <n v="123539.5"/>
    <s v="AWS, Hugging Face, Python, Reinforcement Learning, Scikit-learn, LangChain"/>
    <s v="BigQuery"/>
    <x v="2"/>
  </r>
  <r>
    <x v="3"/>
    <x v="4"/>
    <x v="0"/>
    <x v="2"/>
    <n v="158002"/>
    <s v="AWS, Keras, FastAPI"/>
    <s v="LangChain"/>
    <x v="2"/>
  </r>
  <r>
    <x v="6"/>
    <x v="7"/>
    <x v="1"/>
    <x v="3"/>
    <n v="92565.5"/>
    <s v="AWS, Keras, Flask, R, PyTorch, Python"/>
    <s v="PyTorch, FastAPI"/>
    <x v="1"/>
  </r>
  <r>
    <x v="0"/>
    <x v="6"/>
    <x v="2"/>
    <x v="0"/>
    <n v="143040"/>
    <s v="AWS, Keras, GCP, SQL"/>
    <s v="LangChain"/>
    <x v="0"/>
  </r>
  <r>
    <x v="2"/>
    <x v="7"/>
    <x v="0"/>
    <x v="3"/>
    <n v="172099"/>
    <s v="AWS, LangChain, FastAPI, C++, Python, CUDA"/>
    <s v="PyTorch, TensorFlow, LangChain"/>
    <x v="0"/>
  </r>
  <r>
    <x v="5"/>
    <x v="1"/>
    <x v="0"/>
    <x v="2"/>
    <n v="124594.5"/>
    <s v="AWS, LangChain, Hugging Face, Pandas"/>
    <s v="LangChain"/>
    <x v="2"/>
  </r>
  <r>
    <x v="1"/>
    <x v="5"/>
    <x v="2"/>
    <x v="3"/>
    <n v="82588"/>
    <s v="AWS, LangChain, Python, PyTorch, R"/>
    <s v="Scikit-learn, BigQuery"/>
    <x v="0"/>
  </r>
  <r>
    <x v="5"/>
    <x v="7"/>
    <x v="1"/>
    <x v="3"/>
    <n v="70297.5"/>
    <s v="AWS, MLflow, CUDA, FastAPI, Keras, Reinforcement Learning"/>
    <s v="PyTorch, KDB+"/>
    <x v="2"/>
  </r>
  <r>
    <x v="4"/>
    <x v="0"/>
    <x v="2"/>
    <x v="1"/>
    <n v="115116.5"/>
    <s v="AWS, MLflow, Hugging Face, Flask"/>
    <s v="BigQuery"/>
    <x v="1"/>
  </r>
  <r>
    <x v="1"/>
    <x v="3"/>
    <x v="2"/>
    <x v="0"/>
    <n v="159274.5"/>
    <s v="AWS, MLflow, PyTorch"/>
    <s v="LangChain, BigQuery, TensorFlow"/>
    <x v="2"/>
  </r>
  <r>
    <x v="4"/>
    <x v="2"/>
    <x v="0"/>
    <x v="2"/>
    <n v="155414.5"/>
    <s v="AWS, MLflow, Reinforcement Learning, FastAPI, Python"/>
    <s v="PyTorch, MLflow, KDB+"/>
    <x v="1"/>
  </r>
  <r>
    <x v="4"/>
    <x v="2"/>
    <x v="2"/>
    <x v="3"/>
    <n v="132422.5"/>
    <s v="AWS, NumPy, CUDA, Azure, SQL, Hugging Face"/>
    <s v="TensorFlow, FastAPI"/>
    <x v="1"/>
  </r>
  <r>
    <x v="4"/>
    <x v="7"/>
    <x v="0"/>
    <x v="3"/>
    <n v="126715.5"/>
    <s v="AWS, NumPy, CUDA, Scikit-learn"/>
    <s v="PyTorch, BigQuery"/>
    <x v="1"/>
  </r>
  <r>
    <x v="1"/>
    <x v="1"/>
    <x v="2"/>
    <x v="0"/>
    <n v="127838.5"/>
    <s v="AWS, NumPy, Excel, CUDA"/>
    <s v="MLflow, KDB+, Scikit-learn"/>
    <x v="0"/>
  </r>
  <r>
    <x v="2"/>
    <x v="5"/>
    <x v="1"/>
    <x v="2"/>
    <n v="147662"/>
    <s v="AWS, NumPy, LangChain, Scikit-learn, FastAPI"/>
    <s v="TensorFlow, Scikit-learn, PyTorch"/>
    <x v="1"/>
  </r>
  <r>
    <x v="3"/>
    <x v="5"/>
    <x v="1"/>
    <x v="3"/>
    <n v="108481"/>
    <s v="AWS, NumPy, TensorFlow, Hugging Face, CUDA, Power BI"/>
    <s v="PyTorch, FastAPI, Scikit-learn"/>
    <x v="1"/>
  </r>
  <r>
    <x v="3"/>
    <x v="4"/>
    <x v="2"/>
    <x v="3"/>
    <n v="182144.5"/>
    <s v="AWS, Pandas, FastAPI, R"/>
    <s v="KDB+, LangChain, Scikit-learn"/>
    <x v="2"/>
  </r>
  <r>
    <x v="4"/>
    <x v="4"/>
    <x v="0"/>
    <x v="1"/>
    <n v="85621.5"/>
    <s v="AWS, Pandas, NumPy, LangChain, GCP, Flask"/>
    <s v="Scikit-learn, TensorFlow"/>
    <x v="2"/>
  </r>
  <r>
    <x v="1"/>
    <x v="7"/>
    <x v="0"/>
    <x v="1"/>
    <n v="103433.5"/>
    <s v="AWS, Power BI, FastAPI"/>
    <s v="MLflow, BigQuery"/>
    <x v="1"/>
  </r>
  <r>
    <x v="6"/>
    <x v="2"/>
    <x v="1"/>
    <x v="2"/>
    <n v="98847"/>
    <s v="AWS, Power BI, GCP, NumPy, Flask"/>
    <s v="LangChain, FastAPI"/>
    <x v="1"/>
  </r>
  <r>
    <x v="6"/>
    <x v="0"/>
    <x v="1"/>
    <x v="3"/>
    <n v="100543.5"/>
    <s v="AWS, Power BI, MLflow, C++"/>
    <s v="MLflow"/>
    <x v="1"/>
  </r>
  <r>
    <x v="4"/>
    <x v="4"/>
    <x v="0"/>
    <x v="0"/>
    <n v="103429.5"/>
    <s v="AWS, Power BI, MLflow, Python, GCP"/>
    <s v="MLflow, LangChain, BigQuery"/>
    <x v="2"/>
  </r>
  <r>
    <x v="1"/>
    <x v="2"/>
    <x v="2"/>
    <x v="3"/>
    <n v="128952"/>
    <s v="AWS, Power BI, Pandas, TensorFlow"/>
    <s v="MLflow, BigQuery, FastAPI"/>
    <x v="2"/>
  </r>
  <r>
    <x v="5"/>
    <x v="0"/>
    <x v="1"/>
    <x v="0"/>
    <n v="80437.5"/>
    <s v="AWS, Power BI, R, NumPy, Scikit-learn, LangChain"/>
    <s v="KDB+, FastAPI, LangChain"/>
    <x v="0"/>
  </r>
  <r>
    <x v="5"/>
    <x v="6"/>
    <x v="2"/>
    <x v="2"/>
    <n v="135905.5"/>
    <s v="AWS, Power BI, TensorFlow, SQL"/>
    <s v="LangChain, KDB+, PyTorch"/>
    <x v="1"/>
  </r>
  <r>
    <x v="6"/>
    <x v="6"/>
    <x v="0"/>
    <x v="0"/>
    <n v="153083.5"/>
    <s v="AWS, Python, Flask, Pandas, Azure, LangChain"/>
    <s v="Scikit-learn"/>
    <x v="0"/>
  </r>
  <r>
    <x v="0"/>
    <x v="4"/>
    <x v="1"/>
    <x v="2"/>
    <n v="152503.5"/>
    <s v="AWS, Python, GCP, R, C++, FastAPI"/>
    <s v="Scikit-learn, TensorFlow"/>
    <x v="0"/>
  </r>
  <r>
    <x v="0"/>
    <x v="5"/>
    <x v="0"/>
    <x v="1"/>
    <n v="120750"/>
    <s v="AWS, Python, MLflow, Scikit-learn, Keras, Power BI"/>
    <s v="TensorFlow"/>
    <x v="0"/>
  </r>
  <r>
    <x v="1"/>
    <x v="4"/>
    <x v="1"/>
    <x v="1"/>
    <n v="72463.5"/>
    <s v="AWS, Python, Scikit-learn"/>
    <s v="MLflow, TensorFlow, FastAPI"/>
    <x v="2"/>
  </r>
  <r>
    <x v="4"/>
    <x v="3"/>
    <x v="1"/>
    <x v="3"/>
    <n v="117426.5"/>
    <s v="AWS, PyTorch, C++, FastAPI"/>
    <s v="FastAPI, LangChain, MLflow"/>
    <x v="2"/>
  </r>
  <r>
    <x v="6"/>
    <x v="1"/>
    <x v="1"/>
    <x v="2"/>
    <n v="144286.5"/>
    <s v="AWS, PyTorch, Scikit-learn"/>
    <s v="Scikit-learn"/>
    <x v="0"/>
  </r>
  <r>
    <x v="6"/>
    <x v="6"/>
    <x v="1"/>
    <x v="2"/>
    <n v="191996.5"/>
    <s v="AWS, R, FastAPI"/>
    <s v="MLflow, LangChain"/>
    <x v="0"/>
  </r>
  <r>
    <x v="0"/>
    <x v="0"/>
    <x v="2"/>
    <x v="2"/>
    <n v="153008"/>
    <s v="AWS, R, FastAPI, Python, MLflow"/>
    <s v="TensorFlow"/>
    <x v="1"/>
  </r>
  <r>
    <x v="0"/>
    <x v="2"/>
    <x v="2"/>
    <x v="0"/>
    <n v="131979.5"/>
    <s v="AWS, R, Pandas, Power BI, SQL, Scikit-learn"/>
    <s v="KDB+, LangChain"/>
    <x v="1"/>
  </r>
  <r>
    <x v="5"/>
    <x v="3"/>
    <x v="2"/>
    <x v="2"/>
    <n v="182573.5"/>
    <s v="AWS, Reinforcement Learning, Azure, Python, TensorFlow"/>
    <s v="Scikit-learn, LangChain, BigQuery"/>
    <x v="1"/>
  </r>
  <r>
    <x v="6"/>
    <x v="4"/>
    <x v="1"/>
    <x v="2"/>
    <n v="101626"/>
    <s v="AWS, Reinforcement Learning, TensorFlow, FastAPI, SQL, Power BI"/>
    <s v="LangChain, PyTorch, BigQuery"/>
    <x v="0"/>
  </r>
  <r>
    <x v="2"/>
    <x v="1"/>
    <x v="2"/>
    <x v="0"/>
    <n v="152612.5"/>
    <s v="AWS, Scikit-learn, Azure, Python, TensorFlow, LangChain"/>
    <s v="PyTorch"/>
    <x v="2"/>
  </r>
  <r>
    <x v="3"/>
    <x v="5"/>
    <x v="0"/>
    <x v="1"/>
    <n v="96217.5"/>
    <s v="AWS, Scikit-learn, Keras, PyTorch, LangChain"/>
    <s v="KDB+, FastAPI"/>
    <x v="2"/>
  </r>
  <r>
    <x v="6"/>
    <x v="0"/>
    <x v="1"/>
    <x v="1"/>
    <n v="131966.5"/>
    <s v="AWS, Scikit-learn, TensorFlow, CUDA"/>
    <s v="TensorFlow"/>
    <x v="1"/>
  </r>
  <r>
    <x v="1"/>
    <x v="4"/>
    <x v="1"/>
    <x v="3"/>
    <n v="167854.5"/>
    <s v="AWS, Scikit-learn, TensorFlow, FastAPI, Power BI, Azure"/>
    <s v="PyTorch"/>
    <x v="1"/>
  </r>
  <r>
    <x v="4"/>
    <x v="0"/>
    <x v="2"/>
    <x v="1"/>
    <n v="154216.5"/>
    <s v="AWS, SQL, CUDA, GCP, TensorFlow, C++"/>
    <s v="KDB+"/>
    <x v="2"/>
  </r>
  <r>
    <x v="6"/>
    <x v="3"/>
    <x v="0"/>
    <x v="0"/>
    <n v="166850"/>
    <s v="AWS, SQL, CUDA, Hugging Face, Power BI"/>
    <s v="Scikit-learn, PyTorch"/>
    <x v="2"/>
  </r>
  <r>
    <x v="0"/>
    <x v="2"/>
    <x v="0"/>
    <x v="1"/>
    <n v="130427.5"/>
    <s v="AWS, SQL, Excel"/>
    <s v="MLflow, LangChain, FastAPI"/>
    <x v="0"/>
  </r>
  <r>
    <x v="2"/>
    <x v="2"/>
    <x v="0"/>
    <x v="3"/>
    <n v="190425.5"/>
    <s v="AWS, SQL, GCP, NumPy, CUDA, Azure"/>
    <s v="TensorFlow, FastAPI"/>
    <x v="2"/>
  </r>
  <r>
    <x v="6"/>
    <x v="7"/>
    <x v="2"/>
    <x v="2"/>
    <n v="157977"/>
    <s v="AWS, SQL, Python, LangChain, Keras, Azure"/>
    <s v="Scikit-learn, LangChain"/>
    <x v="0"/>
  </r>
  <r>
    <x v="1"/>
    <x v="0"/>
    <x v="2"/>
    <x v="0"/>
    <n v="125589.5"/>
    <s v="AWS, SQL, Reinforcement Learning, Keras, Flask, C++"/>
    <s v="Scikit-learn"/>
    <x v="0"/>
  </r>
  <r>
    <x v="0"/>
    <x v="2"/>
    <x v="0"/>
    <x v="3"/>
    <n v="173018"/>
    <s v="AWS, SQL, Reinforcement Learning, TensorFlow"/>
    <s v="LangChain, PyTorch"/>
    <x v="1"/>
  </r>
  <r>
    <x v="0"/>
    <x v="7"/>
    <x v="2"/>
    <x v="0"/>
    <n v="78289.5"/>
    <s v="AWS, SQL, Scikit-learn, Flask, FastAPI"/>
    <s v="MLflow, LangChain"/>
    <x v="1"/>
  </r>
  <r>
    <x v="4"/>
    <x v="6"/>
    <x v="1"/>
    <x v="2"/>
    <n v="108823.5"/>
    <s v="AWS, TensorFlow, CUDA, MLflow"/>
    <s v="BigQuery, Scikit-learn"/>
    <x v="1"/>
  </r>
  <r>
    <x v="4"/>
    <x v="3"/>
    <x v="2"/>
    <x v="0"/>
    <n v="172441.5"/>
    <s v="AWS, TensorFlow, CUDA, Reinforcement Learning, FastAPI"/>
    <s v="FastAPI"/>
    <x v="1"/>
  </r>
  <r>
    <x v="0"/>
    <x v="3"/>
    <x v="0"/>
    <x v="2"/>
    <n v="170633"/>
    <s v="AWS, TensorFlow, Excel, SQL, GCP"/>
    <s v="KDB+, MLflow"/>
    <x v="1"/>
  </r>
  <r>
    <x v="3"/>
    <x v="1"/>
    <x v="1"/>
    <x v="0"/>
    <n v="151712"/>
    <s v="AWS, TensorFlow, Flask, Power BI"/>
    <s v="KDB+"/>
    <x v="2"/>
  </r>
  <r>
    <x v="2"/>
    <x v="6"/>
    <x v="2"/>
    <x v="1"/>
    <n v="134575.5"/>
    <s v="AWS, TensorFlow, R"/>
    <s v="FastAPI, KDB+"/>
    <x v="0"/>
  </r>
  <r>
    <x v="3"/>
    <x v="2"/>
    <x v="2"/>
    <x v="3"/>
    <n v="107349"/>
    <s v="Azure, AWS, Keras, Flask, SQL"/>
    <s v="MLflow"/>
    <x v="1"/>
  </r>
  <r>
    <x v="6"/>
    <x v="0"/>
    <x v="0"/>
    <x v="0"/>
    <n v="90819.5"/>
    <s v="Azure, AWS, Keras, R, FastAPI"/>
    <s v="BigQuery, MLflow, LangChain"/>
    <x v="2"/>
  </r>
  <r>
    <x v="3"/>
    <x v="6"/>
    <x v="0"/>
    <x v="0"/>
    <n v="88122"/>
    <s v="Azure, AWS, PyTorch, TensorFlow, GCP"/>
    <s v="Scikit-learn"/>
    <x v="0"/>
  </r>
  <r>
    <x v="6"/>
    <x v="3"/>
    <x v="1"/>
    <x v="2"/>
    <n v="165785"/>
    <s v="Azure, AWS, Reinforcement Learning"/>
    <s v="FastAPI"/>
    <x v="1"/>
  </r>
  <r>
    <x v="0"/>
    <x v="2"/>
    <x v="1"/>
    <x v="0"/>
    <n v="191729"/>
    <s v="Azure, C++, Keras"/>
    <s v="LangChain"/>
    <x v="1"/>
  </r>
  <r>
    <x v="5"/>
    <x v="4"/>
    <x v="0"/>
    <x v="1"/>
    <n v="73922.5"/>
    <s v="Azure, C++, Reinforcement Learning"/>
    <s v="BigQuery, Scikit-learn, LangChain"/>
    <x v="1"/>
  </r>
  <r>
    <x v="6"/>
    <x v="6"/>
    <x v="1"/>
    <x v="0"/>
    <n v="189827"/>
    <s v="Azure, C++, TensorFlow, Hugging Face, Python, PyTorch"/>
    <s v="TensorFlow"/>
    <x v="2"/>
  </r>
  <r>
    <x v="3"/>
    <x v="5"/>
    <x v="1"/>
    <x v="3"/>
    <n v="122985"/>
    <s v="Azure, CUDA, Excel"/>
    <s v="KDB+"/>
    <x v="2"/>
  </r>
  <r>
    <x v="1"/>
    <x v="0"/>
    <x v="2"/>
    <x v="0"/>
    <n v="111537.5"/>
    <s v="Azure, CUDA, GCP, TensorFlow, C++"/>
    <s v="FastAPI, PyTorch, BigQuery"/>
    <x v="2"/>
  </r>
  <r>
    <x v="4"/>
    <x v="6"/>
    <x v="2"/>
    <x v="1"/>
    <n v="81006.5"/>
    <s v="Azure, CUDA, LangChain, Hugging Face"/>
    <s v="Scikit-learn"/>
    <x v="2"/>
  </r>
  <r>
    <x v="5"/>
    <x v="0"/>
    <x v="1"/>
    <x v="1"/>
    <n v="131547.5"/>
    <s v="Azure, Excel, Keras, SQL, Reinforcement Learning, Power BI"/>
    <s v="TensorFlow, BigQuery, Scikit-learn"/>
    <x v="0"/>
  </r>
  <r>
    <x v="6"/>
    <x v="4"/>
    <x v="2"/>
    <x v="0"/>
    <n v="151443.5"/>
    <s v="Azure, Excel, Power BI, C++, NumPy"/>
    <s v="KDB+, FastAPI, MLflow"/>
    <x v="1"/>
  </r>
  <r>
    <x v="1"/>
    <x v="2"/>
    <x v="0"/>
    <x v="3"/>
    <n v="63059"/>
    <s v="Azure, Excel, Power BI, SQL"/>
    <s v="Scikit-learn, BigQuery, MLflow"/>
    <x v="0"/>
  </r>
  <r>
    <x v="6"/>
    <x v="0"/>
    <x v="1"/>
    <x v="0"/>
    <n v="143228.5"/>
    <s v="Azure, Excel, Power BI, SQL"/>
    <s v="Scikit-learn"/>
    <x v="2"/>
  </r>
  <r>
    <x v="1"/>
    <x v="3"/>
    <x v="1"/>
    <x v="2"/>
    <n v="128014"/>
    <s v="Azure, Excel, TensorFlow"/>
    <s v="PyTorch, BigQuery, Scikit-learn"/>
    <x v="2"/>
  </r>
  <r>
    <x v="1"/>
    <x v="4"/>
    <x v="2"/>
    <x v="2"/>
    <n v="155312.5"/>
    <s v="Azure, FastAPI, Excel, Keras, C++"/>
    <s v="TensorFlow, FastAPI, BigQuery"/>
    <x v="2"/>
  </r>
  <r>
    <x v="4"/>
    <x v="0"/>
    <x v="2"/>
    <x v="1"/>
    <n v="139896"/>
    <s v="Azure, FastAPI, Keras, SQL"/>
    <s v="TensorFlow, MLflow"/>
    <x v="0"/>
  </r>
  <r>
    <x v="2"/>
    <x v="3"/>
    <x v="0"/>
    <x v="3"/>
    <n v="78700.5"/>
    <s v="Azure, Flask, CUDA, TensorFlow"/>
    <s v="Scikit-learn, LangChain"/>
    <x v="2"/>
  </r>
  <r>
    <x v="1"/>
    <x v="4"/>
    <x v="1"/>
    <x v="0"/>
    <n v="60796.5"/>
    <s v="Azure, Flask, FastAPI, Hugging Face, Power BI, Python"/>
    <s v="TensorFlow, Scikit-learn, FastAPI"/>
    <x v="2"/>
  </r>
  <r>
    <x v="1"/>
    <x v="7"/>
    <x v="2"/>
    <x v="3"/>
    <n v="120475"/>
    <s v="Azure, Flask, Keras, Scikit-learn, Reinforcement Learning, GCP"/>
    <s v="KDB+, MLflow, Scikit-learn"/>
    <x v="0"/>
  </r>
  <r>
    <x v="3"/>
    <x v="4"/>
    <x v="1"/>
    <x v="3"/>
    <n v="87487.5"/>
    <s v="Azure, Flask, MLflow, GCP"/>
    <s v="PyTorch, KDB+"/>
    <x v="2"/>
  </r>
  <r>
    <x v="4"/>
    <x v="6"/>
    <x v="0"/>
    <x v="2"/>
    <n v="76485"/>
    <s v="Azure, Flask, PyTorch, C++, GCP, Pandas"/>
    <s v="KDB+, TensorFlow"/>
    <x v="1"/>
  </r>
  <r>
    <x v="0"/>
    <x v="5"/>
    <x v="2"/>
    <x v="1"/>
    <n v="164670.5"/>
    <s v="Azure, Flask, PyTorch, Excel, Pandas"/>
    <s v="FastAPI, MLflow, PyTorch"/>
    <x v="0"/>
  </r>
  <r>
    <x v="0"/>
    <x v="0"/>
    <x v="0"/>
    <x v="1"/>
    <n v="166314"/>
    <s v="Azure, Flask, Scikit-learn, Keras, NumPy, FastAPI"/>
    <s v="MLflow, Scikit-learn"/>
    <x v="1"/>
  </r>
  <r>
    <x v="6"/>
    <x v="4"/>
    <x v="2"/>
    <x v="2"/>
    <n v="87962.5"/>
    <s v="Azure, Flask, TensorFlow"/>
    <s v="FastAPI"/>
    <x v="1"/>
  </r>
  <r>
    <x v="3"/>
    <x v="2"/>
    <x v="0"/>
    <x v="3"/>
    <n v="131722"/>
    <s v="Azure, GCP, Hugging Face"/>
    <s v="LangChain"/>
    <x v="1"/>
  </r>
  <r>
    <x v="4"/>
    <x v="5"/>
    <x v="1"/>
    <x v="1"/>
    <n v="56477"/>
    <s v="Azure, GCP, Hugging Face, R, Scikit-learn"/>
    <s v="LangChain, TensorFlow"/>
    <x v="0"/>
  </r>
  <r>
    <x v="3"/>
    <x v="1"/>
    <x v="2"/>
    <x v="3"/>
    <n v="66203"/>
    <s v="Azure, Hugging Face, C++, Power BI"/>
    <s v="FastAPI, BigQuery"/>
    <x v="1"/>
  </r>
  <r>
    <x v="3"/>
    <x v="7"/>
    <x v="2"/>
    <x v="3"/>
    <n v="129108"/>
    <s v="Azure, Hugging Face, C++, Scikit-learn, Flask, Pandas"/>
    <s v="LangChain, PyTorch, MLflow"/>
    <x v="2"/>
  </r>
  <r>
    <x v="3"/>
    <x v="6"/>
    <x v="2"/>
    <x v="1"/>
    <n v="103692.5"/>
    <s v="Azure, Hugging Face, Excel, Scikit-learn"/>
    <s v="PyTorch, FastAPI, TensorFlow"/>
    <x v="1"/>
  </r>
  <r>
    <x v="1"/>
    <x v="0"/>
    <x v="0"/>
    <x v="0"/>
    <n v="170353"/>
    <s v="Azure, Hugging Face, Python"/>
    <s v="Scikit-learn, MLflow"/>
    <x v="2"/>
  </r>
  <r>
    <x v="2"/>
    <x v="6"/>
    <x v="1"/>
    <x v="0"/>
    <n v="85215.5"/>
    <s v="Azure, Hugging Face, TensorFlow, NumPy, PyTorch"/>
    <s v="Scikit-learn, BigQuery, KDB+"/>
    <x v="2"/>
  </r>
  <r>
    <x v="1"/>
    <x v="4"/>
    <x v="1"/>
    <x v="2"/>
    <n v="110571.5"/>
    <s v="Azure, Keras, C++, LangChain"/>
    <s v="TensorFlow, BigQuery"/>
    <x v="2"/>
  </r>
  <r>
    <x v="4"/>
    <x v="3"/>
    <x v="1"/>
    <x v="1"/>
    <n v="176793.5"/>
    <s v="Azure, Keras, R, Scikit-learn, TensorFlow, PyTorch"/>
    <s v="PyTorch, KDB+"/>
    <x v="2"/>
  </r>
  <r>
    <x v="6"/>
    <x v="6"/>
    <x v="0"/>
    <x v="1"/>
    <n v="118823"/>
    <s v="Azure, Keras, Scikit-learn, Hugging Face, Excel, R"/>
    <s v="LangChain, KDB+, FastAPI"/>
    <x v="1"/>
  </r>
  <r>
    <x v="4"/>
    <x v="4"/>
    <x v="0"/>
    <x v="2"/>
    <n v="107183"/>
    <s v="Azure, Keras, TensorFlow"/>
    <s v="KDB+"/>
    <x v="0"/>
  </r>
  <r>
    <x v="1"/>
    <x v="7"/>
    <x v="1"/>
    <x v="1"/>
    <n v="117295"/>
    <s v="Azure, LangChain, C++, NumPy, MLflow"/>
    <s v="Scikit-learn, LangChain, TensorFlow"/>
    <x v="2"/>
  </r>
  <r>
    <x v="2"/>
    <x v="5"/>
    <x v="2"/>
    <x v="1"/>
    <n v="164629.5"/>
    <s v="Azure, LangChain, Flask"/>
    <s v="LangChain"/>
    <x v="2"/>
  </r>
  <r>
    <x v="2"/>
    <x v="4"/>
    <x v="1"/>
    <x v="1"/>
    <n v="188178.5"/>
    <s v="Azure, LangChain, GCP, AWS, Flask"/>
    <s v="MLflow"/>
    <x v="2"/>
  </r>
  <r>
    <x v="5"/>
    <x v="1"/>
    <x v="0"/>
    <x v="0"/>
    <n v="125265"/>
    <s v="Azure, LangChain, R"/>
    <s v="PyTorch"/>
    <x v="2"/>
  </r>
  <r>
    <x v="1"/>
    <x v="7"/>
    <x v="2"/>
    <x v="3"/>
    <n v="179743.5"/>
    <s v="Azure, LangChain, Reinforcement Learning"/>
    <s v="PyTorch, FastAPI"/>
    <x v="0"/>
  </r>
  <r>
    <x v="3"/>
    <x v="4"/>
    <x v="2"/>
    <x v="1"/>
    <n v="64979.5"/>
    <s v="Azure, MLflow, Excel, CUDA"/>
    <s v="Scikit-learn"/>
    <x v="1"/>
  </r>
  <r>
    <x v="6"/>
    <x v="7"/>
    <x v="0"/>
    <x v="2"/>
    <n v="150133.5"/>
    <s v="Azure, MLflow, FastAPI, Hugging Face, LangChain"/>
    <s v="MLflow, KDB+, PyTorch"/>
    <x v="1"/>
  </r>
  <r>
    <x v="5"/>
    <x v="0"/>
    <x v="0"/>
    <x v="2"/>
    <n v="165923"/>
    <s v="Azure, MLflow, Hugging Face, GCP, Keras"/>
    <s v="Scikit-learn, PyTorch, LangChain"/>
    <x v="2"/>
  </r>
  <r>
    <x v="6"/>
    <x v="2"/>
    <x v="0"/>
    <x v="1"/>
    <n v="163559"/>
    <s v="Azure, MLflow, Keras, Scikit-learn"/>
    <s v="PyTorch, Scikit-learn, KDB+"/>
    <x v="2"/>
  </r>
  <r>
    <x v="0"/>
    <x v="3"/>
    <x v="2"/>
    <x v="1"/>
    <n v="161544.5"/>
    <s v="Azure, MLflow, Pandas, PyTorch"/>
    <s v="MLflow, PyTorch, LangChain"/>
    <x v="2"/>
  </r>
  <r>
    <x v="0"/>
    <x v="1"/>
    <x v="2"/>
    <x v="1"/>
    <n v="146570.5"/>
    <s v="Azure, MLflow, Scikit-learn, TensorFlow"/>
    <s v="KDB+, PyTorch, TensorFlow"/>
    <x v="2"/>
  </r>
  <r>
    <x v="4"/>
    <x v="2"/>
    <x v="1"/>
    <x v="2"/>
    <n v="163002"/>
    <s v="Azure, NumPy, LangChain, FastAPI, Hugging Face, Keras"/>
    <s v="FastAPI, PyTorch, TensorFlow"/>
    <x v="1"/>
  </r>
  <r>
    <x v="2"/>
    <x v="2"/>
    <x v="1"/>
    <x v="1"/>
    <n v="102030.5"/>
    <s v="Azure, NumPy, Pandas, MLflow"/>
    <s v="Scikit-learn"/>
    <x v="1"/>
  </r>
  <r>
    <x v="0"/>
    <x v="7"/>
    <x v="0"/>
    <x v="0"/>
    <n v="117034"/>
    <s v="Azure, Pandas, C++, CUDA"/>
    <s v="PyTorch, BigQuery, Scikit-learn"/>
    <x v="1"/>
  </r>
  <r>
    <x v="5"/>
    <x v="3"/>
    <x v="0"/>
    <x v="0"/>
    <n v="109084"/>
    <s v="Azure, Pandas, Excel, Reinforcement Learning, LangChain"/>
    <s v="MLflow"/>
    <x v="1"/>
  </r>
  <r>
    <x v="6"/>
    <x v="5"/>
    <x v="0"/>
    <x v="0"/>
    <n v="117659.5"/>
    <s v="Azure, Pandas, Power BI, MLflow"/>
    <s v="PyTorch, TensorFlow, FastAPI"/>
    <x v="0"/>
  </r>
  <r>
    <x v="4"/>
    <x v="5"/>
    <x v="0"/>
    <x v="2"/>
    <n v="103877.5"/>
    <s v="Azure, Pandas, Scikit-learn"/>
    <s v="KDB+"/>
    <x v="2"/>
  </r>
  <r>
    <x v="1"/>
    <x v="4"/>
    <x v="2"/>
    <x v="2"/>
    <n v="160279.5"/>
    <s v="Azure, Pandas, TensorFlow, AWS"/>
    <s v="BigQuery, Scikit-learn, PyTorch"/>
    <x v="2"/>
  </r>
  <r>
    <x v="1"/>
    <x v="6"/>
    <x v="2"/>
    <x v="3"/>
    <n v="106946"/>
    <s v="Azure, Power BI, Flask"/>
    <s v="BigQuery, MLflow, TensorFlow"/>
    <x v="2"/>
  </r>
  <r>
    <x v="5"/>
    <x v="7"/>
    <x v="0"/>
    <x v="0"/>
    <n v="98893.5"/>
    <s v="Azure, Power BI, GCP, LangChain"/>
    <s v="TensorFlow, LangChain, PyTorch"/>
    <x v="2"/>
  </r>
  <r>
    <x v="1"/>
    <x v="2"/>
    <x v="0"/>
    <x v="0"/>
    <n v="143409"/>
    <s v="Azure, Power BI, GCP, LangChain"/>
    <s v="BigQuery, LangChain"/>
    <x v="1"/>
  </r>
  <r>
    <x v="1"/>
    <x v="7"/>
    <x v="0"/>
    <x v="2"/>
    <n v="130580.5"/>
    <s v="Azure, Python, FastAPI"/>
    <s v="BigQuery"/>
    <x v="0"/>
  </r>
  <r>
    <x v="1"/>
    <x v="4"/>
    <x v="1"/>
    <x v="2"/>
    <n v="137810.5"/>
    <s v="Azure, Python, Flask, Power BI, NumPy, Excel"/>
    <s v="LangChain"/>
    <x v="0"/>
  </r>
  <r>
    <x v="5"/>
    <x v="1"/>
    <x v="2"/>
    <x v="1"/>
    <n v="82727"/>
    <s v="Azure, Python, Hugging Face, SQL"/>
    <s v="MLflow, KDB+"/>
    <x v="1"/>
  </r>
  <r>
    <x v="6"/>
    <x v="1"/>
    <x v="0"/>
    <x v="0"/>
    <n v="128946"/>
    <s v="Azure, PyTorch, CUDA"/>
    <s v="KDB+, TensorFlow, LangChain"/>
    <x v="0"/>
  </r>
  <r>
    <x v="3"/>
    <x v="4"/>
    <x v="1"/>
    <x v="0"/>
    <n v="124161"/>
    <s v="Azure, PyTorch, CUDA, TensorFlow, Flask"/>
    <s v="PyTorch, TensorFlow"/>
    <x v="1"/>
  </r>
  <r>
    <x v="4"/>
    <x v="0"/>
    <x v="0"/>
    <x v="2"/>
    <n v="79436.5"/>
    <s v="Azure, PyTorch, Excel, R, NumPy"/>
    <s v="PyTorch, Scikit-learn, KDB+"/>
    <x v="0"/>
  </r>
  <r>
    <x v="0"/>
    <x v="4"/>
    <x v="2"/>
    <x v="3"/>
    <n v="139935.5"/>
    <s v="Azure, PyTorch, Keras"/>
    <s v="TensorFlow, MLflow, FastAPI"/>
    <x v="1"/>
  </r>
  <r>
    <x v="5"/>
    <x v="2"/>
    <x v="0"/>
    <x v="0"/>
    <n v="169207"/>
    <s v="Azure, PyTorch, LangChain"/>
    <s v="LangChain, MLflow"/>
    <x v="1"/>
  </r>
  <r>
    <x v="5"/>
    <x v="3"/>
    <x v="0"/>
    <x v="3"/>
    <n v="171198.5"/>
    <s v="Azure, PyTorch, Pandas, R, GCP"/>
    <s v="FastAPI, Scikit-learn"/>
    <x v="2"/>
  </r>
  <r>
    <x v="3"/>
    <x v="6"/>
    <x v="2"/>
    <x v="3"/>
    <n v="76979.5"/>
    <s v="Azure, PyTorch, R, Reinforcement Learning, Flask, Keras"/>
    <s v="Scikit-learn"/>
    <x v="1"/>
  </r>
  <r>
    <x v="1"/>
    <x v="1"/>
    <x v="2"/>
    <x v="0"/>
    <n v="120895.5"/>
    <s v="Azure, PyTorch, R, Scikit-learn, AWS, Excel"/>
    <s v="BigQuery"/>
    <x v="0"/>
  </r>
  <r>
    <x v="4"/>
    <x v="2"/>
    <x v="1"/>
    <x v="3"/>
    <n v="109009"/>
    <s v="Azure, R, CUDA"/>
    <s v="MLflow, PyTorch, FastAPI"/>
    <x v="2"/>
  </r>
  <r>
    <x v="4"/>
    <x v="1"/>
    <x v="0"/>
    <x v="0"/>
    <n v="138483.5"/>
    <s v="Azure, R, Hugging Face, SQL, MLflow, Flask"/>
    <s v="TensorFlow, LangChain"/>
    <x v="2"/>
  </r>
  <r>
    <x v="4"/>
    <x v="7"/>
    <x v="0"/>
    <x v="3"/>
    <n v="96634.5"/>
    <s v="Azure, R, MLflow, Python, AWS"/>
    <s v="LangChain, BigQuery"/>
    <x v="1"/>
  </r>
  <r>
    <x v="6"/>
    <x v="6"/>
    <x v="0"/>
    <x v="1"/>
    <n v="110871.5"/>
    <s v="Azure, R, MLflow, TensorFlow"/>
    <s v="PyTorch"/>
    <x v="2"/>
  </r>
  <r>
    <x v="2"/>
    <x v="6"/>
    <x v="2"/>
    <x v="2"/>
    <n v="163336.5"/>
    <s v="Azure, R, Pandas, MLflow, TensorFlow, Keras"/>
    <s v="LangChain, TensorFlow"/>
    <x v="1"/>
  </r>
  <r>
    <x v="1"/>
    <x v="7"/>
    <x v="2"/>
    <x v="2"/>
    <n v="174384.5"/>
    <s v="Azure, Reinforcement Learning, Excel, SQL"/>
    <s v="LangChain, BigQuery"/>
    <x v="1"/>
  </r>
  <r>
    <x v="5"/>
    <x v="1"/>
    <x v="0"/>
    <x v="1"/>
    <n v="187984.5"/>
    <s v="Azure, Reinforcement Learning, Flask, Scikit-learn"/>
    <s v="BigQuery, MLflow, FastAPI"/>
    <x v="1"/>
  </r>
  <r>
    <x v="1"/>
    <x v="5"/>
    <x v="0"/>
    <x v="2"/>
    <n v="149251.5"/>
    <s v="Azure, Reinforcement Learning, SQL, LangChain"/>
    <s v="MLflow, BigQuery"/>
    <x v="0"/>
  </r>
  <r>
    <x v="6"/>
    <x v="4"/>
    <x v="2"/>
    <x v="2"/>
    <n v="79176"/>
    <s v="Azure, Scikit-learn, Excel, Flask, GCP, AWS"/>
    <s v="PyTorch"/>
    <x v="0"/>
  </r>
  <r>
    <x v="0"/>
    <x v="4"/>
    <x v="2"/>
    <x v="1"/>
    <n v="70078.5"/>
    <s v="Azure, Scikit-learn, Keras, R, Hugging Face"/>
    <s v="BigQuery, KDB+"/>
    <x v="1"/>
  </r>
  <r>
    <x v="4"/>
    <x v="5"/>
    <x v="0"/>
    <x v="3"/>
    <n v="119475"/>
    <s v="Azure, Scikit-learn, Python, AWS, LangChain, C++"/>
    <s v="TensorFlow"/>
    <x v="0"/>
  </r>
  <r>
    <x v="1"/>
    <x v="6"/>
    <x v="0"/>
    <x v="0"/>
    <n v="140420"/>
    <s v="Azure, SQL, AWS"/>
    <s v="MLflow"/>
    <x v="0"/>
  </r>
  <r>
    <x v="5"/>
    <x v="7"/>
    <x v="2"/>
    <x v="2"/>
    <n v="113454.5"/>
    <s v="Azure, SQL, Hugging Face, R, LangChain"/>
    <s v="PyTorch, TensorFlow"/>
    <x v="2"/>
  </r>
  <r>
    <x v="6"/>
    <x v="0"/>
    <x v="0"/>
    <x v="2"/>
    <n v="122116"/>
    <s v="Azure, SQL, Keras, C++, LangChain, TensorFlow"/>
    <s v="TensorFlow"/>
    <x v="2"/>
  </r>
  <r>
    <x v="0"/>
    <x v="3"/>
    <x v="2"/>
    <x v="0"/>
    <n v="107699.5"/>
    <s v="Azure, SQL, NumPy"/>
    <s v="Scikit-learn, BigQuery"/>
    <x v="2"/>
  </r>
  <r>
    <x v="2"/>
    <x v="1"/>
    <x v="2"/>
    <x v="3"/>
    <n v="164294.5"/>
    <s v="Azure, SQL, Reinforcement Learning, PyTorch, Hugging Face"/>
    <s v="LangChain, PyTorch"/>
    <x v="0"/>
  </r>
  <r>
    <x v="5"/>
    <x v="4"/>
    <x v="2"/>
    <x v="2"/>
    <n v="104560"/>
    <s v="Azure, TensorFlow, AWS, Flask, Reinforcement Learning, LangChain"/>
    <s v="KDB+, BigQuery"/>
    <x v="1"/>
  </r>
  <r>
    <x v="3"/>
    <x v="0"/>
    <x v="1"/>
    <x v="0"/>
    <n v="170542"/>
    <s v="Azure, TensorFlow, AWS, NumPy"/>
    <s v="TensorFlow"/>
    <x v="2"/>
  </r>
  <r>
    <x v="2"/>
    <x v="0"/>
    <x v="2"/>
    <x v="3"/>
    <n v="141250.5"/>
    <s v="Azure, TensorFlow, C++"/>
    <s v="TensorFlow"/>
    <x v="0"/>
  </r>
  <r>
    <x v="6"/>
    <x v="6"/>
    <x v="1"/>
    <x v="1"/>
    <n v="165443"/>
    <s v="Azure, TensorFlow, Excel"/>
    <s v="Scikit-learn"/>
    <x v="0"/>
  </r>
  <r>
    <x v="0"/>
    <x v="3"/>
    <x v="2"/>
    <x v="1"/>
    <n v="74439"/>
    <s v="Azure, TensorFlow, NumPy"/>
    <s v="KDB+, BigQuery, MLflow"/>
    <x v="1"/>
  </r>
  <r>
    <x v="2"/>
    <x v="6"/>
    <x v="1"/>
    <x v="1"/>
    <n v="115498"/>
    <s v="Azure, TensorFlow, PyTorch, AWS, Flask"/>
    <s v="KDB+, MLflow"/>
    <x v="0"/>
  </r>
  <r>
    <x v="6"/>
    <x v="0"/>
    <x v="1"/>
    <x v="2"/>
    <n v="90102.5"/>
    <s v="C++, AWS, MLflow"/>
    <s v="LangChain"/>
    <x v="0"/>
  </r>
  <r>
    <x v="4"/>
    <x v="2"/>
    <x v="2"/>
    <x v="2"/>
    <n v="99415"/>
    <s v="C++, AWS, NumPy, SQL"/>
    <s v="KDB+"/>
    <x v="0"/>
  </r>
  <r>
    <x v="3"/>
    <x v="7"/>
    <x v="2"/>
    <x v="2"/>
    <n v="90494"/>
    <s v="C++, AWS, SQL"/>
    <s v="LangChain, Scikit-learn, MLflow"/>
    <x v="0"/>
  </r>
  <r>
    <x v="5"/>
    <x v="3"/>
    <x v="2"/>
    <x v="2"/>
    <n v="160023"/>
    <s v="C++, Azure, CUDA"/>
    <s v="MLflow, FastAPI, LangChain"/>
    <x v="1"/>
  </r>
  <r>
    <x v="5"/>
    <x v="2"/>
    <x v="0"/>
    <x v="0"/>
    <n v="172666"/>
    <s v="C++, Azure, Hugging Face, Keras, PyTorch"/>
    <s v="KDB+"/>
    <x v="0"/>
  </r>
  <r>
    <x v="1"/>
    <x v="1"/>
    <x v="0"/>
    <x v="2"/>
    <n v="155360"/>
    <s v="C++, CUDA, Azure"/>
    <s v="LangChain, MLflow"/>
    <x v="0"/>
  </r>
  <r>
    <x v="3"/>
    <x v="6"/>
    <x v="2"/>
    <x v="1"/>
    <n v="179113.5"/>
    <s v="C++, CUDA, Keras, Excel"/>
    <s v="PyTorch, LangChain, MLflow"/>
    <x v="1"/>
  </r>
  <r>
    <x v="5"/>
    <x v="4"/>
    <x v="0"/>
    <x v="0"/>
    <n v="60868"/>
    <s v="C++, CUDA, Power BI, Azure, AWS, PyTorch"/>
    <s v="KDB+"/>
    <x v="1"/>
  </r>
  <r>
    <x v="4"/>
    <x v="2"/>
    <x v="1"/>
    <x v="0"/>
    <n v="182145"/>
    <s v="C++, CUDA, Power BI, TensorFlow"/>
    <s v="Scikit-learn, TensorFlow"/>
    <x v="1"/>
  </r>
  <r>
    <x v="0"/>
    <x v="3"/>
    <x v="0"/>
    <x v="0"/>
    <n v="157180"/>
    <s v="C++, CUDA, Scikit-learn, Keras"/>
    <s v="KDB+, BigQuery"/>
    <x v="1"/>
  </r>
  <r>
    <x v="0"/>
    <x v="0"/>
    <x v="2"/>
    <x v="1"/>
    <n v="116551.5"/>
    <s v="C++, Excel, MLflow, Pandas, R, NumPy"/>
    <s v="PyTorch, BigQuery"/>
    <x v="2"/>
  </r>
  <r>
    <x v="5"/>
    <x v="2"/>
    <x v="0"/>
    <x v="3"/>
    <n v="115690"/>
    <s v="C++, Excel, NumPy, Pandas, TensorFlow"/>
    <s v="LangChain, PyTorch, MLflow"/>
    <x v="2"/>
  </r>
  <r>
    <x v="3"/>
    <x v="3"/>
    <x v="0"/>
    <x v="2"/>
    <n v="60149"/>
    <s v="C++, Excel, Pandas"/>
    <s v="TensorFlow"/>
    <x v="0"/>
  </r>
  <r>
    <x v="3"/>
    <x v="2"/>
    <x v="2"/>
    <x v="3"/>
    <n v="173883"/>
    <s v="C++, Excel, Scikit-learn, FastAPI, Power BI"/>
    <s v="LangChain, PyTorch"/>
    <x v="2"/>
  </r>
  <r>
    <x v="4"/>
    <x v="1"/>
    <x v="0"/>
    <x v="0"/>
    <n v="180726.5"/>
    <s v="C++, Excel, TensorFlow, PyTorch"/>
    <s v="FastAPI"/>
    <x v="0"/>
  </r>
  <r>
    <x v="2"/>
    <x v="5"/>
    <x v="1"/>
    <x v="3"/>
    <n v="134551.5"/>
    <s v="C++, FastAPI, Power BI, SQL, AWS, Reinforcement Learning"/>
    <s v="FastAPI"/>
    <x v="1"/>
  </r>
  <r>
    <x v="5"/>
    <x v="1"/>
    <x v="1"/>
    <x v="2"/>
    <n v="104716"/>
    <s v="C++, FastAPI, Scikit-learn"/>
    <s v="PyTorch, BigQuery, Scikit-learn"/>
    <x v="1"/>
  </r>
  <r>
    <x v="3"/>
    <x v="1"/>
    <x v="1"/>
    <x v="3"/>
    <n v="136210.5"/>
    <s v="C++, Flask, NumPy, LangChain, SQL"/>
    <s v="MLflow, Scikit-learn, KDB+"/>
    <x v="2"/>
  </r>
  <r>
    <x v="1"/>
    <x v="2"/>
    <x v="2"/>
    <x v="1"/>
    <n v="125660"/>
    <s v="C++, GCP, Keras, AWS, TensorFlow, LangChain"/>
    <s v="FastAPI, KDB+"/>
    <x v="0"/>
  </r>
  <r>
    <x v="2"/>
    <x v="4"/>
    <x v="1"/>
    <x v="2"/>
    <n v="178010.5"/>
    <s v="C++, GCP, LangChain, PyTorch, FastAPI"/>
    <s v="Scikit-learn, TensorFlow, KDB+"/>
    <x v="2"/>
  </r>
  <r>
    <x v="5"/>
    <x v="2"/>
    <x v="1"/>
    <x v="3"/>
    <n v="96135"/>
    <s v="C++, GCP, Pandas, MLflow, TensorFlow"/>
    <s v="TensorFlow"/>
    <x v="2"/>
  </r>
  <r>
    <x v="4"/>
    <x v="3"/>
    <x v="1"/>
    <x v="1"/>
    <n v="136380"/>
    <s v="C++, GCP, Reinforcement Learning"/>
    <s v="LangChain"/>
    <x v="1"/>
  </r>
  <r>
    <x v="1"/>
    <x v="0"/>
    <x v="0"/>
    <x v="3"/>
    <n v="62955"/>
    <s v="C++, GCP, Reinforcement Learning, R, Python, Power BI"/>
    <s v="PyTorch, KDB+, LangChain"/>
    <x v="0"/>
  </r>
  <r>
    <x v="1"/>
    <x v="1"/>
    <x v="2"/>
    <x v="1"/>
    <n v="85812.5"/>
    <s v="C++, Hugging Face, Excel, GCP, TensorFlow, FastAPI"/>
    <s v="KDB+, MLflow"/>
    <x v="1"/>
  </r>
  <r>
    <x v="1"/>
    <x v="6"/>
    <x v="1"/>
    <x v="2"/>
    <n v="175832"/>
    <s v="C++, Hugging Face, Flask"/>
    <s v="PyTorch, BigQuery"/>
    <x v="2"/>
  </r>
  <r>
    <x v="1"/>
    <x v="6"/>
    <x v="1"/>
    <x v="3"/>
    <n v="114040.5"/>
    <s v="C++, Hugging Face, Flask, Python, NumPy, Scikit-learn"/>
    <s v="Scikit-learn, FastAPI, LangChain"/>
    <x v="2"/>
  </r>
  <r>
    <x v="6"/>
    <x v="2"/>
    <x v="0"/>
    <x v="3"/>
    <n v="109898"/>
    <s v="C++, Hugging Face, Python, FastAPI"/>
    <s v="LangChain"/>
    <x v="0"/>
  </r>
  <r>
    <x v="0"/>
    <x v="6"/>
    <x v="2"/>
    <x v="3"/>
    <n v="108206"/>
    <s v="C++, Hugging Face, PyTorch, SQL"/>
    <s v="MLflow, LangChain, KDB+"/>
    <x v="2"/>
  </r>
  <r>
    <x v="2"/>
    <x v="6"/>
    <x v="1"/>
    <x v="3"/>
    <n v="147768.5"/>
    <s v="C++, Hugging Face, TensorFlow"/>
    <s v="PyTorch, MLflow"/>
    <x v="0"/>
  </r>
  <r>
    <x v="3"/>
    <x v="7"/>
    <x v="1"/>
    <x v="1"/>
    <n v="122663"/>
    <s v="C++, Keras, Flask, Pandas, PyTorch, Excel"/>
    <s v="TensorFlow"/>
    <x v="2"/>
  </r>
  <r>
    <x v="4"/>
    <x v="0"/>
    <x v="0"/>
    <x v="1"/>
    <n v="177054.5"/>
    <s v="C++, Keras, Pandas"/>
    <s v="Scikit-learn, FastAPI, TensorFlow"/>
    <x v="1"/>
  </r>
  <r>
    <x v="5"/>
    <x v="5"/>
    <x v="1"/>
    <x v="1"/>
    <n v="80668.5"/>
    <s v="C++, Keras, SQL, R, AWS"/>
    <s v="KDB+, Scikit-learn"/>
    <x v="1"/>
  </r>
  <r>
    <x v="2"/>
    <x v="0"/>
    <x v="2"/>
    <x v="2"/>
    <n v="112385"/>
    <s v="C++, LangChain, Azure, Keras"/>
    <s v="MLflow, LangChain, Scikit-learn"/>
    <x v="1"/>
  </r>
  <r>
    <x v="1"/>
    <x v="7"/>
    <x v="0"/>
    <x v="0"/>
    <n v="130991"/>
    <s v="C++, LangChain, NumPy, Azure, MLflow"/>
    <s v="KDB+"/>
    <x v="2"/>
  </r>
  <r>
    <x v="6"/>
    <x v="4"/>
    <x v="1"/>
    <x v="2"/>
    <n v="66503"/>
    <s v="C++, LangChain, Power BI, Pandas, CUDA, TensorFlow"/>
    <s v="FastAPI"/>
    <x v="0"/>
  </r>
  <r>
    <x v="4"/>
    <x v="2"/>
    <x v="2"/>
    <x v="0"/>
    <n v="128355"/>
    <s v="C++, MLflow, CUDA, Hugging Face"/>
    <s v="MLflow, PyTorch"/>
    <x v="2"/>
  </r>
  <r>
    <x v="2"/>
    <x v="2"/>
    <x v="1"/>
    <x v="0"/>
    <n v="139167.5"/>
    <s v="C++, MLflow, Reinforcement Learning, TensorFlow, GCP, Flask"/>
    <s v="BigQuery, MLflow, Scikit-learn"/>
    <x v="0"/>
  </r>
  <r>
    <x v="3"/>
    <x v="3"/>
    <x v="0"/>
    <x v="3"/>
    <n v="157674"/>
    <s v="C++, MLflow, TensorFlow, NumPy, Excel, R"/>
    <s v="PyTorch, FastAPI"/>
    <x v="1"/>
  </r>
  <r>
    <x v="3"/>
    <x v="3"/>
    <x v="0"/>
    <x v="3"/>
    <n v="85793"/>
    <s v="C++, NumPy, CUDA, GCP, TensorFlow, Hugging Face"/>
    <s v="TensorFlow, Scikit-learn, PyTorch"/>
    <x v="1"/>
  </r>
  <r>
    <x v="4"/>
    <x v="3"/>
    <x v="0"/>
    <x v="0"/>
    <n v="117509.5"/>
    <s v="C++, NumPy, Excel, Keras, TensorFlow"/>
    <s v="FastAPI, Scikit-learn"/>
    <x v="2"/>
  </r>
  <r>
    <x v="4"/>
    <x v="3"/>
    <x v="1"/>
    <x v="1"/>
    <n v="113216"/>
    <s v="C++, NumPy, Power BI, MLflow, CUDA"/>
    <s v="BigQuery, TensorFlow"/>
    <x v="2"/>
  </r>
  <r>
    <x v="1"/>
    <x v="3"/>
    <x v="2"/>
    <x v="0"/>
    <n v="77667.5"/>
    <s v="C++, Pandas, Azure, Keras"/>
    <s v="KDB+, PyTorch, Scikit-learn"/>
    <x v="1"/>
  </r>
  <r>
    <x v="2"/>
    <x v="4"/>
    <x v="2"/>
    <x v="1"/>
    <n v="165018.5"/>
    <s v="C++, Pandas, CUDA, Scikit-learn"/>
    <s v="BigQuery, PyTorch, MLflow"/>
    <x v="0"/>
  </r>
  <r>
    <x v="2"/>
    <x v="2"/>
    <x v="0"/>
    <x v="0"/>
    <n v="90608.5"/>
    <s v="C++, Pandas, FastAPI, MLflow, Excel"/>
    <s v="TensorFlow"/>
    <x v="2"/>
  </r>
  <r>
    <x v="3"/>
    <x v="1"/>
    <x v="2"/>
    <x v="2"/>
    <n v="108499"/>
    <s v="C++, Pandas, Flask, Hugging Face, Excel"/>
    <s v="MLflow, BigQuery"/>
    <x v="2"/>
  </r>
  <r>
    <x v="1"/>
    <x v="6"/>
    <x v="1"/>
    <x v="0"/>
    <n v="141279.5"/>
    <s v="C++, Pandas, Hugging Face, SQL, LangChain, Python"/>
    <s v="MLflow"/>
    <x v="1"/>
  </r>
  <r>
    <x v="6"/>
    <x v="2"/>
    <x v="2"/>
    <x v="3"/>
    <n v="145100.5"/>
    <s v="C++, Pandas, Keras, Excel"/>
    <s v="MLflow, KDB+, Scikit-learn"/>
    <x v="0"/>
  </r>
  <r>
    <x v="4"/>
    <x v="4"/>
    <x v="2"/>
    <x v="0"/>
    <n v="138576.5"/>
    <s v="C++, Pandas, MLflow, Scikit-learn, AWS, LangChain"/>
    <s v="Scikit-learn, LangChain"/>
    <x v="2"/>
  </r>
  <r>
    <x v="4"/>
    <x v="6"/>
    <x v="0"/>
    <x v="3"/>
    <n v="91853"/>
    <s v="C++, Pandas, NumPy, R"/>
    <s v="BigQuery, LangChain"/>
    <x v="1"/>
  </r>
  <r>
    <x v="1"/>
    <x v="7"/>
    <x v="2"/>
    <x v="3"/>
    <n v="129440.5"/>
    <s v="C++, Power BI, LangChain, Azure, Pandas, TensorFlow"/>
    <s v="MLflow, BigQuery, PyTorch"/>
    <x v="2"/>
  </r>
  <r>
    <x v="1"/>
    <x v="4"/>
    <x v="2"/>
    <x v="1"/>
    <n v="132595.5"/>
    <s v="C++, Power BI, NumPy"/>
    <s v="LangChain, BigQuery"/>
    <x v="2"/>
  </r>
  <r>
    <x v="0"/>
    <x v="4"/>
    <x v="2"/>
    <x v="3"/>
    <n v="78434.5"/>
    <s v="C++, Power BI, Pandas"/>
    <s v="BigQuery"/>
    <x v="2"/>
  </r>
  <r>
    <x v="5"/>
    <x v="4"/>
    <x v="0"/>
    <x v="2"/>
    <n v="148844.5"/>
    <s v="C++, Power BI, R, SQL, Keras, Azure"/>
    <s v="Scikit-learn, BigQuery, PyTorch"/>
    <x v="2"/>
  </r>
  <r>
    <x v="0"/>
    <x v="6"/>
    <x v="0"/>
    <x v="0"/>
    <n v="191409"/>
    <s v="C++, Python, GCP"/>
    <s v="FastAPI, Scikit-learn, PyTorch"/>
    <x v="2"/>
  </r>
  <r>
    <x v="2"/>
    <x v="6"/>
    <x v="0"/>
    <x v="3"/>
    <n v="165924"/>
    <s v="C++, Python, Keras, Scikit-learn"/>
    <s v="FastAPI, PyTorch"/>
    <x v="0"/>
  </r>
  <r>
    <x v="6"/>
    <x v="0"/>
    <x v="1"/>
    <x v="0"/>
    <n v="171255"/>
    <s v="C++, Python, R"/>
    <s v="BigQuery"/>
    <x v="1"/>
  </r>
  <r>
    <x v="5"/>
    <x v="0"/>
    <x v="0"/>
    <x v="0"/>
    <n v="139698"/>
    <s v="C++, Python, R, Excel"/>
    <s v="KDB+"/>
    <x v="0"/>
  </r>
  <r>
    <x v="4"/>
    <x v="5"/>
    <x v="2"/>
    <x v="1"/>
    <n v="131419.5"/>
    <s v="C++, Python, TensorFlow, Keras, Excel"/>
    <s v="BigQuery"/>
    <x v="1"/>
  </r>
  <r>
    <x v="3"/>
    <x v="2"/>
    <x v="2"/>
    <x v="2"/>
    <n v="58430"/>
    <s v="C++, PyTorch, Flask"/>
    <s v="KDB+"/>
    <x v="1"/>
  </r>
  <r>
    <x v="2"/>
    <x v="1"/>
    <x v="2"/>
    <x v="1"/>
    <n v="113837"/>
    <s v="C++, PyTorch, MLflow, Scikit-learn, TensorFlow"/>
    <s v="FastAPI"/>
    <x v="0"/>
  </r>
  <r>
    <x v="3"/>
    <x v="1"/>
    <x v="2"/>
    <x v="2"/>
    <n v="93267"/>
    <s v="C++, PyTorch, NumPy, LangChain, AWS, Keras"/>
    <s v="TensorFlow"/>
    <x v="0"/>
  </r>
  <r>
    <x v="0"/>
    <x v="5"/>
    <x v="0"/>
    <x v="3"/>
    <n v="127517"/>
    <s v="C++, PyTorch, Power BI"/>
    <s v="MLflow"/>
    <x v="1"/>
  </r>
  <r>
    <x v="5"/>
    <x v="5"/>
    <x v="0"/>
    <x v="1"/>
    <n v="49122.5"/>
    <s v="C++, R, CUDA, Pandas, Azure"/>
    <s v="BigQuery, Scikit-learn"/>
    <x v="1"/>
  </r>
  <r>
    <x v="0"/>
    <x v="2"/>
    <x v="0"/>
    <x v="2"/>
    <n v="165194"/>
    <s v="C++, R, LangChain, Keras"/>
    <s v="Scikit-learn, TensorFlow"/>
    <x v="2"/>
  </r>
  <r>
    <x v="1"/>
    <x v="5"/>
    <x v="2"/>
    <x v="2"/>
    <n v="96142"/>
    <s v="C++, R, NumPy, PyTorch, GCP, Hugging Face"/>
    <s v="LangChain"/>
    <x v="1"/>
  </r>
  <r>
    <x v="6"/>
    <x v="7"/>
    <x v="0"/>
    <x v="2"/>
    <n v="104372.5"/>
    <s v="C++, R, Python, Scikit-learn, Reinforcement Learning, LangChain"/>
    <s v="FastAPI, LangChain"/>
    <x v="1"/>
  </r>
  <r>
    <x v="1"/>
    <x v="0"/>
    <x v="0"/>
    <x v="3"/>
    <n v="83648.5"/>
    <s v="C++, Reinforcement Learning, Azure, CUDA, MLflow"/>
    <s v="BigQuery"/>
    <x v="0"/>
  </r>
  <r>
    <x v="0"/>
    <x v="7"/>
    <x v="1"/>
    <x v="3"/>
    <n v="100666"/>
    <s v="C++, Reinforcement Learning, Flask, AWS, Scikit-learn, NumPy"/>
    <s v="FastAPI"/>
    <x v="1"/>
  </r>
  <r>
    <x v="1"/>
    <x v="7"/>
    <x v="0"/>
    <x v="0"/>
    <n v="105337"/>
    <s v="C++, Reinforcement Learning, MLflow, Pandas, SQL"/>
    <s v="Scikit-learn, PyTorch, MLflow"/>
    <x v="2"/>
  </r>
  <r>
    <x v="5"/>
    <x v="5"/>
    <x v="2"/>
    <x v="1"/>
    <n v="152621"/>
    <s v="C++, Reinforcement Learning, NumPy, Azure, MLflow, Flask"/>
    <s v="FastAPI, KDB+"/>
    <x v="2"/>
  </r>
  <r>
    <x v="3"/>
    <x v="7"/>
    <x v="2"/>
    <x v="0"/>
    <n v="121822.5"/>
    <s v="C++, Reinforcement Learning, NumPy, LangChain"/>
    <s v="FastAPI"/>
    <x v="2"/>
  </r>
  <r>
    <x v="6"/>
    <x v="0"/>
    <x v="0"/>
    <x v="0"/>
    <n v="160398"/>
    <s v="C++, Scikit-learn, CUDA, LangChain"/>
    <s v="BigQuery, PyTorch"/>
    <x v="2"/>
  </r>
  <r>
    <x v="6"/>
    <x v="7"/>
    <x v="0"/>
    <x v="2"/>
    <n v="163237"/>
    <s v="C++, Scikit-learn, FastAPI"/>
    <s v="TensorFlow"/>
    <x v="2"/>
  </r>
  <r>
    <x v="6"/>
    <x v="0"/>
    <x v="0"/>
    <x v="1"/>
    <n v="155967.5"/>
    <s v="C++, Scikit-learn, FastAPI, GCP"/>
    <s v="BigQuery, FastAPI"/>
    <x v="0"/>
  </r>
  <r>
    <x v="0"/>
    <x v="7"/>
    <x v="2"/>
    <x v="1"/>
    <n v="92363.5"/>
    <s v="C++, Scikit-learn, PyTorch, Pandas, Flask"/>
    <s v="MLflow"/>
    <x v="1"/>
  </r>
  <r>
    <x v="4"/>
    <x v="7"/>
    <x v="0"/>
    <x v="3"/>
    <n v="128030"/>
    <s v="C++, Scikit-learn, PyTorch, SQL, Reinforcement Learning, Hugging Face"/>
    <s v="KDB+"/>
    <x v="1"/>
  </r>
  <r>
    <x v="4"/>
    <x v="2"/>
    <x v="0"/>
    <x v="2"/>
    <n v="105899.5"/>
    <s v="C++, SQL, AWS, Azure, R"/>
    <s v="PyTorch"/>
    <x v="1"/>
  </r>
  <r>
    <x v="5"/>
    <x v="6"/>
    <x v="0"/>
    <x v="1"/>
    <n v="153591.5"/>
    <s v="C++, SQL, Flask, PyTorch, MLflow, FastAPI"/>
    <s v="KDB+, TensorFlow"/>
    <x v="1"/>
  </r>
  <r>
    <x v="5"/>
    <x v="2"/>
    <x v="1"/>
    <x v="0"/>
    <n v="136223"/>
    <s v="C++, SQL, NumPy, R, Keras"/>
    <s v="MLflow, KDB+, Scikit-learn"/>
    <x v="0"/>
  </r>
  <r>
    <x v="5"/>
    <x v="6"/>
    <x v="2"/>
    <x v="2"/>
    <n v="117621"/>
    <s v="C++, SQL, Python, MLflow, Power BI, FastAPI"/>
    <s v="LangChain"/>
    <x v="2"/>
  </r>
  <r>
    <x v="3"/>
    <x v="0"/>
    <x v="0"/>
    <x v="3"/>
    <n v="87394"/>
    <s v="C++, SQL, Reinforcement Learning, PyTorch"/>
    <s v="LangChain, Scikit-learn"/>
    <x v="1"/>
  </r>
  <r>
    <x v="1"/>
    <x v="5"/>
    <x v="0"/>
    <x v="1"/>
    <n v="152568"/>
    <s v="C++, TensorFlow, AWS"/>
    <s v="PyTorch, MLflow"/>
    <x v="2"/>
  </r>
  <r>
    <x v="5"/>
    <x v="1"/>
    <x v="1"/>
    <x v="1"/>
    <n v="65931"/>
    <s v="C++, TensorFlow, FastAPI, AWS, Reinforcement Learning"/>
    <s v="KDB+, PyTorch"/>
    <x v="0"/>
  </r>
  <r>
    <x v="0"/>
    <x v="2"/>
    <x v="0"/>
    <x v="3"/>
    <n v="114535.5"/>
    <s v="C++, TensorFlow, Keras"/>
    <s v="BigQuery"/>
    <x v="1"/>
  </r>
  <r>
    <x v="1"/>
    <x v="0"/>
    <x v="0"/>
    <x v="2"/>
    <n v="125710"/>
    <s v="CUDA, AWS, NumPy, Azure, Power BI"/>
    <s v="TensorFlow, Scikit-learn, FastAPI"/>
    <x v="2"/>
  </r>
  <r>
    <x v="0"/>
    <x v="3"/>
    <x v="2"/>
    <x v="0"/>
    <n v="166912.5"/>
    <s v="CUDA, AWS, Scikit-learn"/>
    <s v="MLflow"/>
    <x v="1"/>
  </r>
  <r>
    <x v="2"/>
    <x v="1"/>
    <x v="2"/>
    <x v="0"/>
    <n v="125685.5"/>
    <s v="CUDA, Azure, FastAPI, Flask"/>
    <s v="Scikit-learn, BigQuery"/>
    <x v="1"/>
  </r>
  <r>
    <x v="2"/>
    <x v="6"/>
    <x v="2"/>
    <x v="2"/>
    <n v="81514"/>
    <s v="CUDA, Azure, MLflow, NumPy"/>
    <s v="FastAPI, Scikit-learn"/>
    <x v="1"/>
  </r>
  <r>
    <x v="4"/>
    <x v="7"/>
    <x v="1"/>
    <x v="0"/>
    <n v="109303.5"/>
    <s v="CUDA, Azure, Power BI, LangChain"/>
    <s v="PyTorch"/>
    <x v="1"/>
  </r>
  <r>
    <x v="2"/>
    <x v="2"/>
    <x v="1"/>
    <x v="2"/>
    <n v="172026"/>
    <s v="CUDA, Azure, Python, Scikit-learn, Power BI"/>
    <s v="BigQuery"/>
    <x v="1"/>
  </r>
  <r>
    <x v="5"/>
    <x v="1"/>
    <x v="0"/>
    <x v="1"/>
    <n v="93382"/>
    <s v="CUDA, C++, Azure, FastAPI, PyTorch"/>
    <s v="BigQuery, MLflow, TensorFlow"/>
    <x v="2"/>
  </r>
  <r>
    <x v="4"/>
    <x v="7"/>
    <x v="1"/>
    <x v="3"/>
    <n v="81549.5"/>
    <s v="CUDA, C++, Excel"/>
    <s v="BigQuery, TensorFlow, FastAPI"/>
    <x v="1"/>
  </r>
  <r>
    <x v="0"/>
    <x v="6"/>
    <x v="1"/>
    <x v="3"/>
    <n v="77765"/>
    <s v="CUDA, C++, Power BI, FastAPI"/>
    <s v="FastAPI, KDB+"/>
    <x v="1"/>
  </r>
  <r>
    <x v="3"/>
    <x v="4"/>
    <x v="1"/>
    <x v="0"/>
    <n v="137389"/>
    <s v="CUDA, Excel, Azure, NumPy"/>
    <s v="TensorFlow, MLflow, KDB+"/>
    <x v="1"/>
  </r>
  <r>
    <x v="3"/>
    <x v="1"/>
    <x v="1"/>
    <x v="0"/>
    <n v="107877"/>
    <s v="CUDA, Excel, C++"/>
    <s v="KDB+, FastAPI"/>
    <x v="0"/>
  </r>
  <r>
    <x v="3"/>
    <x v="3"/>
    <x v="2"/>
    <x v="0"/>
    <n v="87818.5"/>
    <s v="CUDA, Excel, FastAPI, MLflow"/>
    <s v="Scikit-learn"/>
    <x v="2"/>
  </r>
  <r>
    <x v="2"/>
    <x v="7"/>
    <x v="1"/>
    <x v="3"/>
    <n v="151514"/>
    <s v="CUDA, Excel, FastAPI, MLflow, Azure, Power BI"/>
    <s v="FastAPI, BigQuery"/>
    <x v="0"/>
  </r>
  <r>
    <x v="2"/>
    <x v="1"/>
    <x v="2"/>
    <x v="3"/>
    <n v="119843"/>
    <s v="CUDA, Excel, Flask, Hugging Face, MLflow, Python"/>
    <s v="MLflow, KDB+"/>
    <x v="1"/>
  </r>
  <r>
    <x v="6"/>
    <x v="6"/>
    <x v="2"/>
    <x v="2"/>
    <n v="129500"/>
    <s v="CUDA, Excel, Keras, C++, PyTorch, GCP"/>
    <s v="PyTorch"/>
    <x v="2"/>
  </r>
  <r>
    <x v="5"/>
    <x v="1"/>
    <x v="1"/>
    <x v="0"/>
    <n v="162266"/>
    <s v="CUDA, FastAPI, Power BI"/>
    <s v="FastAPI, LangChain"/>
    <x v="1"/>
  </r>
  <r>
    <x v="1"/>
    <x v="7"/>
    <x v="1"/>
    <x v="0"/>
    <n v="93774.5"/>
    <s v="CUDA, FastAPI, Power BI, Flask, SQL"/>
    <s v="PyTorch, MLflow"/>
    <x v="1"/>
  </r>
  <r>
    <x v="0"/>
    <x v="7"/>
    <x v="2"/>
    <x v="3"/>
    <n v="117808"/>
    <s v="CUDA, FastAPI, Python"/>
    <s v="MLflow, PyTorch"/>
    <x v="0"/>
  </r>
  <r>
    <x v="3"/>
    <x v="1"/>
    <x v="2"/>
    <x v="2"/>
    <n v="166223.5"/>
    <s v="CUDA, FastAPI, Reinforcement Learning"/>
    <s v="MLflow, BigQuery"/>
    <x v="2"/>
  </r>
  <r>
    <x v="6"/>
    <x v="2"/>
    <x v="2"/>
    <x v="2"/>
    <n v="111608"/>
    <s v="CUDA, FastAPI, Scikit-learn, MLflow, Hugging Face"/>
    <s v="PyTorch, Scikit-learn, KDB+"/>
    <x v="0"/>
  </r>
  <r>
    <x v="2"/>
    <x v="5"/>
    <x v="1"/>
    <x v="1"/>
    <n v="100212"/>
    <s v="CUDA, GCP, Flask, Excel"/>
    <s v="BigQuery, LangChain"/>
    <x v="0"/>
  </r>
  <r>
    <x v="4"/>
    <x v="5"/>
    <x v="1"/>
    <x v="3"/>
    <n v="149465"/>
    <s v="CUDA, Hugging Face, Azure"/>
    <s v="FastAPI, PyTorch"/>
    <x v="2"/>
  </r>
  <r>
    <x v="1"/>
    <x v="3"/>
    <x v="0"/>
    <x v="3"/>
    <n v="134407.5"/>
    <s v="CUDA, Hugging Face, GCP, FastAPI"/>
    <s v="BigQuery, TensorFlow, FastAPI"/>
    <x v="2"/>
  </r>
  <r>
    <x v="0"/>
    <x v="4"/>
    <x v="0"/>
    <x v="2"/>
    <n v="133649.5"/>
    <s v="CUDA, Hugging Face, GCP, Python, AWS"/>
    <s v="FastAPI, LangChain"/>
    <x v="0"/>
  </r>
  <r>
    <x v="3"/>
    <x v="0"/>
    <x v="0"/>
    <x v="2"/>
    <n v="94879"/>
    <s v="CUDA, Hugging Face, Python"/>
    <s v="FastAPI, PyTorch, TensorFlow"/>
    <x v="1"/>
  </r>
  <r>
    <x v="4"/>
    <x v="3"/>
    <x v="2"/>
    <x v="0"/>
    <n v="89048.5"/>
    <s v="CUDA, Hugging Face, SQL, GCP, C++, Python"/>
    <s v="PyTorch, BigQuery"/>
    <x v="1"/>
  </r>
  <r>
    <x v="1"/>
    <x v="2"/>
    <x v="1"/>
    <x v="0"/>
    <n v="98025"/>
    <s v="CUDA, Keras, Hugging Face, Reinforcement Learning"/>
    <s v="MLflow"/>
    <x v="1"/>
  </r>
  <r>
    <x v="5"/>
    <x v="1"/>
    <x v="1"/>
    <x v="3"/>
    <n v="150066"/>
    <s v="CUDA, Keras, TensorFlow, Scikit-learn"/>
    <s v="BigQuery"/>
    <x v="0"/>
  </r>
  <r>
    <x v="4"/>
    <x v="7"/>
    <x v="0"/>
    <x v="0"/>
    <n v="142299.5"/>
    <s v="CUDA, LangChain, NumPy, GCP, Flask, Azure"/>
    <s v="KDB+, MLflow"/>
    <x v="0"/>
  </r>
  <r>
    <x v="4"/>
    <x v="2"/>
    <x v="0"/>
    <x v="3"/>
    <n v="98319"/>
    <s v="CUDA, LangChain, Python, Azure"/>
    <s v="KDB+, BigQuery"/>
    <x v="0"/>
  </r>
  <r>
    <x v="5"/>
    <x v="7"/>
    <x v="1"/>
    <x v="0"/>
    <n v="132804"/>
    <s v="CUDA, LangChain, PyTorch"/>
    <s v="MLflow"/>
    <x v="2"/>
  </r>
  <r>
    <x v="3"/>
    <x v="5"/>
    <x v="0"/>
    <x v="0"/>
    <n v="130342"/>
    <s v="CUDA, MLflow, C++, Python, Power BI, NumPy"/>
    <s v="FastAPI"/>
    <x v="2"/>
  </r>
  <r>
    <x v="2"/>
    <x v="6"/>
    <x v="2"/>
    <x v="1"/>
    <n v="93717.5"/>
    <s v="CUDA, MLflow, Flask, Python, Scikit-learn, PyTorch"/>
    <s v="TensorFlow, PyTorch"/>
    <x v="2"/>
  </r>
  <r>
    <x v="1"/>
    <x v="5"/>
    <x v="2"/>
    <x v="0"/>
    <n v="177701.5"/>
    <s v="CUDA, MLflow, LangChain"/>
    <s v="TensorFlow, FastAPI, PyTorch"/>
    <x v="0"/>
  </r>
  <r>
    <x v="0"/>
    <x v="4"/>
    <x v="1"/>
    <x v="3"/>
    <n v="106785.5"/>
    <s v="CUDA, NumPy, Flask, LangChain, Power BI, Azure"/>
    <s v="LangChain"/>
    <x v="0"/>
  </r>
  <r>
    <x v="4"/>
    <x v="3"/>
    <x v="2"/>
    <x v="0"/>
    <n v="87406.5"/>
    <s v="CUDA, NumPy, Keras"/>
    <s v="TensorFlow, MLflow, PyTorch"/>
    <x v="2"/>
  </r>
  <r>
    <x v="0"/>
    <x v="2"/>
    <x v="0"/>
    <x v="0"/>
    <n v="100551.5"/>
    <s v="CUDA, NumPy, Power BI, Azure, C++"/>
    <s v="PyTorch, MLflow, KDB+"/>
    <x v="0"/>
  </r>
  <r>
    <x v="6"/>
    <x v="3"/>
    <x v="2"/>
    <x v="1"/>
    <n v="124758.5"/>
    <s v="CUDA, NumPy, Power BI, Azure, SQL, Keras"/>
    <s v="KDB+"/>
    <x v="2"/>
  </r>
  <r>
    <x v="2"/>
    <x v="7"/>
    <x v="1"/>
    <x v="3"/>
    <n v="73465.5"/>
    <s v="CUDA, NumPy, TensorFlow, Keras"/>
    <s v="KDB+, MLflow"/>
    <x v="1"/>
  </r>
  <r>
    <x v="0"/>
    <x v="2"/>
    <x v="1"/>
    <x v="1"/>
    <n v="189411"/>
    <s v="CUDA, Pandas, AWS, LangChain"/>
    <s v="TensorFlow, KDB+"/>
    <x v="2"/>
  </r>
  <r>
    <x v="4"/>
    <x v="6"/>
    <x v="2"/>
    <x v="3"/>
    <n v="88147.5"/>
    <s v="CUDA, Pandas, GCP, LangChain, Azure, TensorFlow"/>
    <s v="KDB+, MLflow"/>
    <x v="1"/>
  </r>
  <r>
    <x v="3"/>
    <x v="7"/>
    <x v="0"/>
    <x v="3"/>
    <n v="93769"/>
    <s v="CUDA, Pandas, MLflow, Azure, Flask"/>
    <s v="MLflow, FastAPI, Scikit-learn"/>
    <x v="1"/>
  </r>
  <r>
    <x v="6"/>
    <x v="7"/>
    <x v="0"/>
    <x v="0"/>
    <n v="132767"/>
    <s v="CUDA, Pandas, Python, PyTorch, Azure, Keras"/>
    <s v="LangChain"/>
    <x v="2"/>
  </r>
  <r>
    <x v="3"/>
    <x v="0"/>
    <x v="2"/>
    <x v="0"/>
    <n v="168179.5"/>
    <s v="CUDA, Pandas, R, Reinforcement Learning, TensorFlow, Azure"/>
    <s v="TensorFlow"/>
    <x v="2"/>
  </r>
  <r>
    <x v="4"/>
    <x v="2"/>
    <x v="2"/>
    <x v="3"/>
    <n v="189034"/>
    <s v="CUDA, Pandas, Scikit-learn"/>
    <s v="MLflow, KDB+"/>
    <x v="2"/>
  </r>
  <r>
    <x v="3"/>
    <x v="6"/>
    <x v="2"/>
    <x v="0"/>
    <n v="78574"/>
    <s v="CUDA, Pandas, Scikit-learn, LangChain, Azure, FastAPI"/>
    <s v="MLflow, KDB+, PyTorch"/>
    <x v="0"/>
  </r>
  <r>
    <x v="6"/>
    <x v="1"/>
    <x v="1"/>
    <x v="0"/>
    <n v="154278.5"/>
    <s v="CUDA, Power BI, AWS, FastAPI, C++"/>
    <s v="TensorFlow"/>
    <x v="1"/>
  </r>
  <r>
    <x v="5"/>
    <x v="5"/>
    <x v="1"/>
    <x v="0"/>
    <n v="96565"/>
    <s v="CUDA, Power BI, Hugging Face, Pandas, MLflow"/>
    <s v="KDB+"/>
    <x v="2"/>
  </r>
  <r>
    <x v="5"/>
    <x v="1"/>
    <x v="1"/>
    <x v="3"/>
    <n v="147306.5"/>
    <s v="CUDA, Power BI, LangChain, Scikit-learn"/>
    <s v="BigQuery, MLflow"/>
    <x v="2"/>
  </r>
  <r>
    <x v="1"/>
    <x v="5"/>
    <x v="2"/>
    <x v="1"/>
    <n v="113281"/>
    <s v="CUDA, Power BI, SQL, Pandas"/>
    <s v="Scikit-learn, FastAPI, KDB+"/>
    <x v="1"/>
  </r>
  <r>
    <x v="6"/>
    <x v="7"/>
    <x v="1"/>
    <x v="0"/>
    <n v="133959.5"/>
    <s v="CUDA, Python, Keras"/>
    <s v="FastAPI, PyTorch, TensorFlow"/>
    <x v="0"/>
  </r>
  <r>
    <x v="4"/>
    <x v="6"/>
    <x v="1"/>
    <x v="0"/>
    <n v="119376"/>
    <s v="CUDA, Python, Keras, SQL"/>
    <s v="KDB+"/>
    <x v="1"/>
  </r>
  <r>
    <x v="5"/>
    <x v="3"/>
    <x v="1"/>
    <x v="0"/>
    <n v="157281.5"/>
    <s v="CUDA, PyTorch, Excel"/>
    <s v="LangChain"/>
    <x v="1"/>
  </r>
  <r>
    <x v="0"/>
    <x v="7"/>
    <x v="0"/>
    <x v="3"/>
    <n v="132856.5"/>
    <s v="CUDA, PyTorch, GCP, C++"/>
    <s v="FastAPI, TensorFlow"/>
    <x v="0"/>
  </r>
  <r>
    <x v="5"/>
    <x v="7"/>
    <x v="1"/>
    <x v="1"/>
    <n v="107459"/>
    <s v="CUDA, PyTorch, Reinforcement Learning, NumPy, AWS"/>
    <s v="TensorFlow, Scikit-learn"/>
    <x v="2"/>
  </r>
  <r>
    <x v="2"/>
    <x v="2"/>
    <x v="1"/>
    <x v="2"/>
    <n v="98471.5"/>
    <s v="CUDA, R, GCP"/>
    <s v="BigQuery, KDB+"/>
    <x v="2"/>
  </r>
  <r>
    <x v="4"/>
    <x v="3"/>
    <x v="1"/>
    <x v="3"/>
    <n v="140656.5"/>
    <s v="CUDA, R, Hugging Face, PyTorch, AWS"/>
    <s v="BigQuery"/>
    <x v="1"/>
  </r>
  <r>
    <x v="0"/>
    <x v="1"/>
    <x v="0"/>
    <x v="3"/>
    <n v="153307.5"/>
    <s v="CUDA, R, Reinforcement Learning"/>
    <s v="MLflow, PyTorch, KDB+"/>
    <x v="0"/>
  </r>
  <r>
    <x v="4"/>
    <x v="5"/>
    <x v="1"/>
    <x v="0"/>
    <n v="102040.5"/>
    <s v="CUDA, Reinforcement Learning, TensorFlow, Power BI, FastAPI, LangChain"/>
    <s v="TensorFlow"/>
    <x v="1"/>
  </r>
  <r>
    <x v="5"/>
    <x v="1"/>
    <x v="2"/>
    <x v="3"/>
    <n v="153879.5"/>
    <s v="CUDA, Scikit-learn, Power BI, TensorFlow"/>
    <s v="Scikit-learn, MLflow"/>
    <x v="1"/>
  </r>
  <r>
    <x v="2"/>
    <x v="0"/>
    <x v="1"/>
    <x v="1"/>
    <n v="80684"/>
    <s v="CUDA, Scikit-learn, R, Azure"/>
    <s v="BigQuery, LangChain"/>
    <x v="1"/>
  </r>
  <r>
    <x v="3"/>
    <x v="5"/>
    <x v="1"/>
    <x v="1"/>
    <n v="166053"/>
    <s v="CUDA, SQL, AWS, Azure, Python"/>
    <s v="LangChain, Scikit-learn"/>
    <x v="0"/>
  </r>
  <r>
    <x v="0"/>
    <x v="7"/>
    <x v="2"/>
    <x v="3"/>
    <n v="103471.5"/>
    <s v="CUDA, SQL, Azure, Excel, Pandas"/>
    <s v="LangChain, FastAPI, Scikit-learn"/>
    <x v="2"/>
  </r>
  <r>
    <x v="5"/>
    <x v="7"/>
    <x v="2"/>
    <x v="1"/>
    <n v="77838.5"/>
    <s v="CUDA, SQL, Azure, MLflow, Python, GCP"/>
    <s v="KDB+"/>
    <x v="0"/>
  </r>
  <r>
    <x v="5"/>
    <x v="6"/>
    <x v="1"/>
    <x v="3"/>
    <n v="61594.5"/>
    <s v="CUDA, SQL, C++, PyTorch, Hugging Face, AWS"/>
    <s v="LangChain"/>
    <x v="0"/>
  </r>
  <r>
    <x v="0"/>
    <x v="3"/>
    <x v="1"/>
    <x v="1"/>
    <n v="101686.5"/>
    <s v="CUDA, SQL, Flask"/>
    <s v="MLflow, KDB+, TensorFlow"/>
    <x v="0"/>
  </r>
  <r>
    <x v="6"/>
    <x v="3"/>
    <x v="0"/>
    <x v="2"/>
    <n v="138457"/>
    <s v="CUDA, SQL, Keras, Azure, LangChain, Reinforcement Learning"/>
    <s v="MLflow, PyTorch"/>
    <x v="0"/>
  </r>
  <r>
    <x v="6"/>
    <x v="6"/>
    <x v="2"/>
    <x v="2"/>
    <n v="90096.5"/>
    <s v="CUDA, SQL, Keras, C++"/>
    <s v="FastAPI, Scikit-learn, TensorFlow"/>
    <x v="1"/>
  </r>
  <r>
    <x v="2"/>
    <x v="1"/>
    <x v="1"/>
    <x v="0"/>
    <n v="135710"/>
    <s v="CUDA, SQL, NumPy, Python, Flask"/>
    <s v="FastAPI"/>
    <x v="0"/>
  </r>
  <r>
    <x v="4"/>
    <x v="3"/>
    <x v="2"/>
    <x v="1"/>
    <n v="123660.5"/>
    <s v="CUDA, SQL, Power BI, GCP, FastAPI, PyTorch"/>
    <s v="BigQuery, KDB+"/>
    <x v="1"/>
  </r>
  <r>
    <x v="5"/>
    <x v="1"/>
    <x v="2"/>
    <x v="3"/>
    <n v="84419.5"/>
    <s v="CUDA, SQL, Python, Reinforcement Learning"/>
    <s v="PyTorch, MLflow"/>
    <x v="1"/>
  </r>
  <r>
    <x v="1"/>
    <x v="5"/>
    <x v="0"/>
    <x v="1"/>
    <n v="90329.5"/>
    <s v="CUDA, TensorFlow, FastAPI, Power BI, LangChain, MLflow"/>
    <s v="KDB+"/>
    <x v="0"/>
  </r>
  <r>
    <x v="4"/>
    <x v="0"/>
    <x v="0"/>
    <x v="0"/>
    <n v="135501.5"/>
    <s v="CUDA, TensorFlow, Python, Azure, Scikit-learn"/>
    <s v="FastAPI"/>
    <x v="0"/>
  </r>
  <r>
    <x v="4"/>
    <x v="7"/>
    <x v="0"/>
    <x v="0"/>
    <n v="159045.5"/>
    <s v="CUDA, TensorFlow, PyTorch, Python, R, NumPy"/>
    <s v="LangChain, TensorFlow, KDB+"/>
    <x v="0"/>
  </r>
  <r>
    <x v="4"/>
    <x v="6"/>
    <x v="2"/>
    <x v="1"/>
    <n v="54933.5"/>
    <s v="CUDA, TensorFlow, Scikit-learn, PyTorch"/>
    <s v="MLflow, PyTorch"/>
    <x v="0"/>
  </r>
  <r>
    <x v="3"/>
    <x v="5"/>
    <x v="0"/>
    <x v="2"/>
    <n v="131284"/>
    <s v="Excel, AWS, Flask, NumPy"/>
    <s v="LangChain"/>
    <x v="1"/>
  </r>
  <r>
    <x v="5"/>
    <x v="1"/>
    <x v="1"/>
    <x v="3"/>
    <n v="104503"/>
    <s v="Excel, AWS, Keras, Azure, FastAPI, R"/>
    <s v="MLflow, LangChain"/>
    <x v="2"/>
  </r>
  <r>
    <x v="6"/>
    <x v="5"/>
    <x v="1"/>
    <x v="1"/>
    <n v="129516.5"/>
    <s v="Excel, AWS, PyTorch, GCP, NumPy, Reinforcement Learning"/>
    <s v="FastAPI, MLflow, KDB+"/>
    <x v="1"/>
  </r>
  <r>
    <x v="4"/>
    <x v="2"/>
    <x v="0"/>
    <x v="2"/>
    <n v="126599"/>
    <s v="Excel, AWS, SQL, CUDA"/>
    <s v="MLflow, FastAPI"/>
    <x v="1"/>
  </r>
  <r>
    <x v="6"/>
    <x v="0"/>
    <x v="0"/>
    <x v="2"/>
    <n v="87223"/>
    <s v="Excel, Azure, FastAPI, LangChain, GCP"/>
    <s v="Scikit-learn, LangChain, FastAPI"/>
    <x v="2"/>
  </r>
  <r>
    <x v="4"/>
    <x v="3"/>
    <x v="0"/>
    <x v="1"/>
    <n v="187139.5"/>
    <s v="Excel, Azure, Hugging Face, FastAPI"/>
    <s v="TensorFlow"/>
    <x v="0"/>
  </r>
  <r>
    <x v="0"/>
    <x v="7"/>
    <x v="2"/>
    <x v="2"/>
    <n v="130793"/>
    <s v="Excel, Azure, Pandas, PyTorch, SQL"/>
    <s v="PyTorch, TensorFlow, KDB+"/>
    <x v="0"/>
  </r>
  <r>
    <x v="2"/>
    <x v="4"/>
    <x v="2"/>
    <x v="0"/>
    <n v="120114.5"/>
    <s v="Excel, Azure, Python, R, Hugging Face"/>
    <s v="PyTorch, LangChain, MLflow"/>
    <x v="1"/>
  </r>
  <r>
    <x v="4"/>
    <x v="2"/>
    <x v="2"/>
    <x v="2"/>
    <n v="88793"/>
    <s v="Excel, Azure, R, FastAPI, PyTorch, Power BI"/>
    <s v="LangChain"/>
    <x v="2"/>
  </r>
  <r>
    <x v="0"/>
    <x v="2"/>
    <x v="2"/>
    <x v="0"/>
    <n v="133077"/>
    <s v="Excel, C++, GCP, SQL, PyTorch"/>
    <s v="BigQuery, PyTorch"/>
    <x v="1"/>
  </r>
  <r>
    <x v="0"/>
    <x v="4"/>
    <x v="1"/>
    <x v="3"/>
    <n v="115568"/>
    <s v="Excel, C++, Hugging Face, R"/>
    <s v="TensorFlow, MLflow, Scikit-learn"/>
    <x v="0"/>
  </r>
  <r>
    <x v="4"/>
    <x v="2"/>
    <x v="1"/>
    <x v="3"/>
    <n v="107124.5"/>
    <s v="Excel, C++, MLflow, Pandas"/>
    <s v="PyTorch"/>
    <x v="0"/>
  </r>
  <r>
    <x v="3"/>
    <x v="6"/>
    <x v="1"/>
    <x v="0"/>
    <n v="131496.5"/>
    <s v="Excel, CUDA, GCP, Reinforcement Learning, TensorFlow"/>
    <s v="KDB+"/>
    <x v="2"/>
  </r>
  <r>
    <x v="2"/>
    <x v="2"/>
    <x v="1"/>
    <x v="2"/>
    <n v="151506"/>
    <s v="Excel, CUDA, GCP, Scikit-learn, Python"/>
    <s v="PyTorch"/>
    <x v="1"/>
  </r>
  <r>
    <x v="6"/>
    <x v="4"/>
    <x v="0"/>
    <x v="2"/>
    <n v="94120.5"/>
    <s v="Excel, CUDA, Keras"/>
    <s v="PyTorch, Scikit-learn"/>
    <x v="0"/>
  </r>
  <r>
    <x v="3"/>
    <x v="5"/>
    <x v="2"/>
    <x v="3"/>
    <n v="138735.5"/>
    <s v="Excel, CUDA, Pandas"/>
    <s v="LangChain, MLflow"/>
    <x v="2"/>
  </r>
  <r>
    <x v="5"/>
    <x v="4"/>
    <x v="2"/>
    <x v="3"/>
    <n v="146478"/>
    <s v="Excel, CUDA, Reinforcement Learning"/>
    <s v="TensorFlow, LangChain, PyTorch"/>
    <x v="0"/>
  </r>
  <r>
    <x v="4"/>
    <x v="0"/>
    <x v="2"/>
    <x v="2"/>
    <n v="75352.5"/>
    <s v="Excel, CUDA, Reinforcement Learning, R, FastAPI, Keras"/>
    <s v="KDB+"/>
    <x v="0"/>
  </r>
  <r>
    <x v="4"/>
    <x v="1"/>
    <x v="1"/>
    <x v="2"/>
    <n v="83146"/>
    <s v="Excel, FastAPI, Hugging Face, C++, GCP, R"/>
    <s v="Scikit-learn, TensorFlow"/>
    <x v="1"/>
  </r>
  <r>
    <x v="2"/>
    <x v="6"/>
    <x v="1"/>
    <x v="3"/>
    <n v="111576"/>
    <s v="Excel, FastAPI, Hugging Face, LangChain, Flask"/>
    <s v="BigQuery, Scikit-learn"/>
    <x v="0"/>
  </r>
  <r>
    <x v="6"/>
    <x v="2"/>
    <x v="0"/>
    <x v="1"/>
    <n v="96742"/>
    <s v="Excel, FastAPI, Keras, PyTorch, Azure, Flask"/>
    <s v="PyTorch, TensorFlow, MLflow"/>
    <x v="2"/>
  </r>
  <r>
    <x v="6"/>
    <x v="5"/>
    <x v="1"/>
    <x v="1"/>
    <n v="57607.5"/>
    <s v="Excel, FastAPI, Power BI, R"/>
    <s v="LangChain"/>
    <x v="0"/>
  </r>
  <r>
    <x v="6"/>
    <x v="6"/>
    <x v="1"/>
    <x v="0"/>
    <n v="107061"/>
    <s v="Excel, Flask, AWS, R"/>
    <s v="PyTorch, KDB+"/>
    <x v="1"/>
  </r>
  <r>
    <x v="5"/>
    <x v="3"/>
    <x v="2"/>
    <x v="2"/>
    <n v="84443"/>
    <s v="Excel, Flask, C++, Scikit-learn"/>
    <s v="LangChain"/>
    <x v="0"/>
  </r>
  <r>
    <x v="3"/>
    <x v="7"/>
    <x v="0"/>
    <x v="2"/>
    <n v="79591.5"/>
    <s v="Excel, Flask, CUDA"/>
    <s v="PyTorch"/>
    <x v="1"/>
  </r>
  <r>
    <x v="5"/>
    <x v="1"/>
    <x v="2"/>
    <x v="0"/>
    <n v="165302.5"/>
    <s v="Excel, Flask, FastAPI"/>
    <s v="Scikit-learn"/>
    <x v="2"/>
  </r>
  <r>
    <x v="6"/>
    <x v="2"/>
    <x v="0"/>
    <x v="1"/>
    <n v="89244.5"/>
    <s v="Excel, Flask, Hugging Face, TensorFlow"/>
    <s v="MLflow"/>
    <x v="1"/>
  </r>
  <r>
    <x v="6"/>
    <x v="4"/>
    <x v="1"/>
    <x v="0"/>
    <n v="161932"/>
    <s v="Excel, Flask, Power BI, PyTorch, SQL, CUDA"/>
    <s v="LangChain, BigQuery, FastAPI"/>
    <x v="1"/>
  </r>
  <r>
    <x v="6"/>
    <x v="1"/>
    <x v="1"/>
    <x v="0"/>
    <n v="76832"/>
    <s v="Excel, Flask, SQL, R"/>
    <s v="MLflow"/>
    <x v="2"/>
  </r>
  <r>
    <x v="1"/>
    <x v="7"/>
    <x v="1"/>
    <x v="3"/>
    <n v="154440"/>
    <s v="Excel, GCP, C++, NumPy, Hugging Face"/>
    <s v="PyTorch, BigQuery, Scikit-learn"/>
    <x v="1"/>
  </r>
  <r>
    <x v="6"/>
    <x v="3"/>
    <x v="0"/>
    <x v="0"/>
    <n v="174978"/>
    <s v="Excel, GCP, CUDA, Azure"/>
    <s v="LangChain, BigQuery, MLflow"/>
    <x v="1"/>
  </r>
  <r>
    <x v="6"/>
    <x v="7"/>
    <x v="0"/>
    <x v="0"/>
    <n v="82429"/>
    <s v="Excel, GCP, R"/>
    <s v="Scikit-learn"/>
    <x v="0"/>
  </r>
  <r>
    <x v="5"/>
    <x v="3"/>
    <x v="0"/>
    <x v="2"/>
    <n v="173403"/>
    <s v="Excel, GCP, Reinforcement Learning, Hugging Face, CUDA, Python"/>
    <s v="Scikit-learn, KDB+"/>
    <x v="0"/>
  </r>
  <r>
    <x v="6"/>
    <x v="3"/>
    <x v="1"/>
    <x v="3"/>
    <n v="59203"/>
    <s v="Excel, GCP, Scikit-learn, PyTorch"/>
    <s v="KDB+"/>
    <x v="1"/>
  </r>
  <r>
    <x v="0"/>
    <x v="2"/>
    <x v="0"/>
    <x v="1"/>
    <n v="89730"/>
    <s v="Excel, Hugging Face, AWS, TensorFlow, R, Power BI"/>
    <s v="TensorFlow"/>
    <x v="1"/>
  </r>
  <r>
    <x v="1"/>
    <x v="2"/>
    <x v="0"/>
    <x v="1"/>
    <n v="111910"/>
    <s v="Excel, Hugging Face, CUDA, Flask, TensorFlow, C++"/>
    <s v="PyTorch, KDB+, BigQuery"/>
    <x v="1"/>
  </r>
  <r>
    <x v="5"/>
    <x v="0"/>
    <x v="0"/>
    <x v="3"/>
    <n v="148675"/>
    <s v="Excel, Hugging Face, FastAPI, CUDA, MLflow, Flask"/>
    <s v="Scikit-learn, FastAPI, KDB+"/>
    <x v="1"/>
  </r>
  <r>
    <x v="4"/>
    <x v="3"/>
    <x v="2"/>
    <x v="2"/>
    <n v="120372.5"/>
    <s v="Excel, Hugging Face, GCP"/>
    <s v="Scikit-learn, BigQuery, PyTorch"/>
    <x v="2"/>
  </r>
  <r>
    <x v="4"/>
    <x v="5"/>
    <x v="1"/>
    <x v="0"/>
    <n v="127773.5"/>
    <s v="Excel, Hugging Face, PyTorch, R, SQL, Flask"/>
    <s v="TensorFlow, PyTorch, LangChain"/>
    <x v="1"/>
  </r>
  <r>
    <x v="0"/>
    <x v="7"/>
    <x v="0"/>
    <x v="1"/>
    <n v="92244.5"/>
    <s v="Excel, Hugging Face, R"/>
    <s v="FastAPI, Scikit-learn, MLflow"/>
    <x v="1"/>
  </r>
  <r>
    <x v="6"/>
    <x v="1"/>
    <x v="0"/>
    <x v="1"/>
    <n v="144885"/>
    <s v="Excel, Hugging Face, SQL, Azure"/>
    <s v="KDB+"/>
    <x v="1"/>
  </r>
  <r>
    <x v="1"/>
    <x v="4"/>
    <x v="2"/>
    <x v="3"/>
    <n v="109310.5"/>
    <s v="Excel, Hugging Face, TensorFlow"/>
    <s v="LangChain, PyTorch"/>
    <x v="1"/>
  </r>
  <r>
    <x v="5"/>
    <x v="5"/>
    <x v="2"/>
    <x v="0"/>
    <n v="78742.5"/>
    <s v="Excel, Keras, GCP, FastAPI, Pandas, NumPy"/>
    <s v="BigQuery, Scikit-learn"/>
    <x v="0"/>
  </r>
  <r>
    <x v="5"/>
    <x v="7"/>
    <x v="1"/>
    <x v="3"/>
    <n v="154653.5"/>
    <s v="Excel, Keras, GCP, MLflow"/>
    <s v="BigQuery, TensorFlow, FastAPI"/>
    <x v="1"/>
  </r>
  <r>
    <x v="3"/>
    <x v="4"/>
    <x v="2"/>
    <x v="3"/>
    <n v="121156.5"/>
    <s v="Excel, Keras, GCP, Scikit-learn, Hugging Face, Pandas"/>
    <s v="KDB+, LangChain, TensorFlow"/>
    <x v="0"/>
  </r>
  <r>
    <x v="6"/>
    <x v="6"/>
    <x v="1"/>
    <x v="0"/>
    <n v="79343"/>
    <s v="Excel, Keras, Pandas, CUDA, SQL, Hugging Face"/>
    <s v="MLflow, KDB+, BigQuery"/>
    <x v="0"/>
  </r>
  <r>
    <x v="2"/>
    <x v="0"/>
    <x v="1"/>
    <x v="1"/>
    <n v="117053.5"/>
    <s v="Excel, Keras, SQL, Hugging Face"/>
    <s v="PyTorch, LangChain"/>
    <x v="2"/>
  </r>
  <r>
    <x v="0"/>
    <x v="5"/>
    <x v="0"/>
    <x v="3"/>
    <n v="140119"/>
    <s v="Excel, LangChain, AWS, CUDA, Hugging Face, Power BI"/>
    <s v="Scikit-learn, MLflow"/>
    <x v="1"/>
  </r>
  <r>
    <x v="5"/>
    <x v="4"/>
    <x v="2"/>
    <x v="3"/>
    <n v="59295"/>
    <s v="Excel, LangChain, FastAPI, SQL, Azure, Keras"/>
    <s v="PyTorch, TensorFlow"/>
    <x v="0"/>
  </r>
  <r>
    <x v="0"/>
    <x v="4"/>
    <x v="0"/>
    <x v="3"/>
    <n v="102275"/>
    <s v="Excel, LangChain, MLflow, CUDA, Reinforcement Learning"/>
    <s v="MLflow"/>
    <x v="0"/>
  </r>
  <r>
    <x v="4"/>
    <x v="7"/>
    <x v="0"/>
    <x v="0"/>
    <n v="165520.5"/>
    <s v="Excel, MLflow, Hugging Face, Flask, Power BI"/>
    <s v="BigQuery"/>
    <x v="0"/>
  </r>
  <r>
    <x v="1"/>
    <x v="7"/>
    <x v="1"/>
    <x v="2"/>
    <n v="73626.5"/>
    <s v="Excel, MLflow, NumPy"/>
    <s v="LangChain"/>
    <x v="2"/>
  </r>
  <r>
    <x v="5"/>
    <x v="4"/>
    <x v="1"/>
    <x v="3"/>
    <n v="165489.5"/>
    <s v="Excel, MLflow, NumPy, Hugging Face, LangChain, FastAPI"/>
    <s v="LangChain, TensorFlow, Scikit-learn"/>
    <x v="1"/>
  </r>
  <r>
    <x v="0"/>
    <x v="5"/>
    <x v="2"/>
    <x v="1"/>
    <n v="192467"/>
    <s v="Excel, NumPy, AWS, PyTorch, Pandas, CUDA"/>
    <s v="Scikit-learn"/>
    <x v="1"/>
  </r>
  <r>
    <x v="3"/>
    <x v="7"/>
    <x v="0"/>
    <x v="0"/>
    <n v="168249"/>
    <s v="Excel, NumPy, C++, Pandas"/>
    <s v="KDB+, PyTorch"/>
    <x v="0"/>
  </r>
  <r>
    <x v="0"/>
    <x v="3"/>
    <x v="1"/>
    <x v="1"/>
    <n v="130050"/>
    <s v="Excel, NumPy, R, TensorFlow"/>
    <s v="PyTorch"/>
    <x v="2"/>
  </r>
  <r>
    <x v="2"/>
    <x v="3"/>
    <x v="1"/>
    <x v="3"/>
    <n v="89879.5"/>
    <s v="Excel, Pandas, AWS, MLflow"/>
    <s v="KDB+, MLflow, TensorFlow"/>
    <x v="1"/>
  </r>
  <r>
    <x v="6"/>
    <x v="1"/>
    <x v="2"/>
    <x v="3"/>
    <n v="141983"/>
    <s v="Excel, Pandas, CUDA"/>
    <s v="PyTorch"/>
    <x v="0"/>
  </r>
  <r>
    <x v="2"/>
    <x v="4"/>
    <x v="2"/>
    <x v="0"/>
    <n v="130677"/>
    <s v="Excel, Pandas, NumPy, Azure"/>
    <s v="FastAPI"/>
    <x v="1"/>
  </r>
  <r>
    <x v="0"/>
    <x v="7"/>
    <x v="1"/>
    <x v="0"/>
    <n v="123036"/>
    <s v="Excel, Pandas, Power BI, NumPy, Reinforcement Learning, C++"/>
    <s v="Scikit-learn"/>
    <x v="0"/>
  </r>
  <r>
    <x v="2"/>
    <x v="0"/>
    <x v="1"/>
    <x v="2"/>
    <n v="75026"/>
    <s v="Excel, Pandas, SQL, R, Azure"/>
    <s v="BigQuery"/>
    <x v="2"/>
  </r>
  <r>
    <x v="1"/>
    <x v="0"/>
    <x v="2"/>
    <x v="3"/>
    <n v="135912"/>
    <s v="Excel, Power BI, Azure, NumPy, Hugging Face, LangChain"/>
    <s v="Scikit-learn"/>
    <x v="1"/>
  </r>
  <r>
    <x v="6"/>
    <x v="3"/>
    <x v="1"/>
    <x v="1"/>
    <n v="89189.5"/>
    <s v="Excel, Power BI, C++, CUDA, Flask"/>
    <s v="FastAPI, MLflow, PyTorch"/>
    <x v="1"/>
  </r>
  <r>
    <x v="2"/>
    <x v="6"/>
    <x v="0"/>
    <x v="2"/>
    <n v="142389"/>
    <s v="Excel, Power BI, C++, R, Hugging Face, SQL"/>
    <s v="FastAPI, BigQuery"/>
    <x v="0"/>
  </r>
  <r>
    <x v="2"/>
    <x v="6"/>
    <x v="1"/>
    <x v="3"/>
    <n v="170937"/>
    <s v="Excel, Power BI, GCP, AWS, CUDA, C++"/>
    <s v="Scikit-learn, TensorFlow"/>
    <x v="1"/>
  </r>
  <r>
    <x v="4"/>
    <x v="4"/>
    <x v="2"/>
    <x v="1"/>
    <n v="106998"/>
    <s v="Excel, Power BI, GCP, CUDA, PyTorch, Keras"/>
    <s v="Scikit-learn"/>
    <x v="1"/>
  </r>
  <r>
    <x v="4"/>
    <x v="4"/>
    <x v="0"/>
    <x v="3"/>
    <n v="134990.5"/>
    <s v="Excel, Power BI, Hugging Face, Flask, NumPy"/>
    <s v="Scikit-learn, BigQuery"/>
    <x v="2"/>
  </r>
  <r>
    <x v="6"/>
    <x v="7"/>
    <x v="2"/>
    <x v="1"/>
    <n v="179293.5"/>
    <s v="Excel, Power BI, Hugging Face, LangChain, MLflow"/>
    <s v="KDB+, LangChain, BigQuery"/>
    <x v="0"/>
  </r>
  <r>
    <x v="1"/>
    <x v="2"/>
    <x v="1"/>
    <x v="3"/>
    <n v="119942.5"/>
    <s v="Excel, Power BI, Python"/>
    <s v="FastAPI, PyTorch"/>
    <x v="1"/>
  </r>
  <r>
    <x v="3"/>
    <x v="3"/>
    <x v="1"/>
    <x v="2"/>
    <n v="165210"/>
    <s v="Excel, Power BI, PyTorch, Hugging Face, R"/>
    <s v="Scikit-learn, BigQuery, MLflow"/>
    <x v="1"/>
  </r>
  <r>
    <x v="1"/>
    <x v="4"/>
    <x v="1"/>
    <x v="0"/>
    <n v="189067"/>
    <s v="Excel, Power BI, Reinforcement Learning, SQL, NumPy"/>
    <s v="PyTorch, TensorFlow, MLflow"/>
    <x v="2"/>
  </r>
  <r>
    <x v="3"/>
    <x v="1"/>
    <x v="0"/>
    <x v="3"/>
    <n v="88776"/>
    <s v="Excel, PyTorch, LangChain, Flask, GCP"/>
    <s v="KDB+"/>
    <x v="1"/>
  </r>
  <r>
    <x v="1"/>
    <x v="3"/>
    <x v="2"/>
    <x v="2"/>
    <n v="94409"/>
    <s v="Excel, PyTorch, Python, TensorFlow, Hugging Face"/>
    <s v="LangChain, KDB+, Scikit-learn"/>
    <x v="2"/>
  </r>
  <r>
    <x v="3"/>
    <x v="0"/>
    <x v="1"/>
    <x v="0"/>
    <n v="170571.5"/>
    <s v="Excel, PyTorch, R, Power BI, Flask, Pandas"/>
    <s v="TensorFlow"/>
    <x v="0"/>
  </r>
  <r>
    <x v="3"/>
    <x v="1"/>
    <x v="1"/>
    <x v="1"/>
    <n v="132515.5"/>
    <s v="Excel, PyTorch, TensorFlow"/>
    <s v="TensorFlow"/>
    <x v="2"/>
  </r>
  <r>
    <x v="4"/>
    <x v="3"/>
    <x v="1"/>
    <x v="1"/>
    <n v="49431"/>
    <s v="Excel, R, FastAPI"/>
    <s v="Scikit-learn, MLflow"/>
    <x v="0"/>
  </r>
  <r>
    <x v="2"/>
    <x v="4"/>
    <x v="2"/>
    <x v="1"/>
    <n v="193918"/>
    <s v="Excel, R, GCP"/>
    <s v="MLflow, KDB+, LangChain"/>
    <x v="2"/>
  </r>
  <r>
    <x v="0"/>
    <x v="4"/>
    <x v="1"/>
    <x v="3"/>
    <n v="120627"/>
    <s v="Excel, R, Hugging Face"/>
    <s v="Scikit-learn"/>
    <x v="1"/>
  </r>
  <r>
    <x v="3"/>
    <x v="7"/>
    <x v="1"/>
    <x v="0"/>
    <n v="95187"/>
    <s v="Excel, R, MLflow, Azure, Flask, TensorFlow"/>
    <s v="PyTorch, TensorFlow, MLflow"/>
    <x v="0"/>
  </r>
  <r>
    <x v="5"/>
    <x v="2"/>
    <x v="0"/>
    <x v="2"/>
    <n v="117604"/>
    <s v="Excel, R, NumPy, SQL"/>
    <s v="Scikit-learn"/>
    <x v="0"/>
  </r>
  <r>
    <x v="6"/>
    <x v="1"/>
    <x v="0"/>
    <x v="2"/>
    <n v="57327"/>
    <s v="Excel, R, Pandas"/>
    <s v="FastAPI, PyTorch"/>
    <x v="2"/>
  </r>
  <r>
    <x v="5"/>
    <x v="0"/>
    <x v="0"/>
    <x v="1"/>
    <n v="138297"/>
    <s v="Excel, R, Reinforcement Learning, Python, Power BI, FastAPI"/>
    <s v="TensorFlow"/>
    <x v="1"/>
  </r>
  <r>
    <x v="2"/>
    <x v="1"/>
    <x v="0"/>
    <x v="3"/>
    <n v="98126.5"/>
    <s v="Excel, Reinforcement Learning, Keras, Scikit-learn"/>
    <s v="TensorFlow, PyTorch, BigQuery"/>
    <x v="2"/>
  </r>
  <r>
    <x v="0"/>
    <x v="5"/>
    <x v="2"/>
    <x v="0"/>
    <n v="124638"/>
    <s v="Excel, Reinforcement Learning, NumPy, AWS, MLflow"/>
    <s v="Scikit-learn, FastAPI"/>
    <x v="1"/>
  </r>
  <r>
    <x v="1"/>
    <x v="3"/>
    <x v="0"/>
    <x v="1"/>
    <n v="71120.5"/>
    <s v="Excel, Reinforcement Learning, Pandas, GCP, FastAPI"/>
    <s v="LangChain"/>
    <x v="0"/>
  </r>
  <r>
    <x v="4"/>
    <x v="6"/>
    <x v="1"/>
    <x v="3"/>
    <n v="122195"/>
    <s v="Excel, Reinforcement Learning, TensorFlow"/>
    <s v="MLflow, TensorFlow"/>
    <x v="2"/>
  </r>
  <r>
    <x v="5"/>
    <x v="4"/>
    <x v="2"/>
    <x v="3"/>
    <n v="165305"/>
    <s v="Excel, Reinforcement Learning, TensorFlow, SQL"/>
    <s v="TensorFlow, FastAPI, MLflow"/>
    <x v="0"/>
  </r>
  <r>
    <x v="0"/>
    <x v="1"/>
    <x v="2"/>
    <x v="2"/>
    <n v="141234.5"/>
    <s v="Excel, Scikit-learn, AWS, Flask, LangChain"/>
    <s v="TensorFlow"/>
    <x v="0"/>
  </r>
  <r>
    <x v="0"/>
    <x v="3"/>
    <x v="1"/>
    <x v="1"/>
    <n v="134895.5"/>
    <s v="Excel, Scikit-learn, Flask, Power BI"/>
    <s v="KDB+, FastAPI"/>
    <x v="0"/>
  </r>
  <r>
    <x v="6"/>
    <x v="6"/>
    <x v="0"/>
    <x v="1"/>
    <n v="139992"/>
    <s v="Excel, Scikit-learn, GCP"/>
    <s v="BigQuery"/>
    <x v="2"/>
  </r>
  <r>
    <x v="0"/>
    <x v="0"/>
    <x v="2"/>
    <x v="1"/>
    <n v="115827.5"/>
    <s v="Excel, Scikit-learn, PyTorch, C++, GCP"/>
    <s v="KDB+"/>
    <x v="2"/>
  </r>
  <r>
    <x v="4"/>
    <x v="6"/>
    <x v="2"/>
    <x v="2"/>
    <n v="166844"/>
    <s v="Excel, Scikit-learn, PyTorch, FastAPI"/>
    <s v="FastAPI, KDB+"/>
    <x v="2"/>
  </r>
  <r>
    <x v="2"/>
    <x v="4"/>
    <x v="1"/>
    <x v="1"/>
    <n v="161810"/>
    <s v="Excel, SQL, AWS, Scikit-learn, GCP"/>
    <s v="LangChain, MLflow, Scikit-learn"/>
    <x v="0"/>
  </r>
  <r>
    <x v="1"/>
    <x v="0"/>
    <x v="0"/>
    <x v="0"/>
    <n v="72588"/>
    <s v="Excel, SQL, Flask"/>
    <s v="BigQuery"/>
    <x v="2"/>
  </r>
  <r>
    <x v="2"/>
    <x v="1"/>
    <x v="0"/>
    <x v="0"/>
    <n v="104723.5"/>
    <s v="Excel, SQL, GCP, Hugging Face, R"/>
    <s v="FastAPI, LangChain"/>
    <x v="0"/>
  </r>
  <r>
    <x v="5"/>
    <x v="5"/>
    <x v="0"/>
    <x v="1"/>
    <n v="120173"/>
    <s v="Excel, SQL, Python"/>
    <s v="Scikit-learn, LangChain, KDB+"/>
    <x v="1"/>
  </r>
  <r>
    <x v="0"/>
    <x v="6"/>
    <x v="0"/>
    <x v="1"/>
    <n v="74570"/>
    <s v="Excel, TensorFlow, Azure, Reinforcement Learning"/>
    <s v="BigQuery, FastAPI"/>
    <x v="2"/>
  </r>
  <r>
    <x v="2"/>
    <x v="4"/>
    <x v="0"/>
    <x v="3"/>
    <n v="139086.5"/>
    <s v="Excel, TensorFlow, Flask, Scikit-learn"/>
    <s v="KDB+"/>
    <x v="0"/>
  </r>
  <r>
    <x v="3"/>
    <x v="5"/>
    <x v="0"/>
    <x v="3"/>
    <n v="117816.5"/>
    <s v="Excel, TensorFlow, Hugging Face, MLflow, SQL"/>
    <s v="FastAPI, TensorFlow, BigQuery"/>
    <x v="1"/>
  </r>
  <r>
    <x v="2"/>
    <x v="2"/>
    <x v="0"/>
    <x v="2"/>
    <n v="149429.5"/>
    <s v="Excel, TensorFlow, Pandas, CUDA"/>
    <s v="MLflow, FastAPI, TensorFlow"/>
    <x v="0"/>
  </r>
  <r>
    <x v="3"/>
    <x v="3"/>
    <x v="0"/>
    <x v="1"/>
    <n v="133842.5"/>
    <s v="Excel, TensorFlow, SQL, Power BI, LangChain, Scikit-learn"/>
    <s v="BigQuery, PyTorch, KDB+"/>
    <x v="2"/>
  </r>
  <r>
    <x v="1"/>
    <x v="6"/>
    <x v="2"/>
    <x v="2"/>
    <n v="153913"/>
    <s v="FastAPI, AWS, Hugging Face, R"/>
    <s v="PyTorch"/>
    <x v="0"/>
  </r>
  <r>
    <x v="5"/>
    <x v="2"/>
    <x v="1"/>
    <x v="2"/>
    <n v="103274"/>
    <s v="FastAPI, AWS, Pandas, Excel, Reinforcement Learning, Azure"/>
    <s v="FastAPI, TensorFlow, BigQuery"/>
    <x v="2"/>
  </r>
  <r>
    <x v="1"/>
    <x v="2"/>
    <x v="1"/>
    <x v="2"/>
    <n v="138047.5"/>
    <s v="FastAPI, AWS, Power BI, Flask, SQL, MLflow"/>
    <s v="FastAPI, BigQuery"/>
    <x v="0"/>
  </r>
  <r>
    <x v="2"/>
    <x v="0"/>
    <x v="0"/>
    <x v="3"/>
    <n v="83322"/>
    <s v="FastAPI, AWS, Python"/>
    <s v="MLflow, FastAPI, BigQuery"/>
    <x v="0"/>
  </r>
  <r>
    <x v="6"/>
    <x v="1"/>
    <x v="2"/>
    <x v="2"/>
    <n v="99926"/>
    <s v="FastAPI, AWS, PyTorch"/>
    <s v="LangChain"/>
    <x v="1"/>
  </r>
  <r>
    <x v="1"/>
    <x v="1"/>
    <x v="2"/>
    <x v="2"/>
    <n v="138093"/>
    <s v="FastAPI, Azure, AWS, Python"/>
    <s v="FastAPI"/>
    <x v="0"/>
  </r>
  <r>
    <x v="0"/>
    <x v="2"/>
    <x v="0"/>
    <x v="0"/>
    <n v="155228"/>
    <s v="FastAPI, Azure, LangChain, GCP"/>
    <s v="KDB+"/>
    <x v="1"/>
  </r>
  <r>
    <x v="6"/>
    <x v="1"/>
    <x v="0"/>
    <x v="2"/>
    <n v="161619"/>
    <s v="FastAPI, Azure, MLflow, PyTorch, Excel"/>
    <s v="PyTorch"/>
    <x v="0"/>
  </r>
  <r>
    <x v="1"/>
    <x v="5"/>
    <x v="2"/>
    <x v="0"/>
    <n v="59024.5"/>
    <s v="FastAPI, Azure, NumPy, GCP, Flask"/>
    <s v="FastAPI"/>
    <x v="2"/>
  </r>
  <r>
    <x v="2"/>
    <x v="1"/>
    <x v="0"/>
    <x v="3"/>
    <n v="128134.5"/>
    <s v="FastAPI, Azure, Pandas, Keras"/>
    <s v="Scikit-learn, TensorFlow"/>
    <x v="2"/>
  </r>
  <r>
    <x v="4"/>
    <x v="5"/>
    <x v="0"/>
    <x v="3"/>
    <n v="95372.5"/>
    <s v="FastAPI, Azure, Pandas, NumPy"/>
    <s v="BigQuery, TensorFlow, KDB+"/>
    <x v="0"/>
  </r>
  <r>
    <x v="1"/>
    <x v="4"/>
    <x v="2"/>
    <x v="0"/>
    <n v="181709.5"/>
    <s v="FastAPI, Azure, Power BI, CUDA, Flask"/>
    <s v="KDB+, BigQuery"/>
    <x v="1"/>
  </r>
  <r>
    <x v="1"/>
    <x v="0"/>
    <x v="2"/>
    <x v="0"/>
    <n v="169855"/>
    <s v="FastAPI, Azure, TensorFlow"/>
    <s v="TensorFlow"/>
    <x v="1"/>
  </r>
  <r>
    <x v="1"/>
    <x v="3"/>
    <x v="1"/>
    <x v="0"/>
    <n v="97053.5"/>
    <s v="FastAPI, C++, Azure, Reinforcement Learning, CUDA"/>
    <s v="PyTorch, BigQuery"/>
    <x v="2"/>
  </r>
  <r>
    <x v="0"/>
    <x v="5"/>
    <x v="1"/>
    <x v="2"/>
    <n v="120415"/>
    <s v="FastAPI, C++, Excel, Flask, Pandas"/>
    <s v="FastAPI, PyTorch, LangChain"/>
    <x v="2"/>
  </r>
  <r>
    <x v="6"/>
    <x v="1"/>
    <x v="1"/>
    <x v="1"/>
    <n v="100218"/>
    <s v="FastAPI, C++, MLflow"/>
    <s v="FastAPI, TensorFlow"/>
    <x v="0"/>
  </r>
  <r>
    <x v="6"/>
    <x v="5"/>
    <x v="1"/>
    <x v="3"/>
    <n v="165277"/>
    <s v="FastAPI, C++, MLflow, Reinforcement Learning"/>
    <s v="TensorFlow, MLflow"/>
    <x v="2"/>
  </r>
  <r>
    <x v="2"/>
    <x v="4"/>
    <x v="0"/>
    <x v="1"/>
    <n v="117048.5"/>
    <s v="FastAPI, C++, NumPy, Flask"/>
    <s v="MLflow, LangChain"/>
    <x v="2"/>
  </r>
  <r>
    <x v="3"/>
    <x v="2"/>
    <x v="2"/>
    <x v="0"/>
    <n v="83249.5"/>
    <s v="FastAPI, C++, R, Scikit-learn, GCP, Flask"/>
    <s v="PyTorch, FastAPI, MLflow"/>
    <x v="2"/>
  </r>
  <r>
    <x v="3"/>
    <x v="7"/>
    <x v="2"/>
    <x v="1"/>
    <n v="171336"/>
    <s v="FastAPI, C++, R, TensorFlow, Reinforcement Learning"/>
    <s v="PyTorch"/>
    <x v="0"/>
  </r>
  <r>
    <x v="6"/>
    <x v="2"/>
    <x v="0"/>
    <x v="1"/>
    <n v="149993.5"/>
    <s v="FastAPI, CUDA, C++, Flask, MLflow, Python"/>
    <s v="MLflow, Scikit-learn, FastAPI"/>
    <x v="1"/>
  </r>
  <r>
    <x v="0"/>
    <x v="7"/>
    <x v="1"/>
    <x v="3"/>
    <n v="162686"/>
    <s v="FastAPI, CUDA, C++, PyTorch"/>
    <s v="FastAPI, MLflow, TensorFlow"/>
    <x v="2"/>
  </r>
  <r>
    <x v="1"/>
    <x v="7"/>
    <x v="1"/>
    <x v="0"/>
    <n v="102971.5"/>
    <s v="FastAPI, CUDA, GCP, Keras, MLflow, C++"/>
    <s v="Scikit-learn"/>
    <x v="0"/>
  </r>
  <r>
    <x v="1"/>
    <x v="1"/>
    <x v="0"/>
    <x v="2"/>
    <n v="123245"/>
    <s v="FastAPI, CUDA, NumPy"/>
    <s v="TensorFlow, Scikit-learn"/>
    <x v="1"/>
  </r>
  <r>
    <x v="4"/>
    <x v="0"/>
    <x v="0"/>
    <x v="1"/>
    <n v="85731"/>
    <s v="FastAPI, CUDA, Pandas, Python, NumPy, Reinforcement Learning"/>
    <s v="PyTorch, LangChain, Scikit-learn"/>
    <x v="0"/>
  </r>
  <r>
    <x v="0"/>
    <x v="7"/>
    <x v="0"/>
    <x v="2"/>
    <n v="77880.5"/>
    <s v="FastAPI, CUDA, R"/>
    <s v="KDB+"/>
    <x v="1"/>
  </r>
  <r>
    <x v="1"/>
    <x v="4"/>
    <x v="0"/>
    <x v="1"/>
    <n v="88513.5"/>
    <s v="FastAPI, CUDA, R, Scikit-learn"/>
    <s v="TensorFlow, PyTorch"/>
    <x v="2"/>
  </r>
  <r>
    <x v="1"/>
    <x v="7"/>
    <x v="0"/>
    <x v="1"/>
    <n v="90179.5"/>
    <s v="FastAPI, Excel, AWS, LangChain, Python"/>
    <s v="KDB+, MLflow"/>
    <x v="0"/>
  </r>
  <r>
    <x v="6"/>
    <x v="3"/>
    <x v="0"/>
    <x v="0"/>
    <n v="187086"/>
    <s v="FastAPI, Excel, AWS, TensorFlow"/>
    <s v="PyTorch"/>
    <x v="1"/>
  </r>
  <r>
    <x v="1"/>
    <x v="3"/>
    <x v="0"/>
    <x v="2"/>
    <n v="109882.5"/>
    <s v="FastAPI, Excel, Pandas"/>
    <s v="MLflow"/>
    <x v="1"/>
  </r>
  <r>
    <x v="4"/>
    <x v="0"/>
    <x v="2"/>
    <x v="3"/>
    <n v="146813"/>
    <s v="FastAPI, Excel, Pandas"/>
    <s v="Scikit-learn, TensorFlow"/>
    <x v="2"/>
  </r>
  <r>
    <x v="3"/>
    <x v="3"/>
    <x v="2"/>
    <x v="2"/>
    <n v="120392"/>
    <s v="FastAPI, Excel, PyTorch, Flask, Reinforcement Learning"/>
    <s v="BigQuery, PyTorch, FastAPI"/>
    <x v="1"/>
  </r>
  <r>
    <x v="6"/>
    <x v="6"/>
    <x v="0"/>
    <x v="3"/>
    <n v="87738"/>
    <s v="FastAPI, Excel, Scikit-learn, Pandas, PyTorch, Hugging Face"/>
    <s v="TensorFlow, BigQuery, MLflow"/>
    <x v="0"/>
  </r>
  <r>
    <x v="4"/>
    <x v="2"/>
    <x v="1"/>
    <x v="3"/>
    <n v="151434"/>
    <s v="FastAPI, Excel, TensorFlow"/>
    <s v="LangChain, Scikit-learn, KDB+"/>
    <x v="2"/>
  </r>
  <r>
    <x v="3"/>
    <x v="5"/>
    <x v="0"/>
    <x v="3"/>
    <n v="168738.5"/>
    <s v="FastAPI, Flask, Power BI, Reinforcement Learning, PyTorch"/>
    <s v="MLflow"/>
    <x v="0"/>
  </r>
  <r>
    <x v="6"/>
    <x v="3"/>
    <x v="0"/>
    <x v="0"/>
    <n v="181482.5"/>
    <s v="FastAPI, GCP, C++"/>
    <s v="FastAPI, LangChain"/>
    <x v="1"/>
  </r>
  <r>
    <x v="3"/>
    <x v="4"/>
    <x v="1"/>
    <x v="2"/>
    <n v="75137"/>
    <s v="FastAPI, GCP, Keras, Pandas"/>
    <s v="LangChain, KDB+, BigQuery"/>
    <x v="0"/>
  </r>
  <r>
    <x v="5"/>
    <x v="7"/>
    <x v="0"/>
    <x v="3"/>
    <n v="111749.5"/>
    <s v="FastAPI, GCP, LangChain, MLflow"/>
    <s v="PyTorch, KDB+"/>
    <x v="2"/>
  </r>
  <r>
    <x v="2"/>
    <x v="2"/>
    <x v="1"/>
    <x v="0"/>
    <n v="147868"/>
    <s v="FastAPI, Hugging Face, Pandas, LangChain"/>
    <s v="Scikit-learn"/>
    <x v="0"/>
  </r>
  <r>
    <x v="6"/>
    <x v="5"/>
    <x v="2"/>
    <x v="0"/>
    <n v="141625"/>
    <s v="FastAPI, Hugging Face, PyTorch"/>
    <s v="PyTorch"/>
    <x v="0"/>
  </r>
  <r>
    <x v="5"/>
    <x v="3"/>
    <x v="0"/>
    <x v="3"/>
    <n v="139855"/>
    <s v="FastAPI, Hugging Face, R, Keras, NumPy, PyTorch"/>
    <s v="BigQuery, KDB+"/>
    <x v="2"/>
  </r>
  <r>
    <x v="0"/>
    <x v="1"/>
    <x v="2"/>
    <x v="3"/>
    <n v="59861.5"/>
    <s v="FastAPI, Keras, C++, LangChain, SQL, AWS"/>
    <s v="PyTorch, LangChain"/>
    <x v="1"/>
  </r>
  <r>
    <x v="4"/>
    <x v="6"/>
    <x v="1"/>
    <x v="0"/>
    <n v="68463.5"/>
    <s v="FastAPI, Keras, CUDA, PyTorch, LangChain"/>
    <s v="BigQuery, MLflow"/>
    <x v="0"/>
  </r>
  <r>
    <x v="2"/>
    <x v="7"/>
    <x v="2"/>
    <x v="0"/>
    <n v="92770.5"/>
    <s v="FastAPI, Keras, Flask, AWS, GCP"/>
    <s v="MLflow, LangChain"/>
    <x v="1"/>
  </r>
  <r>
    <x v="5"/>
    <x v="6"/>
    <x v="1"/>
    <x v="0"/>
    <n v="158424"/>
    <s v="FastAPI, Keras, Hugging Face, Azure, NumPy"/>
    <s v="BigQuery"/>
    <x v="2"/>
  </r>
  <r>
    <x v="3"/>
    <x v="7"/>
    <x v="2"/>
    <x v="3"/>
    <n v="70332.5"/>
    <s v="FastAPI, Keras, MLflow"/>
    <s v="FastAPI"/>
    <x v="2"/>
  </r>
  <r>
    <x v="0"/>
    <x v="6"/>
    <x v="1"/>
    <x v="1"/>
    <n v="157317"/>
    <s v="FastAPI, Keras, PyTorch, GCP, Excel"/>
    <s v="KDB+, Scikit-learn"/>
    <x v="0"/>
  </r>
  <r>
    <x v="3"/>
    <x v="6"/>
    <x v="2"/>
    <x v="0"/>
    <n v="55294.5"/>
    <s v="FastAPI, Keras, TensorFlow, SQL, C++, GCP"/>
    <s v="LangChain, KDB+, Scikit-learn"/>
    <x v="0"/>
  </r>
  <r>
    <x v="6"/>
    <x v="1"/>
    <x v="0"/>
    <x v="2"/>
    <n v="87395.5"/>
    <s v="FastAPI, LangChain, Hugging Face, AWS, Keras"/>
    <s v="BigQuery"/>
    <x v="2"/>
  </r>
  <r>
    <x v="1"/>
    <x v="5"/>
    <x v="0"/>
    <x v="3"/>
    <n v="114875.5"/>
    <s v="FastAPI, LangChain, Pandas, NumPy, TensorFlow"/>
    <s v="LangChain, FastAPI"/>
    <x v="1"/>
  </r>
  <r>
    <x v="2"/>
    <x v="2"/>
    <x v="1"/>
    <x v="3"/>
    <n v="160367"/>
    <s v="FastAPI, LangChain, Python, AWS, R, TensorFlow"/>
    <s v="MLflow"/>
    <x v="0"/>
  </r>
  <r>
    <x v="6"/>
    <x v="2"/>
    <x v="2"/>
    <x v="2"/>
    <n v="82872.5"/>
    <s v="FastAPI, LangChain, R"/>
    <s v="FastAPI, KDB+, BigQuery"/>
    <x v="1"/>
  </r>
  <r>
    <x v="3"/>
    <x v="6"/>
    <x v="2"/>
    <x v="2"/>
    <n v="59575"/>
    <s v="FastAPI, LangChain, SQL, TensorFlow, R"/>
    <s v="BigQuery"/>
    <x v="0"/>
  </r>
  <r>
    <x v="1"/>
    <x v="3"/>
    <x v="0"/>
    <x v="0"/>
    <n v="172424"/>
    <s v="FastAPI, MLflow, Excel, Reinforcement Learning, Hugging Face, Pandas"/>
    <s v="BigQuery, TensorFlow"/>
    <x v="2"/>
  </r>
  <r>
    <x v="2"/>
    <x v="7"/>
    <x v="1"/>
    <x v="1"/>
    <n v="116864"/>
    <s v="FastAPI, MLflow, Flask"/>
    <s v="PyTorch, KDB+"/>
    <x v="0"/>
  </r>
  <r>
    <x v="2"/>
    <x v="7"/>
    <x v="0"/>
    <x v="2"/>
    <n v="102831"/>
    <s v="FastAPI, MLflow, LangChain, Hugging Face, Power BI"/>
    <s v="TensorFlow, KDB+, BigQuery"/>
    <x v="0"/>
  </r>
  <r>
    <x v="5"/>
    <x v="7"/>
    <x v="2"/>
    <x v="2"/>
    <n v="124210.5"/>
    <s v="FastAPI, MLflow, Pandas, Hugging Face, GCP, C++"/>
    <s v="FastAPI, MLflow, Scikit-learn"/>
    <x v="0"/>
  </r>
  <r>
    <x v="2"/>
    <x v="2"/>
    <x v="2"/>
    <x v="3"/>
    <n v="67344.5"/>
    <s v="FastAPI, MLflow, Pandas, R, TensorFlow"/>
    <s v="LangChain, BigQuery"/>
    <x v="1"/>
  </r>
  <r>
    <x v="6"/>
    <x v="1"/>
    <x v="1"/>
    <x v="0"/>
    <n v="92519"/>
    <s v="FastAPI, NumPy, C++"/>
    <s v="BigQuery"/>
    <x v="1"/>
  </r>
  <r>
    <x v="5"/>
    <x v="2"/>
    <x v="0"/>
    <x v="1"/>
    <n v="125981"/>
    <s v="FastAPI, NumPy, C++, Azure"/>
    <s v="MLflow, KDB+, FastAPI"/>
    <x v="1"/>
  </r>
  <r>
    <x v="4"/>
    <x v="3"/>
    <x v="1"/>
    <x v="0"/>
    <n v="145137.5"/>
    <s v="FastAPI, NumPy, C++, LangChain"/>
    <s v="LangChain"/>
    <x v="1"/>
  </r>
  <r>
    <x v="0"/>
    <x v="7"/>
    <x v="1"/>
    <x v="1"/>
    <n v="120936.5"/>
    <s v="FastAPI, NumPy, C++, MLflow, GCP"/>
    <s v="Scikit-learn, MLflow"/>
    <x v="2"/>
  </r>
  <r>
    <x v="2"/>
    <x v="5"/>
    <x v="0"/>
    <x v="3"/>
    <n v="127173.5"/>
    <s v="FastAPI, NumPy, Excel"/>
    <s v="MLflow, TensorFlow"/>
    <x v="1"/>
  </r>
  <r>
    <x v="1"/>
    <x v="6"/>
    <x v="2"/>
    <x v="2"/>
    <n v="147593.5"/>
    <s v="FastAPI, NumPy, Excel, Flask"/>
    <s v="PyTorch, Scikit-learn, TensorFlow"/>
    <x v="1"/>
  </r>
  <r>
    <x v="6"/>
    <x v="2"/>
    <x v="1"/>
    <x v="0"/>
    <n v="154057"/>
    <s v="FastAPI, NumPy, LangChain, Scikit-learn, Power BI"/>
    <s v="MLflow, PyTorch"/>
    <x v="1"/>
  </r>
  <r>
    <x v="5"/>
    <x v="5"/>
    <x v="1"/>
    <x v="2"/>
    <n v="173363"/>
    <s v="FastAPI, NumPy, PyTorch, Hugging Face, Flask"/>
    <s v="LangChain, MLflow"/>
    <x v="1"/>
  </r>
  <r>
    <x v="4"/>
    <x v="7"/>
    <x v="1"/>
    <x v="2"/>
    <n v="179429"/>
    <s v="FastAPI, NumPy, R"/>
    <s v="PyTorch"/>
    <x v="2"/>
  </r>
  <r>
    <x v="0"/>
    <x v="1"/>
    <x v="1"/>
    <x v="0"/>
    <n v="79676"/>
    <s v="FastAPI, NumPy, R"/>
    <s v="LangChain"/>
    <x v="0"/>
  </r>
  <r>
    <x v="1"/>
    <x v="0"/>
    <x v="2"/>
    <x v="2"/>
    <n v="137570.5"/>
    <s v="FastAPI, NumPy, Reinforcement Learning, Pandas, R"/>
    <s v="TensorFlow, FastAPI"/>
    <x v="2"/>
  </r>
  <r>
    <x v="3"/>
    <x v="5"/>
    <x v="0"/>
    <x v="2"/>
    <n v="169497.5"/>
    <s v="FastAPI, Pandas, CUDA, C++, AWS, Hugging Face"/>
    <s v="MLflow, PyTorch, TensorFlow"/>
    <x v="0"/>
  </r>
  <r>
    <x v="3"/>
    <x v="1"/>
    <x v="2"/>
    <x v="3"/>
    <n v="119579.5"/>
    <s v="FastAPI, Pandas, MLflow"/>
    <s v="FastAPI"/>
    <x v="1"/>
  </r>
  <r>
    <x v="5"/>
    <x v="2"/>
    <x v="0"/>
    <x v="3"/>
    <n v="64227.5"/>
    <s v="FastAPI, Pandas, MLflow, R"/>
    <s v="MLflow, TensorFlow, PyTorch"/>
    <x v="1"/>
  </r>
  <r>
    <x v="1"/>
    <x v="0"/>
    <x v="0"/>
    <x v="1"/>
    <n v="114860.5"/>
    <s v="FastAPI, Pandas, Scikit-learn"/>
    <s v="Scikit-learn, PyTorch"/>
    <x v="2"/>
  </r>
  <r>
    <x v="0"/>
    <x v="3"/>
    <x v="0"/>
    <x v="0"/>
    <n v="166853.5"/>
    <s v="FastAPI, Pandas, Scikit-learn, PyTorch"/>
    <s v="LangChain, FastAPI"/>
    <x v="2"/>
  </r>
  <r>
    <x v="5"/>
    <x v="6"/>
    <x v="0"/>
    <x v="0"/>
    <n v="139482"/>
    <s v="FastAPI, Power BI, Azure, Python"/>
    <s v="LangChain, KDB+"/>
    <x v="1"/>
  </r>
  <r>
    <x v="5"/>
    <x v="5"/>
    <x v="2"/>
    <x v="0"/>
    <n v="136694"/>
    <s v="FastAPI, Power BI, CUDA"/>
    <s v="BigQuery"/>
    <x v="2"/>
  </r>
  <r>
    <x v="4"/>
    <x v="4"/>
    <x v="0"/>
    <x v="0"/>
    <n v="58072"/>
    <s v="FastAPI, Power BI, CUDA, Keras, Hugging Face"/>
    <s v="BigQuery"/>
    <x v="1"/>
  </r>
  <r>
    <x v="2"/>
    <x v="7"/>
    <x v="2"/>
    <x v="0"/>
    <n v="153694.5"/>
    <s v="FastAPI, Python, MLflow, R, TensorFlow"/>
    <s v="Scikit-learn, LangChain"/>
    <x v="0"/>
  </r>
  <r>
    <x v="6"/>
    <x v="5"/>
    <x v="0"/>
    <x v="0"/>
    <n v="108436.5"/>
    <s v="FastAPI, Python, Pandas, Azure"/>
    <s v="BigQuery"/>
    <x v="1"/>
  </r>
  <r>
    <x v="6"/>
    <x v="7"/>
    <x v="1"/>
    <x v="1"/>
    <n v="160215.5"/>
    <s v="FastAPI, Python, TensorFlow, AWS"/>
    <s v="TensorFlow, MLflow, BigQuery"/>
    <x v="2"/>
  </r>
  <r>
    <x v="1"/>
    <x v="2"/>
    <x v="2"/>
    <x v="2"/>
    <n v="151115"/>
    <s v="FastAPI, PyTorch, CUDA, Flask, Scikit-learn"/>
    <s v="LangChain, BigQuery"/>
    <x v="2"/>
  </r>
  <r>
    <x v="3"/>
    <x v="6"/>
    <x v="0"/>
    <x v="0"/>
    <n v="115711"/>
    <s v="FastAPI, PyTorch, Excel, SQL"/>
    <s v="PyTorch"/>
    <x v="1"/>
  </r>
  <r>
    <x v="0"/>
    <x v="4"/>
    <x v="1"/>
    <x v="0"/>
    <n v="141053"/>
    <s v="FastAPI, PyTorch, SQL, Reinforcement Learning, Power BI, TensorFlow"/>
    <s v="BigQuery, KDB+, TensorFlow"/>
    <x v="1"/>
  </r>
  <r>
    <x v="4"/>
    <x v="6"/>
    <x v="2"/>
    <x v="3"/>
    <n v="106059.5"/>
    <s v="FastAPI, R, Scikit-learn, SQL"/>
    <s v="TensorFlow, FastAPI"/>
    <x v="0"/>
  </r>
  <r>
    <x v="6"/>
    <x v="7"/>
    <x v="2"/>
    <x v="1"/>
    <n v="142079"/>
    <s v="FastAPI, Reinforcement Learning, AWS"/>
    <s v="BigQuery, MLflow, KDB+"/>
    <x v="1"/>
  </r>
  <r>
    <x v="4"/>
    <x v="3"/>
    <x v="0"/>
    <x v="0"/>
    <n v="60126.5"/>
    <s v="FastAPI, Reinforcement Learning, Hugging Face, GCP, R"/>
    <s v="TensorFlow"/>
    <x v="1"/>
  </r>
  <r>
    <x v="6"/>
    <x v="1"/>
    <x v="2"/>
    <x v="2"/>
    <n v="173089"/>
    <s v="FastAPI, Reinforcement Learning, MLflow"/>
    <s v="MLflow, TensorFlow"/>
    <x v="2"/>
  </r>
  <r>
    <x v="0"/>
    <x v="1"/>
    <x v="1"/>
    <x v="1"/>
    <n v="148202.5"/>
    <s v="FastAPI, Reinforcement Learning, PyTorch"/>
    <s v="Scikit-learn, TensorFlow"/>
    <x v="0"/>
  </r>
  <r>
    <x v="2"/>
    <x v="2"/>
    <x v="0"/>
    <x v="1"/>
    <n v="116849"/>
    <s v="FastAPI, Reinforcement Learning, PyTorch, C++, Keras"/>
    <s v="FastAPI"/>
    <x v="1"/>
  </r>
  <r>
    <x v="5"/>
    <x v="4"/>
    <x v="2"/>
    <x v="2"/>
    <n v="94152"/>
    <s v="FastAPI, Scikit-learn, AWS, NumPy"/>
    <s v="TensorFlow"/>
    <x v="0"/>
  </r>
  <r>
    <x v="5"/>
    <x v="0"/>
    <x v="0"/>
    <x v="3"/>
    <n v="87753.5"/>
    <s v="FastAPI, Scikit-learn, CUDA"/>
    <s v="LangChain, KDB+, BigQuery"/>
    <x v="1"/>
  </r>
  <r>
    <x v="2"/>
    <x v="4"/>
    <x v="2"/>
    <x v="0"/>
    <n v="181715"/>
    <s v="FastAPI, Scikit-learn, LangChain"/>
    <s v="LangChain, MLflow"/>
    <x v="1"/>
  </r>
  <r>
    <x v="5"/>
    <x v="4"/>
    <x v="0"/>
    <x v="3"/>
    <n v="167911.5"/>
    <s v="FastAPI, Scikit-learn, LangChain"/>
    <s v="FastAPI, MLflow"/>
    <x v="0"/>
  </r>
  <r>
    <x v="1"/>
    <x v="4"/>
    <x v="2"/>
    <x v="1"/>
    <n v="174499"/>
    <s v="FastAPI, Scikit-learn, MLflow"/>
    <s v="BigQuery"/>
    <x v="0"/>
  </r>
  <r>
    <x v="3"/>
    <x v="1"/>
    <x v="0"/>
    <x v="1"/>
    <n v="143375"/>
    <s v="FastAPI, Scikit-learn, Pandas, Azure, Reinforcement Learning"/>
    <s v="KDB+"/>
    <x v="2"/>
  </r>
  <r>
    <x v="6"/>
    <x v="6"/>
    <x v="2"/>
    <x v="1"/>
    <n v="158866.5"/>
    <s v="FastAPI, Scikit-learn, Pandas, NumPy, Excel, CUDA"/>
    <s v="Scikit-learn, KDB+, MLflow"/>
    <x v="1"/>
  </r>
  <r>
    <x v="5"/>
    <x v="0"/>
    <x v="2"/>
    <x v="0"/>
    <n v="58259.5"/>
    <s v="FastAPI, Scikit-learn, SQL"/>
    <s v="TensorFlow, Scikit-learn, LangChain"/>
    <x v="2"/>
  </r>
  <r>
    <x v="6"/>
    <x v="6"/>
    <x v="2"/>
    <x v="1"/>
    <n v="59119.5"/>
    <s v="FastAPI, SQL, Flask, CUDA, C++, Scikit-learn"/>
    <s v="FastAPI, LangChain"/>
    <x v="0"/>
  </r>
  <r>
    <x v="4"/>
    <x v="3"/>
    <x v="2"/>
    <x v="2"/>
    <n v="114679.5"/>
    <s v="FastAPI, SQL, GCP"/>
    <s v="KDB+, PyTorch, TensorFlow"/>
    <x v="0"/>
  </r>
  <r>
    <x v="2"/>
    <x v="0"/>
    <x v="1"/>
    <x v="0"/>
    <n v="174468"/>
    <s v="FastAPI, SQL, GCP, AWS"/>
    <s v="BigQuery, KDB+, PyTorch"/>
    <x v="0"/>
  </r>
  <r>
    <x v="6"/>
    <x v="2"/>
    <x v="0"/>
    <x v="0"/>
    <n v="135290.5"/>
    <s v="FastAPI, SQL, GCP, Pandas, CUDA, Reinforcement Learning"/>
    <s v="FastAPI, Scikit-learn, KDB+"/>
    <x v="2"/>
  </r>
  <r>
    <x v="6"/>
    <x v="6"/>
    <x v="2"/>
    <x v="1"/>
    <n v="90814"/>
    <s v="FastAPI, SQL, Pandas, TensorFlow, MLflow"/>
    <s v="KDB+, TensorFlow, LangChain"/>
    <x v="2"/>
  </r>
  <r>
    <x v="1"/>
    <x v="4"/>
    <x v="2"/>
    <x v="1"/>
    <n v="106442"/>
    <s v="FastAPI, SQL, Scikit-learn"/>
    <s v="LangChain"/>
    <x v="0"/>
  </r>
  <r>
    <x v="5"/>
    <x v="2"/>
    <x v="1"/>
    <x v="2"/>
    <n v="122910"/>
    <s v="FastAPI, SQL, Scikit-learn, NumPy, Excel, PyTorch"/>
    <s v="PyTorch, BigQuery"/>
    <x v="1"/>
  </r>
  <r>
    <x v="2"/>
    <x v="4"/>
    <x v="0"/>
    <x v="0"/>
    <n v="102206.5"/>
    <s v="FastAPI, TensorFlow, Hugging Face, SQL, Azure, Reinforcement Learning"/>
    <s v="Scikit-learn, MLflow, FastAPI"/>
    <x v="0"/>
  </r>
  <r>
    <x v="2"/>
    <x v="7"/>
    <x v="0"/>
    <x v="1"/>
    <n v="129507.5"/>
    <s v="FastAPI, TensorFlow, Keras"/>
    <s v="MLflow"/>
    <x v="2"/>
  </r>
  <r>
    <x v="1"/>
    <x v="0"/>
    <x v="2"/>
    <x v="3"/>
    <n v="93502.5"/>
    <s v="FastAPI, TensorFlow, Keras, Excel, Pandas"/>
    <s v="BigQuery"/>
    <x v="1"/>
  </r>
  <r>
    <x v="6"/>
    <x v="2"/>
    <x v="0"/>
    <x v="1"/>
    <n v="153109.5"/>
    <s v="FastAPI, TensorFlow, NumPy, AWS, Azure"/>
    <s v="LangChain, Scikit-learn"/>
    <x v="1"/>
  </r>
  <r>
    <x v="3"/>
    <x v="7"/>
    <x v="0"/>
    <x v="0"/>
    <n v="144411"/>
    <s v="FastAPI, TensorFlow, Python, GCP"/>
    <s v="FastAPI, BigQuery, PyTorch"/>
    <x v="1"/>
  </r>
  <r>
    <x v="1"/>
    <x v="2"/>
    <x v="1"/>
    <x v="3"/>
    <n v="79692"/>
    <s v="FastAPI, TensorFlow, PyTorch"/>
    <s v="Scikit-learn, PyTorch, TensorFlow"/>
    <x v="1"/>
  </r>
  <r>
    <x v="6"/>
    <x v="5"/>
    <x v="0"/>
    <x v="0"/>
    <n v="59811"/>
    <s v="FastAPI, TensorFlow, Reinforcement Learning, Power BI, C++"/>
    <s v="TensorFlow, FastAPI"/>
    <x v="1"/>
  </r>
  <r>
    <x v="2"/>
    <x v="6"/>
    <x v="0"/>
    <x v="1"/>
    <n v="193166"/>
    <s v="Flask, AWS, Hugging Face"/>
    <s v="TensorFlow, LangChain"/>
    <x v="1"/>
  </r>
  <r>
    <x v="5"/>
    <x v="2"/>
    <x v="2"/>
    <x v="0"/>
    <n v="104487.5"/>
    <s v="Flask, AWS, Reinforcement Learning, LangChain, FastAPI"/>
    <s v="PyTorch"/>
    <x v="2"/>
  </r>
  <r>
    <x v="6"/>
    <x v="7"/>
    <x v="2"/>
    <x v="0"/>
    <n v="134656"/>
    <s v="Flask, AWS, TensorFlow, NumPy"/>
    <s v="Scikit-learn, KDB+"/>
    <x v="2"/>
  </r>
  <r>
    <x v="2"/>
    <x v="7"/>
    <x v="0"/>
    <x v="0"/>
    <n v="105674"/>
    <s v="Flask, Azure, C++, Excel"/>
    <s v="MLflow"/>
    <x v="1"/>
  </r>
  <r>
    <x v="0"/>
    <x v="5"/>
    <x v="2"/>
    <x v="1"/>
    <n v="137107.5"/>
    <s v="Flask, Azure, Hugging Face, FastAPI, Excel"/>
    <s v="PyTorch, BigQuery"/>
    <x v="1"/>
  </r>
  <r>
    <x v="6"/>
    <x v="2"/>
    <x v="1"/>
    <x v="3"/>
    <n v="128315"/>
    <s v="Flask, Azure, R"/>
    <s v="PyTorch"/>
    <x v="2"/>
  </r>
  <r>
    <x v="4"/>
    <x v="6"/>
    <x v="0"/>
    <x v="1"/>
    <n v="167187"/>
    <s v="Flask, Azure, SQL"/>
    <s v="PyTorch"/>
    <x v="0"/>
  </r>
  <r>
    <x v="2"/>
    <x v="1"/>
    <x v="1"/>
    <x v="2"/>
    <n v="155237.5"/>
    <s v="Flask, Azure, SQL, Hugging Face, Keras, C++"/>
    <s v="PyTorch"/>
    <x v="2"/>
  </r>
  <r>
    <x v="6"/>
    <x v="0"/>
    <x v="1"/>
    <x v="0"/>
    <n v="124290"/>
    <s v="Flask, C++, CUDA, R"/>
    <s v="LangChain, Scikit-learn"/>
    <x v="0"/>
  </r>
  <r>
    <x v="1"/>
    <x v="2"/>
    <x v="2"/>
    <x v="1"/>
    <n v="110417"/>
    <s v="Flask, C++, LangChain, AWS, Keras, GCP"/>
    <s v="FastAPI, LangChain"/>
    <x v="0"/>
  </r>
  <r>
    <x v="5"/>
    <x v="0"/>
    <x v="0"/>
    <x v="3"/>
    <n v="101711"/>
    <s v="Flask, C++, NumPy, Python, GCP"/>
    <s v="TensorFlow"/>
    <x v="2"/>
  </r>
  <r>
    <x v="0"/>
    <x v="7"/>
    <x v="0"/>
    <x v="0"/>
    <n v="138069"/>
    <s v="Flask, C++, TensorFlow, Reinforcement Learning, R"/>
    <s v="Scikit-learn, TensorFlow, FastAPI"/>
    <x v="0"/>
  </r>
  <r>
    <x v="0"/>
    <x v="2"/>
    <x v="1"/>
    <x v="3"/>
    <n v="136221.5"/>
    <s v="Flask, CUDA, AWS"/>
    <s v="Scikit-learn"/>
    <x v="0"/>
  </r>
  <r>
    <x v="1"/>
    <x v="2"/>
    <x v="2"/>
    <x v="3"/>
    <n v="177816.5"/>
    <s v="Flask, CUDA, FastAPI, Pandas, Excel"/>
    <s v="TensorFlow, BigQuery"/>
    <x v="1"/>
  </r>
  <r>
    <x v="3"/>
    <x v="7"/>
    <x v="2"/>
    <x v="0"/>
    <n v="75226.5"/>
    <s v="Flask, CUDA, Hugging Face, MLflow, FastAPI"/>
    <s v="LangChain"/>
    <x v="1"/>
  </r>
  <r>
    <x v="6"/>
    <x v="3"/>
    <x v="2"/>
    <x v="0"/>
    <n v="96854.5"/>
    <s v="Flask, Excel, AWS, PyTorch, LangChain"/>
    <s v="BigQuery, FastAPI"/>
    <x v="0"/>
  </r>
  <r>
    <x v="6"/>
    <x v="1"/>
    <x v="1"/>
    <x v="2"/>
    <n v="108327"/>
    <s v="Flask, Excel, Azure, MLflow, Keras, LangChain"/>
    <s v="LangChain"/>
    <x v="1"/>
  </r>
  <r>
    <x v="1"/>
    <x v="3"/>
    <x v="0"/>
    <x v="0"/>
    <n v="157460"/>
    <s v="Flask, Excel, Keras, PyTorch, Python"/>
    <s v="Scikit-learn"/>
    <x v="0"/>
  </r>
  <r>
    <x v="5"/>
    <x v="6"/>
    <x v="0"/>
    <x v="1"/>
    <n v="145166"/>
    <s v="Flask, Excel, PyTorch, Scikit-learn, FastAPI, Keras"/>
    <s v="PyTorch, TensorFlow, MLflow"/>
    <x v="1"/>
  </r>
  <r>
    <x v="6"/>
    <x v="1"/>
    <x v="2"/>
    <x v="0"/>
    <n v="125824"/>
    <s v="Flask, FastAPI, CUDA"/>
    <s v="TensorFlow, FastAPI"/>
    <x v="2"/>
  </r>
  <r>
    <x v="2"/>
    <x v="3"/>
    <x v="0"/>
    <x v="3"/>
    <n v="90235"/>
    <s v="Flask, FastAPI, CUDA, AWS"/>
    <s v="LangChain"/>
    <x v="0"/>
  </r>
  <r>
    <x v="2"/>
    <x v="2"/>
    <x v="1"/>
    <x v="0"/>
    <n v="100254"/>
    <s v="Flask, FastAPI, Power BI"/>
    <s v="MLflow"/>
    <x v="2"/>
  </r>
  <r>
    <x v="1"/>
    <x v="3"/>
    <x v="0"/>
    <x v="3"/>
    <n v="64953.5"/>
    <s v="Flask, FastAPI, Power BI, Reinforcement Learning, Keras, SQL"/>
    <s v="MLflow"/>
    <x v="1"/>
  </r>
  <r>
    <x v="2"/>
    <x v="0"/>
    <x v="0"/>
    <x v="3"/>
    <n v="132820.5"/>
    <s v="Flask, FastAPI, Scikit-learn, AWS, Reinforcement Learning, MLflow"/>
    <s v="PyTorch, Scikit-learn"/>
    <x v="2"/>
  </r>
  <r>
    <x v="3"/>
    <x v="2"/>
    <x v="2"/>
    <x v="1"/>
    <n v="88306"/>
    <s v="Flask, GCP, Azure, Reinforcement Learning, PyTorch"/>
    <s v="MLflow, PyTorch, KDB+"/>
    <x v="1"/>
  </r>
  <r>
    <x v="1"/>
    <x v="2"/>
    <x v="2"/>
    <x v="1"/>
    <n v="152379.5"/>
    <s v="Flask, GCP, C++"/>
    <s v="FastAPI"/>
    <x v="1"/>
  </r>
  <r>
    <x v="6"/>
    <x v="2"/>
    <x v="1"/>
    <x v="2"/>
    <n v="152655.5"/>
    <s v="Flask, GCP, C++, Hugging Face, PyTorch"/>
    <s v="MLflow, TensorFlow, FastAPI"/>
    <x v="0"/>
  </r>
  <r>
    <x v="1"/>
    <x v="6"/>
    <x v="2"/>
    <x v="3"/>
    <n v="119038.5"/>
    <s v="Flask, GCP, FastAPI, Reinforcement Learning"/>
    <s v="Scikit-learn, KDB+, PyTorch"/>
    <x v="1"/>
  </r>
  <r>
    <x v="4"/>
    <x v="1"/>
    <x v="1"/>
    <x v="1"/>
    <n v="133281.5"/>
    <s v="Flask, GCP, Hugging Face, FastAPI, Excel, CUDA"/>
    <s v="TensorFlow, KDB+, FastAPI"/>
    <x v="1"/>
  </r>
  <r>
    <x v="6"/>
    <x v="2"/>
    <x v="1"/>
    <x v="2"/>
    <n v="125750.5"/>
    <s v="Flask, GCP, Keras, LangChain, PyTorch"/>
    <s v="Scikit-learn, LangChain"/>
    <x v="0"/>
  </r>
  <r>
    <x v="0"/>
    <x v="0"/>
    <x v="2"/>
    <x v="0"/>
    <n v="193761"/>
    <s v="Flask, GCP, MLflow, Keras, CUDA, AWS"/>
    <s v="KDB+"/>
    <x v="2"/>
  </r>
  <r>
    <x v="5"/>
    <x v="7"/>
    <x v="2"/>
    <x v="3"/>
    <n v="136015.5"/>
    <s v="Flask, GCP, MLflow, Pandas"/>
    <s v="BigQuery, PyTorch"/>
    <x v="0"/>
  </r>
  <r>
    <x v="0"/>
    <x v="7"/>
    <x v="2"/>
    <x v="2"/>
    <n v="112000.5"/>
    <s v="Flask, Hugging Face, Keras, Excel, Scikit-learn"/>
    <s v="LangChain, TensorFlow, FastAPI"/>
    <x v="0"/>
  </r>
  <r>
    <x v="2"/>
    <x v="3"/>
    <x v="2"/>
    <x v="0"/>
    <n v="179503.5"/>
    <s v="Flask, Hugging Face, Pandas, Python, Scikit-learn, Keras"/>
    <s v="Scikit-learn, FastAPI, LangChain"/>
    <x v="0"/>
  </r>
  <r>
    <x v="1"/>
    <x v="4"/>
    <x v="2"/>
    <x v="0"/>
    <n v="104128"/>
    <s v="Flask, Keras, FastAPI, Azure, TensorFlow"/>
    <s v="PyTorch, KDB+, MLflow"/>
    <x v="1"/>
  </r>
  <r>
    <x v="0"/>
    <x v="5"/>
    <x v="0"/>
    <x v="2"/>
    <n v="131203.5"/>
    <s v="Flask, Keras, GCP, Power BI"/>
    <s v="KDB+"/>
    <x v="2"/>
  </r>
  <r>
    <x v="1"/>
    <x v="3"/>
    <x v="2"/>
    <x v="0"/>
    <n v="84063"/>
    <s v="Flask, Keras, GCP, Python, R, C++"/>
    <s v="PyTorch"/>
    <x v="0"/>
  </r>
  <r>
    <x v="1"/>
    <x v="2"/>
    <x v="1"/>
    <x v="2"/>
    <n v="144875"/>
    <s v="Flask, Keras, Hugging Face, Azure, C++, SQL"/>
    <s v="MLflow, Scikit-learn, FastAPI"/>
    <x v="1"/>
  </r>
  <r>
    <x v="3"/>
    <x v="7"/>
    <x v="2"/>
    <x v="2"/>
    <n v="75921.5"/>
    <s v="Flask, Keras, Pandas, CUDA, PyTorch, Reinforcement Learning"/>
    <s v="FastAPI"/>
    <x v="1"/>
  </r>
  <r>
    <x v="4"/>
    <x v="5"/>
    <x v="2"/>
    <x v="1"/>
    <n v="112093"/>
    <s v="Flask, Keras, TensorFlow, CUDA, C++"/>
    <s v="TensorFlow, FastAPI, BigQuery"/>
    <x v="1"/>
  </r>
  <r>
    <x v="4"/>
    <x v="4"/>
    <x v="0"/>
    <x v="0"/>
    <n v="114223"/>
    <s v="Flask, LangChain, AWS, Reinforcement Learning"/>
    <s v="Scikit-learn, BigQuery, PyTorch"/>
    <x v="0"/>
  </r>
  <r>
    <x v="0"/>
    <x v="4"/>
    <x v="0"/>
    <x v="0"/>
    <n v="88723"/>
    <s v="Flask, LangChain, C++"/>
    <s v="TensorFlow"/>
    <x v="2"/>
  </r>
  <r>
    <x v="5"/>
    <x v="3"/>
    <x v="1"/>
    <x v="3"/>
    <n v="75520.5"/>
    <s v="Flask, LangChain, FastAPI"/>
    <s v="FastAPI, BigQuery, MLflow"/>
    <x v="0"/>
  </r>
  <r>
    <x v="6"/>
    <x v="5"/>
    <x v="0"/>
    <x v="2"/>
    <n v="55611"/>
    <s v="Flask, LangChain, MLflow"/>
    <s v="LangChain, MLflow"/>
    <x v="2"/>
  </r>
  <r>
    <x v="6"/>
    <x v="7"/>
    <x v="2"/>
    <x v="3"/>
    <n v="94436"/>
    <s v="Flask, LangChain, Power BI, Azure"/>
    <s v="KDB+, LangChain"/>
    <x v="2"/>
  </r>
  <r>
    <x v="2"/>
    <x v="6"/>
    <x v="0"/>
    <x v="0"/>
    <n v="146829.5"/>
    <s v="Flask, LangChain, PyTorch, MLflow, SQL"/>
    <s v="LangChain, Scikit-learn, BigQuery"/>
    <x v="2"/>
  </r>
  <r>
    <x v="0"/>
    <x v="3"/>
    <x v="1"/>
    <x v="0"/>
    <n v="97306.5"/>
    <s v="Flask, LangChain, Reinforcement Learning"/>
    <s v="TensorFlow, LangChain"/>
    <x v="1"/>
  </r>
  <r>
    <x v="5"/>
    <x v="1"/>
    <x v="0"/>
    <x v="2"/>
    <n v="71813.5"/>
    <s v="Flask, MLflow, NumPy, Scikit-learn, CUDA"/>
    <s v="BigQuery"/>
    <x v="1"/>
  </r>
  <r>
    <x v="2"/>
    <x v="1"/>
    <x v="1"/>
    <x v="0"/>
    <n v="64705"/>
    <s v="Flask, MLflow, Scikit-learn"/>
    <s v="Scikit-learn, FastAPI"/>
    <x v="2"/>
  </r>
  <r>
    <x v="6"/>
    <x v="0"/>
    <x v="1"/>
    <x v="2"/>
    <n v="65873"/>
    <s v="Flask, NumPy, C++"/>
    <s v="FastAPI, TensorFlow"/>
    <x v="2"/>
  </r>
  <r>
    <x v="2"/>
    <x v="0"/>
    <x v="0"/>
    <x v="0"/>
    <n v="168284.5"/>
    <s v="Flask, NumPy, C++, Keras, Power BI"/>
    <s v="FastAPI, TensorFlow"/>
    <x v="2"/>
  </r>
  <r>
    <x v="6"/>
    <x v="2"/>
    <x v="0"/>
    <x v="1"/>
    <n v="152382.5"/>
    <s v="Flask, NumPy, Keras, AWS, SQL"/>
    <s v="LangChain"/>
    <x v="0"/>
  </r>
  <r>
    <x v="0"/>
    <x v="1"/>
    <x v="0"/>
    <x v="3"/>
    <n v="130442.5"/>
    <s v="Flask, NumPy, Scikit-learn"/>
    <s v="LangChain"/>
    <x v="2"/>
  </r>
  <r>
    <x v="6"/>
    <x v="2"/>
    <x v="1"/>
    <x v="3"/>
    <n v="129362.5"/>
    <s v="Flask, Pandas, GCP"/>
    <s v="LangChain, PyTorch"/>
    <x v="1"/>
  </r>
  <r>
    <x v="2"/>
    <x v="6"/>
    <x v="2"/>
    <x v="0"/>
    <n v="83978.5"/>
    <s v="Flask, Pandas, LangChain"/>
    <s v="LangChain"/>
    <x v="1"/>
  </r>
  <r>
    <x v="1"/>
    <x v="2"/>
    <x v="1"/>
    <x v="1"/>
    <n v="176231"/>
    <s v="Flask, Pandas, Power BI, Scikit-learn, R"/>
    <s v="PyTorch, MLflow"/>
    <x v="1"/>
  </r>
  <r>
    <x v="2"/>
    <x v="0"/>
    <x v="0"/>
    <x v="1"/>
    <n v="140707.5"/>
    <s v="Flask, Pandas, PyTorch, Excel"/>
    <s v="FastAPI, TensorFlow"/>
    <x v="1"/>
  </r>
  <r>
    <x v="0"/>
    <x v="4"/>
    <x v="0"/>
    <x v="0"/>
    <n v="148780"/>
    <s v="Flask, Pandas, Reinforcement Learning, Scikit-learn, NumPy"/>
    <s v="FastAPI, KDB+"/>
    <x v="0"/>
  </r>
  <r>
    <x v="5"/>
    <x v="6"/>
    <x v="2"/>
    <x v="2"/>
    <n v="78470.5"/>
    <s v="Flask, Pandas, SQL, PyTorch"/>
    <s v="FastAPI, PyTorch"/>
    <x v="2"/>
  </r>
  <r>
    <x v="4"/>
    <x v="5"/>
    <x v="2"/>
    <x v="2"/>
    <n v="146527"/>
    <s v="Flask, Power BI, AWS, NumPy, CUDA, Azure"/>
    <s v="PyTorch, Scikit-learn"/>
    <x v="1"/>
  </r>
  <r>
    <x v="5"/>
    <x v="1"/>
    <x v="0"/>
    <x v="1"/>
    <n v="132178"/>
    <s v="Flask, Power BI, GCP, FastAPI, Hugging Face, AWS"/>
    <s v="Scikit-learn, FastAPI, LangChain"/>
    <x v="2"/>
  </r>
  <r>
    <x v="0"/>
    <x v="2"/>
    <x v="1"/>
    <x v="2"/>
    <n v="67021"/>
    <s v="Flask, Power BI, LangChain, Excel, MLflow, R"/>
    <s v="FastAPI, TensorFlow, MLflow"/>
    <x v="1"/>
  </r>
  <r>
    <x v="3"/>
    <x v="0"/>
    <x v="0"/>
    <x v="3"/>
    <n v="145062"/>
    <s v="Flask, Python, C++, Azure"/>
    <s v="FastAPI, Scikit-learn"/>
    <x v="0"/>
  </r>
  <r>
    <x v="2"/>
    <x v="5"/>
    <x v="0"/>
    <x v="0"/>
    <n v="105000.5"/>
    <s v="Flask, Python, Power BI, CUDA"/>
    <s v="FastAPI, LangChain, BigQuery"/>
    <x v="0"/>
  </r>
  <r>
    <x v="0"/>
    <x v="2"/>
    <x v="0"/>
    <x v="3"/>
    <n v="146770"/>
    <s v="Flask, PyTorch, C++, Pandas, TensorFlow"/>
    <s v="TensorFlow, KDB+"/>
    <x v="1"/>
  </r>
  <r>
    <x v="3"/>
    <x v="4"/>
    <x v="1"/>
    <x v="1"/>
    <n v="86752"/>
    <s v="Flask, PyTorch, GCP"/>
    <s v="LangChain, FastAPI, TensorFlow"/>
    <x v="1"/>
  </r>
  <r>
    <x v="2"/>
    <x v="0"/>
    <x v="1"/>
    <x v="1"/>
    <n v="57806.5"/>
    <s v="Flask, PyTorch, LangChain, Pandas, Azure, FastAPI"/>
    <s v="TensorFlow, PyTorch"/>
    <x v="1"/>
  </r>
  <r>
    <x v="4"/>
    <x v="1"/>
    <x v="1"/>
    <x v="1"/>
    <n v="169268.5"/>
    <s v="Flask, PyTorch, Reinforcement Learning, MLflow"/>
    <s v="LangChain, PyTorch"/>
    <x v="0"/>
  </r>
  <r>
    <x v="4"/>
    <x v="6"/>
    <x v="2"/>
    <x v="3"/>
    <n v="155365.5"/>
    <s v="Flask, R, Excel"/>
    <s v="LangChain"/>
    <x v="0"/>
  </r>
  <r>
    <x v="6"/>
    <x v="3"/>
    <x v="0"/>
    <x v="1"/>
    <n v="120673"/>
    <s v="Flask, R, LangChain, NumPy, Reinforcement Learning, MLflow"/>
    <s v="BigQuery"/>
    <x v="1"/>
  </r>
  <r>
    <x v="5"/>
    <x v="3"/>
    <x v="0"/>
    <x v="2"/>
    <n v="145302"/>
    <s v="Flask, R, TensorFlow, Hugging Face, PyTorch"/>
    <s v="LangChain, BigQuery, KDB+"/>
    <x v="2"/>
  </r>
  <r>
    <x v="0"/>
    <x v="3"/>
    <x v="2"/>
    <x v="0"/>
    <n v="77386"/>
    <s v="Flask, Reinforcement Learning, Pandas, CUDA, Azure"/>
    <s v="LangChain, Scikit-learn, FastAPI"/>
    <x v="2"/>
  </r>
  <r>
    <x v="5"/>
    <x v="0"/>
    <x v="1"/>
    <x v="3"/>
    <n v="172741.5"/>
    <s v="Flask, Reinforcement Learning, Pandas, Hugging Face, Keras"/>
    <s v="BigQuery, Scikit-learn, MLflow"/>
    <x v="0"/>
  </r>
  <r>
    <x v="0"/>
    <x v="5"/>
    <x v="2"/>
    <x v="0"/>
    <n v="152660"/>
    <s v="Flask, Scikit-learn, FastAPI, CUDA, Azure"/>
    <s v="BigQuery, LangChain"/>
    <x v="2"/>
  </r>
  <r>
    <x v="2"/>
    <x v="0"/>
    <x v="1"/>
    <x v="1"/>
    <n v="120550"/>
    <s v="Flask, Scikit-learn, FastAPI, Power BI"/>
    <s v="PyTorch, BigQuery"/>
    <x v="1"/>
  </r>
  <r>
    <x v="1"/>
    <x v="7"/>
    <x v="0"/>
    <x v="3"/>
    <n v="92605.5"/>
    <s v="Flask, Scikit-learn, GCP, TensorFlow, NumPy"/>
    <s v="KDB+"/>
    <x v="0"/>
  </r>
  <r>
    <x v="5"/>
    <x v="1"/>
    <x v="0"/>
    <x v="0"/>
    <n v="117899.5"/>
    <s v="Flask, Scikit-learn, NumPy"/>
    <s v="FastAPI, PyTorch"/>
    <x v="1"/>
  </r>
  <r>
    <x v="1"/>
    <x v="6"/>
    <x v="2"/>
    <x v="1"/>
    <n v="145092.5"/>
    <s v="Flask, Scikit-learn, NumPy"/>
    <s v="PyTorch, MLflow, TensorFlow"/>
    <x v="1"/>
  </r>
  <r>
    <x v="3"/>
    <x v="3"/>
    <x v="0"/>
    <x v="2"/>
    <n v="86950"/>
    <s v="Flask, SQL, Azure"/>
    <s v="MLflow"/>
    <x v="1"/>
  </r>
  <r>
    <x v="1"/>
    <x v="7"/>
    <x v="1"/>
    <x v="3"/>
    <n v="149163"/>
    <s v="Flask, SQL, PyTorch, Azure, AWS"/>
    <s v="LangChain"/>
    <x v="0"/>
  </r>
  <r>
    <x v="3"/>
    <x v="1"/>
    <x v="2"/>
    <x v="3"/>
    <n v="67826.5"/>
    <s v="Flask, SQL, PyTorch, C++, TensorFlow"/>
    <s v="KDB+"/>
    <x v="2"/>
  </r>
  <r>
    <x v="3"/>
    <x v="3"/>
    <x v="1"/>
    <x v="0"/>
    <n v="132436.5"/>
    <s v="Flask, TensorFlow, C++"/>
    <s v="KDB+, FastAPI, PyTorch"/>
    <x v="2"/>
  </r>
  <r>
    <x v="2"/>
    <x v="4"/>
    <x v="1"/>
    <x v="3"/>
    <n v="76604.5"/>
    <s v="Flask, TensorFlow, Power BI"/>
    <s v="MLflow"/>
    <x v="0"/>
  </r>
  <r>
    <x v="3"/>
    <x v="7"/>
    <x v="1"/>
    <x v="3"/>
    <n v="143477.5"/>
    <s v="Flask, TensorFlow, Python, R, Azure, SQL"/>
    <s v="PyTorch, Scikit-learn, KDB+"/>
    <x v="1"/>
  </r>
  <r>
    <x v="6"/>
    <x v="3"/>
    <x v="0"/>
    <x v="3"/>
    <n v="149065.5"/>
    <s v="Flask, TensorFlow, Scikit-learn, MLflow"/>
    <s v="LangChain"/>
    <x v="0"/>
  </r>
  <r>
    <x v="3"/>
    <x v="6"/>
    <x v="2"/>
    <x v="0"/>
    <n v="99005"/>
    <s v="Flask, TensorFlow, SQL, Pandas"/>
    <s v="BigQuery, FastAPI, LangChain"/>
    <x v="2"/>
  </r>
  <r>
    <x v="4"/>
    <x v="0"/>
    <x v="1"/>
    <x v="3"/>
    <n v="146936.5"/>
    <s v="GCP, AWS, Keras, Azure"/>
    <s v="KDB+"/>
    <x v="1"/>
  </r>
  <r>
    <x v="6"/>
    <x v="0"/>
    <x v="1"/>
    <x v="1"/>
    <n v="89316"/>
    <s v="GCP, AWS, Pandas, Flask, Python"/>
    <s v="FastAPI, KDB+, MLflow"/>
    <x v="1"/>
  </r>
  <r>
    <x v="4"/>
    <x v="7"/>
    <x v="2"/>
    <x v="0"/>
    <n v="150567.5"/>
    <s v="GCP, Azure, AWS, SQL, MLflow, CUDA"/>
    <s v="TensorFlow, KDB+, FastAPI"/>
    <x v="0"/>
  </r>
  <r>
    <x v="0"/>
    <x v="0"/>
    <x v="1"/>
    <x v="1"/>
    <n v="186577"/>
    <s v="GCP, Azure, CUDA, AWS, PyTorch"/>
    <s v="TensorFlow, MLflow, Scikit-learn"/>
    <x v="0"/>
  </r>
  <r>
    <x v="3"/>
    <x v="5"/>
    <x v="2"/>
    <x v="1"/>
    <n v="125919"/>
    <s v="GCP, Azure, Reinforcement Learning, TensorFlow, CUDA, FastAPI"/>
    <s v="Scikit-learn"/>
    <x v="2"/>
  </r>
  <r>
    <x v="5"/>
    <x v="6"/>
    <x v="1"/>
    <x v="0"/>
    <n v="131080.5"/>
    <s v="GCP, C++, Azure, TensorFlow, CUDA, R"/>
    <s v="PyTorch, KDB+"/>
    <x v="0"/>
  </r>
  <r>
    <x v="5"/>
    <x v="0"/>
    <x v="0"/>
    <x v="3"/>
    <n v="110312.5"/>
    <s v="GCP, C++, CUDA, LangChain"/>
    <s v="TensorFlow, FastAPI"/>
    <x v="2"/>
  </r>
  <r>
    <x v="4"/>
    <x v="6"/>
    <x v="0"/>
    <x v="1"/>
    <n v="115927"/>
    <s v="GCP, C++, Excel"/>
    <s v="TensorFlow, Scikit-learn"/>
    <x v="2"/>
  </r>
  <r>
    <x v="3"/>
    <x v="5"/>
    <x v="1"/>
    <x v="1"/>
    <n v="104712.5"/>
    <s v="GCP, C++, FastAPI"/>
    <s v="TensorFlow"/>
    <x v="2"/>
  </r>
  <r>
    <x v="5"/>
    <x v="7"/>
    <x v="0"/>
    <x v="0"/>
    <n v="82682.5"/>
    <s v="GCP, C++, MLflow, PyTorch, Scikit-learn, FastAPI"/>
    <s v="TensorFlow, KDB+"/>
    <x v="0"/>
  </r>
  <r>
    <x v="6"/>
    <x v="7"/>
    <x v="1"/>
    <x v="2"/>
    <n v="148562.5"/>
    <s v="GCP, C++, R, Pandas"/>
    <s v="MLflow, KDB+, LangChain"/>
    <x v="0"/>
  </r>
  <r>
    <x v="6"/>
    <x v="0"/>
    <x v="1"/>
    <x v="1"/>
    <n v="152999.5"/>
    <s v="GCP, CUDA, NumPy"/>
    <s v="LangChain, Scikit-learn"/>
    <x v="0"/>
  </r>
  <r>
    <x v="2"/>
    <x v="2"/>
    <x v="2"/>
    <x v="2"/>
    <n v="81117.5"/>
    <s v="GCP, CUDA, NumPy, Azure"/>
    <s v="PyTorch"/>
    <x v="0"/>
  </r>
  <r>
    <x v="6"/>
    <x v="4"/>
    <x v="2"/>
    <x v="1"/>
    <n v="79038"/>
    <s v="GCP, CUDA, PyTorch, FastAPI, TensorFlow, Excel"/>
    <s v="KDB+"/>
    <x v="0"/>
  </r>
  <r>
    <x v="0"/>
    <x v="6"/>
    <x v="2"/>
    <x v="3"/>
    <n v="114396.5"/>
    <s v="GCP, CUDA, R"/>
    <s v="TensorFlow"/>
    <x v="2"/>
  </r>
  <r>
    <x v="4"/>
    <x v="0"/>
    <x v="2"/>
    <x v="3"/>
    <n v="102308.5"/>
    <s v="GCP, Excel, CUDA"/>
    <s v="MLflow, LangChain, KDB+"/>
    <x v="2"/>
  </r>
  <r>
    <x v="1"/>
    <x v="2"/>
    <x v="2"/>
    <x v="0"/>
    <n v="102361.5"/>
    <s v="GCP, Excel, NumPy, Azure, R, Pandas"/>
    <s v="MLflow, BigQuery"/>
    <x v="2"/>
  </r>
  <r>
    <x v="2"/>
    <x v="5"/>
    <x v="0"/>
    <x v="0"/>
    <n v="91028.5"/>
    <s v="GCP, Excel, PyTorch"/>
    <s v="Scikit-learn, PyTorch"/>
    <x v="0"/>
  </r>
  <r>
    <x v="5"/>
    <x v="0"/>
    <x v="2"/>
    <x v="3"/>
    <n v="90210"/>
    <s v="GCP, Excel, Scikit-learn, Azure"/>
    <s v="Scikit-learn, LangChain, MLflow"/>
    <x v="0"/>
  </r>
  <r>
    <x v="6"/>
    <x v="7"/>
    <x v="1"/>
    <x v="2"/>
    <n v="136675"/>
    <s v="GCP, Excel, Scikit-learn, MLflow"/>
    <s v="PyTorch, TensorFlow, FastAPI"/>
    <x v="2"/>
  </r>
  <r>
    <x v="4"/>
    <x v="2"/>
    <x v="1"/>
    <x v="3"/>
    <n v="147818"/>
    <s v="GCP, FastAPI, Excel"/>
    <s v="MLflow, TensorFlow"/>
    <x v="1"/>
  </r>
  <r>
    <x v="4"/>
    <x v="4"/>
    <x v="1"/>
    <x v="3"/>
    <n v="103013"/>
    <s v="GCP, FastAPI, Keras, R, CUDA, Hugging Face"/>
    <s v="KDB+"/>
    <x v="1"/>
  </r>
  <r>
    <x v="1"/>
    <x v="5"/>
    <x v="0"/>
    <x v="1"/>
    <n v="99494.5"/>
    <s v="GCP, Flask, Hugging Face, AWS"/>
    <s v="LangChain"/>
    <x v="0"/>
  </r>
  <r>
    <x v="2"/>
    <x v="5"/>
    <x v="1"/>
    <x v="2"/>
    <n v="123302"/>
    <s v="GCP, Flask, PyTorch"/>
    <s v="PyTorch, KDB+"/>
    <x v="0"/>
  </r>
  <r>
    <x v="0"/>
    <x v="6"/>
    <x v="2"/>
    <x v="0"/>
    <n v="163283"/>
    <s v="GCP, Flask, PyTorch, AWS, Excel, Keras"/>
    <s v="KDB+, FastAPI, MLflow"/>
    <x v="1"/>
  </r>
  <r>
    <x v="2"/>
    <x v="4"/>
    <x v="2"/>
    <x v="0"/>
    <n v="174851.5"/>
    <s v="GCP, Flask, Scikit-learn, Keras, LangChain"/>
    <s v="TensorFlow, BigQuery"/>
    <x v="1"/>
  </r>
  <r>
    <x v="5"/>
    <x v="2"/>
    <x v="0"/>
    <x v="3"/>
    <n v="119855"/>
    <s v="GCP, Flask, TensorFlow, MLflow"/>
    <s v="BigQuery, PyTorch"/>
    <x v="2"/>
  </r>
  <r>
    <x v="4"/>
    <x v="1"/>
    <x v="0"/>
    <x v="0"/>
    <n v="178274.5"/>
    <s v="GCP, Hugging Face, Keras"/>
    <s v="BigQuery, LangChain, Scikit-learn"/>
    <x v="0"/>
  </r>
  <r>
    <x v="4"/>
    <x v="1"/>
    <x v="0"/>
    <x v="0"/>
    <n v="149865"/>
    <s v="GCP, Hugging Face, MLflow"/>
    <s v="PyTorch, Scikit-learn, TensorFlow"/>
    <x v="2"/>
  </r>
  <r>
    <x v="2"/>
    <x v="7"/>
    <x v="2"/>
    <x v="1"/>
    <n v="96909.5"/>
    <s v="GCP, Hugging Face, NumPy, Power BI, Excel, Keras"/>
    <s v="PyTorch, Scikit-learn"/>
    <x v="2"/>
  </r>
  <r>
    <x v="3"/>
    <x v="4"/>
    <x v="2"/>
    <x v="2"/>
    <n v="98621.5"/>
    <s v="GCP, Hugging Face, Python"/>
    <s v="PyTorch"/>
    <x v="2"/>
  </r>
  <r>
    <x v="2"/>
    <x v="5"/>
    <x v="0"/>
    <x v="1"/>
    <n v="115468.5"/>
    <s v="GCP, Keras, Azure, SQL, Scikit-learn, NumPy"/>
    <s v="BigQuery"/>
    <x v="2"/>
  </r>
  <r>
    <x v="0"/>
    <x v="3"/>
    <x v="1"/>
    <x v="2"/>
    <n v="167462.5"/>
    <s v="GCP, Keras, Flask"/>
    <s v="KDB+"/>
    <x v="2"/>
  </r>
  <r>
    <x v="5"/>
    <x v="2"/>
    <x v="0"/>
    <x v="3"/>
    <n v="168491.5"/>
    <s v="GCP, Keras, Flask, LangChain, TensorFlow, Python"/>
    <s v="BigQuery"/>
    <x v="1"/>
  </r>
  <r>
    <x v="4"/>
    <x v="3"/>
    <x v="1"/>
    <x v="0"/>
    <n v="179687"/>
    <s v="GCP, Keras, Hugging Face, TensorFlow, SQL"/>
    <s v="PyTorch"/>
    <x v="2"/>
  </r>
  <r>
    <x v="6"/>
    <x v="0"/>
    <x v="2"/>
    <x v="3"/>
    <n v="162486"/>
    <s v="GCP, Keras, LangChain"/>
    <s v="KDB+, FastAPI"/>
    <x v="2"/>
  </r>
  <r>
    <x v="0"/>
    <x v="0"/>
    <x v="0"/>
    <x v="0"/>
    <n v="90754.5"/>
    <s v="GCP, LangChain, Keras"/>
    <s v="LangChain, FastAPI, Scikit-learn"/>
    <x v="2"/>
  </r>
  <r>
    <x v="1"/>
    <x v="0"/>
    <x v="2"/>
    <x v="3"/>
    <n v="161709.5"/>
    <s v="GCP, LangChain, Scikit-learn, NumPy, Pandas"/>
    <s v="FastAPI, TensorFlow, MLflow"/>
    <x v="1"/>
  </r>
  <r>
    <x v="5"/>
    <x v="3"/>
    <x v="0"/>
    <x v="1"/>
    <n v="152169.5"/>
    <s v="GCP, MLflow, FastAPI, TensorFlow, AWS, Reinforcement Learning"/>
    <s v="BigQuery"/>
    <x v="1"/>
  </r>
  <r>
    <x v="4"/>
    <x v="5"/>
    <x v="0"/>
    <x v="1"/>
    <n v="169158.5"/>
    <s v="GCP, MLflow, PyTorch"/>
    <s v="PyTorch, MLflow, LangChain"/>
    <x v="2"/>
  </r>
  <r>
    <x v="3"/>
    <x v="3"/>
    <x v="1"/>
    <x v="3"/>
    <n v="160714.5"/>
    <s v="GCP, MLflow, Reinforcement Learning, SQL, Azure, Scikit-learn"/>
    <s v="PyTorch, TensorFlow"/>
    <x v="2"/>
  </r>
  <r>
    <x v="4"/>
    <x v="5"/>
    <x v="2"/>
    <x v="0"/>
    <n v="152065.5"/>
    <s v="GCP, MLflow, TensorFlow"/>
    <s v="KDB+, BigQuery, Scikit-learn"/>
    <x v="1"/>
  </r>
  <r>
    <x v="3"/>
    <x v="4"/>
    <x v="0"/>
    <x v="3"/>
    <n v="72247"/>
    <s v="GCP, NumPy, Hugging Face"/>
    <s v="Scikit-learn, LangChain"/>
    <x v="2"/>
  </r>
  <r>
    <x v="4"/>
    <x v="0"/>
    <x v="0"/>
    <x v="1"/>
    <n v="156726.5"/>
    <s v="GCP, Pandas, AWS, Azure, Flask, PyTorch"/>
    <s v="FastAPI, KDB+, MLflow"/>
    <x v="0"/>
  </r>
  <r>
    <x v="0"/>
    <x v="3"/>
    <x v="2"/>
    <x v="0"/>
    <n v="96035.5"/>
    <s v="GCP, Pandas, FastAPI, C++, Excel"/>
    <s v="FastAPI, MLflow"/>
    <x v="1"/>
  </r>
  <r>
    <x v="3"/>
    <x v="1"/>
    <x v="0"/>
    <x v="1"/>
    <n v="117271"/>
    <s v="GCP, Pandas, Python"/>
    <s v="KDB+, LangChain, MLflow"/>
    <x v="1"/>
  </r>
  <r>
    <x v="2"/>
    <x v="3"/>
    <x v="2"/>
    <x v="2"/>
    <n v="137865"/>
    <s v="GCP, Pandas, R"/>
    <s v="KDB+"/>
    <x v="2"/>
  </r>
  <r>
    <x v="2"/>
    <x v="2"/>
    <x v="2"/>
    <x v="0"/>
    <n v="133436"/>
    <s v="GCP, Pandas, R, Excel, Azure, PyTorch"/>
    <s v="PyTorch, FastAPI, LangChain"/>
    <x v="0"/>
  </r>
  <r>
    <x v="4"/>
    <x v="6"/>
    <x v="2"/>
    <x v="0"/>
    <n v="106872"/>
    <s v="GCP, Power BI, AWS, LangChain"/>
    <s v="FastAPI, Scikit-learn"/>
    <x v="0"/>
  </r>
  <r>
    <x v="6"/>
    <x v="7"/>
    <x v="1"/>
    <x v="1"/>
    <n v="83187"/>
    <s v="GCP, Power BI, Azure, Python"/>
    <s v="KDB+, TensorFlow, Scikit-learn"/>
    <x v="1"/>
  </r>
  <r>
    <x v="6"/>
    <x v="4"/>
    <x v="1"/>
    <x v="2"/>
    <n v="159073"/>
    <s v="GCP, Power BI, FastAPI, Reinforcement Learning, TensorFlow, AWS"/>
    <s v="LangChain, MLflow, PyTorch"/>
    <x v="2"/>
  </r>
  <r>
    <x v="3"/>
    <x v="0"/>
    <x v="0"/>
    <x v="1"/>
    <n v="83509.5"/>
    <s v="GCP, Power BI, Hugging Face, SQL"/>
    <s v="BigQuery, MLflow"/>
    <x v="1"/>
  </r>
  <r>
    <x v="1"/>
    <x v="4"/>
    <x v="1"/>
    <x v="2"/>
    <n v="165633"/>
    <s v="GCP, Power BI, Python, Azure, Hugging Face, CUDA"/>
    <s v="LangChain, Scikit-learn"/>
    <x v="0"/>
  </r>
  <r>
    <x v="0"/>
    <x v="3"/>
    <x v="2"/>
    <x v="0"/>
    <n v="125601.5"/>
    <s v="GCP, Python, PyTorch, Excel, Power BI"/>
    <s v="MLflow, LangChain"/>
    <x v="2"/>
  </r>
  <r>
    <x v="3"/>
    <x v="4"/>
    <x v="2"/>
    <x v="2"/>
    <n v="128559"/>
    <s v="GCP, Python, R"/>
    <s v="LangChain"/>
    <x v="0"/>
  </r>
  <r>
    <x v="2"/>
    <x v="2"/>
    <x v="2"/>
    <x v="1"/>
    <n v="165390.5"/>
    <s v="GCP, PyTorch, FastAPI, LangChain, Pandas"/>
    <s v="FastAPI"/>
    <x v="2"/>
  </r>
  <r>
    <x v="3"/>
    <x v="5"/>
    <x v="0"/>
    <x v="3"/>
    <n v="132396.5"/>
    <s v="GCP, PyTorch, Flask"/>
    <s v="MLflow, KDB+, LangChain"/>
    <x v="1"/>
  </r>
  <r>
    <x v="0"/>
    <x v="3"/>
    <x v="2"/>
    <x v="1"/>
    <n v="180248.5"/>
    <s v="GCP, PyTorch, Keras, Reinforcement Learning, C++"/>
    <s v="Scikit-learn, FastAPI"/>
    <x v="1"/>
  </r>
  <r>
    <x v="1"/>
    <x v="2"/>
    <x v="1"/>
    <x v="0"/>
    <n v="158657.5"/>
    <s v="GCP, PyTorch, NumPy, FastAPI, Excel, Pandas"/>
    <s v="MLflow, TensorFlow"/>
    <x v="1"/>
  </r>
  <r>
    <x v="3"/>
    <x v="1"/>
    <x v="0"/>
    <x v="1"/>
    <n v="109268.5"/>
    <s v="GCP, PyTorch, Power BI, TensorFlow"/>
    <s v="TensorFlow, MLflow"/>
    <x v="2"/>
  </r>
  <r>
    <x v="0"/>
    <x v="7"/>
    <x v="2"/>
    <x v="2"/>
    <n v="186573.5"/>
    <s v="GCP, R, Flask, Azure, Pandas, FastAPI"/>
    <s v="PyTorch"/>
    <x v="0"/>
  </r>
  <r>
    <x v="6"/>
    <x v="3"/>
    <x v="1"/>
    <x v="3"/>
    <n v="118037.5"/>
    <s v="GCP, R, Reinforcement Learning, PyTorch, Hugging Face, Excel"/>
    <s v="MLflow"/>
    <x v="0"/>
  </r>
  <r>
    <x v="5"/>
    <x v="0"/>
    <x v="1"/>
    <x v="3"/>
    <n v="138109"/>
    <s v="GCP, Reinforcement Learning, AWS"/>
    <s v="TensorFlow, PyTorch"/>
    <x v="0"/>
  </r>
  <r>
    <x v="6"/>
    <x v="6"/>
    <x v="0"/>
    <x v="1"/>
    <n v="65039.5"/>
    <s v="GCP, Reinforcement Learning, CUDA, NumPy, SQL"/>
    <s v="FastAPI, MLflow"/>
    <x v="1"/>
  </r>
  <r>
    <x v="3"/>
    <x v="7"/>
    <x v="2"/>
    <x v="2"/>
    <n v="158271"/>
    <s v="GCP, Reinforcement Learning, Keras, Pandas"/>
    <s v="FastAPI"/>
    <x v="1"/>
  </r>
  <r>
    <x v="5"/>
    <x v="2"/>
    <x v="2"/>
    <x v="0"/>
    <n v="148213.5"/>
    <s v="GCP, Scikit-learn, CUDA, R, AWS, Pandas"/>
    <s v="TensorFlow"/>
    <x v="0"/>
  </r>
  <r>
    <x v="5"/>
    <x v="3"/>
    <x v="0"/>
    <x v="2"/>
    <n v="150315.5"/>
    <s v="GCP, Scikit-learn, Flask, AWS, Excel, Power BI"/>
    <s v="PyTorch"/>
    <x v="0"/>
  </r>
  <r>
    <x v="6"/>
    <x v="7"/>
    <x v="1"/>
    <x v="0"/>
    <n v="121012"/>
    <s v="GCP, SQL, Flask, C++, Scikit-learn"/>
    <s v="BigQuery, FastAPI, Scikit-learn"/>
    <x v="1"/>
  </r>
  <r>
    <x v="2"/>
    <x v="3"/>
    <x v="2"/>
    <x v="2"/>
    <n v="106980"/>
    <s v="GCP, SQL, Keras, AWS, Python"/>
    <s v="TensorFlow, FastAPI"/>
    <x v="2"/>
  </r>
  <r>
    <x v="6"/>
    <x v="7"/>
    <x v="2"/>
    <x v="2"/>
    <n v="173988"/>
    <s v="GCP, SQL, LangChain, R"/>
    <s v="FastAPI, BigQuery"/>
    <x v="0"/>
  </r>
  <r>
    <x v="1"/>
    <x v="0"/>
    <x v="2"/>
    <x v="2"/>
    <n v="138795"/>
    <s v="GCP, SQL, NumPy, Python, Azure"/>
    <s v="MLflow, FastAPI, PyTorch"/>
    <x v="0"/>
  </r>
  <r>
    <x v="1"/>
    <x v="7"/>
    <x v="2"/>
    <x v="3"/>
    <n v="135302"/>
    <s v="GCP, SQL, Power BI, CUDA, AWS"/>
    <s v="KDB+"/>
    <x v="2"/>
  </r>
  <r>
    <x v="5"/>
    <x v="4"/>
    <x v="2"/>
    <x v="2"/>
    <n v="71007"/>
    <s v="GCP, SQL, R, AWS"/>
    <s v="LangChain"/>
    <x v="0"/>
  </r>
  <r>
    <x v="1"/>
    <x v="1"/>
    <x v="0"/>
    <x v="2"/>
    <n v="96490"/>
    <s v="GCP, SQL, TensorFlow, Keras, Reinforcement Learning"/>
    <s v="BigQuery, MLflow"/>
    <x v="1"/>
  </r>
  <r>
    <x v="5"/>
    <x v="1"/>
    <x v="2"/>
    <x v="0"/>
    <n v="125912"/>
    <s v="GCP, TensorFlow, Flask, Azure"/>
    <s v="BigQuery, KDB+, TensorFlow"/>
    <x v="1"/>
  </r>
  <r>
    <x v="5"/>
    <x v="5"/>
    <x v="1"/>
    <x v="1"/>
    <n v="148045"/>
    <s v="GCP, TensorFlow, Hugging Face"/>
    <s v="LangChain, TensorFlow, BigQuery"/>
    <x v="0"/>
  </r>
  <r>
    <x v="4"/>
    <x v="1"/>
    <x v="2"/>
    <x v="1"/>
    <n v="129661"/>
    <s v="GCP, TensorFlow, MLflow"/>
    <s v="PyTorch"/>
    <x v="2"/>
  </r>
  <r>
    <x v="4"/>
    <x v="6"/>
    <x v="0"/>
    <x v="1"/>
    <n v="152090.5"/>
    <s v="GCP, TensorFlow, Power BI"/>
    <s v="MLflow, BigQuery, LangChain"/>
    <x v="1"/>
  </r>
  <r>
    <x v="4"/>
    <x v="5"/>
    <x v="1"/>
    <x v="1"/>
    <n v="166692.5"/>
    <s v="Hugging Face, AWS, R"/>
    <s v="MLflow, LangChain, BigQuery"/>
    <x v="1"/>
  </r>
  <r>
    <x v="1"/>
    <x v="1"/>
    <x v="2"/>
    <x v="0"/>
    <n v="118672.5"/>
    <s v="Hugging Face, Azure, C++, Reinforcement Learning"/>
    <s v="BigQuery, PyTorch, FastAPI"/>
    <x v="1"/>
  </r>
  <r>
    <x v="5"/>
    <x v="7"/>
    <x v="1"/>
    <x v="3"/>
    <n v="77274.5"/>
    <s v="Hugging Face, Azure, CUDA, NumPy"/>
    <s v="PyTorch, FastAPI"/>
    <x v="1"/>
  </r>
  <r>
    <x v="4"/>
    <x v="2"/>
    <x v="0"/>
    <x v="3"/>
    <n v="120778"/>
    <s v="Hugging Face, Azure, Keras"/>
    <s v="MLflow, PyTorch"/>
    <x v="1"/>
  </r>
  <r>
    <x v="4"/>
    <x v="5"/>
    <x v="1"/>
    <x v="3"/>
    <n v="174446.5"/>
    <s v="Hugging Face, Azure, NumPy"/>
    <s v="LangChain, Scikit-learn, MLflow"/>
    <x v="1"/>
  </r>
  <r>
    <x v="4"/>
    <x v="5"/>
    <x v="1"/>
    <x v="3"/>
    <n v="138981.5"/>
    <s v="Hugging Face, Azure, NumPy, Scikit-learn, Pandas"/>
    <s v="PyTorch, Scikit-learn, FastAPI"/>
    <x v="2"/>
  </r>
  <r>
    <x v="2"/>
    <x v="2"/>
    <x v="1"/>
    <x v="1"/>
    <n v="124700"/>
    <s v="Hugging Face, Azure, PyTorch, GCP"/>
    <s v="FastAPI"/>
    <x v="2"/>
  </r>
  <r>
    <x v="6"/>
    <x v="2"/>
    <x v="2"/>
    <x v="0"/>
    <n v="121133.5"/>
    <s v="Hugging Face, Azure, SQL"/>
    <s v="MLflow, BigQuery, PyTorch"/>
    <x v="2"/>
  </r>
  <r>
    <x v="4"/>
    <x v="4"/>
    <x v="1"/>
    <x v="2"/>
    <n v="142923"/>
    <s v="Hugging Face, C++, NumPy, R"/>
    <s v="PyTorch, BigQuery"/>
    <x v="1"/>
  </r>
  <r>
    <x v="3"/>
    <x v="0"/>
    <x v="2"/>
    <x v="0"/>
    <n v="143759"/>
    <s v="Hugging Face, C++, PyTorch, Reinforcement Learning, TensorFlow"/>
    <s v="PyTorch, BigQuery"/>
    <x v="2"/>
  </r>
  <r>
    <x v="4"/>
    <x v="3"/>
    <x v="1"/>
    <x v="3"/>
    <n v="78976"/>
    <s v="Hugging Face, Excel, Keras, FastAPI, TensorFlow, GCP"/>
    <s v="LangChain, KDB+, MLflow"/>
    <x v="0"/>
  </r>
  <r>
    <x v="1"/>
    <x v="3"/>
    <x v="2"/>
    <x v="0"/>
    <n v="157887.5"/>
    <s v="Hugging Face, Excel, Pandas, Keras, Reinforcement Learning, AWS"/>
    <s v="KDB+, FastAPI"/>
    <x v="0"/>
  </r>
  <r>
    <x v="2"/>
    <x v="7"/>
    <x v="1"/>
    <x v="2"/>
    <n v="162501.5"/>
    <s v="Hugging Face, Excel, Scikit-learn, CUDA, SQL, PyTorch"/>
    <s v="BigQuery, LangChain, Scikit-learn"/>
    <x v="0"/>
  </r>
  <r>
    <x v="1"/>
    <x v="3"/>
    <x v="0"/>
    <x v="1"/>
    <n v="157551"/>
    <s v="Hugging Face, Excel, Scikit-learn, R, MLflow"/>
    <s v="PyTorch"/>
    <x v="2"/>
  </r>
  <r>
    <x v="5"/>
    <x v="3"/>
    <x v="2"/>
    <x v="1"/>
    <n v="111883.5"/>
    <s v="Hugging Face, Excel, SQL, LangChain"/>
    <s v="KDB+, BigQuery"/>
    <x v="0"/>
  </r>
  <r>
    <x v="3"/>
    <x v="1"/>
    <x v="2"/>
    <x v="1"/>
    <n v="144006"/>
    <s v="Hugging Face, Excel, TensorFlow, R, Keras"/>
    <s v="PyTorch"/>
    <x v="2"/>
  </r>
  <r>
    <x v="2"/>
    <x v="5"/>
    <x v="2"/>
    <x v="0"/>
    <n v="96766"/>
    <s v="Hugging Face, FastAPI, AWS, Scikit-learn, Keras"/>
    <s v="KDB+, FastAPI"/>
    <x v="0"/>
  </r>
  <r>
    <x v="1"/>
    <x v="2"/>
    <x v="2"/>
    <x v="0"/>
    <n v="89075.5"/>
    <s v="Hugging Face, FastAPI, C++, CUDA"/>
    <s v="BigQuery"/>
    <x v="0"/>
  </r>
  <r>
    <x v="1"/>
    <x v="6"/>
    <x v="2"/>
    <x v="1"/>
    <n v="88081.5"/>
    <s v="Hugging Face, FastAPI, GCP, Pandas, SQL"/>
    <s v="Scikit-learn, LangChain"/>
    <x v="2"/>
  </r>
  <r>
    <x v="5"/>
    <x v="2"/>
    <x v="1"/>
    <x v="1"/>
    <n v="142402"/>
    <s v="Hugging Face, FastAPI, Python, NumPy"/>
    <s v="Scikit-learn, TensorFlow, MLflow"/>
    <x v="1"/>
  </r>
  <r>
    <x v="4"/>
    <x v="4"/>
    <x v="0"/>
    <x v="0"/>
    <n v="166374"/>
    <s v="Hugging Face, FastAPI, Reinforcement Learning, Flask"/>
    <s v="KDB+"/>
    <x v="0"/>
  </r>
  <r>
    <x v="4"/>
    <x v="2"/>
    <x v="2"/>
    <x v="1"/>
    <n v="71305"/>
    <s v="Hugging Face, FastAPI, TensorFlow, GCP"/>
    <s v="TensorFlow"/>
    <x v="2"/>
  </r>
  <r>
    <x v="3"/>
    <x v="5"/>
    <x v="2"/>
    <x v="2"/>
    <n v="138299"/>
    <s v="Hugging Face, Flask, Excel, CUDA, Pandas"/>
    <s v="MLflow, Scikit-learn"/>
    <x v="0"/>
  </r>
  <r>
    <x v="5"/>
    <x v="6"/>
    <x v="0"/>
    <x v="3"/>
    <n v="126795"/>
    <s v="Hugging Face, Flask, LangChain, TensorFlow, Pandas, FastAPI"/>
    <s v="TensorFlow, BigQuery, FastAPI"/>
    <x v="1"/>
  </r>
  <r>
    <x v="0"/>
    <x v="1"/>
    <x v="2"/>
    <x v="1"/>
    <n v="88592.5"/>
    <s v="Hugging Face, Flask, MLflow"/>
    <s v="BigQuery, PyTorch"/>
    <x v="0"/>
  </r>
  <r>
    <x v="3"/>
    <x v="5"/>
    <x v="1"/>
    <x v="2"/>
    <n v="116154.5"/>
    <s v="Hugging Face, Flask, Pandas, Scikit-learn"/>
    <s v="BigQuery, MLflow"/>
    <x v="1"/>
  </r>
  <r>
    <x v="6"/>
    <x v="5"/>
    <x v="0"/>
    <x v="2"/>
    <n v="138827"/>
    <s v="Hugging Face, Flask, Pandas, SQL, TensorFlow"/>
    <s v="FastAPI, MLflow, LangChain"/>
    <x v="0"/>
  </r>
  <r>
    <x v="1"/>
    <x v="6"/>
    <x v="1"/>
    <x v="3"/>
    <n v="128558.5"/>
    <s v="Hugging Face, Flask, Power BI, Pandas, Excel"/>
    <s v="Scikit-learn"/>
    <x v="0"/>
  </r>
  <r>
    <x v="1"/>
    <x v="4"/>
    <x v="2"/>
    <x v="0"/>
    <n v="184652.5"/>
    <s v="Hugging Face, Flask, Scikit-learn, GCP"/>
    <s v="MLflow, FastAPI"/>
    <x v="2"/>
  </r>
  <r>
    <x v="6"/>
    <x v="3"/>
    <x v="2"/>
    <x v="3"/>
    <n v="107609.5"/>
    <s v="Hugging Face, Flask, SQL, Scikit-learn, C++"/>
    <s v="BigQuery, TensorFlow"/>
    <x v="1"/>
  </r>
  <r>
    <x v="1"/>
    <x v="4"/>
    <x v="0"/>
    <x v="1"/>
    <n v="108523"/>
    <s v="Hugging Face, Flask, TensorFlow, Excel, SQL"/>
    <s v="TensorFlow, LangChain, PyTorch"/>
    <x v="2"/>
  </r>
  <r>
    <x v="4"/>
    <x v="5"/>
    <x v="0"/>
    <x v="3"/>
    <n v="161360.5"/>
    <s v="Hugging Face, GCP, Azure"/>
    <s v="MLflow"/>
    <x v="1"/>
  </r>
  <r>
    <x v="3"/>
    <x v="7"/>
    <x v="1"/>
    <x v="2"/>
    <n v="155828.5"/>
    <s v="Hugging Face, GCP, Excel, NumPy"/>
    <s v="LangChain, FastAPI"/>
    <x v="2"/>
  </r>
  <r>
    <x v="2"/>
    <x v="5"/>
    <x v="0"/>
    <x v="3"/>
    <n v="155207.5"/>
    <s v="Hugging Face, GCP, FastAPI"/>
    <s v="LangChain"/>
    <x v="0"/>
  </r>
  <r>
    <x v="5"/>
    <x v="4"/>
    <x v="0"/>
    <x v="2"/>
    <n v="103873.5"/>
    <s v="Hugging Face, GCP, Keras"/>
    <s v="TensorFlow, Scikit-learn"/>
    <x v="0"/>
  </r>
  <r>
    <x v="5"/>
    <x v="6"/>
    <x v="2"/>
    <x v="3"/>
    <n v="138121"/>
    <s v="Hugging Face, GCP, R, Scikit-learn"/>
    <s v="MLflow, TensorFlow, KDB+"/>
    <x v="2"/>
  </r>
  <r>
    <x v="5"/>
    <x v="1"/>
    <x v="0"/>
    <x v="1"/>
    <n v="183549"/>
    <s v="Hugging Face, GCP, Scikit-learn"/>
    <s v="Scikit-learn, PyTorch, LangChain"/>
    <x v="1"/>
  </r>
  <r>
    <x v="6"/>
    <x v="3"/>
    <x v="1"/>
    <x v="1"/>
    <n v="101978.5"/>
    <s v="Hugging Face, Keras, FastAPI, Power BI"/>
    <s v="LangChain, PyTorch, MLflow"/>
    <x v="0"/>
  </r>
  <r>
    <x v="5"/>
    <x v="6"/>
    <x v="2"/>
    <x v="0"/>
    <n v="135166"/>
    <s v="Hugging Face, Keras, Scikit-learn"/>
    <s v="TensorFlow, LangChain"/>
    <x v="2"/>
  </r>
  <r>
    <x v="3"/>
    <x v="7"/>
    <x v="1"/>
    <x v="1"/>
    <n v="151860"/>
    <s v="Hugging Face, LangChain, Azure, AWS, SQL"/>
    <s v="FastAPI, PyTorch, KDB+"/>
    <x v="2"/>
  </r>
  <r>
    <x v="4"/>
    <x v="6"/>
    <x v="0"/>
    <x v="0"/>
    <n v="147926.5"/>
    <s v="Hugging Face, LangChain, Azure, C++"/>
    <s v="TensorFlow, FastAPI, PyTorch"/>
    <x v="0"/>
  </r>
  <r>
    <x v="5"/>
    <x v="0"/>
    <x v="1"/>
    <x v="0"/>
    <n v="123145.5"/>
    <s v="Hugging Face, LangChain, Azure, Scikit-learn, Flask"/>
    <s v="KDB+, BigQuery, MLflow"/>
    <x v="2"/>
  </r>
  <r>
    <x v="1"/>
    <x v="5"/>
    <x v="1"/>
    <x v="3"/>
    <n v="115846.5"/>
    <s v="Hugging Face, LangChain, Excel, NumPy, Power BI"/>
    <s v="BigQuery, FastAPI, LangChain"/>
    <x v="1"/>
  </r>
  <r>
    <x v="3"/>
    <x v="7"/>
    <x v="0"/>
    <x v="2"/>
    <n v="184009"/>
    <s v="Hugging Face, LangChain, Flask, AWS"/>
    <s v="FastAPI, LangChain, MLflow"/>
    <x v="2"/>
  </r>
  <r>
    <x v="4"/>
    <x v="0"/>
    <x v="2"/>
    <x v="0"/>
    <n v="147705"/>
    <s v="Hugging Face, LangChain, Flask, PyTorch, TensorFlow"/>
    <s v="BigQuery"/>
    <x v="0"/>
  </r>
  <r>
    <x v="3"/>
    <x v="4"/>
    <x v="2"/>
    <x v="3"/>
    <n v="100569"/>
    <s v="Hugging Face, LangChain, Keras, NumPy"/>
    <s v="FastAPI, KDB+"/>
    <x v="0"/>
  </r>
  <r>
    <x v="0"/>
    <x v="4"/>
    <x v="1"/>
    <x v="3"/>
    <n v="161190.5"/>
    <s v="Hugging Face, LangChain, Python, FastAPI, CUDA"/>
    <s v="KDB+, BigQuery, LangChain"/>
    <x v="0"/>
  </r>
  <r>
    <x v="1"/>
    <x v="5"/>
    <x v="2"/>
    <x v="0"/>
    <n v="132727.5"/>
    <s v="Hugging Face, LangChain, R, Python, SQL, TensorFlow"/>
    <s v="BigQuery"/>
    <x v="2"/>
  </r>
  <r>
    <x v="0"/>
    <x v="4"/>
    <x v="0"/>
    <x v="1"/>
    <n v="71703.5"/>
    <s v="Hugging Face, MLflow, CUDA"/>
    <s v="KDB+, PyTorch"/>
    <x v="2"/>
  </r>
  <r>
    <x v="4"/>
    <x v="4"/>
    <x v="1"/>
    <x v="1"/>
    <n v="174908"/>
    <s v="Hugging Face, MLflow, CUDA, Python, Keras, SQL"/>
    <s v="TensorFlow, FastAPI, Scikit-learn"/>
    <x v="2"/>
  </r>
  <r>
    <x v="2"/>
    <x v="2"/>
    <x v="2"/>
    <x v="2"/>
    <n v="120858"/>
    <s v="Hugging Face, MLflow, Python, Reinforcement Learning"/>
    <s v="BigQuery, TensorFlow"/>
    <x v="0"/>
  </r>
  <r>
    <x v="1"/>
    <x v="1"/>
    <x v="0"/>
    <x v="0"/>
    <n v="99709"/>
    <s v="Hugging Face, MLflow, PyTorch"/>
    <s v="PyTorch"/>
    <x v="2"/>
  </r>
  <r>
    <x v="3"/>
    <x v="4"/>
    <x v="0"/>
    <x v="1"/>
    <n v="71333.5"/>
    <s v="Hugging Face, MLflow, Reinforcement Learning"/>
    <s v="LangChain"/>
    <x v="2"/>
  </r>
  <r>
    <x v="0"/>
    <x v="7"/>
    <x v="2"/>
    <x v="0"/>
    <n v="111300.5"/>
    <s v="Hugging Face, NumPy, Flask"/>
    <s v="Scikit-learn, FastAPI"/>
    <x v="2"/>
  </r>
  <r>
    <x v="4"/>
    <x v="4"/>
    <x v="2"/>
    <x v="0"/>
    <n v="114761"/>
    <s v="Hugging Face, Pandas, CUDA, LangChain, FastAPI"/>
    <s v="KDB+"/>
    <x v="1"/>
  </r>
  <r>
    <x v="2"/>
    <x v="0"/>
    <x v="1"/>
    <x v="3"/>
    <n v="86399"/>
    <s v="Hugging Face, Pandas, PyTorch, SQL, R, Excel"/>
    <s v="LangChain, TensorFlow"/>
    <x v="0"/>
  </r>
  <r>
    <x v="2"/>
    <x v="0"/>
    <x v="0"/>
    <x v="3"/>
    <n v="89950.5"/>
    <s v="Hugging Face, Pandas, Reinforcement Learning, C++, FastAPI"/>
    <s v="LangChain, MLflow, Scikit-learn"/>
    <x v="0"/>
  </r>
  <r>
    <x v="4"/>
    <x v="0"/>
    <x v="0"/>
    <x v="0"/>
    <n v="141810"/>
    <s v="Hugging Face, Pandas, Scikit-learn, Flask"/>
    <s v="KDB+"/>
    <x v="1"/>
  </r>
  <r>
    <x v="0"/>
    <x v="1"/>
    <x v="2"/>
    <x v="0"/>
    <n v="155736.5"/>
    <s v="Hugging Face, Pandas, SQL"/>
    <s v="MLflow, PyTorch, BigQuery"/>
    <x v="0"/>
  </r>
  <r>
    <x v="6"/>
    <x v="4"/>
    <x v="2"/>
    <x v="0"/>
    <n v="123185.5"/>
    <s v="Hugging Face, Power BI, SQL, FastAPI, C++, Reinforcement Learning"/>
    <s v="KDB+"/>
    <x v="2"/>
  </r>
  <r>
    <x v="1"/>
    <x v="5"/>
    <x v="1"/>
    <x v="1"/>
    <n v="80812"/>
    <s v="Hugging Face, Power BI, SQL, Pandas, Reinforcement Learning"/>
    <s v="Scikit-learn"/>
    <x v="2"/>
  </r>
  <r>
    <x v="4"/>
    <x v="7"/>
    <x v="2"/>
    <x v="3"/>
    <n v="149752.5"/>
    <s v="Hugging Face, Power BI, TensorFlow, C++, Python, AWS"/>
    <s v="Scikit-learn, BigQuery"/>
    <x v="2"/>
  </r>
  <r>
    <x v="3"/>
    <x v="1"/>
    <x v="0"/>
    <x v="3"/>
    <n v="124819"/>
    <s v="Hugging Face, Python, FastAPI, CUDA, GCP"/>
    <s v="LangChain, BigQuery"/>
    <x v="1"/>
  </r>
  <r>
    <x v="1"/>
    <x v="1"/>
    <x v="0"/>
    <x v="1"/>
    <n v="136434"/>
    <s v="Hugging Face, Python, Pandas"/>
    <s v="FastAPI, Scikit-learn, PyTorch"/>
    <x v="0"/>
  </r>
  <r>
    <x v="3"/>
    <x v="3"/>
    <x v="1"/>
    <x v="1"/>
    <n v="174747"/>
    <s v="Hugging Face, PyTorch, AWS, MLflow"/>
    <s v="TensorFlow, BigQuery, FastAPI"/>
    <x v="1"/>
  </r>
  <r>
    <x v="0"/>
    <x v="1"/>
    <x v="1"/>
    <x v="1"/>
    <n v="69921"/>
    <s v="Hugging Face, PyTorch, CUDA, MLflow"/>
    <s v="Scikit-learn, TensorFlow, MLflow"/>
    <x v="2"/>
  </r>
  <r>
    <x v="2"/>
    <x v="5"/>
    <x v="1"/>
    <x v="2"/>
    <n v="75478.5"/>
    <s v="Hugging Face, PyTorch, Power BI, Pandas, Flask"/>
    <s v="MLflow, LangChain"/>
    <x v="2"/>
  </r>
  <r>
    <x v="3"/>
    <x v="7"/>
    <x v="2"/>
    <x v="0"/>
    <n v="58636"/>
    <s v="Hugging Face, PyTorch, Reinforcement Learning, MLflow, Scikit-learn"/>
    <s v="MLflow, Scikit-learn"/>
    <x v="2"/>
  </r>
  <r>
    <x v="2"/>
    <x v="1"/>
    <x v="2"/>
    <x v="0"/>
    <n v="173964"/>
    <s v="Hugging Face, PyTorch, SQL, FastAPI"/>
    <s v="Scikit-learn"/>
    <x v="1"/>
  </r>
  <r>
    <x v="1"/>
    <x v="2"/>
    <x v="1"/>
    <x v="3"/>
    <n v="163822.5"/>
    <s v="Hugging Face, R, Azure, Power BI, Excel"/>
    <s v="LangChain, FastAPI"/>
    <x v="1"/>
  </r>
  <r>
    <x v="2"/>
    <x v="5"/>
    <x v="2"/>
    <x v="2"/>
    <n v="146332.5"/>
    <s v="Hugging Face, R, C++"/>
    <s v="TensorFlow, LangChain, FastAPI"/>
    <x v="2"/>
  </r>
  <r>
    <x v="2"/>
    <x v="7"/>
    <x v="2"/>
    <x v="0"/>
    <n v="71705"/>
    <s v="Hugging Face, R, LangChain"/>
    <s v="FastAPI"/>
    <x v="2"/>
  </r>
  <r>
    <x v="6"/>
    <x v="3"/>
    <x v="0"/>
    <x v="1"/>
    <n v="71742.5"/>
    <s v="Hugging Face, R, TensorFlow"/>
    <s v="TensorFlow, LangChain"/>
    <x v="2"/>
  </r>
  <r>
    <x v="6"/>
    <x v="0"/>
    <x v="1"/>
    <x v="0"/>
    <n v="110466.5"/>
    <s v="Hugging Face, R, TensorFlow, MLflow, NumPy"/>
    <s v="BigQuery, TensorFlow, LangChain"/>
    <x v="0"/>
  </r>
  <r>
    <x v="3"/>
    <x v="6"/>
    <x v="1"/>
    <x v="0"/>
    <n v="142264.5"/>
    <s v="Hugging Face, Reinforcement Learning, LangChain"/>
    <s v="BigQuery, MLflow, FastAPI"/>
    <x v="2"/>
  </r>
  <r>
    <x v="3"/>
    <x v="0"/>
    <x v="0"/>
    <x v="3"/>
    <n v="146069"/>
    <s v="Hugging Face, Scikit-learn, C++, Excel, Azure"/>
    <s v="LangChain, KDB+"/>
    <x v="1"/>
  </r>
  <r>
    <x v="5"/>
    <x v="0"/>
    <x v="0"/>
    <x v="3"/>
    <n v="99580.5"/>
    <s v="Hugging Face, Scikit-learn, Excel, SQL"/>
    <s v="TensorFlow"/>
    <x v="1"/>
  </r>
  <r>
    <x v="2"/>
    <x v="3"/>
    <x v="1"/>
    <x v="3"/>
    <n v="129942"/>
    <s v="Hugging Face, Scikit-learn, GCP, TensorFlow, NumPy"/>
    <s v="BigQuery"/>
    <x v="0"/>
  </r>
  <r>
    <x v="5"/>
    <x v="0"/>
    <x v="2"/>
    <x v="2"/>
    <n v="104834.5"/>
    <s v="Hugging Face, Scikit-learn, LangChain, TensorFlow, Excel"/>
    <s v="Scikit-learn"/>
    <x v="2"/>
  </r>
  <r>
    <x v="4"/>
    <x v="2"/>
    <x v="1"/>
    <x v="2"/>
    <n v="171267.5"/>
    <s v="Hugging Face, Scikit-learn, Reinforcement Learning"/>
    <s v="TensorFlow"/>
    <x v="0"/>
  </r>
  <r>
    <x v="0"/>
    <x v="2"/>
    <x v="2"/>
    <x v="0"/>
    <n v="126044"/>
    <s v="Hugging Face, SQL, AWS, Scikit-learn, C++, Pandas"/>
    <s v="TensorFlow, FastAPI"/>
    <x v="2"/>
  </r>
  <r>
    <x v="2"/>
    <x v="2"/>
    <x v="1"/>
    <x v="2"/>
    <n v="170289"/>
    <s v="Hugging Face, SQL, Azure, LangChain, AWS, NumPy"/>
    <s v="BigQuery, TensorFlow"/>
    <x v="1"/>
  </r>
  <r>
    <x v="1"/>
    <x v="5"/>
    <x v="1"/>
    <x v="2"/>
    <n v="111402"/>
    <s v="Hugging Face, SQL, LangChain, FastAPI, Flask"/>
    <s v="MLflow, TensorFlow"/>
    <x v="0"/>
  </r>
  <r>
    <x v="5"/>
    <x v="3"/>
    <x v="0"/>
    <x v="2"/>
    <n v="154662"/>
    <s v="Hugging Face, SQL, LangChain, Reinforcement Learning"/>
    <s v="LangChain"/>
    <x v="1"/>
  </r>
  <r>
    <x v="6"/>
    <x v="7"/>
    <x v="0"/>
    <x v="1"/>
    <n v="100803.5"/>
    <s v="Hugging Face, SQL, MLflow, Scikit-learn, Power BI"/>
    <s v="BigQuery"/>
    <x v="0"/>
  </r>
  <r>
    <x v="4"/>
    <x v="1"/>
    <x v="0"/>
    <x v="3"/>
    <n v="155899"/>
    <s v="Hugging Face, SQL, TensorFlow"/>
    <s v="Scikit-learn, BigQuery"/>
    <x v="1"/>
  </r>
  <r>
    <x v="5"/>
    <x v="1"/>
    <x v="1"/>
    <x v="3"/>
    <n v="86525"/>
    <s v="Hugging Face, TensorFlow, C++, Keras, AWS"/>
    <s v="Scikit-learn, BigQuery"/>
    <x v="0"/>
  </r>
  <r>
    <x v="6"/>
    <x v="0"/>
    <x v="1"/>
    <x v="2"/>
    <n v="59837.5"/>
    <s v="Hugging Face, TensorFlow, FastAPI, Excel, Pandas"/>
    <s v="FastAPI, MLflow, Scikit-learn"/>
    <x v="2"/>
  </r>
  <r>
    <x v="2"/>
    <x v="6"/>
    <x v="1"/>
    <x v="2"/>
    <n v="98310"/>
    <s v="Hugging Face, TensorFlow, MLflow"/>
    <s v="PyTorch, KDB+, TensorFlow"/>
    <x v="0"/>
  </r>
  <r>
    <x v="3"/>
    <x v="0"/>
    <x v="2"/>
    <x v="1"/>
    <n v="130611"/>
    <s v="Keras, AWS, NumPy, MLflow, TensorFlow, Flask"/>
    <s v="Scikit-learn, KDB+, MLflow"/>
    <x v="2"/>
  </r>
  <r>
    <x v="5"/>
    <x v="5"/>
    <x v="2"/>
    <x v="2"/>
    <n v="174059"/>
    <s v="Keras, AWS, SQL, CUDA, Python, GCP"/>
    <s v="TensorFlow, MLflow, PyTorch"/>
    <x v="2"/>
  </r>
  <r>
    <x v="0"/>
    <x v="2"/>
    <x v="0"/>
    <x v="0"/>
    <n v="143227.5"/>
    <s v="Keras, Azure, C++"/>
    <s v="FastAPI, LangChain"/>
    <x v="2"/>
  </r>
  <r>
    <x v="0"/>
    <x v="7"/>
    <x v="0"/>
    <x v="2"/>
    <n v="115909.5"/>
    <s v="Keras, Azure, C++, Reinforcement Learning, Hugging Face"/>
    <s v="Scikit-learn"/>
    <x v="1"/>
  </r>
  <r>
    <x v="3"/>
    <x v="7"/>
    <x v="0"/>
    <x v="2"/>
    <n v="86111"/>
    <s v="Keras, Azure, Excel, MLflow, FastAPI, Hugging Face"/>
    <s v="Scikit-learn, BigQuery, FastAPI"/>
    <x v="1"/>
  </r>
  <r>
    <x v="0"/>
    <x v="3"/>
    <x v="2"/>
    <x v="0"/>
    <n v="90295"/>
    <s v="Keras, Azure, Excel, TensorFlow"/>
    <s v="Scikit-learn, MLflow"/>
    <x v="1"/>
  </r>
  <r>
    <x v="0"/>
    <x v="6"/>
    <x v="2"/>
    <x v="3"/>
    <n v="100867.5"/>
    <s v="Keras, Azure, Hugging Face, CUDA, MLflow"/>
    <s v="PyTorch"/>
    <x v="1"/>
  </r>
  <r>
    <x v="6"/>
    <x v="2"/>
    <x v="0"/>
    <x v="2"/>
    <n v="150943.5"/>
    <s v="Keras, C++, Azure, FastAPI, CUDA, Scikit-learn"/>
    <s v="Scikit-learn"/>
    <x v="1"/>
  </r>
  <r>
    <x v="3"/>
    <x v="4"/>
    <x v="0"/>
    <x v="3"/>
    <n v="194145.5"/>
    <s v="Keras, C++, Flask, Python, GCP, NumPy"/>
    <s v="PyTorch, FastAPI"/>
    <x v="2"/>
  </r>
  <r>
    <x v="5"/>
    <x v="1"/>
    <x v="2"/>
    <x v="0"/>
    <n v="109410"/>
    <s v="Keras, C++, LangChain, AWS, Python, GCP"/>
    <s v="KDB+"/>
    <x v="2"/>
  </r>
  <r>
    <x v="4"/>
    <x v="4"/>
    <x v="1"/>
    <x v="2"/>
    <n v="86563"/>
    <s v="Keras, C++, Pandas, CUDA, LangChain"/>
    <s v="FastAPI, KDB+, Scikit-learn"/>
    <x v="2"/>
  </r>
  <r>
    <x v="0"/>
    <x v="3"/>
    <x v="2"/>
    <x v="0"/>
    <n v="168413"/>
    <s v="Keras, C++, Scikit-learn, Flask, PyTorch, Pandas"/>
    <s v="MLflow, PyTorch"/>
    <x v="1"/>
  </r>
  <r>
    <x v="5"/>
    <x v="0"/>
    <x v="0"/>
    <x v="1"/>
    <n v="96462.5"/>
    <s v="Keras, CUDA, C++, Python, SQL, Scikit-learn"/>
    <s v="KDB+, Scikit-learn, FastAPI"/>
    <x v="2"/>
  </r>
  <r>
    <x v="2"/>
    <x v="4"/>
    <x v="0"/>
    <x v="1"/>
    <n v="125136.5"/>
    <s v="Keras, CUDA, PyTorch, Power BI"/>
    <s v="BigQuery"/>
    <x v="2"/>
  </r>
  <r>
    <x v="6"/>
    <x v="2"/>
    <x v="2"/>
    <x v="3"/>
    <n v="151141.5"/>
    <s v="Keras, CUDA, TensorFlow"/>
    <s v="BigQuery, TensorFlow"/>
    <x v="0"/>
  </r>
  <r>
    <x v="3"/>
    <x v="4"/>
    <x v="1"/>
    <x v="3"/>
    <n v="184756"/>
    <s v="Keras, Excel, FastAPI, Azure, R, PyTorch"/>
    <s v="FastAPI, TensorFlow, BigQuery"/>
    <x v="0"/>
  </r>
  <r>
    <x v="4"/>
    <x v="7"/>
    <x v="0"/>
    <x v="2"/>
    <n v="137174.5"/>
    <s v="Keras, Excel, GCP"/>
    <s v="KDB+, FastAPI, MLflow"/>
    <x v="0"/>
  </r>
  <r>
    <x v="5"/>
    <x v="6"/>
    <x v="2"/>
    <x v="0"/>
    <n v="111984.5"/>
    <s v="Keras, Excel, Power BI, SQL, GCP"/>
    <s v="KDB+, TensorFlow"/>
    <x v="2"/>
  </r>
  <r>
    <x v="4"/>
    <x v="5"/>
    <x v="1"/>
    <x v="3"/>
    <n v="166592"/>
    <s v="Keras, Excel, R"/>
    <s v="BigQuery, MLflow, FastAPI"/>
    <x v="0"/>
  </r>
  <r>
    <x v="1"/>
    <x v="7"/>
    <x v="0"/>
    <x v="2"/>
    <n v="121384"/>
    <s v="Keras, Excel, SQL, Python, Scikit-learn"/>
    <s v="FastAPI, Scikit-learn, MLflow"/>
    <x v="1"/>
  </r>
  <r>
    <x v="0"/>
    <x v="4"/>
    <x v="1"/>
    <x v="3"/>
    <n v="74513"/>
    <s v="Keras, Excel, TensorFlow"/>
    <s v="KDB+, PyTorch"/>
    <x v="0"/>
  </r>
  <r>
    <x v="2"/>
    <x v="0"/>
    <x v="2"/>
    <x v="1"/>
    <n v="105064"/>
    <s v="Keras, FastAPI, AWS, SQL, Excel, C++"/>
    <s v="LangChain, MLflow"/>
    <x v="1"/>
  </r>
  <r>
    <x v="3"/>
    <x v="7"/>
    <x v="1"/>
    <x v="3"/>
    <n v="81453.5"/>
    <s v="Keras, FastAPI, C++, Hugging Face"/>
    <s v="Scikit-learn, PyTorch"/>
    <x v="1"/>
  </r>
  <r>
    <x v="1"/>
    <x v="2"/>
    <x v="1"/>
    <x v="2"/>
    <n v="163032.5"/>
    <s v="Keras, FastAPI, Flask"/>
    <s v="MLflow"/>
    <x v="0"/>
  </r>
  <r>
    <x v="6"/>
    <x v="6"/>
    <x v="2"/>
    <x v="1"/>
    <n v="100045.5"/>
    <s v="Keras, FastAPI, Power BI, MLflow"/>
    <s v="MLflow, LangChain"/>
    <x v="2"/>
  </r>
  <r>
    <x v="4"/>
    <x v="3"/>
    <x v="1"/>
    <x v="0"/>
    <n v="131482.5"/>
    <s v="Keras, FastAPI, Python, Excel, AWS"/>
    <s v="PyTorch, TensorFlow, Scikit-learn"/>
    <x v="0"/>
  </r>
  <r>
    <x v="5"/>
    <x v="5"/>
    <x v="0"/>
    <x v="0"/>
    <n v="143687"/>
    <s v="Keras, FastAPI, PyTorch, LangChain, Scikit-learn, Hugging Face"/>
    <s v="PyTorch, Scikit-learn"/>
    <x v="2"/>
  </r>
  <r>
    <x v="2"/>
    <x v="4"/>
    <x v="2"/>
    <x v="1"/>
    <n v="105607.5"/>
    <s v="Keras, FastAPI, Reinforcement Learning, Power BI"/>
    <s v="MLflow"/>
    <x v="2"/>
  </r>
  <r>
    <x v="6"/>
    <x v="7"/>
    <x v="0"/>
    <x v="2"/>
    <n v="111885"/>
    <s v="Keras, FastAPI, Scikit-learn, R, Hugging Face, PyTorch"/>
    <s v="MLflow, PyTorch"/>
    <x v="0"/>
  </r>
  <r>
    <x v="4"/>
    <x v="5"/>
    <x v="1"/>
    <x v="3"/>
    <n v="153727.5"/>
    <s v="Keras, Flask, NumPy"/>
    <s v="FastAPI, KDB+, MLflow"/>
    <x v="1"/>
  </r>
  <r>
    <x v="0"/>
    <x v="0"/>
    <x v="1"/>
    <x v="3"/>
    <n v="107413"/>
    <s v="Keras, Flask, Scikit-learn, Reinforcement Learning, Power BI, AWS"/>
    <s v="MLflow, Scikit-learn, BigQuery"/>
    <x v="1"/>
  </r>
  <r>
    <x v="6"/>
    <x v="6"/>
    <x v="2"/>
    <x v="3"/>
    <n v="151198.5"/>
    <s v="Keras, GCP, CUDA, AWS, PyTorch"/>
    <s v="BigQuery"/>
    <x v="2"/>
  </r>
  <r>
    <x v="3"/>
    <x v="7"/>
    <x v="2"/>
    <x v="3"/>
    <n v="133328.5"/>
    <s v="Keras, GCP, NumPy, AWS"/>
    <s v="LangChain"/>
    <x v="2"/>
  </r>
  <r>
    <x v="6"/>
    <x v="4"/>
    <x v="1"/>
    <x v="0"/>
    <n v="164671.5"/>
    <s v="Keras, GCP, PyTorch"/>
    <s v="Scikit-learn"/>
    <x v="0"/>
  </r>
  <r>
    <x v="6"/>
    <x v="5"/>
    <x v="0"/>
    <x v="3"/>
    <n v="144666.5"/>
    <s v="Keras, GCP, Scikit-learn, MLflow, NumPy"/>
    <s v="LangChain, PyTorch"/>
    <x v="2"/>
  </r>
  <r>
    <x v="3"/>
    <x v="6"/>
    <x v="1"/>
    <x v="2"/>
    <n v="123076.5"/>
    <s v="Keras, GCP, SQL"/>
    <s v="BigQuery, FastAPI"/>
    <x v="1"/>
  </r>
  <r>
    <x v="6"/>
    <x v="2"/>
    <x v="1"/>
    <x v="3"/>
    <n v="188397"/>
    <s v="Keras, Hugging Face, Flask, NumPy"/>
    <s v="PyTorch"/>
    <x v="0"/>
  </r>
  <r>
    <x v="5"/>
    <x v="5"/>
    <x v="2"/>
    <x v="3"/>
    <n v="102335.5"/>
    <s v="Keras, Hugging Face, Power BI, C++, SQL, Python"/>
    <s v="MLflow"/>
    <x v="0"/>
  </r>
  <r>
    <x v="4"/>
    <x v="5"/>
    <x v="1"/>
    <x v="0"/>
    <n v="132588"/>
    <s v="Keras, Hugging Face, R"/>
    <s v="FastAPI"/>
    <x v="0"/>
  </r>
  <r>
    <x v="6"/>
    <x v="1"/>
    <x v="1"/>
    <x v="0"/>
    <n v="158606.5"/>
    <s v="Keras, LangChain, AWS, TensorFlow, Reinforcement Learning, NumPy"/>
    <s v="TensorFlow, LangChain, MLflow"/>
    <x v="2"/>
  </r>
  <r>
    <x v="4"/>
    <x v="3"/>
    <x v="2"/>
    <x v="1"/>
    <n v="93707.5"/>
    <s v="Keras, LangChain, CUDA"/>
    <s v="FastAPI, Scikit-learn, TensorFlow"/>
    <x v="0"/>
  </r>
  <r>
    <x v="6"/>
    <x v="0"/>
    <x v="1"/>
    <x v="1"/>
    <n v="113347"/>
    <s v="Keras, LangChain, FastAPI"/>
    <s v="FastAPI, BigQuery, TensorFlow"/>
    <x v="0"/>
  </r>
  <r>
    <x v="4"/>
    <x v="3"/>
    <x v="1"/>
    <x v="2"/>
    <n v="134557.5"/>
    <s v="Keras, LangChain, R, MLflow, Azure, TensorFlow"/>
    <s v="TensorFlow, BigQuery, LangChain"/>
    <x v="1"/>
  </r>
  <r>
    <x v="6"/>
    <x v="1"/>
    <x v="1"/>
    <x v="1"/>
    <n v="93430.5"/>
    <s v="Keras, MLflow, AWS, SQL, Excel"/>
    <s v="FastAPI"/>
    <x v="0"/>
  </r>
  <r>
    <x v="2"/>
    <x v="0"/>
    <x v="1"/>
    <x v="2"/>
    <n v="106543"/>
    <s v="Keras, MLflow, Excel"/>
    <s v="LangChain, KDB+"/>
    <x v="2"/>
  </r>
  <r>
    <x v="0"/>
    <x v="2"/>
    <x v="0"/>
    <x v="2"/>
    <n v="96796"/>
    <s v="Keras, MLflow, FastAPI, Python, Scikit-learn, Reinforcement Learning"/>
    <s v="Scikit-learn"/>
    <x v="2"/>
  </r>
  <r>
    <x v="3"/>
    <x v="1"/>
    <x v="2"/>
    <x v="1"/>
    <n v="171281"/>
    <s v="Keras, MLflow, Hugging Face, FastAPI, Azure"/>
    <s v="KDB+"/>
    <x v="2"/>
  </r>
  <r>
    <x v="0"/>
    <x v="0"/>
    <x v="0"/>
    <x v="0"/>
    <n v="112967.5"/>
    <s v="Keras, MLflow, Reinforcement Learning"/>
    <s v="LangChain, BigQuery, Scikit-learn"/>
    <x v="2"/>
  </r>
  <r>
    <x v="3"/>
    <x v="3"/>
    <x v="0"/>
    <x v="1"/>
    <n v="152145"/>
    <s v="Keras, NumPy, Excel, C++, Pandas"/>
    <s v="TensorFlow, BigQuery"/>
    <x v="2"/>
  </r>
  <r>
    <x v="3"/>
    <x v="1"/>
    <x v="2"/>
    <x v="3"/>
    <n v="174547"/>
    <s v="Keras, NumPy, Flask, Python"/>
    <s v="FastAPI"/>
    <x v="0"/>
  </r>
  <r>
    <x v="0"/>
    <x v="0"/>
    <x v="1"/>
    <x v="3"/>
    <n v="108761.5"/>
    <s v="Keras, NumPy, GCP"/>
    <s v="LangChain, Scikit-learn"/>
    <x v="1"/>
  </r>
  <r>
    <x v="2"/>
    <x v="5"/>
    <x v="2"/>
    <x v="2"/>
    <n v="78828.5"/>
    <s v="Keras, NumPy, Python, AWS, Flask, Azure"/>
    <s v="Scikit-learn, LangChain"/>
    <x v="2"/>
  </r>
  <r>
    <x v="1"/>
    <x v="7"/>
    <x v="1"/>
    <x v="1"/>
    <n v="141615"/>
    <s v="Keras, NumPy, R, LangChain, Reinforcement Learning"/>
    <s v="KDB+, BigQuery"/>
    <x v="0"/>
  </r>
  <r>
    <x v="1"/>
    <x v="2"/>
    <x v="1"/>
    <x v="3"/>
    <n v="61337"/>
    <s v="Keras, NumPy, Reinforcement Learning, Azure, GCP, Power BI"/>
    <s v="BigQuery"/>
    <x v="0"/>
  </r>
  <r>
    <x v="1"/>
    <x v="0"/>
    <x v="2"/>
    <x v="0"/>
    <n v="159588.5"/>
    <s v="Keras, NumPy, Reinforcement Learning, Scikit-learn, Azure, Pandas"/>
    <s v="PyTorch, BigQuery"/>
    <x v="2"/>
  </r>
  <r>
    <x v="0"/>
    <x v="5"/>
    <x v="2"/>
    <x v="3"/>
    <n v="173483"/>
    <s v="Keras, Pandas, AWS, SQL"/>
    <s v="BigQuery"/>
    <x v="1"/>
  </r>
  <r>
    <x v="0"/>
    <x v="6"/>
    <x v="0"/>
    <x v="3"/>
    <n v="163615.5"/>
    <s v="Keras, Pandas, CUDA"/>
    <s v="LangChain, PyTorch, KDB+"/>
    <x v="1"/>
  </r>
  <r>
    <x v="2"/>
    <x v="2"/>
    <x v="2"/>
    <x v="1"/>
    <n v="90127"/>
    <s v="Keras, Pandas, MLflow"/>
    <s v="FastAPI, KDB+"/>
    <x v="0"/>
  </r>
  <r>
    <x v="5"/>
    <x v="2"/>
    <x v="2"/>
    <x v="2"/>
    <n v="177945"/>
    <s v="Keras, Pandas, MLflow, Scikit-learn"/>
    <s v="PyTorch, KDB+, LangChain"/>
    <x v="1"/>
  </r>
  <r>
    <x v="6"/>
    <x v="1"/>
    <x v="1"/>
    <x v="3"/>
    <n v="151038.5"/>
    <s v="Keras, Pandas, Power BI, Scikit-learn, FastAPI, Azure"/>
    <s v="KDB+, BigQuery"/>
    <x v="0"/>
  </r>
  <r>
    <x v="2"/>
    <x v="0"/>
    <x v="2"/>
    <x v="1"/>
    <n v="92090.5"/>
    <s v="Keras, Pandas, Python, FastAPI, CUDA, Scikit-learn"/>
    <s v="MLflow"/>
    <x v="2"/>
  </r>
  <r>
    <x v="2"/>
    <x v="4"/>
    <x v="2"/>
    <x v="1"/>
    <n v="125497.5"/>
    <s v="Keras, Pandas, R, Excel, SQL"/>
    <s v="MLflow, PyTorch, BigQuery"/>
    <x v="1"/>
  </r>
  <r>
    <x v="3"/>
    <x v="2"/>
    <x v="2"/>
    <x v="2"/>
    <n v="71013"/>
    <s v="Keras, Pandas, TensorFlow, CUDA"/>
    <s v="KDB+, FastAPI"/>
    <x v="2"/>
  </r>
  <r>
    <x v="3"/>
    <x v="2"/>
    <x v="1"/>
    <x v="2"/>
    <n v="97354.5"/>
    <s v="Keras, Power BI, Excel, Python"/>
    <s v="MLflow"/>
    <x v="1"/>
  </r>
  <r>
    <x v="5"/>
    <x v="6"/>
    <x v="2"/>
    <x v="1"/>
    <n v="153026"/>
    <s v="Keras, Power BI, MLflow, AWS"/>
    <s v="TensorFlow"/>
    <x v="1"/>
  </r>
  <r>
    <x v="0"/>
    <x v="1"/>
    <x v="0"/>
    <x v="0"/>
    <n v="112187"/>
    <s v="Keras, Power BI, TensorFlow, Excel, SQL, LangChain"/>
    <s v="MLflow, Scikit-learn, FastAPI"/>
    <x v="1"/>
  </r>
  <r>
    <x v="2"/>
    <x v="3"/>
    <x v="1"/>
    <x v="0"/>
    <n v="87312.5"/>
    <s v="Keras, Python, Hugging Face, Flask"/>
    <s v="TensorFlow, FastAPI"/>
    <x v="1"/>
  </r>
  <r>
    <x v="6"/>
    <x v="0"/>
    <x v="1"/>
    <x v="1"/>
    <n v="71635.5"/>
    <s v="Keras, Python, Power BI, GCP"/>
    <s v="BigQuery, FastAPI, PyTorch"/>
    <x v="1"/>
  </r>
  <r>
    <x v="1"/>
    <x v="2"/>
    <x v="2"/>
    <x v="1"/>
    <n v="127601"/>
    <s v="Keras, Python, PyTorch, GCP, C++"/>
    <s v="Scikit-learn, TensorFlow, PyTorch"/>
    <x v="2"/>
  </r>
  <r>
    <x v="5"/>
    <x v="7"/>
    <x v="2"/>
    <x v="3"/>
    <n v="165588"/>
    <s v="Keras, Python, Reinforcement Learning, Scikit-learn"/>
    <s v="KDB+, MLflow, TensorFlow"/>
    <x v="0"/>
  </r>
  <r>
    <x v="5"/>
    <x v="1"/>
    <x v="2"/>
    <x v="1"/>
    <n v="72690"/>
    <s v="Keras, Python, SQL"/>
    <s v="KDB+, PyTorch"/>
    <x v="2"/>
  </r>
  <r>
    <x v="0"/>
    <x v="7"/>
    <x v="2"/>
    <x v="1"/>
    <n v="80135.5"/>
    <s v="Keras, PyTorch, AWS, FastAPI, CUDA"/>
    <s v="TensorFlow, Scikit-learn"/>
    <x v="0"/>
  </r>
  <r>
    <x v="5"/>
    <x v="5"/>
    <x v="2"/>
    <x v="0"/>
    <n v="65772"/>
    <s v="Keras, PyTorch, AWS, SQL"/>
    <s v="Scikit-learn"/>
    <x v="1"/>
  </r>
  <r>
    <x v="4"/>
    <x v="2"/>
    <x v="2"/>
    <x v="2"/>
    <n v="161002"/>
    <s v="Keras, PyTorch, Azure, C++, Python, LangChain"/>
    <s v="LangChain"/>
    <x v="1"/>
  </r>
  <r>
    <x v="4"/>
    <x v="0"/>
    <x v="0"/>
    <x v="0"/>
    <n v="137623"/>
    <s v="Keras, PyTorch, Flask"/>
    <s v="KDB+"/>
    <x v="2"/>
  </r>
  <r>
    <x v="0"/>
    <x v="7"/>
    <x v="0"/>
    <x v="1"/>
    <n v="62065"/>
    <s v="Keras, PyTorch, R, Hugging Face, CUDA"/>
    <s v="BigQuery"/>
    <x v="0"/>
  </r>
  <r>
    <x v="3"/>
    <x v="6"/>
    <x v="2"/>
    <x v="3"/>
    <n v="125729"/>
    <s v="Keras, PyTorch, TensorFlow, Scikit-learn, Azure"/>
    <s v="KDB+"/>
    <x v="2"/>
  </r>
  <r>
    <x v="4"/>
    <x v="6"/>
    <x v="0"/>
    <x v="0"/>
    <n v="131741.5"/>
    <s v="Keras, R, CUDA, NumPy"/>
    <s v="Scikit-learn, TensorFlow"/>
    <x v="2"/>
  </r>
  <r>
    <x v="6"/>
    <x v="3"/>
    <x v="2"/>
    <x v="1"/>
    <n v="118564"/>
    <s v="Keras, R, NumPy, Reinforcement Learning"/>
    <s v="Scikit-learn, KDB+, MLflow"/>
    <x v="0"/>
  </r>
  <r>
    <x v="1"/>
    <x v="1"/>
    <x v="0"/>
    <x v="1"/>
    <n v="144383"/>
    <s v="Keras, R, Power BI, LangChain"/>
    <s v="KDB+"/>
    <x v="0"/>
  </r>
  <r>
    <x v="5"/>
    <x v="1"/>
    <x v="0"/>
    <x v="0"/>
    <n v="91096"/>
    <s v="Keras, R, Reinforcement Learning, PyTorch"/>
    <s v="BigQuery, Scikit-learn"/>
    <x v="2"/>
  </r>
  <r>
    <x v="1"/>
    <x v="5"/>
    <x v="1"/>
    <x v="3"/>
    <n v="79159"/>
    <s v="Keras, Reinforcement Learning, GCP, CUDA"/>
    <s v="LangChain"/>
    <x v="0"/>
  </r>
  <r>
    <x v="4"/>
    <x v="7"/>
    <x v="0"/>
    <x v="3"/>
    <n v="62950"/>
    <s v="Keras, Reinforcement Learning, MLflow"/>
    <s v="KDB+"/>
    <x v="1"/>
  </r>
  <r>
    <x v="1"/>
    <x v="4"/>
    <x v="2"/>
    <x v="1"/>
    <n v="169681.5"/>
    <s v="Keras, Reinforcement Learning, Scikit-learn"/>
    <s v="MLflow, BigQuery"/>
    <x v="0"/>
  </r>
  <r>
    <x v="2"/>
    <x v="1"/>
    <x v="2"/>
    <x v="0"/>
    <n v="140316"/>
    <s v="Keras, Scikit-learn, FastAPI, Azure, GCP, CUDA"/>
    <s v="TensorFlow, LangChain, BigQuery"/>
    <x v="2"/>
  </r>
  <r>
    <x v="6"/>
    <x v="3"/>
    <x v="1"/>
    <x v="3"/>
    <n v="164179"/>
    <s v="Keras, Scikit-learn, MLflow, Python, SQL, Excel"/>
    <s v="TensorFlow, LangChain, MLflow"/>
    <x v="2"/>
  </r>
  <r>
    <x v="5"/>
    <x v="5"/>
    <x v="2"/>
    <x v="2"/>
    <n v="80594"/>
    <s v="Keras, Scikit-learn, Pandas"/>
    <s v="BigQuery, PyTorch, MLflow"/>
    <x v="1"/>
  </r>
  <r>
    <x v="2"/>
    <x v="6"/>
    <x v="1"/>
    <x v="0"/>
    <n v="181454"/>
    <s v="Keras, Scikit-learn, Pandas, Python, FastAPI"/>
    <s v="MLflow, LangChain, FastAPI"/>
    <x v="0"/>
  </r>
  <r>
    <x v="3"/>
    <x v="1"/>
    <x v="2"/>
    <x v="2"/>
    <n v="141618.5"/>
    <s v="Keras, Scikit-learn, R, Flask, Python, FastAPI"/>
    <s v="KDB+, PyTorch, FastAPI"/>
    <x v="2"/>
  </r>
  <r>
    <x v="4"/>
    <x v="6"/>
    <x v="2"/>
    <x v="3"/>
    <n v="54386"/>
    <s v="Keras, SQL, FastAPI, GCP, Flask"/>
    <s v="LangChain, BigQuery"/>
    <x v="1"/>
  </r>
  <r>
    <x v="4"/>
    <x v="4"/>
    <x v="2"/>
    <x v="2"/>
    <n v="178847.5"/>
    <s v="Keras, SQL, PyTorch, Python, Pandas, Azure"/>
    <s v="MLflow, TensorFlow"/>
    <x v="1"/>
  </r>
  <r>
    <x v="0"/>
    <x v="1"/>
    <x v="0"/>
    <x v="2"/>
    <n v="135885.5"/>
    <s v="Keras, SQL, Reinforcement Learning, Scikit-learn, GCP"/>
    <s v="LangChain"/>
    <x v="2"/>
  </r>
  <r>
    <x v="5"/>
    <x v="3"/>
    <x v="0"/>
    <x v="0"/>
    <n v="94325"/>
    <s v="Keras, SQL, TensorFlow"/>
    <s v="BigQuery, TensorFlow"/>
    <x v="0"/>
  </r>
  <r>
    <x v="4"/>
    <x v="7"/>
    <x v="2"/>
    <x v="1"/>
    <n v="85037"/>
    <s v="Keras, TensorFlow, Excel, CUDA, PyTorch"/>
    <s v="MLflow"/>
    <x v="1"/>
  </r>
  <r>
    <x v="3"/>
    <x v="3"/>
    <x v="1"/>
    <x v="1"/>
    <n v="173965.5"/>
    <s v="Keras, TensorFlow, MLflow, NumPy, Pandas, Scikit-learn"/>
    <s v="LangChain, FastAPI, PyTorch"/>
    <x v="2"/>
  </r>
  <r>
    <x v="4"/>
    <x v="5"/>
    <x v="2"/>
    <x v="1"/>
    <n v="172673"/>
    <s v="Keras, TensorFlow, R, Azure"/>
    <s v="BigQuery, LangChain"/>
    <x v="1"/>
  </r>
  <r>
    <x v="3"/>
    <x v="1"/>
    <x v="0"/>
    <x v="0"/>
    <n v="124381.5"/>
    <s v="LangChain, AWS, GCP"/>
    <s v="FastAPI, MLflow, TensorFlow"/>
    <x v="0"/>
  </r>
  <r>
    <x v="6"/>
    <x v="5"/>
    <x v="0"/>
    <x v="3"/>
    <n v="107305.5"/>
    <s v="LangChain, AWS, Hugging Face, Flask, R"/>
    <s v="KDB+, BigQuery"/>
    <x v="1"/>
  </r>
  <r>
    <x v="1"/>
    <x v="2"/>
    <x v="0"/>
    <x v="0"/>
    <n v="167631"/>
    <s v="LangChain, AWS, Keras, Hugging Face, Pandas"/>
    <s v="BigQuery, LangChain"/>
    <x v="0"/>
  </r>
  <r>
    <x v="6"/>
    <x v="4"/>
    <x v="1"/>
    <x v="0"/>
    <n v="109493"/>
    <s v="LangChain, AWS, MLflow, SQL, Hugging Face, Power BI"/>
    <s v="Scikit-learn"/>
    <x v="0"/>
  </r>
  <r>
    <x v="3"/>
    <x v="4"/>
    <x v="1"/>
    <x v="3"/>
    <n v="151997"/>
    <s v="LangChain, AWS, NumPy, Flask, GCP, Excel"/>
    <s v="LangChain"/>
    <x v="0"/>
  </r>
  <r>
    <x v="3"/>
    <x v="2"/>
    <x v="1"/>
    <x v="0"/>
    <n v="134120.5"/>
    <s v="LangChain, AWS, R"/>
    <s v="MLflow"/>
    <x v="2"/>
  </r>
  <r>
    <x v="0"/>
    <x v="7"/>
    <x v="0"/>
    <x v="3"/>
    <n v="179145.5"/>
    <s v="LangChain, AWS, Reinforcement Learning, Hugging Face, FastAPI"/>
    <s v="PyTorch, Scikit-learn"/>
    <x v="2"/>
  </r>
  <r>
    <x v="6"/>
    <x v="0"/>
    <x v="0"/>
    <x v="0"/>
    <n v="143454"/>
    <s v="LangChain, AWS, Scikit-learn, Flask"/>
    <s v="BigQuery, KDB+"/>
    <x v="0"/>
  </r>
  <r>
    <x v="4"/>
    <x v="1"/>
    <x v="0"/>
    <x v="3"/>
    <n v="115333.5"/>
    <s v="LangChain, Azure, CUDA, GCP"/>
    <s v="KDB+, LangChain, PyTorch"/>
    <x v="1"/>
  </r>
  <r>
    <x v="5"/>
    <x v="6"/>
    <x v="1"/>
    <x v="0"/>
    <n v="67860.5"/>
    <s v="LangChain, Azure, GCP, Python, R, C++"/>
    <s v="KDB+, MLflow, Scikit-learn"/>
    <x v="0"/>
  </r>
  <r>
    <x v="6"/>
    <x v="7"/>
    <x v="1"/>
    <x v="0"/>
    <n v="84490"/>
    <s v="LangChain, Azure, Python"/>
    <s v="KDB+, PyTorch, FastAPI"/>
    <x v="0"/>
  </r>
  <r>
    <x v="2"/>
    <x v="2"/>
    <x v="1"/>
    <x v="2"/>
    <n v="54206.5"/>
    <s v="LangChain, Azure, PyTorch, FastAPI"/>
    <s v="Scikit-learn"/>
    <x v="1"/>
  </r>
  <r>
    <x v="6"/>
    <x v="3"/>
    <x v="0"/>
    <x v="3"/>
    <n v="86548"/>
    <s v="LangChain, C++, Power BI"/>
    <s v="LangChain"/>
    <x v="2"/>
  </r>
  <r>
    <x v="2"/>
    <x v="2"/>
    <x v="0"/>
    <x v="0"/>
    <n v="99497.5"/>
    <s v="LangChain, CUDA, Excel, Flask"/>
    <s v="MLflow, FastAPI"/>
    <x v="1"/>
  </r>
  <r>
    <x v="4"/>
    <x v="2"/>
    <x v="1"/>
    <x v="1"/>
    <n v="75912"/>
    <s v="LangChain, CUDA, FastAPI, Excel, GCP, Power BI"/>
    <s v="Scikit-learn"/>
    <x v="2"/>
  </r>
  <r>
    <x v="3"/>
    <x v="7"/>
    <x v="1"/>
    <x v="3"/>
    <n v="126044.5"/>
    <s v="LangChain, CUDA, TensorFlow, Reinforcement Learning, Excel, Scikit-learn"/>
    <s v="MLflow"/>
    <x v="0"/>
  </r>
  <r>
    <x v="0"/>
    <x v="1"/>
    <x v="1"/>
    <x v="0"/>
    <n v="84021"/>
    <s v="LangChain, Excel, Hugging Face"/>
    <s v="KDB+"/>
    <x v="2"/>
  </r>
  <r>
    <x v="6"/>
    <x v="7"/>
    <x v="1"/>
    <x v="2"/>
    <n v="119824.5"/>
    <s v="LangChain, Excel, TensorFlow"/>
    <s v="LangChain, TensorFlow"/>
    <x v="0"/>
  </r>
  <r>
    <x v="6"/>
    <x v="5"/>
    <x v="2"/>
    <x v="0"/>
    <n v="112582"/>
    <s v="LangChain, Excel, TensorFlow, Scikit-learn"/>
    <s v="LangChain, KDB+, BigQuery"/>
    <x v="0"/>
  </r>
  <r>
    <x v="3"/>
    <x v="2"/>
    <x v="1"/>
    <x v="0"/>
    <n v="148142.5"/>
    <s v="LangChain, FastAPI, C++"/>
    <s v="FastAPI, TensorFlow, LangChain"/>
    <x v="2"/>
  </r>
  <r>
    <x v="0"/>
    <x v="3"/>
    <x v="1"/>
    <x v="3"/>
    <n v="58237"/>
    <s v="LangChain, FastAPI, PyTorch, CUDA, AWS"/>
    <s v="BigQuery, Scikit-learn, MLflow"/>
    <x v="2"/>
  </r>
  <r>
    <x v="6"/>
    <x v="0"/>
    <x v="1"/>
    <x v="3"/>
    <n v="154309.5"/>
    <s v="LangChain, FastAPI, R"/>
    <s v="MLflow"/>
    <x v="2"/>
  </r>
  <r>
    <x v="4"/>
    <x v="7"/>
    <x v="1"/>
    <x v="0"/>
    <n v="165377"/>
    <s v="LangChain, FastAPI, SQL"/>
    <s v="BigQuery, KDB+"/>
    <x v="2"/>
  </r>
  <r>
    <x v="1"/>
    <x v="1"/>
    <x v="1"/>
    <x v="3"/>
    <n v="138838.5"/>
    <s v="LangChain, Flask, Pandas"/>
    <s v="BigQuery"/>
    <x v="0"/>
  </r>
  <r>
    <x v="2"/>
    <x v="7"/>
    <x v="0"/>
    <x v="2"/>
    <n v="72949.5"/>
    <s v="LangChain, Flask, PyTorch, Python"/>
    <s v="FastAPI"/>
    <x v="1"/>
  </r>
  <r>
    <x v="1"/>
    <x v="4"/>
    <x v="2"/>
    <x v="1"/>
    <n v="79928.5"/>
    <s v="LangChain, GCP, Keras"/>
    <s v="TensorFlow"/>
    <x v="2"/>
  </r>
  <r>
    <x v="6"/>
    <x v="5"/>
    <x v="0"/>
    <x v="3"/>
    <n v="117506"/>
    <s v="LangChain, GCP, NumPy"/>
    <s v="PyTorch, LangChain"/>
    <x v="2"/>
  </r>
  <r>
    <x v="0"/>
    <x v="2"/>
    <x v="0"/>
    <x v="1"/>
    <n v="111217.5"/>
    <s v="LangChain, GCP, NumPy, Python, R"/>
    <s v="LangChain"/>
    <x v="0"/>
  </r>
  <r>
    <x v="4"/>
    <x v="3"/>
    <x v="0"/>
    <x v="1"/>
    <n v="110496"/>
    <s v="LangChain, GCP, R, MLflow, Scikit-learn"/>
    <s v="KDB+, PyTorch"/>
    <x v="1"/>
  </r>
  <r>
    <x v="2"/>
    <x v="2"/>
    <x v="1"/>
    <x v="2"/>
    <n v="172356"/>
    <s v="LangChain, GCP, R, SQL"/>
    <s v="TensorFlow, Scikit-learn, KDB+"/>
    <x v="1"/>
  </r>
  <r>
    <x v="5"/>
    <x v="2"/>
    <x v="2"/>
    <x v="2"/>
    <n v="107952"/>
    <s v="LangChain, GCP, Reinforcement Learning, Excel, FastAPI, Power BI"/>
    <s v="KDB+, PyTorch"/>
    <x v="2"/>
  </r>
  <r>
    <x v="5"/>
    <x v="0"/>
    <x v="0"/>
    <x v="0"/>
    <n v="113063"/>
    <s v="LangChain, Hugging Face, Excel, Reinforcement Learning, Python"/>
    <s v="TensorFlow, BigQuery"/>
    <x v="2"/>
  </r>
  <r>
    <x v="2"/>
    <x v="5"/>
    <x v="2"/>
    <x v="0"/>
    <n v="61725"/>
    <s v="LangChain, Hugging Face, Keras, Azure, Excel, FastAPI"/>
    <s v="Scikit-learn"/>
    <x v="0"/>
  </r>
  <r>
    <x v="1"/>
    <x v="2"/>
    <x v="0"/>
    <x v="3"/>
    <n v="116729.5"/>
    <s v="LangChain, Hugging Face, NumPy"/>
    <s v="KDB+, Scikit-learn"/>
    <x v="1"/>
  </r>
  <r>
    <x v="4"/>
    <x v="7"/>
    <x v="0"/>
    <x v="1"/>
    <n v="141768.5"/>
    <s v="LangChain, Hugging Face, NumPy, Excel"/>
    <s v="Scikit-learn, KDB+, BigQuery"/>
    <x v="2"/>
  </r>
  <r>
    <x v="6"/>
    <x v="5"/>
    <x v="2"/>
    <x v="2"/>
    <n v="116644.5"/>
    <s v="LangChain, Hugging Face, Scikit-learn, Flask, Reinforcement Learning, Excel"/>
    <s v="TensorFlow, PyTorch, Scikit-learn"/>
    <x v="0"/>
  </r>
  <r>
    <x v="4"/>
    <x v="4"/>
    <x v="0"/>
    <x v="0"/>
    <n v="77274.5"/>
    <s v="LangChain, Keras, Excel"/>
    <s v="PyTorch"/>
    <x v="0"/>
  </r>
  <r>
    <x v="1"/>
    <x v="1"/>
    <x v="0"/>
    <x v="1"/>
    <n v="103028.5"/>
    <s v="LangChain, Keras, Hugging Face, Scikit-learn, Reinforcement Learning"/>
    <s v="BigQuery, MLflow, Scikit-learn"/>
    <x v="2"/>
  </r>
  <r>
    <x v="1"/>
    <x v="4"/>
    <x v="1"/>
    <x v="3"/>
    <n v="87343.5"/>
    <s v="LangChain, Keras, Python, FastAPI, R, C++"/>
    <s v="TensorFlow, KDB+, PyTorch"/>
    <x v="0"/>
  </r>
  <r>
    <x v="1"/>
    <x v="4"/>
    <x v="0"/>
    <x v="0"/>
    <n v="54884.5"/>
    <s v="LangChain, Keras, SQL, FastAPI, Azure"/>
    <s v="FastAPI"/>
    <x v="0"/>
  </r>
  <r>
    <x v="5"/>
    <x v="3"/>
    <x v="0"/>
    <x v="0"/>
    <n v="163200.5"/>
    <s v="LangChain, Keras, SQL, NumPy, TensorFlow, Scikit-learn"/>
    <s v="MLflow, FastAPI"/>
    <x v="2"/>
  </r>
  <r>
    <x v="3"/>
    <x v="5"/>
    <x v="0"/>
    <x v="3"/>
    <n v="186915.5"/>
    <s v="LangChain, MLflow, Azure"/>
    <s v="MLflow, BigQuery, LangChain"/>
    <x v="1"/>
  </r>
  <r>
    <x v="3"/>
    <x v="3"/>
    <x v="0"/>
    <x v="0"/>
    <n v="91873.5"/>
    <s v="LangChain, MLflow, Azure, Pandas"/>
    <s v="KDB+"/>
    <x v="2"/>
  </r>
  <r>
    <x v="2"/>
    <x v="1"/>
    <x v="0"/>
    <x v="0"/>
    <n v="90584"/>
    <s v="LangChain, MLflow, Flask, AWS"/>
    <s v="LangChain"/>
    <x v="2"/>
  </r>
  <r>
    <x v="6"/>
    <x v="7"/>
    <x v="0"/>
    <x v="1"/>
    <n v="142497.5"/>
    <s v="LangChain, NumPy, C++"/>
    <s v="PyTorch, TensorFlow, KDB+"/>
    <x v="0"/>
  </r>
  <r>
    <x v="2"/>
    <x v="7"/>
    <x v="1"/>
    <x v="1"/>
    <n v="142171.5"/>
    <s v="LangChain, NumPy, CUDA"/>
    <s v="BigQuery, KDB+"/>
    <x v="0"/>
  </r>
  <r>
    <x v="5"/>
    <x v="4"/>
    <x v="0"/>
    <x v="3"/>
    <n v="83849.5"/>
    <s v="LangChain, NumPy, CUDA, C++, MLflow, R"/>
    <s v="PyTorch, LangChain"/>
    <x v="2"/>
  </r>
  <r>
    <x v="4"/>
    <x v="0"/>
    <x v="0"/>
    <x v="2"/>
    <n v="102294.5"/>
    <s v="LangChain, NumPy, Pandas, Azure, Scikit-learn, Hugging Face"/>
    <s v="KDB+"/>
    <x v="0"/>
  </r>
  <r>
    <x v="0"/>
    <x v="5"/>
    <x v="2"/>
    <x v="1"/>
    <n v="111669.5"/>
    <s v="LangChain, Pandas, AWS"/>
    <s v="FastAPI"/>
    <x v="2"/>
  </r>
  <r>
    <x v="0"/>
    <x v="0"/>
    <x v="1"/>
    <x v="2"/>
    <n v="124048"/>
    <s v="LangChain, Pandas, Flask, AWS"/>
    <s v="Scikit-learn, BigQuery"/>
    <x v="1"/>
  </r>
  <r>
    <x v="2"/>
    <x v="4"/>
    <x v="0"/>
    <x v="2"/>
    <n v="149205.5"/>
    <s v="LangChain, Pandas, Power BI"/>
    <s v="TensorFlow, FastAPI"/>
    <x v="1"/>
  </r>
  <r>
    <x v="0"/>
    <x v="0"/>
    <x v="2"/>
    <x v="2"/>
    <n v="100540"/>
    <s v="LangChain, Pandas, Reinforcement Learning, R, FastAPI"/>
    <s v="MLflow, KDB+, PyTorch"/>
    <x v="1"/>
  </r>
  <r>
    <x v="5"/>
    <x v="1"/>
    <x v="0"/>
    <x v="0"/>
    <n v="116960.5"/>
    <s v="LangChain, Pandas, Scikit-learn, CUDA, Reinforcement Learning, TensorFlow"/>
    <s v="PyTorch"/>
    <x v="0"/>
  </r>
  <r>
    <x v="6"/>
    <x v="0"/>
    <x v="2"/>
    <x v="1"/>
    <n v="102530"/>
    <s v="LangChain, Pandas, Scikit-learn, MLflow, C++"/>
    <s v="PyTorch"/>
    <x v="1"/>
  </r>
  <r>
    <x v="5"/>
    <x v="6"/>
    <x v="2"/>
    <x v="2"/>
    <n v="88501.5"/>
    <s v="LangChain, Pandas, TensorFlow, CUDA"/>
    <s v="LangChain, KDB+"/>
    <x v="1"/>
  </r>
  <r>
    <x v="4"/>
    <x v="3"/>
    <x v="2"/>
    <x v="1"/>
    <n v="80261.5"/>
    <s v="LangChain, Power BI, AWS, TensorFlow"/>
    <s v="MLflow"/>
    <x v="0"/>
  </r>
  <r>
    <x v="2"/>
    <x v="5"/>
    <x v="1"/>
    <x v="2"/>
    <n v="85968"/>
    <s v="LangChain, Power BI, Azure"/>
    <s v="Scikit-learn, LangChain"/>
    <x v="0"/>
  </r>
  <r>
    <x v="3"/>
    <x v="0"/>
    <x v="0"/>
    <x v="1"/>
    <n v="118643.5"/>
    <s v="LangChain, Power BI, Azure, C++, Scikit-learn, TensorFlow"/>
    <s v="Scikit-learn, BigQuery"/>
    <x v="0"/>
  </r>
  <r>
    <x v="3"/>
    <x v="6"/>
    <x v="2"/>
    <x v="3"/>
    <n v="140741.5"/>
    <s v="LangChain, Power BI, MLflow"/>
    <s v="LangChain, BigQuery"/>
    <x v="0"/>
  </r>
  <r>
    <x v="5"/>
    <x v="0"/>
    <x v="2"/>
    <x v="0"/>
    <n v="176690.5"/>
    <s v="LangChain, Power BI, Python"/>
    <s v="MLflow, PyTorch"/>
    <x v="0"/>
  </r>
  <r>
    <x v="6"/>
    <x v="2"/>
    <x v="0"/>
    <x v="1"/>
    <n v="110120"/>
    <s v="LangChain, Power BI, PyTorch, Pandas"/>
    <s v="PyTorch"/>
    <x v="0"/>
  </r>
  <r>
    <x v="0"/>
    <x v="5"/>
    <x v="1"/>
    <x v="2"/>
    <n v="88504"/>
    <s v="LangChain, Power BI, Scikit-learn, SQL, Keras"/>
    <s v="FastAPI"/>
    <x v="1"/>
  </r>
  <r>
    <x v="1"/>
    <x v="1"/>
    <x v="0"/>
    <x v="3"/>
    <n v="73192.5"/>
    <s v="LangChain, Python, AWS"/>
    <s v="PyTorch, LangChain, KDB+"/>
    <x v="2"/>
  </r>
  <r>
    <x v="0"/>
    <x v="5"/>
    <x v="0"/>
    <x v="1"/>
    <n v="161337"/>
    <s v="LangChain, Python, AWS, R, Azure, Pandas"/>
    <s v="BigQuery, MLflow, KDB+"/>
    <x v="1"/>
  </r>
  <r>
    <x v="6"/>
    <x v="2"/>
    <x v="0"/>
    <x v="2"/>
    <n v="96298"/>
    <s v="LangChain, Python, AWS, R, Keras"/>
    <s v="LangChain, BigQuery"/>
    <x v="0"/>
  </r>
  <r>
    <x v="2"/>
    <x v="5"/>
    <x v="2"/>
    <x v="2"/>
    <n v="153684"/>
    <s v="LangChain, Python, Excel, AWS, Power BI, Hugging Face"/>
    <s v="KDB+, MLflow"/>
    <x v="1"/>
  </r>
  <r>
    <x v="6"/>
    <x v="0"/>
    <x v="0"/>
    <x v="1"/>
    <n v="106513.5"/>
    <s v="LangChain, Python, Excel, C++, FastAPI"/>
    <s v="LangChain, KDB+"/>
    <x v="0"/>
  </r>
  <r>
    <x v="1"/>
    <x v="3"/>
    <x v="0"/>
    <x v="0"/>
    <n v="81195.5"/>
    <s v="LangChain, Python, MLflow, TensorFlow, FastAPI"/>
    <s v="FastAPI"/>
    <x v="1"/>
  </r>
  <r>
    <x v="5"/>
    <x v="2"/>
    <x v="1"/>
    <x v="1"/>
    <n v="180218.5"/>
    <s v="LangChain, Python, R, C++, NumPy"/>
    <s v="KDB+"/>
    <x v="0"/>
  </r>
  <r>
    <x v="4"/>
    <x v="3"/>
    <x v="0"/>
    <x v="0"/>
    <n v="145668.5"/>
    <s v="LangChain, Python, SQL"/>
    <s v="BigQuery"/>
    <x v="1"/>
  </r>
  <r>
    <x v="5"/>
    <x v="6"/>
    <x v="2"/>
    <x v="1"/>
    <n v="173926.5"/>
    <s v="LangChain, PyTorch, AWS, Power BI, R"/>
    <s v="MLflow"/>
    <x v="0"/>
  </r>
  <r>
    <x v="1"/>
    <x v="3"/>
    <x v="2"/>
    <x v="3"/>
    <n v="103727.5"/>
    <s v="LangChain, PyTorch, Flask"/>
    <s v="BigQuery"/>
    <x v="1"/>
  </r>
  <r>
    <x v="4"/>
    <x v="6"/>
    <x v="2"/>
    <x v="3"/>
    <n v="103639"/>
    <s v="LangChain, PyTorch, GCP, AWS, C++, Azure"/>
    <s v="TensorFlow, PyTorch"/>
    <x v="0"/>
  </r>
  <r>
    <x v="0"/>
    <x v="1"/>
    <x v="2"/>
    <x v="2"/>
    <n v="163236"/>
    <s v="LangChain, PyTorch, Power BI, Pandas, Scikit-learn, R"/>
    <s v="LangChain, TensorFlow, PyTorch"/>
    <x v="2"/>
  </r>
  <r>
    <x v="5"/>
    <x v="7"/>
    <x v="0"/>
    <x v="0"/>
    <n v="170693"/>
    <s v="LangChain, PyTorch, Scikit-learn, NumPy, SQL, Flask"/>
    <s v="Scikit-learn, KDB+"/>
    <x v="0"/>
  </r>
  <r>
    <x v="3"/>
    <x v="2"/>
    <x v="0"/>
    <x v="2"/>
    <n v="60892.5"/>
    <s v="LangChain, PyTorch, TensorFlow, GCP"/>
    <s v="TensorFlow, MLflow, BigQuery"/>
    <x v="0"/>
  </r>
  <r>
    <x v="6"/>
    <x v="4"/>
    <x v="0"/>
    <x v="1"/>
    <n v="90356"/>
    <s v="LangChain, R, Azure, CUDA"/>
    <s v="Scikit-learn, BigQuery, PyTorch"/>
    <x v="0"/>
  </r>
  <r>
    <x v="4"/>
    <x v="2"/>
    <x v="1"/>
    <x v="0"/>
    <n v="173263.5"/>
    <s v="LangChain, R, C++"/>
    <s v="PyTorch, Scikit-learn"/>
    <x v="0"/>
  </r>
  <r>
    <x v="4"/>
    <x v="7"/>
    <x v="2"/>
    <x v="2"/>
    <n v="107416.5"/>
    <s v="LangChain, R, Hugging Face, Scikit-learn"/>
    <s v="TensorFlow, BigQuery, KDB+"/>
    <x v="1"/>
  </r>
  <r>
    <x v="6"/>
    <x v="4"/>
    <x v="2"/>
    <x v="3"/>
    <n v="154021.5"/>
    <s v="LangChain, R, Keras, Python, TensorFlow, Excel"/>
    <s v="LangChain"/>
    <x v="1"/>
  </r>
  <r>
    <x v="0"/>
    <x v="3"/>
    <x v="1"/>
    <x v="2"/>
    <n v="122518"/>
    <s v="LangChain, Reinforcement Learning, CUDA, Pandas, Excel"/>
    <s v="TensorFlow"/>
    <x v="2"/>
  </r>
  <r>
    <x v="2"/>
    <x v="1"/>
    <x v="1"/>
    <x v="0"/>
    <n v="54564"/>
    <s v="LangChain, Reinforcement Learning, CUDA, R, SQL, Excel"/>
    <s v="KDB+"/>
    <x v="1"/>
  </r>
  <r>
    <x v="6"/>
    <x v="7"/>
    <x v="0"/>
    <x v="0"/>
    <n v="66371.5"/>
    <s v="LangChain, Reinforcement Learning, FastAPI, Power BI, AWS"/>
    <s v="KDB+, TensorFlow, PyTorch"/>
    <x v="1"/>
  </r>
  <r>
    <x v="5"/>
    <x v="5"/>
    <x v="1"/>
    <x v="1"/>
    <n v="121556.5"/>
    <s v="LangChain, Reinforcement Learning, Flask"/>
    <s v="KDB+, TensorFlow, FastAPI"/>
    <x v="1"/>
  </r>
  <r>
    <x v="2"/>
    <x v="4"/>
    <x v="0"/>
    <x v="2"/>
    <n v="159799"/>
    <s v="LangChain, Reinforcement Learning, SQL, Flask"/>
    <s v="FastAPI, Scikit-learn"/>
    <x v="0"/>
  </r>
  <r>
    <x v="3"/>
    <x v="3"/>
    <x v="2"/>
    <x v="1"/>
    <n v="115478"/>
    <s v="LangChain, Scikit-learn, Azure, Python, Pandas"/>
    <s v="TensorFlow, KDB+"/>
    <x v="1"/>
  </r>
  <r>
    <x v="1"/>
    <x v="5"/>
    <x v="1"/>
    <x v="2"/>
    <n v="155988.5"/>
    <s v="LangChain, Scikit-learn, Hugging Face"/>
    <s v="FastAPI"/>
    <x v="2"/>
  </r>
  <r>
    <x v="0"/>
    <x v="6"/>
    <x v="2"/>
    <x v="3"/>
    <n v="114350.5"/>
    <s v="LangChain, Scikit-learn, Hugging Face"/>
    <s v="MLflow, Scikit-learn, FastAPI"/>
    <x v="0"/>
  </r>
  <r>
    <x v="6"/>
    <x v="7"/>
    <x v="1"/>
    <x v="2"/>
    <n v="138998.5"/>
    <s v="LangChain, Scikit-learn, Keras, Power BI, Excel"/>
    <s v="Scikit-learn, FastAPI"/>
    <x v="1"/>
  </r>
  <r>
    <x v="4"/>
    <x v="5"/>
    <x v="2"/>
    <x v="2"/>
    <n v="111351.5"/>
    <s v="LangChain, SQL, Hugging Face"/>
    <s v="MLflow"/>
    <x v="1"/>
  </r>
  <r>
    <x v="4"/>
    <x v="2"/>
    <x v="1"/>
    <x v="1"/>
    <n v="64169.5"/>
    <s v="LangChain, SQL, Hugging Face, AWS, CUDA"/>
    <s v="KDB+, FastAPI, PyTorch"/>
    <x v="0"/>
  </r>
  <r>
    <x v="6"/>
    <x v="2"/>
    <x v="0"/>
    <x v="0"/>
    <n v="129638.5"/>
    <s v="LangChain, SQL, NumPy, R, Power BI"/>
    <s v="FastAPI, MLflow, Scikit-learn"/>
    <x v="0"/>
  </r>
  <r>
    <x v="3"/>
    <x v="5"/>
    <x v="0"/>
    <x v="2"/>
    <n v="125016.5"/>
    <s v="LangChain, SQL, Pandas, R, Reinforcement Learning, Python"/>
    <s v="TensorFlow, KDB+"/>
    <x v="2"/>
  </r>
  <r>
    <x v="0"/>
    <x v="4"/>
    <x v="2"/>
    <x v="0"/>
    <n v="153106.5"/>
    <s v="LangChain, SQL, PyTorch, Excel"/>
    <s v="KDB+"/>
    <x v="1"/>
  </r>
  <r>
    <x v="1"/>
    <x v="4"/>
    <x v="1"/>
    <x v="0"/>
    <n v="147292.5"/>
    <s v="LangChain, SQL, Reinforcement Learning"/>
    <s v="PyTorch, LangChain, KDB+"/>
    <x v="0"/>
  </r>
  <r>
    <x v="3"/>
    <x v="1"/>
    <x v="0"/>
    <x v="2"/>
    <n v="93133"/>
    <s v="LangChain, SQL, Reinforcement Learning, PyTorch"/>
    <s v="Scikit-learn, BigQuery"/>
    <x v="0"/>
  </r>
  <r>
    <x v="0"/>
    <x v="6"/>
    <x v="1"/>
    <x v="0"/>
    <n v="107123.5"/>
    <s v="LangChain, TensorFlow, AWS, Reinforcement Learning"/>
    <s v="TensorFlow, BigQuery"/>
    <x v="0"/>
  </r>
  <r>
    <x v="3"/>
    <x v="2"/>
    <x v="2"/>
    <x v="0"/>
    <n v="146118"/>
    <s v="LangChain, TensorFlow, Azure"/>
    <s v="MLflow, BigQuery"/>
    <x v="2"/>
  </r>
  <r>
    <x v="1"/>
    <x v="1"/>
    <x v="2"/>
    <x v="1"/>
    <n v="136828"/>
    <s v="LangChain, TensorFlow, C++, Power BI, MLflow, AWS"/>
    <s v="LangChain, Scikit-learn, PyTorch"/>
    <x v="2"/>
  </r>
  <r>
    <x v="6"/>
    <x v="6"/>
    <x v="1"/>
    <x v="2"/>
    <n v="140628"/>
    <s v="LangChain, TensorFlow, Pandas, Flask"/>
    <s v="FastAPI, MLflow"/>
    <x v="2"/>
  </r>
  <r>
    <x v="0"/>
    <x v="2"/>
    <x v="2"/>
    <x v="0"/>
    <n v="97499.5"/>
    <s v="MLflow, AWS, CUDA, Hugging Face, FastAPI, NumPy"/>
    <s v="FastAPI, KDB+"/>
    <x v="1"/>
  </r>
  <r>
    <x v="3"/>
    <x v="1"/>
    <x v="0"/>
    <x v="3"/>
    <n v="139418"/>
    <s v="MLflow, AWS, Flask, SQL, Azure"/>
    <s v="LangChain, KDB+"/>
    <x v="1"/>
  </r>
  <r>
    <x v="4"/>
    <x v="1"/>
    <x v="0"/>
    <x v="1"/>
    <n v="166623"/>
    <s v="MLflow, AWS, SQL, Pandas"/>
    <s v="LangChain, FastAPI"/>
    <x v="0"/>
  </r>
  <r>
    <x v="0"/>
    <x v="5"/>
    <x v="2"/>
    <x v="3"/>
    <n v="139914"/>
    <s v="MLflow, AWS, SQL, Python"/>
    <s v="TensorFlow, FastAPI"/>
    <x v="1"/>
  </r>
  <r>
    <x v="0"/>
    <x v="0"/>
    <x v="2"/>
    <x v="1"/>
    <n v="166891.5"/>
    <s v="MLflow, Azure, GCP, Flask, AWS"/>
    <s v="LangChain"/>
    <x v="1"/>
  </r>
  <r>
    <x v="0"/>
    <x v="0"/>
    <x v="0"/>
    <x v="0"/>
    <n v="123411"/>
    <s v="MLflow, Azure, Hugging Face"/>
    <s v="MLflow, LangChain, BigQuery"/>
    <x v="0"/>
  </r>
  <r>
    <x v="1"/>
    <x v="0"/>
    <x v="1"/>
    <x v="0"/>
    <n v="98580.5"/>
    <s v="MLflow, Azure, Python"/>
    <s v="TensorFlow, KDB+"/>
    <x v="1"/>
  </r>
  <r>
    <x v="4"/>
    <x v="2"/>
    <x v="1"/>
    <x v="2"/>
    <n v="85619"/>
    <s v="MLflow, C++, Excel"/>
    <s v="FastAPI"/>
    <x v="0"/>
  </r>
  <r>
    <x v="3"/>
    <x v="0"/>
    <x v="1"/>
    <x v="3"/>
    <n v="112458.5"/>
    <s v="MLflow, C++, Power BI, LangChain"/>
    <s v="Scikit-learn, KDB+"/>
    <x v="0"/>
  </r>
  <r>
    <x v="4"/>
    <x v="0"/>
    <x v="2"/>
    <x v="0"/>
    <n v="154256.5"/>
    <s v="MLflow, C++, SQL"/>
    <s v="MLflow"/>
    <x v="0"/>
  </r>
  <r>
    <x v="4"/>
    <x v="3"/>
    <x v="0"/>
    <x v="1"/>
    <n v="137949.5"/>
    <s v="MLflow, CUDA, C++"/>
    <s v="LangChain, TensorFlow"/>
    <x v="2"/>
  </r>
  <r>
    <x v="3"/>
    <x v="4"/>
    <x v="2"/>
    <x v="0"/>
    <n v="101987"/>
    <s v="MLflow, CUDA, GCP"/>
    <s v="LangChain, PyTorch, MLflow"/>
    <x v="2"/>
  </r>
  <r>
    <x v="1"/>
    <x v="7"/>
    <x v="2"/>
    <x v="2"/>
    <n v="107404"/>
    <s v="MLflow, CUDA, GCP, Pandas, Power BI"/>
    <s v="KDB+, Scikit-learn, MLflow"/>
    <x v="1"/>
  </r>
  <r>
    <x v="1"/>
    <x v="2"/>
    <x v="2"/>
    <x v="2"/>
    <n v="136044.5"/>
    <s v="MLflow, CUDA, Power BI, FastAPI"/>
    <s v="FastAPI, BigQuery"/>
    <x v="0"/>
  </r>
  <r>
    <x v="6"/>
    <x v="0"/>
    <x v="2"/>
    <x v="3"/>
    <n v="172178.5"/>
    <s v="MLflow, CUDA, Reinforcement Learning"/>
    <s v="TensorFlow"/>
    <x v="1"/>
  </r>
  <r>
    <x v="4"/>
    <x v="6"/>
    <x v="0"/>
    <x v="0"/>
    <n v="125080"/>
    <s v="MLflow, Excel, CUDA, LangChain, AWS, Azure"/>
    <s v="Scikit-learn"/>
    <x v="2"/>
  </r>
  <r>
    <x v="3"/>
    <x v="2"/>
    <x v="1"/>
    <x v="1"/>
    <n v="55813.5"/>
    <s v="MLflow, Excel, LangChain"/>
    <s v="FastAPI, PyTorch"/>
    <x v="2"/>
  </r>
  <r>
    <x v="4"/>
    <x v="7"/>
    <x v="2"/>
    <x v="2"/>
    <n v="148009.5"/>
    <s v="MLflow, Excel, Scikit-learn, Reinforcement Learning, Python"/>
    <s v="PyTorch"/>
    <x v="0"/>
  </r>
  <r>
    <x v="3"/>
    <x v="3"/>
    <x v="0"/>
    <x v="3"/>
    <n v="98204.5"/>
    <s v="MLflow, FastAPI, Azure, Keras, Pandas, CUDA"/>
    <s v="Scikit-learn"/>
    <x v="0"/>
  </r>
  <r>
    <x v="0"/>
    <x v="4"/>
    <x v="0"/>
    <x v="3"/>
    <n v="170850"/>
    <s v="MLflow, FastAPI, Azure, PyTorch, SQL, GCP"/>
    <s v="BigQuery, PyTorch, Scikit-learn"/>
    <x v="2"/>
  </r>
  <r>
    <x v="1"/>
    <x v="0"/>
    <x v="0"/>
    <x v="1"/>
    <n v="92240.5"/>
    <s v="MLflow, FastAPI, GCP"/>
    <s v="TensorFlow, FastAPI, BigQuery"/>
    <x v="2"/>
  </r>
  <r>
    <x v="1"/>
    <x v="2"/>
    <x v="0"/>
    <x v="1"/>
    <n v="55065"/>
    <s v="MLflow, Flask, AWS"/>
    <s v="PyTorch, MLflow, TensorFlow"/>
    <x v="0"/>
  </r>
  <r>
    <x v="4"/>
    <x v="4"/>
    <x v="2"/>
    <x v="0"/>
    <n v="197776.5"/>
    <s v="MLflow, Flask, Azure, CUDA, FastAPI"/>
    <s v="TensorFlow"/>
    <x v="0"/>
  </r>
  <r>
    <x v="2"/>
    <x v="7"/>
    <x v="0"/>
    <x v="1"/>
    <n v="60422"/>
    <s v="MLflow, Flask, Keras, Scikit-learn, LangChain"/>
    <s v="TensorFlow"/>
    <x v="1"/>
  </r>
  <r>
    <x v="2"/>
    <x v="1"/>
    <x v="1"/>
    <x v="0"/>
    <n v="69070.5"/>
    <s v="MLflow, GCP, Python, R, TensorFlow"/>
    <s v="MLflow"/>
    <x v="1"/>
  </r>
  <r>
    <x v="5"/>
    <x v="6"/>
    <x v="1"/>
    <x v="3"/>
    <n v="149302.5"/>
    <s v="MLflow, GCP, TensorFlow, AWS"/>
    <s v="TensorFlow, LangChain, BigQuery"/>
    <x v="0"/>
  </r>
  <r>
    <x v="1"/>
    <x v="0"/>
    <x v="0"/>
    <x v="0"/>
    <n v="105729.5"/>
    <s v="MLflow, Hugging Face, FastAPI, Azure"/>
    <s v="Scikit-learn, KDB+"/>
    <x v="1"/>
  </r>
  <r>
    <x v="1"/>
    <x v="3"/>
    <x v="0"/>
    <x v="3"/>
    <n v="100062"/>
    <s v="MLflow, Hugging Face, Python, Scikit-learn"/>
    <s v="MLflow, LangChain, KDB+"/>
    <x v="1"/>
  </r>
  <r>
    <x v="6"/>
    <x v="4"/>
    <x v="2"/>
    <x v="3"/>
    <n v="189270"/>
    <s v="MLflow, Hugging Face, Scikit-learn, C++"/>
    <s v="TensorFlow"/>
    <x v="0"/>
  </r>
  <r>
    <x v="1"/>
    <x v="3"/>
    <x v="2"/>
    <x v="0"/>
    <n v="150564"/>
    <s v="MLflow, Keras, C++, GCP, NumPy"/>
    <s v="BigQuery, TensorFlow"/>
    <x v="2"/>
  </r>
  <r>
    <x v="4"/>
    <x v="3"/>
    <x v="2"/>
    <x v="0"/>
    <n v="162453"/>
    <s v="MLflow, Keras, C++, Reinforcement Learning"/>
    <s v="LangChain, FastAPI"/>
    <x v="0"/>
  </r>
  <r>
    <x v="0"/>
    <x v="3"/>
    <x v="2"/>
    <x v="2"/>
    <n v="155205"/>
    <s v="MLflow, Keras, CUDA, FastAPI, Flask"/>
    <s v="TensorFlow"/>
    <x v="2"/>
  </r>
  <r>
    <x v="0"/>
    <x v="3"/>
    <x v="1"/>
    <x v="2"/>
    <n v="83111"/>
    <s v="MLflow, Keras, GCP"/>
    <s v="Scikit-learn"/>
    <x v="2"/>
  </r>
  <r>
    <x v="5"/>
    <x v="6"/>
    <x v="2"/>
    <x v="1"/>
    <n v="163892"/>
    <s v="MLflow, Keras, Hugging Face, Scikit-learn, R"/>
    <s v="TensorFlow"/>
    <x v="2"/>
  </r>
  <r>
    <x v="0"/>
    <x v="0"/>
    <x v="1"/>
    <x v="1"/>
    <n v="88078"/>
    <s v="MLflow, Keras, LangChain"/>
    <s v="PyTorch"/>
    <x v="0"/>
  </r>
  <r>
    <x v="4"/>
    <x v="1"/>
    <x v="0"/>
    <x v="3"/>
    <n v="133110.5"/>
    <s v="MLflow, Keras, Reinforcement Learning, Flask, TensorFlow, R"/>
    <s v="PyTorch, KDB+"/>
    <x v="0"/>
  </r>
  <r>
    <x v="0"/>
    <x v="7"/>
    <x v="2"/>
    <x v="3"/>
    <n v="144139"/>
    <s v="MLflow, Keras, Scikit-learn, R, GCP"/>
    <s v="KDB+, TensorFlow, FastAPI"/>
    <x v="0"/>
  </r>
  <r>
    <x v="2"/>
    <x v="2"/>
    <x v="1"/>
    <x v="0"/>
    <n v="146755"/>
    <s v="MLflow, Keras, SQL, GCP, Power BI"/>
    <s v="PyTorch"/>
    <x v="0"/>
  </r>
  <r>
    <x v="1"/>
    <x v="4"/>
    <x v="0"/>
    <x v="2"/>
    <n v="94482"/>
    <s v="MLflow, Keras, TensorFlow, CUDA, Flask"/>
    <s v="Scikit-learn, PyTorch"/>
    <x v="1"/>
  </r>
  <r>
    <x v="1"/>
    <x v="3"/>
    <x v="0"/>
    <x v="1"/>
    <n v="109805.5"/>
    <s v="MLflow, LangChain, Excel, C++"/>
    <s v="Scikit-learn, BigQuery"/>
    <x v="0"/>
  </r>
  <r>
    <x v="1"/>
    <x v="7"/>
    <x v="2"/>
    <x v="3"/>
    <n v="121662.5"/>
    <s v="MLflow, LangChain, Hugging Face, Azure, Flask"/>
    <s v="TensorFlow"/>
    <x v="1"/>
  </r>
  <r>
    <x v="1"/>
    <x v="0"/>
    <x v="1"/>
    <x v="3"/>
    <n v="135069.5"/>
    <s v="MLflow, LangChain, Power BI, CUDA, SQL, TensorFlow"/>
    <s v="Scikit-learn, LangChain"/>
    <x v="2"/>
  </r>
  <r>
    <x v="3"/>
    <x v="7"/>
    <x v="0"/>
    <x v="2"/>
    <n v="167986.5"/>
    <s v="MLflow, LangChain, Power BI, Scikit-learn, Pandas"/>
    <s v="FastAPI, KDB+"/>
    <x v="2"/>
  </r>
  <r>
    <x v="5"/>
    <x v="1"/>
    <x v="1"/>
    <x v="1"/>
    <n v="162662"/>
    <s v="MLflow, NumPy, Flask, FastAPI, Hugging Face, PyTorch"/>
    <s v="Scikit-learn, LangChain, BigQuery"/>
    <x v="0"/>
  </r>
  <r>
    <x v="4"/>
    <x v="1"/>
    <x v="1"/>
    <x v="2"/>
    <n v="171045.5"/>
    <s v="MLflow, NumPy, R, C++, PyTorch"/>
    <s v="KDB+"/>
    <x v="0"/>
  </r>
  <r>
    <x v="5"/>
    <x v="0"/>
    <x v="1"/>
    <x v="3"/>
    <n v="109075"/>
    <s v="MLflow, NumPy, Reinforcement Learning, FastAPI, Pandas"/>
    <s v="KDB+, Scikit-learn, LangChain"/>
    <x v="1"/>
  </r>
  <r>
    <x v="1"/>
    <x v="3"/>
    <x v="1"/>
    <x v="0"/>
    <n v="107496"/>
    <s v="MLflow, NumPy, Scikit-learn, Azure, Keras"/>
    <s v="Scikit-learn"/>
    <x v="0"/>
  </r>
  <r>
    <x v="6"/>
    <x v="6"/>
    <x v="0"/>
    <x v="2"/>
    <n v="136501.5"/>
    <s v="MLflow, Pandas, GCP"/>
    <s v="PyTorch, KDB+"/>
    <x v="2"/>
  </r>
  <r>
    <x v="2"/>
    <x v="2"/>
    <x v="2"/>
    <x v="0"/>
    <n v="102865.5"/>
    <s v="MLflow, Pandas, Keras"/>
    <s v="PyTorch"/>
    <x v="2"/>
  </r>
  <r>
    <x v="1"/>
    <x v="5"/>
    <x v="0"/>
    <x v="3"/>
    <n v="126487.5"/>
    <s v="MLflow, Pandas, NumPy, GCP, FastAPI, LangChain"/>
    <s v="FastAPI, KDB+, PyTorch"/>
    <x v="0"/>
  </r>
  <r>
    <x v="2"/>
    <x v="1"/>
    <x v="1"/>
    <x v="2"/>
    <n v="62766"/>
    <s v="MLflow, Pandas, PyTorch, C++, LangChain"/>
    <s v="LangChain, PyTorch"/>
    <x v="1"/>
  </r>
  <r>
    <x v="5"/>
    <x v="6"/>
    <x v="1"/>
    <x v="3"/>
    <n v="122933"/>
    <s v="MLflow, Pandas, Scikit-learn, AWS, Flask, FastAPI"/>
    <s v="LangChain"/>
    <x v="1"/>
  </r>
  <r>
    <x v="2"/>
    <x v="5"/>
    <x v="2"/>
    <x v="1"/>
    <n v="121813"/>
    <s v="MLflow, Power BI, CUDA, R"/>
    <s v="PyTorch, LangChain"/>
    <x v="0"/>
  </r>
  <r>
    <x v="2"/>
    <x v="2"/>
    <x v="0"/>
    <x v="3"/>
    <n v="163185.5"/>
    <s v="MLflow, Power BI, Keras"/>
    <s v="PyTorch, TensorFlow, MLflow"/>
    <x v="2"/>
  </r>
  <r>
    <x v="5"/>
    <x v="5"/>
    <x v="2"/>
    <x v="3"/>
    <n v="98758.5"/>
    <s v="MLflow, Power BI, Keras, Flask, CUDA"/>
    <s v="Scikit-learn, KDB+, BigQuery"/>
    <x v="1"/>
  </r>
  <r>
    <x v="6"/>
    <x v="3"/>
    <x v="1"/>
    <x v="3"/>
    <n v="64929"/>
    <s v="MLflow, Power BI, Pandas, SQL"/>
    <s v="Scikit-learn"/>
    <x v="2"/>
  </r>
  <r>
    <x v="2"/>
    <x v="0"/>
    <x v="0"/>
    <x v="3"/>
    <n v="166363.5"/>
    <s v="MLflow, Python, AWS, NumPy, Flask, C++"/>
    <s v="FastAPI, PyTorch"/>
    <x v="2"/>
  </r>
  <r>
    <x v="6"/>
    <x v="2"/>
    <x v="1"/>
    <x v="3"/>
    <n v="152291"/>
    <s v="MLflow, Python, Excel, NumPy, LangChain, Power BI"/>
    <s v="MLflow, LangChain, PyTorch"/>
    <x v="0"/>
  </r>
  <r>
    <x v="0"/>
    <x v="1"/>
    <x v="1"/>
    <x v="2"/>
    <n v="163599"/>
    <s v="MLflow, Python, R, AWS, Hugging Face, Scikit-learn"/>
    <s v="KDB+, BigQuery, Scikit-learn"/>
    <x v="2"/>
  </r>
  <r>
    <x v="1"/>
    <x v="5"/>
    <x v="0"/>
    <x v="0"/>
    <n v="154689"/>
    <s v="MLflow, Python, Reinforcement Learning, SQL, Pandas, NumPy"/>
    <s v="LangChain, FastAPI"/>
    <x v="2"/>
  </r>
  <r>
    <x v="3"/>
    <x v="3"/>
    <x v="0"/>
    <x v="3"/>
    <n v="73812.5"/>
    <s v="MLflow, Python, TensorFlow, LangChain"/>
    <s v="TensorFlow, PyTorch, KDB+"/>
    <x v="1"/>
  </r>
  <r>
    <x v="3"/>
    <x v="4"/>
    <x v="2"/>
    <x v="0"/>
    <n v="92827"/>
    <s v="MLflow, PyTorch, Azure, R, Python, GCP"/>
    <s v="LangChain, KDB+, Scikit-learn"/>
    <x v="2"/>
  </r>
  <r>
    <x v="6"/>
    <x v="5"/>
    <x v="0"/>
    <x v="1"/>
    <n v="136707.5"/>
    <s v="MLflow, PyTorch, GCP, Python"/>
    <s v="PyTorch, KDB+"/>
    <x v="0"/>
  </r>
  <r>
    <x v="3"/>
    <x v="4"/>
    <x v="2"/>
    <x v="2"/>
    <n v="72275"/>
    <s v="MLflow, PyTorch, NumPy, TensorFlow"/>
    <s v="MLflow, TensorFlow"/>
    <x v="2"/>
  </r>
  <r>
    <x v="5"/>
    <x v="0"/>
    <x v="1"/>
    <x v="0"/>
    <n v="147706"/>
    <s v="MLflow, PyTorch, Scikit-learn"/>
    <s v="LangChain, KDB+"/>
    <x v="2"/>
  </r>
  <r>
    <x v="2"/>
    <x v="7"/>
    <x v="2"/>
    <x v="1"/>
    <n v="145323"/>
    <s v="MLflow, PyTorch, SQL, TensorFlow"/>
    <s v="MLflow, LangChain, FastAPI"/>
    <x v="0"/>
  </r>
  <r>
    <x v="6"/>
    <x v="1"/>
    <x v="0"/>
    <x v="3"/>
    <n v="158810"/>
    <s v="MLflow, R, C++"/>
    <s v="LangChain"/>
    <x v="1"/>
  </r>
  <r>
    <x v="0"/>
    <x v="3"/>
    <x v="2"/>
    <x v="1"/>
    <n v="92775"/>
    <s v="MLflow, Reinforcement Learning, Azure, C++, Pandas, NumPy"/>
    <s v="BigQuery, MLflow, KDB+"/>
    <x v="0"/>
  </r>
  <r>
    <x v="2"/>
    <x v="0"/>
    <x v="0"/>
    <x v="2"/>
    <n v="152899"/>
    <s v="MLflow, Reinforcement Learning, LangChain, CUDA, Python"/>
    <s v="PyTorch, TensorFlow"/>
    <x v="0"/>
  </r>
  <r>
    <x v="3"/>
    <x v="2"/>
    <x v="2"/>
    <x v="0"/>
    <n v="79692.5"/>
    <s v="MLflow, Reinforcement Learning, Python"/>
    <s v="PyTorch, TensorFlow"/>
    <x v="1"/>
  </r>
  <r>
    <x v="2"/>
    <x v="7"/>
    <x v="2"/>
    <x v="1"/>
    <n v="149901"/>
    <s v="MLflow, Scikit-learn, Python, Reinforcement Learning, C++"/>
    <s v="FastAPI, Scikit-learn, MLflow"/>
    <x v="1"/>
  </r>
  <r>
    <x v="3"/>
    <x v="5"/>
    <x v="0"/>
    <x v="1"/>
    <n v="142079"/>
    <s v="MLflow, Scikit-learn, R"/>
    <s v="PyTorch"/>
    <x v="0"/>
  </r>
  <r>
    <x v="4"/>
    <x v="2"/>
    <x v="1"/>
    <x v="3"/>
    <n v="123228"/>
    <s v="MLflow, Scikit-learn, SQL"/>
    <s v="FastAPI"/>
    <x v="0"/>
  </r>
  <r>
    <x v="4"/>
    <x v="6"/>
    <x v="0"/>
    <x v="3"/>
    <n v="148387"/>
    <s v="MLflow, Scikit-learn, TensorFlow, Azure, SQL, R"/>
    <s v="BigQuery"/>
    <x v="0"/>
  </r>
  <r>
    <x v="5"/>
    <x v="5"/>
    <x v="2"/>
    <x v="1"/>
    <n v="159376.5"/>
    <s v="MLflow, SQL, Excel"/>
    <s v="FastAPI, LangChain, TensorFlow"/>
    <x v="1"/>
  </r>
  <r>
    <x v="1"/>
    <x v="3"/>
    <x v="0"/>
    <x v="0"/>
    <n v="100524"/>
    <s v="MLflow, SQL, Pandas"/>
    <s v="BigQuery, KDB+"/>
    <x v="2"/>
  </r>
  <r>
    <x v="3"/>
    <x v="4"/>
    <x v="1"/>
    <x v="2"/>
    <n v="106257"/>
    <s v="MLflow, TensorFlow, CUDA, GCP"/>
    <s v="BigQuery, MLflow, KDB+"/>
    <x v="2"/>
  </r>
  <r>
    <x v="4"/>
    <x v="7"/>
    <x v="2"/>
    <x v="2"/>
    <n v="88491.5"/>
    <s v="MLflow, TensorFlow, NumPy, Pandas"/>
    <s v="TensorFlow"/>
    <x v="2"/>
  </r>
  <r>
    <x v="6"/>
    <x v="7"/>
    <x v="0"/>
    <x v="0"/>
    <n v="161903.5"/>
    <s v="MLflow, TensorFlow, Power BI, CUDA, NumPy, PyTorch"/>
    <s v="BigQuery"/>
    <x v="0"/>
  </r>
  <r>
    <x v="5"/>
    <x v="6"/>
    <x v="0"/>
    <x v="0"/>
    <n v="104374"/>
    <s v="MLflow, TensorFlow, Reinforcement Learning"/>
    <s v="FastAPI"/>
    <x v="2"/>
  </r>
  <r>
    <x v="1"/>
    <x v="5"/>
    <x v="2"/>
    <x v="2"/>
    <n v="87502.5"/>
    <s v="NumPy, AWS, Azure, TensorFlow, CUDA"/>
    <s v="FastAPI, TensorFlow, LangChain"/>
    <x v="0"/>
  </r>
  <r>
    <x v="4"/>
    <x v="1"/>
    <x v="2"/>
    <x v="1"/>
    <n v="128469"/>
    <s v="NumPy, AWS, Excel"/>
    <s v="TensorFlow"/>
    <x v="2"/>
  </r>
  <r>
    <x v="6"/>
    <x v="4"/>
    <x v="1"/>
    <x v="2"/>
    <n v="68771.5"/>
    <s v="NumPy, AWS, Excel, SQL, Keras"/>
    <s v="Scikit-learn, TensorFlow, BigQuery"/>
    <x v="1"/>
  </r>
  <r>
    <x v="1"/>
    <x v="7"/>
    <x v="0"/>
    <x v="3"/>
    <n v="150517.5"/>
    <s v="NumPy, AWS, LangChain"/>
    <s v="PyTorch"/>
    <x v="0"/>
  </r>
  <r>
    <x v="6"/>
    <x v="2"/>
    <x v="0"/>
    <x v="1"/>
    <n v="116557"/>
    <s v="NumPy, AWS, Reinforcement Learning, Scikit-learn, MLflow"/>
    <s v="FastAPI"/>
    <x v="1"/>
  </r>
  <r>
    <x v="5"/>
    <x v="7"/>
    <x v="0"/>
    <x v="2"/>
    <n v="107687"/>
    <s v="NumPy, Azure, AWS, Keras, R"/>
    <s v="LangChain, BigQuery, MLflow"/>
    <x v="1"/>
  </r>
  <r>
    <x v="5"/>
    <x v="6"/>
    <x v="0"/>
    <x v="3"/>
    <n v="144661.5"/>
    <s v="NumPy, Azure, PyTorch, Python, Pandas, R"/>
    <s v="TensorFlow"/>
    <x v="1"/>
  </r>
  <r>
    <x v="2"/>
    <x v="6"/>
    <x v="1"/>
    <x v="0"/>
    <n v="132844.5"/>
    <s v="NumPy, C++, AWS, SQL, MLflow"/>
    <s v="PyTorch, Scikit-learn"/>
    <x v="1"/>
  </r>
  <r>
    <x v="1"/>
    <x v="5"/>
    <x v="0"/>
    <x v="0"/>
    <n v="144512.5"/>
    <s v="NumPy, C++, Flask, AWS, Power BI"/>
    <s v="MLflow, LangChain, Scikit-learn"/>
    <x v="0"/>
  </r>
  <r>
    <x v="1"/>
    <x v="7"/>
    <x v="1"/>
    <x v="2"/>
    <n v="50712.5"/>
    <s v="NumPy, C++, MLflow"/>
    <s v="PyTorch"/>
    <x v="0"/>
  </r>
  <r>
    <x v="3"/>
    <x v="2"/>
    <x v="0"/>
    <x v="1"/>
    <n v="79447"/>
    <s v="NumPy, C++, Python"/>
    <s v="BigQuery, KDB+"/>
    <x v="0"/>
  </r>
  <r>
    <x v="1"/>
    <x v="4"/>
    <x v="0"/>
    <x v="3"/>
    <n v="159897.5"/>
    <s v="NumPy, C++, SQL"/>
    <s v="BigQuery"/>
    <x v="1"/>
  </r>
  <r>
    <x v="2"/>
    <x v="4"/>
    <x v="2"/>
    <x v="1"/>
    <n v="153136"/>
    <s v="NumPy, CUDA, Scikit-learn, Keras, Excel, Pandas"/>
    <s v="Scikit-learn"/>
    <x v="2"/>
  </r>
  <r>
    <x v="4"/>
    <x v="6"/>
    <x v="1"/>
    <x v="2"/>
    <n v="133710.5"/>
    <s v="NumPy, CUDA, TensorFlow, Pandas, Hugging Face, PyTorch"/>
    <s v="Scikit-learn, KDB+, LangChain"/>
    <x v="1"/>
  </r>
  <r>
    <x v="2"/>
    <x v="7"/>
    <x v="0"/>
    <x v="1"/>
    <n v="108857"/>
    <s v="NumPy, Excel, Azure, AWS"/>
    <s v="PyTorch, TensorFlow, FastAPI"/>
    <x v="1"/>
  </r>
  <r>
    <x v="3"/>
    <x v="2"/>
    <x v="0"/>
    <x v="3"/>
    <n v="139688.5"/>
    <s v="NumPy, Excel, GCP, CUDA, AWS"/>
    <s v="Scikit-learn, PyTorch"/>
    <x v="2"/>
  </r>
  <r>
    <x v="4"/>
    <x v="0"/>
    <x v="0"/>
    <x v="1"/>
    <n v="164737"/>
    <s v="NumPy, Excel, LangChain"/>
    <s v="MLflow, Scikit-learn, FastAPI"/>
    <x v="1"/>
  </r>
  <r>
    <x v="4"/>
    <x v="6"/>
    <x v="2"/>
    <x v="0"/>
    <n v="143740.5"/>
    <s v="NumPy, Excel, LangChain, Keras"/>
    <s v="LangChain, FastAPI"/>
    <x v="2"/>
  </r>
  <r>
    <x v="1"/>
    <x v="3"/>
    <x v="2"/>
    <x v="3"/>
    <n v="138243"/>
    <s v="NumPy, Excel, LangChain, PyTorch, AWS, Power BI"/>
    <s v="MLflow, TensorFlow"/>
    <x v="2"/>
  </r>
  <r>
    <x v="2"/>
    <x v="4"/>
    <x v="0"/>
    <x v="2"/>
    <n v="150172.5"/>
    <s v="NumPy, Excel, Reinforcement Learning, Python, SQL"/>
    <s v="KDB+"/>
    <x v="2"/>
  </r>
  <r>
    <x v="3"/>
    <x v="1"/>
    <x v="0"/>
    <x v="3"/>
    <n v="119020.5"/>
    <s v="NumPy, Excel, Scikit-learn, CUDA, R, TensorFlow"/>
    <s v="BigQuery, LangChain"/>
    <x v="1"/>
  </r>
  <r>
    <x v="3"/>
    <x v="5"/>
    <x v="1"/>
    <x v="1"/>
    <n v="131509"/>
    <s v="NumPy, Excel, TensorFlow"/>
    <s v="LangChain"/>
    <x v="1"/>
  </r>
  <r>
    <x v="6"/>
    <x v="1"/>
    <x v="0"/>
    <x v="2"/>
    <n v="135398.5"/>
    <s v="NumPy, FastAPI, LangChain, Python"/>
    <s v="LangChain, Scikit-learn, MLflow"/>
    <x v="2"/>
  </r>
  <r>
    <x v="4"/>
    <x v="3"/>
    <x v="0"/>
    <x v="0"/>
    <n v="177117"/>
    <s v="NumPy, FastAPI, PyTorch"/>
    <s v="KDB+, TensorFlow, Scikit-learn"/>
    <x v="0"/>
  </r>
  <r>
    <x v="3"/>
    <x v="5"/>
    <x v="0"/>
    <x v="1"/>
    <n v="133985.5"/>
    <s v="NumPy, Flask, C++"/>
    <s v="PyTorch"/>
    <x v="2"/>
  </r>
  <r>
    <x v="6"/>
    <x v="6"/>
    <x v="0"/>
    <x v="2"/>
    <n v="81237.5"/>
    <s v="NumPy, Flask, MLflow"/>
    <s v="PyTorch, FastAPI, Scikit-learn"/>
    <x v="1"/>
  </r>
  <r>
    <x v="0"/>
    <x v="2"/>
    <x v="2"/>
    <x v="0"/>
    <n v="108868.5"/>
    <s v="NumPy, Flask, Pandas"/>
    <s v="KDB+"/>
    <x v="0"/>
  </r>
  <r>
    <x v="1"/>
    <x v="5"/>
    <x v="1"/>
    <x v="1"/>
    <n v="150750.5"/>
    <s v="NumPy, GCP, AWS, Python, Keras"/>
    <s v="Scikit-learn, TensorFlow, KDB+"/>
    <x v="0"/>
  </r>
  <r>
    <x v="5"/>
    <x v="4"/>
    <x v="0"/>
    <x v="1"/>
    <n v="90035"/>
    <s v="NumPy, GCP, Flask, TensorFlow"/>
    <s v="LangChain"/>
    <x v="2"/>
  </r>
  <r>
    <x v="4"/>
    <x v="2"/>
    <x v="1"/>
    <x v="3"/>
    <n v="121986.5"/>
    <s v="NumPy, GCP, R, Reinforcement Learning, LangChain, AWS"/>
    <s v="PyTorch, LangChain, BigQuery"/>
    <x v="2"/>
  </r>
  <r>
    <x v="1"/>
    <x v="1"/>
    <x v="2"/>
    <x v="0"/>
    <n v="165696.5"/>
    <s v="NumPy, GCP, SQL, CUDA, PyTorch"/>
    <s v="BigQuery, MLflow, TensorFlow"/>
    <x v="1"/>
  </r>
  <r>
    <x v="6"/>
    <x v="0"/>
    <x v="2"/>
    <x v="1"/>
    <n v="60277"/>
    <s v="NumPy, Hugging Face, C++, Power BI, LangChain"/>
    <s v="KDB+, FastAPI, TensorFlow"/>
    <x v="2"/>
  </r>
  <r>
    <x v="6"/>
    <x v="7"/>
    <x v="2"/>
    <x v="0"/>
    <n v="130657.5"/>
    <s v="NumPy, Hugging Face, CUDA, Flask"/>
    <s v="TensorFlow, BigQuery"/>
    <x v="0"/>
  </r>
  <r>
    <x v="3"/>
    <x v="5"/>
    <x v="1"/>
    <x v="0"/>
    <n v="107741"/>
    <s v="NumPy, Hugging Face, Keras, Azure"/>
    <s v="BigQuery, TensorFlow"/>
    <x v="0"/>
  </r>
  <r>
    <x v="2"/>
    <x v="6"/>
    <x v="0"/>
    <x v="3"/>
    <n v="112013"/>
    <s v="NumPy, Hugging Face, Python"/>
    <s v="MLflow, Scikit-learn"/>
    <x v="1"/>
  </r>
  <r>
    <x v="0"/>
    <x v="2"/>
    <x v="0"/>
    <x v="2"/>
    <n v="125130"/>
    <s v="NumPy, Hugging Face, R, CUDA, Pandas, Reinforcement Learning"/>
    <s v="FastAPI, Scikit-learn, TensorFlow"/>
    <x v="2"/>
  </r>
  <r>
    <x v="4"/>
    <x v="1"/>
    <x v="2"/>
    <x v="1"/>
    <n v="159928.5"/>
    <s v="NumPy, Keras, AWS, Python, LangChain, MLflow"/>
    <s v="BigQuery, LangChain, Scikit-learn"/>
    <x v="1"/>
  </r>
  <r>
    <x v="6"/>
    <x v="3"/>
    <x v="1"/>
    <x v="1"/>
    <n v="133540"/>
    <s v="NumPy, Keras, PyTorch, TensorFlow, Flask, Excel"/>
    <s v="FastAPI, PyTorch, BigQuery"/>
    <x v="2"/>
  </r>
  <r>
    <x v="5"/>
    <x v="6"/>
    <x v="2"/>
    <x v="0"/>
    <n v="114004.5"/>
    <s v="NumPy, Keras, Reinforcement Learning"/>
    <s v="Scikit-learn"/>
    <x v="0"/>
  </r>
  <r>
    <x v="1"/>
    <x v="2"/>
    <x v="0"/>
    <x v="3"/>
    <n v="176787.5"/>
    <s v="NumPy, LangChain, Excel, Keras"/>
    <s v="MLflow"/>
    <x v="2"/>
  </r>
  <r>
    <x v="5"/>
    <x v="0"/>
    <x v="0"/>
    <x v="1"/>
    <n v="104207"/>
    <s v="NumPy, LangChain, FastAPI"/>
    <s v="LangChain, FastAPI"/>
    <x v="0"/>
  </r>
  <r>
    <x v="2"/>
    <x v="2"/>
    <x v="2"/>
    <x v="3"/>
    <n v="84044"/>
    <s v="NumPy, LangChain, FastAPI, Reinforcement Learning, Flask"/>
    <s v="BigQuery, KDB+, FastAPI"/>
    <x v="0"/>
  </r>
  <r>
    <x v="0"/>
    <x v="5"/>
    <x v="2"/>
    <x v="1"/>
    <n v="120100.5"/>
    <s v="NumPy, LangChain, MLflow, CUDA, TensorFlow"/>
    <s v="MLflow"/>
    <x v="0"/>
  </r>
  <r>
    <x v="4"/>
    <x v="1"/>
    <x v="1"/>
    <x v="1"/>
    <n v="66730"/>
    <s v="NumPy, LangChain, R, Scikit-learn"/>
    <s v="TensorFlow"/>
    <x v="2"/>
  </r>
  <r>
    <x v="4"/>
    <x v="1"/>
    <x v="0"/>
    <x v="0"/>
    <n v="93009"/>
    <s v="NumPy, MLflow, CUDA, Azure, C++, GCP"/>
    <s v="LangChain"/>
    <x v="1"/>
  </r>
  <r>
    <x v="2"/>
    <x v="3"/>
    <x v="1"/>
    <x v="2"/>
    <n v="74952"/>
    <s v="NumPy, MLflow, Flask, Keras, TensorFlow, FastAPI"/>
    <s v="PyTorch, MLflow, Scikit-learn"/>
    <x v="0"/>
  </r>
  <r>
    <x v="5"/>
    <x v="7"/>
    <x v="2"/>
    <x v="0"/>
    <n v="122493"/>
    <s v="NumPy, MLflow, Python, C++, Azure"/>
    <s v="FastAPI, MLflow"/>
    <x v="2"/>
  </r>
  <r>
    <x v="1"/>
    <x v="7"/>
    <x v="0"/>
    <x v="0"/>
    <n v="187422.5"/>
    <s v="NumPy, MLflow, PyTorch, Pandas, FastAPI"/>
    <s v="BigQuery"/>
    <x v="0"/>
  </r>
  <r>
    <x v="2"/>
    <x v="3"/>
    <x v="0"/>
    <x v="2"/>
    <n v="156825.5"/>
    <s v="NumPy, MLflow, PyTorch, Power BI, Scikit-learn, C++"/>
    <s v="MLflow, LangChain"/>
    <x v="2"/>
  </r>
  <r>
    <x v="1"/>
    <x v="6"/>
    <x v="2"/>
    <x v="3"/>
    <n v="165074"/>
    <s v="NumPy, MLflow, R, C++"/>
    <s v="FastAPI, PyTorch, TensorFlow"/>
    <x v="1"/>
  </r>
  <r>
    <x v="4"/>
    <x v="3"/>
    <x v="0"/>
    <x v="1"/>
    <n v="185407.5"/>
    <s v="NumPy, MLflow, TensorFlow"/>
    <s v="PyTorch, TensorFlow"/>
    <x v="2"/>
  </r>
  <r>
    <x v="6"/>
    <x v="7"/>
    <x v="2"/>
    <x v="0"/>
    <n v="83889.5"/>
    <s v="NumPy, MLflow, TensorFlow, GCP, Reinforcement Learning, R"/>
    <s v="Scikit-learn, FastAPI"/>
    <x v="1"/>
  </r>
  <r>
    <x v="6"/>
    <x v="0"/>
    <x v="2"/>
    <x v="1"/>
    <n v="75497"/>
    <s v="NumPy, Pandas, CUDA, AWS"/>
    <s v="BigQuery"/>
    <x v="0"/>
  </r>
  <r>
    <x v="0"/>
    <x v="3"/>
    <x v="2"/>
    <x v="2"/>
    <n v="185318"/>
    <s v="NumPy, Pandas, Excel"/>
    <s v="PyTorch, FastAPI, BigQuery"/>
    <x v="1"/>
  </r>
  <r>
    <x v="0"/>
    <x v="7"/>
    <x v="2"/>
    <x v="1"/>
    <n v="101783.5"/>
    <s v="NumPy, Pandas, Hugging Face"/>
    <s v="TensorFlow, MLflow, LangChain"/>
    <x v="1"/>
  </r>
  <r>
    <x v="1"/>
    <x v="0"/>
    <x v="1"/>
    <x v="2"/>
    <n v="173635.5"/>
    <s v="NumPy, Pandas, LangChain, MLflow, TensorFlow, R"/>
    <s v="BigQuery, TensorFlow, MLflow"/>
    <x v="1"/>
  </r>
  <r>
    <x v="2"/>
    <x v="6"/>
    <x v="0"/>
    <x v="3"/>
    <n v="104414"/>
    <s v="NumPy, Pandas, Reinforcement Learning"/>
    <s v="PyTorch, Scikit-learn, TensorFlow"/>
    <x v="0"/>
  </r>
  <r>
    <x v="4"/>
    <x v="1"/>
    <x v="2"/>
    <x v="3"/>
    <n v="145203"/>
    <s v="NumPy, Pandas, SQL, GCP, FastAPI"/>
    <s v="MLflow, LangChain"/>
    <x v="1"/>
  </r>
  <r>
    <x v="0"/>
    <x v="7"/>
    <x v="1"/>
    <x v="3"/>
    <n v="150713"/>
    <s v="NumPy, Pandas, SQL, R, Excel"/>
    <s v="KDB+"/>
    <x v="2"/>
  </r>
  <r>
    <x v="1"/>
    <x v="4"/>
    <x v="2"/>
    <x v="1"/>
    <n v="75049"/>
    <s v="NumPy, Power BI, LangChain, C++, Keras, SQL"/>
    <s v="KDB+"/>
    <x v="1"/>
  </r>
  <r>
    <x v="0"/>
    <x v="7"/>
    <x v="2"/>
    <x v="1"/>
    <n v="104934.5"/>
    <s v="NumPy, Power BI, LangChain, GCP, Python"/>
    <s v="PyTorch, MLflow, BigQuery"/>
    <x v="1"/>
  </r>
  <r>
    <x v="5"/>
    <x v="3"/>
    <x v="1"/>
    <x v="2"/>
    <n v="47578.5"/>
    <s v="NumPy, Python, Azure, GCP, C++, Scikit-learn"/>
    <s v="PyTorch"/>
    <x v="0"/>
  </r>
  <r>
    <x v="0"/>
    <x v="6"/>
    <x v="2"/>
    <x v="0"/>
    <n v="149789.5"/>
    <s v="NumPy, Python, Excel"/>
    <s v="BigQuery, MLflow, LangChain"/>
    <x v="0"/>
  </r>
  <r>
    <x v="1"/>
    <x v="4"/>
    <x v="0"/>
    <x v="1"/>
    <n v="109146"/>
    <s v="NumPy, Python, MLflow, Flask, GCP"/>
    <s v="FastAPI, PyTorch"/>
    <x v="1"/>
  </r>
  <r>
    <x v="6"/>
    <x v="3"/>
    <x v="0"/>
    <x v="0"/>
    <n v="188940.5"/>
    <s v="NumPy, Python, Pandas"/>
    <s v="PyTorch, Scikit-learn, BigQuery"/>
    <x v="1"/>
  </r>
  <r>
    <x v="3"/>
    <x v="1"/>
    <x v="1"/>
    <x v="0"/>
    <n v="127196"/>
    <s v="NumPy, Python, PyTorch"/>
    <s v="PyTorch"/>
    <x v="1"/>
  </r>
  <r>
    <x v="2"/>
    <x v="0"/>
    <x v="1"/>
    <x v="2"/>
    <n v="64477"/>
    <s v="NumPy, Python, PyTorch, C++, AWS"/>
    <s v="Scikit-learn, BigQuery, KDB+"/>
    <x v="1"/>
  </r>
  <r>
    <x v="4"/>
    <x v="4"/>
    <x v="0"/>
    <x v="0"/>
    <n v="91939"/>
    <s v="NumPy, Python, SQL"/>
    <s v="LangChain, TensorFlow, Scikit-learn"/>
    <x v="2"/>
  </r>
  <r>
    <x v="0"/>
    <x v="1"/>
    <x v="0"/>
    <x v="0"/>
    <n v="126862"/>
    <s v="NumPy, Python, SQL, CUDA, Hugging Face"/>
    <s v="FastAPI, BigQuery"/>
    <x v="1"/>
  </r>
  <r>
    <x v="4"/>
    <x v="2"/>
    <x v="1"/>
    <x v="2"/>
    <n v="114547"/>
    <s v="NumPy, PyTorch, AWS, Hugging Face"/>
    <s v="PyTorch"/>
    <x v="1"/>
  </r>
  <r>
    <x v="0"/>
    <x v="7"/>
    <x v="0"/>
    <x v="1"/>
    <n v="107572"/>
    <s v="NumPy, PyTorch, C++, MLflow, TensorFlow"/>
    <s v="TensorFlow, KDB+, MLflow"/>
    <x v="1"/>
  </r>
  <r>
    <x v="4"/>
    <x v="5"/>
    <x v="0"/>
    <x v="1"/>
    <n v="160403"/>
    <s v="NumPy, PyTorch, C++, R, Azure"/>
    <s v="BigQuery, PyTorch"/>
    <x v="2"/>
  </r>
  <r>
    <x v="0"/>
    <x v="5"/>
    <x v="2"/>
    <x v="2"/>
    <n v="72408.5"/>
    <s v="NumPy, PyTorch, Excel"/>
    <s v="KDB+"/>
    <x v="2"/>
  </r>
  <r>
    <x v="6"/>
    <x v="4"/>
    <x v="0"/>
    <x v="0"/>
    <n v="93868.5"/>
    <s v="NumPy, PyTorch, Excel, Python, Scikit-learn"/>
    <s v="MLflow, TensorFlow, PyTorch"/>
    <x v="0"/>
  </r>
  <r>
    <x v="2"/>
    <x v="7"/>
    <x v="0"/>
    <x v="2"/>
    <n v="135744.5"/>
    <s v="NumPy, PyTorch, FastAPI, CUDA, Azure"/>
    <s v="LangChain, KDB+"/>
    <x v="2"/>
  </r>
  <r>
    <x v="0"/>
    <x v="4"/>
    <x v="1"/>
    <x v="0"/>
    <n v="76767"/>
    <s v="NumPy, PyTorch, R, Flask, Python, Keras"/>
    <s v="PyTorch"/>
    <x v="0"/>
  </r>
  <r>
    <x v="3"/>
    <x v="6"/>
    <x v="0"/>
    <x v="1"/>
    <n v="70497"/>
    <s v="NumPy, PyTorch, SQL, TensorFlow"/>
    <s v="MLflow"/>
    <x v="1"/>
  </r>
  <r>
    <x v="5"/>
    <x v="6"/>
    <x v="2"/>
    <x v="0"/>
    <n v="139140.5"/>
    <s v="NumPy, R, AWS, TensorFlow"/>
    <s v="LangChain, KDB+, PyTorch"/>
    <x v="2"/>
  </r>
  <r>
    <x v="3"/>
    <x v="6"/>
    <x v="2"/>
    <x v="3"/>
    <n v="67924.5"/>
    <s v="NumPy, R, CUDA, MLflow, Azure, PyTorch"/>
    <s v="BigQuery, KDB+"/>
    <x v="1"/>
  </r>
  <r>
    <x v="3"/>
    <x v="3"/>
    <x v="1"/>
    <x v="3"/>
    <n v="155008.5"/>
    <s v="NumPy, R, Excel, Scikit-learn, Flask, LangChain"/>
    <s v="KDB+"/>
    <x v="2"/>
  </r>
  <r>
    <x v="2"/>
    <x v="7"/>
    <x v="2"/>
    <x v="2"/>
    <n v="118122"/>
    <s v="NumPy, R, FastAPI, SQL"/>
    <s v="KDB+, TensorFlow"/>
    <x v="2"/>
  </r>
  <r>
    <x v="6"/>
    <x v="3"/>
    <x v="0"/>
    <x v="1"/>
    <n v="141388.5"/>
    <s v="NumPy, R, MLflow, C++, FastAPI"/>
    <s v="BigQuery"/>
    <x v="2"/>
  </r>
  <r>
    <x v="2"/>
    <x v="3"/>
    <x v="2"/>
    <x v="1"/>
    <n v="173442.5"/>
    <s v="NumPy, R, MLflow, Flask, TensorFlow"/>
    <s v="Scikit-learn, BigQuery, MLflow"/>
    <x v="1"/>
  </r>
  <r>
    <x v="4"/>
    <x v="6"/>
    <x v="0"/>
    <x v="0"/>
    <n v="172321"/>
    <s v="NumPy, R, Pandas"/>
    <s v="MLflow, KDB+"/>
    <x v="1"/>
  </r>
  <r>
    <x v="0"/>
    <x v="3"/>
    <x v="2"/>
    <x v="0"/>
    <n v="121696"/>
    <s v="NumPy, R, Power BI, CUDA"/>
    <s v="MLflow, LangChain, FastAPI"/>
    <x v="1"/>
  </r>
  <r>
    <x v="6"/>
    <x v="7"/>
    <x v="2"/>
    <x v="2"/>
    <n v="140386.5"/>
    <s v="NumPy, R, Reinforcement Learning, Pandas, AWS, SQL"/>
    <s v="MLflow, BigQuery, KDB+"/>
    <x v="2"/>
  </r>
  <r>
    <x v="2"/>
    <x v="5"/>
    <x v="2"/>
    <x v="1"/>
    <n v="57358.5"/>
    <s v="NumPy, Reinforcement Learning, AWS, Power BI, PyTorch, SQL"/>
    <s v="KDB+, MLflow, BigQuery"/>
    <x v="0"/>
  </r>
  <r>
    <x v="2"/>
    <x v="7"/>
    <x v="0"/>
    <x v="3"/>
    <n v="152580"/>
    <s v="NumPy, Reinforcement Learning, Azure, C++, R"/>
    <s v="Scikit-learn, BigQuery, FastAPI"/>
    <x v="2"/>
  </r>
  <r>
    <x v="3"/>
    <x v="5"/>
    <x v="0"/>
    <x v="0"/>
    <n v="82997.5"/>
    <s v="NumPy, Reinforcement Learning, FastAPI, GCP, AWS"/>
    <s v="TensorFlow"/>
    <x v="1"/>
  </r>
  <r>
    <x v="4"/>
    <x v="7"/>
    <x v="0"/>
    <x v="2"/>
    <n v="62985.5"/>
    <s v="NumPy, Reinforcement Learning, GCP, Azure, LangChain, Scikit-learn"/>
    <s v="KDB+, TensorFlow, LangChain"/>
    <x v="1"/>
  </r>
  <r>
    <x v="3"/>
    <x v="4"/>
    <x v="0"/>
    <x v="0"/>
    <n v="69606"/>
    <s v="NumPy, Reinforcement Learning, Python, Hugging Face, PyTorch, GCP"/>
    <s v="TensorFlow"/>
    <x v="2"/>
  </r>
  <r>
    <x v="3"/>
    <x v="3"/>
    <x v="2"/>
    <x v="3"/>
    <n v="101229"/>
    <s v="NumPy, Reinforcement Learning, PyTorch, Scikit-learn, GCP, FastAPI"/>
    <s v="KDB+, LangChain"/>
    <x v="2"/>
  </r>
  <r>
    <x v="1"/>
    <x v="1"/>
    <x v="2"/>
    <x v="0"/>
    <n v="68090"/>
    <s v="NumPy, Scikit-learn, AWS, Power BI, SQL"/>
    <s v="Scikit-learn, MLflow, BigQuery"/>
    <x v="0"/>
  </r>
  <r>
    <x v="6"/>
    <x v="3"/>
    <x v="0"/>
    <x v="2"/>
    <n v="185232.5"/>
    <s v="NumPy, Scikit-learn, FastAPI, Power BI, Pandas"/>
    <s v="PyTorch"/>
    <x v="1"/>
  </r>
  <r>
    <x v="4"/>
    <x v="3"/>
    <x v="0"/>
    <x v="1"/>
    <n v="112397.5"/>
    <s v="NumPy, Scikit-learn, Keras, TensorFlow, Hugging Face, Excel"/>
    <s v="LangChain, KDB+"/>
    <x v="2"/>
  </r>
  <r>
    <x v="3"/>
    <x v="5"/>
    <x v="1"/>
    <x v="0"/>
    <n v="113999.5"/>
    <s v="NumPy, Scikit-learn, SQL, LangChain, C++"/>
    <s v="Scikit-learn, LangChain"/>
    <x v="0"/>
  </r>
  <r>
    <x v="6"/>
    <x v="1"/>
    <x v="1"/>
    <x v="2"/>
    <n v="143268.5"/>
    <s v="NumPy, SQL, Flask, Power BI, GCP"/>
    <s v="Scikit-learn, MLflow, BigQuery"/>
    <x v="0"/>
  </r>
  <r>
    <x v="6"/>
    <x v="1"/>
    <x v="0"/>
    <x v="3"/>
    <n v="117497"/>
    <s v="NumPy, SQL, Flask, Python"/>
    <s v="TensorFlow"/>
    <x v="0"/>
  </r>
  <r>
    <x v="3"/>
    <x v="7"/>
    <x v="0"/>
    <x v="3"/>
    <n v="144976.5"/>
    <s v="NumPy, SQL, Python, Reinforcement Learning, LangChain"/>
    <s v="PyTorch, TensorFlow, FastAPI"/>
    <x v="2"/>
  </r>
  <r>
    <x v="2"/>
    <x v="5"/>
    <x v="0"/>
    <x v="2"/>
    <n v="86460.5"/>
    <s v="NumPy, TensorFlow, CUDA"/>
    <s v="FastAPI, LangChain, PyTorch"/>
    <x v="1"/>
  </r>
  <r>
    <x v="1"/>
    <x v="0"/>
    <x v="2"/>
    <x v="1"/>
    <n v="87613.5"/>
    <s v="NumPy, TensorFlow, GCP, LangChain"/>
    <s v="Scikit-learn, KDB+"/>
    <x v="0"/>
  </r>
  <r>
    <x v="0"/>
    <x v="2"/>
    <x v="1"/>
    <x v="0"/>
    <n v="138587"/>
    <s v="NumPy, TensorFlow, Keras, MLflow, CUDA, C++"/>
    <s v="LangChain, BigQuery, KDB+"/>
    <x v="2"/>
  </r>
  <r>
    <x v="0"/>
    <x v="0"/>
    <x v="1"/>
    <x v="0"/>
    <n v="160031"/>
    <s v="NumPy, TensorFlow, Pandas, CUDA"/>
    <s v="BigQuery"/>
    <x v="2"/>
  </r>
  <r>
    <x v="2"/>
    <x v="6"/>
    <x v="0"/>
    <x v="3"/>
    <n v="112341.5"/>
    <s v="NumPy, TensorFlow, Reinforcement Learning, Keras"/>
    <s v="BigQuery, TensorFlow, PyTorch"/>
    <x v="0"/>
  </r>
  <r>
    <x v="6"/>
    <x v="7"/>
    <x v="2"/>
    <x v="1"/>
    <n v="72481"/>
    <s v="Pandas, AWS, GCP, SQL, Azure, NumPy"/>
    <s v="TensorFlow"/>
    <x v="1"/>
  </r>
  <r>
    <x v="5"/>
    <x v="3"/>
    <x v="2"/>
    <x v="3"/>
    <n v="138134"/>
    <s v="Pandas, AWS, MLflow, TensorFlow"/>
    <s v="TensorFlow"/>
    <x v="0"/>
  </r>
  <r>
    <x v="1"/>
    <x v="4"/>
    <x v="1"/>
    <x v="2"/>
    <n v="100901"/>
    <s v="Pandas, AWS, R, PyTorch, Power BI, NumPy"/>
    <s v="MLflow"/>
    <x v="2"/>
  </r>
  <r>
    <x v="4"/>
    <x v="3"/>
    <x v="0"/>
    <x v="1"/>
    <n v="69148.5"/>
    <s v="Pandas, AWS, R, TensorFlow, FastAPI, MLflow"/>
    <s v="BigQuery"/>
    <x v="1"/>
  </r>
  <r>
    <x v="1"/>
    <x v="6"/>
    <x v="1"/>
    <x v="0"/>
    <n v="127691"/>
    <s v="Pandas, Azure, Hugging Face, Power BI"/>
    <s v="Scikit-learn, TensorFlow, FastAPI"/>
    <x v="1"/>
  </r>
  <r>
    <x v="3"/>
    <x v="5"/>
    <x v="1"/>
    <x v="0"/>
    <n v="185570.5"/>
    <s v="Pandas, Azure, Hugging Face, Python"/>
    <s v="MLflow, KDB+, FastAPI"/>
    <x v="1"/>
  </r>
  <r>
    <x v="2"/>
    <x v="3"/>
    <x v="2"/>
    <x v="2"/>
    <n v="134607"/>
    <s v="Pandas, Azure, Keras, PyTorch, AWS, Hugging Face"/>
    <s v="BigQuery, KDB+"/>
    <x v="0"/>
  </r>
  <r>
    <x v="4"/>
    <x v="2"/>
    <x v="2"/>
    <x v="2"/>
    <n v="85044.5"/>
    <s v="Pandas, Azure, Power BI"/>
    <s v="PyTorch, Scikit-learn, MLflow"/>
    <x v="1"/>
  </r>
  <r>
    <x v="3"/>
    <x v="6"/>
    <x v="1"/>
    <x v="3"/>
    <n v="124579"/>
    <s v="Pandas, Azure, Reinforcement Learning, C++, FastAPI"/>
    <s v="Scikit-learn, KDB+"/>
    <x v="0"/>
  </r>
  <r>
    <x v="3"/>
    <x v="1"/>
    <x v="0"/>
    <x v="0"/>
    <n v="144133"/>
    <s v="Pandas, C++, FastAPI, Excel"/>
    <s v="FastAPI, BigQuery"/>
    <x v="1"/>
  </r>
  <r>
    <x v="2"/>
    <x v="6"/>
    <x v="0"/>
    <x v="0"/>
    <n v="89196"/>
    <s v="Pandas, C++, Power BI, Hugging Face, Excel"/>
    <s v="KDB+, PyTorch, BigQuery"/>
    <x v="1"/>
  </r>
  <r>
    <x v="5"/>
    <x v="5"/>
    <x v="2"/>
    <x v="1"/>
    <n v="167789"/>
    <s v="Pandas, C++, PyTorch, TensorFlow"/>
    <s v="LangChain"/>
    <x v="1"/>
  </r>
  <r>
    <x v="6"/>
    <x v="5"/>
    <x v="1"/>
    <x v="0"/>
    <n v="84673"/>
    <s v="Pandas, C++, R, MLflow"/>
    <s v="FastAPI"/>
    <x v="0"/>
  </r>
  <r>
    <x v="2"/>
    <x v="2"/>
    <x v="0"/>
    <x v="3"/>
    <n v="146010"/>
    <s v="Pandas, CUDA, AWS, TensorFlow, Python"/>
    <s v="MLflow, FastAPI, BigQuery"/>
    <x v="1"/>
  </r>
  <r>
    <x v="2"/>
    <x v="1"/>
    <x v="0"/>
    <x v="1"/>
    <n v="63082"/>
    <s v="Pandas, CUDA, GCP, TensorFlow"/>
    <s v="BigQuery"/>
    <x v="0"/>
  </r>
  <r>
    <x v="1"/>
    <x v="2"/>
    <x v="2"/>
    <x v="2"/>
    <n v="173291.5"/>
    <s v="Pandas, CUDA, NumPy, FastAPI"/>
    <s v="FastAPI"/>
    <x v="2"/>
  </r>
  <r>
    <x v="1"/>
    <x v="5"/>
    <x v="1"/>
    <x v="3"/>
    <n v="155486"/>
    <s v="Pandas, CUDA, PyTorch"/>
    <s v="FastAPI, BigQuery"/>
    <x v="1"/>
  </r>
  <r>
    <x v="0"/>
    <x v="2"/>
    <x v="0"/>
    <x v="0"/>
    <n v="153788.5"/>
    <s v="Pandas, CUDA, R, Python, FastAPI, SQL"/>
    <s v="MLflow, LangChain, KDB+"/>
    <x v="1"/>
  </r>
  <r>
    <x v="3"/>
    <x v="3"/>
    <x v="0"/>
    <x v="2"/>
    <n v="125039"/>
    <s v="Pandas, Excel, FastAPI, Reinforcement Learning, LangChain"/>
    <s v="TensorFlow, FastAPI, PyTorch"/>
    <x v="0"/>
  </r>
  <r>
    <x v="6"/>
    <x v="4"/>
    <x v="2"/>
    <x v="3"/>
    <n v="113066"/>
    <s v="Pandas, Excel, Flask, LangChain, Scikit-learn, TensorFlow"/>
    <s v="KDB+, LangChain, PyTorch"/>
    <x v="2"/>
  </r>
  <r>
    <x v="1"/>
    <x v="5"/>
    <x v="1"/>
    <x v="0"/>
    <n v="120583.5"/>
    <s v="Pandas, Excel, NumPy, LangChain"/>
    <s v="Scikit-learn, FastAPI"/>
    <x v="0"/>
  </r>
  <r>
    <x v="6"/>
    <x v="5"/>
    <x v="1"/>
    <x v="2"/>
    <n v="130630.5"/>
    <s v="Pandas, Excel, R, AWS"/>
    <s v="PyTorch, FastAPI"/>
    <x v="0"/>
  </r>
  <r>
    <x v="6"/>
    <x v="0"/>
    <x v="2"/>
    <x v="1"/>
    <n v="125687"/>
    <s v="Pandas, FastAPI, Azure, Flask, Python, SQL"/>
    <s v="PyTorch"/>
    <x v="2"/>
  </r>
  <r>
    <x v="4"/>
    <x v="0"/>
    <x v="1"/>
    <x v="0"/>
    <n v="129759.5"/>
    <s v="Pandas, FastAPI, Hugging Face"/>
    <s v="TensorFlow, FastAPI"/>
    <x v="0"/>
  </r>
  <r>
    <x v="4"/>
    <x v="4"/>
    <x v="1"/>
    <x v="3"/>
    <n v="74424.5"/>
    <s v="Pandas, FastAPI, Hugging Face, PyTorch, Power BI"/>
    <s v="LangChain"/>
    <x v="0"/>
  </r>
  <r>
    <x v="0"/>
    <x v="4"/>
    <x v="2"/>
    <x v="3"/>
    <n v="53651"/>
    <s v="Pandas, FastAPI, PyTorch, CUDA, Azure"/>
    <s v="FastAPI, TensorFlow, KDB+"/>
    <x v="0"/>
  </r>
  <r>
    <x v="3"/>
    <x v="0"/>
    <x v="2"/>
    <x v="2"/>
    <n v="91011"/>
    <s v="Pandas, FastAPI, Scikit-learn, AWS"/>
    <s v="MLflow, TensorFlow"/>
    <x v="1"/>
  </r>
  <r>
    <x v="0"/>
    <x v="1"/>
    <x v="1"/>
    <x v="3"/>
    <n v="187345.5"/>
    <s v="Pandas, FastAPI, TensorFlow, SQL"/>
    <s v="MLflow"/>
    <x v="2"/>
  </r>
  <r>
    <x v="6"/>
    <x v="2"/>
    <x v="2"/>
    <x v="0"/>
    <n v="59075"/>
    <s v="Pandas, Flask, FastAPI, Reinforcement Learning"/>
    <s v="LangChain, PyTorch, Scikit-learn"/>
    <x v="0"/>
  </r>
  <r>
    <x v="1"/>
    <x v="7"/>
    <x v="2"/>
    <x v="3"/>
    <n v="145588"/>
    <s v="Pandas, GCP, Azure, LangChain, CUDA"/>
    <s v="KDB+"/>
    <x v="0"/>
  </r>
  <r>
    <x v="0"/>
    <x v="2"/>
    <x v="2"/>
    <x v="0"/>
    <n v="98561"/>
    <s v="Pandas, GCP, Azure, Reinforcement Learning, TensorFlow, MLflow"/>
    <s v="PyTorch, LangChain, BigQuery"/>
    <x v="0"/>
  </r>
  <r>
    <x v="5"/>
    <x v="0"/>
    <x v="1"/>
    <x v="0"/>
    <n v="117722"/>
    <s v="Pandas, GCP, C++, Reinforcement Learning"/>
    <s v="MLflow"/>
    <x v="0"/>
  </r>
  <r>
    <x v="4"/>
    <x v="5"/>
    <x v="2"/>
    <x v="2"/>
    <n v="100565.5"/>
    <s v="Pandas, GCP, CUDA, NumPy, AWS"/>
    <s v="PyTorch"/>
    <x v="2"/>
  </r>
  <r>
    <x v="2"/>
    <x v="1"/>
    <x v="0"/>
    <x v="3"/>
    <n v="157521.5"/>
    <s v="Pandas, GCP, Hugging Face"/>
    <s v="LangChain, BigQuery"/>
    <x v="2"/>
  </r>
  <r>
    <x v="3"/>
    <x v="5"/>
    <x v="1"/>
    <x v="0"/>
    <n v="140169"/>
    <s v="Pandas, GCP, Power BI, Hugging Face, Reinforcement Learning, CUDA"/>
    <s v="Scikit-learn, TensorFlow"/>
    <x v="0"/>
  </r>
  <r>
    <x v="4"/>
    <x v="6"/>
    <x v="2"/>
    <x v="0"/>
    <n v="89002.5"/>
    <s v="Pandas, Hugging Face, Keras"/>
    <s v="FastAPI"/>
    <x v="2"/>
  </r>
  <r>
    <x v="2"/>
    <x v="4"/>
    <x v="1"/>
    <x v="3"/>
    <n v="98668"/>
    <s v="Pandas, Hugging Face, LangChain, Reinforcement Learning"/>
    <s v="MLflow, PyTorch, Scikit-learn"/>
    <x v="0"/>
  </r>
  <r>
    <x v="2"/>
    <x v="4"/>
    <x v="1"/>
    <x v="2"/>
    <n v="82491.5"/>
    <s v="Pandas, Keras, Python, NumPy, GCP"/>
    <s v="PyTorch, MLflow"/>
    <x v="2"/>
  </r>
  <r>
    <x v="4"/>
    <x v="7"/>
    <x v="2"/>
    <x v="0"/>
    <n v="138534.5"/>
    <s v="Pandas, Keras, Scikit-learn, TensorFlow"/>
    <s v="BigQuery"/>
    <x v="0"/>
  </r>
  <r>
    <x v="6"/>
    <x v="1"/>
    <x v="0"/>
    <x v="1"/>
    <n v="154210.5"/>
    <s v="Pandas, LangChain, AWS, Hugging Face"/>
    <s v="LangChain"/>
    <x v="1"/>
  </r>
  <r>
    <x v="1"/>
    <x v="3"/>
    <x v="0"/>
    <x v="3"/>
    <n v="60658.5"/>
    <s v="Pandas, LangChain, Excel, Power BI, Keras"/>
    <s v="Scikit-learn"/>
    <x v="1"/>
  </r>
  <r>
    <x v="3"/>
    <x v="1"/>
    <x v="0"/>
    <x v="0"/>
    <n v="161371.5"/>
    <s v="Pandas, LangChain, GCP, Azure"/>
    <s v="Scikit-learn, LangChain, BigQuery"/>
    <x v="2"/>
  </r>
  <r>
    <x v="6"/>
    <x v="1"/>
    <x v="1"/>
    <x v="0"/>
    <n v="149377.5"/>
    <s v="Pandas, LangChain, Python, Keras"/>
    <s v="KDB+, Scikit-learn, TensorFlow"/>
    <x v="0"/>
  </r>
  <r>
    <x v="6"/>
    <x v="0"/>
    <x v="1"/>
    <x v="3"/>
    <n v="181922"/>
    <s v="Pandas, MLflow, Azure, Reinforcement Learning, FastAPI, R"/>
    <s v="MLflow, PyTorch, TensorFlow"/>
    <x v="2"/>
  </r>
  <r>
    <x v="6"/>
    <x v="2"/>
    <x v="2"/>
    <x v="0"/>
    <n v="157099"/>
    <s v="Pandas, MLflow, C++, Reinforcement Learning, SQL, Python"/>
    <s v="LangChain, MLflow"/>
    <x v="0"/>
  </r>
  <r>
    <x v="3"/>
    <x v="1"/>
    <x v="0"/>
    <x v="1"/>
    <n v="92458.5"/>
    <s v="Pandas, MLflow, Hugging Face, SQL"/>
    <s v="TensorFlow"/>
    <x v="0"/>
  </r>
  <r>
    <x v="6"/>
    <x v="5"/>
    <x v="1"/>
    <x v="3"/>
    <n v="140329.5"/>
    <s v="Pandas, MLflow, LangChain, Hugging Face, TensorFlow, PyTorch"/>
    <s v="FastAPI"/>
    <x v="1"/>
  </r>
  <r>
    <x v="1"/>
    <x v="4"/>
    <x v="1"/>
    <x v="0"/>
    <n v="102683.5"/>
    <s v="Pandas, MLflow, Power BI, Python"/>
    <s v="LangChain, TensorFlow"/>
    <x v="0"/>
  </r>
  <r>
    <x v="2"/>
    <x v="6"/>
    <x v="2"/>
    <x v="2"/>
    <n v="98020"/>
    <s v="Pandas, MLflow, TensorFlow, Power BI"/>
    <s v="LangChain, KDB+, BigQuery"/>
    <x v="0"/>
  </r>
  <r>
    <x v="5"/>
    <x v="7"/>
    <x v="2"/>
    <x v="0"/>
    <n v="84088.5"/>
    <s v="Pandas, NumPy, Excel"/>
    <s v="TensorFlow"/>
    <x v="1"/>
  </r>
  <r>
    <x v="2"/>
    <x v="7"/>
    <x v="0"/>
    <x v="0"/>
    <n v="61675"/>
    <s v="Pandas, NumPy, TensorFlow, R"/>
    <s v="TensorFlow, LangChain"/>
    <x v="2"/>
  </r>
  <r>
    <x v="1"/>
    <x v="0"/>
    <x v="1"/>
    <x v="0"/>
    <n v="128120"/>
    <s v="Pandas, NumPy, TensorFlow, SQL"/>
    <s v="KDB+, LangChain, BigQuery"/>
    <x v="1"/>
  </r>
  <r>
    <x v="3"/>
    <x v="3"/>
    <x v="1"/>
    <x v="0"/>
    <n v="137313.5"/>
    <s v="Pandas, Power BI, MLflow, Python, AWS"/>
    <s v="MLflow, KDB+"/>
    <x v="0"/>
  </r>
  <r>
    <x v="3"/>
    <x v="3"/>
    <x v="1"/>
    <x v="2"/>
    <n v="159548.5"/>
    <s v="Pandas, Power BI, SQL"/>
    <s v="KDB+, LangChain"/>
    <x v="0"/>
  </r>
  <r>
    <x v="5"/>
    <x v="7"/>
    <x v="0"/>
    <x v="0"/>
    <n v="158674"/>
    <s v="Pandas, Power BI, SQL, Reinforcement Learning, LangChain"/>
    <s v="MLflow, LangChain, KDB+"/>
    <x v="0"/>
  </r>
  <r>
    <x v="3"/>
    <x v="2"/>
    <x v="1"/>
    <x v="3"/>
    <n v="166738"/>
    <s v="Pandas, Python, C++"/>
    <s v="FastAPI, MLflow, LangChain"/>
    <x v="2"/>
  </r>
  <r>
    <x v="2"/>
    <x v="7"/>
    <x v="1"/>
    <x v="0"/>
    <n v="143568"/>
    <s v="Pandas, Python, PyTorch, R, Flask"/>
    <s v="TensorFlow, PyTorch"/>
    <x v="0"/>
  </r>
  <r>
    <x v="1"/>
    <x v="3"/>
    <x v="1"/>
    <x v="3"/>
    <n v="65167"/>
    <s v="Pandas, PyTorch, AWS"/>
    <s v="FastAPI"/>
    <x v="0"/>
  </r>
  <r>
    <x v="0"/>
    <x v="3"/>
    <x v="2"/>
    <x v="1"/>
    <n v="90825.5"/>
    <s v="Pandas, PyTorch, CUDA, Power BI, Flask"/>
    <s v="FastAPI, BigQuery, Scikit-learn"/>
    <x v="0"/>
  </r>
  <r>
    <x v="3"/>
    <x v="5"/>
    <x v="2"/>
    <x v="1"/>
    <n v="126804"/>
    <s v="Pandas, PyTorch, Power BI, FastAPI, TensorFlow"/>
    <s v="PyTorch, FastAPI, LangChain"/>
    <x v="2"/>
  </r>
  <r>
    <x v="1"/>
    <x v="3"/>
    <x v="1"/>
    <x v="3"/>
    <n v="95606.5"/>
    <s v="Pandas, R, AWS, PyTorch"/>
    <s v="LangChain"/>
    <x v="2"/>
  </r>
  <r>
    <x v="6"/>
    <x v="3"/>
    <x v="2"/>
    <x v="0"/>
    <n v="151403.5"/>
    <s v="Pandas, R, AWS, TensorFlow, NumPy, Reinforcement Learning"/>
    <s v="FastAPI, TensorFlow"/>
    <x v="0"/>
  </r>
  <r>
    <x v="1"/>
    <x v="5"/>
    <x v="1"/>
    <x v="3"/>
    <n v="158743"/>
    <s v="Pandas, R, FastAPI, AWS, MLflow, Python"/>
    <s v="LangChain, FastAPI"/>
    <x v="0"/>
  </r>
  <r>
    <x v="2"/>
    <x v="1"/>
    <x v="2"/>
    <x v="3"/>
    <n v="107741"/>
    <s v="Pandas, R, LangChain"/>
    <s v="LangChain, PyTorch"/>
    <x v="1"/>
  </r>
  <r>
    <x v="3"/>
    <x v="4"/>
    <x v="2"/>
    <x v="0"/>
    <n v="155547"/>
    <s v="Pandas, Reinforcement Learning, FastAPI"/>
    <s v="Scikit-learn"/>
    <x v="1"/>
  </r>
  <r>
    <x v="3"/>
    <x v="0"/>
    <x v="1"/>
    <x v="1"/>
    <n v="111299.5"/>
    <s v="Pandas, Reinforcement Learning, FastAPI, Power BI"/>
    <s v="FastAPI"/>
    <x v="0"/>
  </r>
  <r>
    <x v="4"/>
    <x v="3"/>
    <x v="0"/>
    <x v="0"/>
    <n v="168636.5"/>
    <s v="Pandas, Reinforcement Learning, GCP, Hugging Face"/>
    <s v="MLflow, PyTorch, TensorFlow"/>
    <x v="2"/>
  </r>
  <r>
    <x v="6"/>
    <x v="7"/>
    <x v="2"/>
    <x v="1"/>
    <n v="180039"/>
    <s v="Pandas, Reinforcement Learning, NumPy, TensorFlow, Keras, CUDA"/>
    <s v="FastAPI, TensorFlow"/>
    <x v="1"/>
  </r>
  <r>
    <x v="6"/>
    <x v="7"/>
    <x v="0"/>
    <x v="0"/>
    <n v="81577.5"/>
    <s v="Pandas, Reinforcement Learning, TensorFlow"/>
    <s v="Scikit-learn"/>
    <x v="1"/>
  </r>
  <r>
    <x v="3"/>
    <x v="6"/>
    <x v="0"/>
    <x v="2"/>
    <n v="123220"/>
    <s v="Pandas, Scikit-learn, Excel, TensorFlow, GCP"/>
    <s v="MLflow, LangChain, KDB+"/>
    <x v="0"/>
  </r>
  <r>
    <x v="4"/>
    <x v="2"/>
    <x v="1"/>
    <x v="3"/>
    <n v="181105.5"/>
    <s v="Pandas, Scikit-learn, NumPy"/>
    <s v="FastAPI"/>
    <x v="0"/>
  </r>
  <r>
    <x v="4"/>
    <x v="0"/>
    <x v="1"/>
    <x v="3"/>
    <n v="181452"/>
    <s v="Pandas, SQL, CUDA, Power BI, AWS"/>
    <s v="PyTorch, BigQuery, TensorFlow"/>
    <x v="0"/>
  </r>
  <r>
    <x v="4"/>
    <x v="7"/>
    <x v="1"/>
    <x v="0"/>
    <n v="103970"/>
    <s v="Pandas, SQL, Power BI, Python, Reinforcement Learning"/>
    <s v="PyTorch, TensorFlow, Scikit-learn"/>
    <x v="1"/>
  </r>
  <r>
    <x v="4"/>
    <x v="3"/>
    <x v="1"/>
    <x v="2"/>
    <n v="149303"/>
    <s v="Pandas, TensorFlow, AWS"/>
    <s v="BigQuery, TensorFlow, PyTorch"/>
    <x v="2"/>
  </r>
  <r>
    <x v="2"/>
    <x v="6"/>
    <x v="2"/>
    <x v="1"/>
    <n v="158420.5"/>
    <s v="Pandas, TensorFlow, Hugging Face"/>
    <s v="TensorFlow"/>
    <x v="0"/>
  </r>
  <r>
    <x v="3"/>
    <x v="3"/>
    <x v="2"/>
    <x v="3"/>
    <n v="156624.5"/>
    <s v="Pandas, TensorFlow, Keras, Python, Excel"/>
    <s v="BigQuery"/>
    <x v="1"/>
  </r>
  <r>
    <x v="1"/>
    <x v="7"/>
    <x v="0"/>
    <x v="2"/>
    <n v="87973"/>
    <s v="Pandas, TensorFlow, NumPy"/>
    <s v="TensorFlow, FastAPI, LangChain"/>
    <x v="1"/>
  </r>
  <r>
    <x v="3"/>
    <x v="3"/>
    <x v="2"/>
    <x v="3"/>
    <n v="88231"/>
    <s v="Pandas, TensorFlow, PyTorch, Power BI, GCP"/>
    <s v="Scikit-learn, TensorFlow, PyTorch"/>
    <x v="0"/>
  </r>
  <r>
    <x v="3"/>
    <x v="3"/>
    <x v="2"/>
    <x v="3"/>
    <n v="161300"/>
    <s v="Power BI, AWS, NumPy, CUDA, MLflow"/>
    <s v="LangChain, PyTorch, MLflow"/>
    <x v="1"/>
  </r>
  <r>
    <x v="3"/>
    <x v="1"/>
    <x v="0"/>
    <x v="3"/>
    <n v="115101.5"/>
    <s v="Power BI, AWS, Python, MLflow, Excel, Reinforcement Learning"/>
    <s v="BigQuery, KDB+"/>
    <x v="1"/>
  </r>
  <r>
    <x v="6"/>
    <x v="2"/>
    <x v="2"/>
    <x v="0"/>
    <n v="149964.5"/>
    <s v="Power BI, AWS, TensorFlow, Keras, CUDA, Pandas"/>
    <s v="KDB+, Scikit-learn"/>
    <x v="1"/>
  </r>
  <r>
    <x v="4"/>
    <x v="2"/>
    <x v="2"/>
    <x v="1"/>
    <n v="176327.5"/>
    <s v="Power BI, Azure, FastAPI, LangChain, NumPy"/>
    <s v="KDB+, BigQuery"/>
    <x v="1"/>
  </r>
  <r>
    <x v="2"/>
    <x v="1"/>
    <x v="0"/>
    <x v="1"/>
    <n v="63998"/>
    <s v="Power BI, Azure, Hugging Face, Python, C++, R"/>
    <s v="LangChain, TensorFlow, MLflow"/>
    <x v="2"/>
  </r>
  <r>
    <x v="1"/>
    <x v="5"/>
    <x v="2"/>
    <x v="2"/>
    <n v="106855"/>
    <s v="Power BI, Azure, R"/>
    <s v="LangChain, Scikit-learn, FastAPI"/>
    <x v="1"/>
  </r>
  <r>
    <x v="3"/>
    <x v="4"/>
    <x v="1"/>
    <x v="0"/>
    <n v="134476.5"/>
    <s v="Power BI, Azure, Reinforcement Learning, R"/>
    <s v="MLflow, KDB+, FastAPI"/>
    <x v="1"/>
  </r>
  <r>
    <x v="3"/>
    <x v="0"/>
    <x v="1"/>
    <x v="3"/>
    <n v="134504"/>
    <s v="Power BI, Azure, SQL, C++, Hugging Face"/>
    <s v="KDB+, FastAPI, PyTorch"/>
    <x v="1"/>
  </r>
  <r>
    <x v="2"/>
    <x v="3"/>
    <x v="0"/>
    <x v="2"/>
    <n v="156088.5"/>
    <s v="Power BI, Azure, SQL, Flask, NumPy, CUDA"/>
    <s v="BigQuery, Scikit-learn"/>
    <x v="2"/>
  </r>
  <r>
    <x v="5"/>
    <x v="5"/>
    <x v="2"/>
    <x v="1"/>
    <n v="104345.5"/>
    <s v="Power BI, C++, Excel, PyTorch, Pandas"/>
    <s v="MLflow, LangChain, Scikit-learn"/>
    <x v="1"/>
  </r>
  <r>
    <x v="3"/>
    <x v="5"/>
    <x v="2"/>
    <x v="2"/>
    <n v="115330.5"/>
    <s v="Power BI, C++, Flask, Keras, Reinforcement Learning, SQL"/>
    <s v="TensorFlow"/>
    <x v="2"/>
  </r>
  <r>
    <x v="3"/>
    <x v="7"/>
    <x v="1"/>
    <x v="0"/>
    <n v="98814"/>
    <s v="Power BI, C++, NumPy"/>
    <s v="PyTorch, BigQuery"/>
    <x v="2"/>
  </r>
  <r>
    <x v="1"/>
    <x v="4"/>
    <x v="1"/>
    <x v="3"/>
    <n v="138395.5"/>
    <s v="Power BI, C++, NumPy"/>
    <s v="LangChain, Scikit-learn, PyTorch"/>
    <x v="1"/>
  </r>
  <r>
    <x v="0"/>
    <x v="2"/>
    <x v="1"/>
    <x v="1"/>
    <n v="170093.5"/>
    <s v="Power BI, C++, R"/>
    <s v="BigQuery"/>
    <x v="0"/>
  </r>
  <r>
    <x v="1"/>
    <x v="1"/>
    <x v="0"/>
    <x v="2"/>
    <n v="92758"/>
    <s v="Power BI, CUDA, AWS"/>
    <s v="Scikit-learn, BigQuery, KDB+"/>
    <x v="1"/>
  </r>
  <r>
    <x v="2"/>
    <x v="2"/>
    <x v="2"/>
    <x v="3"/>
    <n v="98026"/>
    <s v="Power BI, CUDA, C++, Pandas, SQL, AWS"/>
    <s v="FastAPI, KDB+, Scikit-learn"/>
    <x v="2"/>
  </r>
  <r>
    <x v="6"/>
    <x v="3"/>
    <x v="1"/>
    <x v="1"/>
    <n v="82880"/>
    <s v="Power BI, CUDA, Excel"/>
    <s v="BigQuery, MLflow"/>
    <x v="0"/>
  </r>
  <r>
    <x v="6"/>
    <x v="3"/>
    <x v="0"/>
    <x v="0"/>
    <n v="71421"/>
    <s v="Power BI, CUDA, Pandas"/>
    <s v="LangChain, BigQuery, TensorFlow"/>
    <x v="1"/>
  </r>
  <r>
    <x v="1"/>
    <x v="1"/>
    <x v="1"/>
    <x v="0"/>
    <n v="108522.5"/>
    <s v="Power BI, CUDA, PyTorch, SQL, Excel, GCP"/>
    <s v="TensorFlow, MLflow"/>
    <x v="0"/>
  </r>
  <r>
    <x v="4"/>
    <x v="5"/>
    <x v="1"/>
    <x v="1"/>
    <n v="163805.5"/>
    <s v="Power BI, CUDA, Scikit-learn"/>
    <s v="BigQuery, LangChain, FastAPI"/>
    <x v="1"/>
  </r>
  <r>
    <x v="1"/>
    <x v="7"/>
    <x v="0"/>
    <x v="2"/>
    <n v="111332.5"/>
    <s v="Power BI, CUDA, Scikit-learn"/>
    <s v="MLflow, PyTorch"/>
    <x v="0"/>
  </r>
  <r>
    <x v="0"/>
    <x v="1"/>
    <x v="0"/>
    <x v="0"/>
    <n v="125098"/>
    <s v="Power BI, CUDA, TensorFlow"/>
    <s v="FastAPI"/>
    <x v="2"/>
  </r>
  <r>
    <x v="2"/>
    <x v="5"/>
    <x v="0"/>
    <x v="1"/>
    <n v="149314"/>
    <s v="Power BI, Excel, Azure, Keras, C++"/>
    <s v="TensorFlow, LangChain"/>
    <x v="2"/>
  </r>
  <r>
    <x v="2"/>
    <x v="3"/>
    <x v="1"/>
    <x v="2"/>
    <n v="101113.5"/>
    <s v="Power BI, Excel, GCP"/>
    <s v="MLflow"/>
    <x v="1"/>
  </r>
  <r>
    <x v="1"/>
    <x v="2"/>
    <x v="1"/>
    <x v="0"/>
    <n v="155592.5"/>
    <s v="Power BI, Excel, Scikit-learn, Hugging Face, FastAPI"/>
    <s v="LangChain"/>
    <x v="0"/>
  </r>
  <r>
    <x v="2"/>
    <x v="3"/>
    <x v="0"/>
    <x v="3"/>
    <n v="128378"/>
    <s v="Power BI, Excel, SQL, AWS, Azure"/>
    <s v="FastAPI, MLflow, KDB+"/>
    <x v="0"/>
  </r>
  <r>
    <x v="2"/>
    <x v="4"/>
    <x v="0"/>
    <x v="3"/>
    <n v="104384"/>
    <s v="Power BI, FastAPI, Azure, MLflow, CUDA"/>
    <s v="KDB+, Scikit-learn, FastAPI"/>
    <x v="1"/>
  </r>
  <r>
    <x v="0"/>
    <x v="7"/>
    <x v="1"/>
    <x v="1"/>
    <n v="144219"/>
    <s v="Power BI, FastAPI, Reinforcement Learning, SQL, Keras, AWS"/>
    <s v="TensorFlow, Scikit-learn, MLflow"/>
    <x v="2"/>
  </r>
  <r>
    <x v="5"/>
    <x v="2"/>
    <x v="2"/>
    <x v="2"/>
    <n v="80304"/>
    <s v="Power BI, Flask, GCP, CUDA"/>
    <s v="FastAPI"/>
    <x v="2"/>
  </r>
  <r>
    <x v="1"/>
    <x v="3"/>
    <x v="2"/>
    <x v="1"/>
    <n v="111709"/>
    <s v="Power BI, Flask, LangChain, Excel, MLflow"/>
    <s v="Scikit-learn, BigQuery, KDB+"/>
    <x v="2"/>
  </r>
  <r>
    <x v="2"/>
    <x v="2"/>
    <x v="0"/>
    <x v="2"/>
    <n v="109295"/>
    <s v="Power BI, GCP, FastAPI, C++, Pandas, SQL"/>
    <s v="LangChain, KDB+, FastAPI"/>
    <x v="2"/>
  </r>
  <r>
    <x v="6"/>
    <x v="3"/>
    <x v="0"/>
    <x v="2"/>
    <n v="152812.5"/>
    <s v="Power BI, GCP, Hugging Face"/>
    <s v="Scikit-learn, BigQuery"/>
    <x v="0"/>
  </r>
  <r>
    <x v="4"/>
    <x v="5"/>
    <x v="0"/>
    <x v="3"/>
    <n v="149394.5"/>
    <s v="Power BI, GCP, MLflow, CUDA, Flask"/>
    <s v="KDB+, PyTorch"/>
    <x v="0"/>
  </r>
  <r>
    <x v="5"/>
    <x v="3"/>
    <x v="1"/>
    <x v="3"/>
    <n v="76397.5"/>
    <s v="Power BI, GCP, NumPy"/>
    <s v="LangChain, MLflow"/>
    <x v="1"/>
  </r>
  <r>
    <x v="1"/>
    <x v="0"/>
    <x v="0"/>
    <x v="1"/>
    <n v="169421.5"/>
    <s v="Power BI, GCP, Reinforcement Learning"/>
    <s v="FastAPI"/>
    <x v="2"/>
  </r>
  <r>
    <x v="2"/>
    <x v="0"/>
    <x v="1"/>
    <x v="0"/>
    <n v="151408.5"/>
    <s v="Power BI, GCP, Scikit-learn"/>
    <s v="TensorFlow"/>
    <x v="1"/>
  </r>
  <r>
    <x v="0"/>
    <x v="3"/>
    <x v="0"/>
    <x v="0"/>
    <n v="67315.5"/>
    <s v="Power BI, GCP, Scikit-learn"/>
    <s v="KDB+, LangChain"/>
    <x v="2"/>
  </r>
  <r>
    <x v="5"/>
    <x v="2"/>
    <x v="0"/>
    <x v="0"/>
    <n v="159655"/>
    <s v="Power BI, GCP, TensorFlow, CUDA, MLflow"/>
    <s v="BigQuery, LangChain, Scikit-learn"/>
    <x v="0"/>
  </r>
  <r>
    <x v="0"/>
    <x v="6"/>
    <x v="2"/>
    <x v="1"/>
    <n v="127626.5"/>
    <s v="Power BI, Hugging Face, Azure, NumPy, SQL"/>
    <s v="BigQuery, PyTorch"/>
    <x v="1"/>
  </r>
  <r>
    <x v="6"/>
    <x v="4"/>
    <x v="0"/>
    <x v="0"/>
    <n v="107475"/>
    <s v="Power BI, Hugging Face, Flask, Keras, Reinforcement Learning, SQL"/>
    <s v="BigQuery"/>
    <x v="1"/>
  </r>
  <r>
    <x v="1"/>
    <x v="4"/>
    <x v="1"/>
    <x v="1"/>
    <n v="153824"/>
    <s v="Power BI, Hugging Face, GCP"/>
    <s v="Scikit-learn"/>
    <x v="2"/>
  </r>
  <r>
    <x v="1"/>
    <x v="2"/>
    <x v="2"/>
    <x v="0"/>
    <n v="110280.5"/>
    <s v="Power BI, Hugging Face, Keras"/>
    <s v="LangChain, TensorFlow, MLflow"/>
    <x v="2"/>
  </r>
  <r>
    <x v="2"/>
    <x v="5"/>
    <x v="0"/>
    <x v="1"/>
    <n v="165701"/>
    <s v="Power BI, Hugging Face, Keras, Reinforcement Learning, TensorFlow, Excel"/>
    <s v="LangChain"/>
    <x v="1"/>
  </r>
  <r>
    <x v="3"/>
    <x v="4"/>
    <x v="0"/>
    <x v="0"/>
    <n v="109527"/>
    <s v="Power BI, Hugging Face, NumPy, R, PyTorch, Keras"/>
    <s v="KDB+"/>
    <x v="1"/>
  </r>
  <r>
    <x v="2"/>
    <x v="0"/>
    <x v="2"/>
    <x v="3"/>
    <n v="119568"/>
    <s v="Power BI, Hugging Face, TensorFlow"/>
    <s v="MLflow, Scikit-learn"/>
    <x v="0"/>
  </r>
  <r>
    <x v="0"/>
    <x v="5"/>
    <x v="2"/>
    <x v="2"/>
    <n v="125651"/>
    <s v="Power BI, Keras, GCP, FastAPI"/>
    <s v="TensorFlow"/>
    <x v="2"/>
  </r>
  <r>
    <x v="1"/>
    <x v="5"/>
    <x v="1"/>
    <x v="1"/>
    <n v="145712"/>
    <s v="Power BI, Keras, Pandas, Excel, NumPy, PyTorch"/>
    <s v="TensorFlow, Scikit-learn"/>
    <x v="2"/>
  </r>
  <r>
    <x v="2"/>
    <x v="1"/>
    <x v="1"/>
    <x v="1"/>
    <n v="110756.5"/>
    <s v="Power BI, Keras, TensorFlow"/>
    <s v="LangChain, Scikit-learn"/>
    <x v="1"/>
  </r>
  <r>
    <x v="4"/>
    <x v="2"/>
    <x v="0"/>
    <x v="2"/>
    <n v="126876.5"/>
    <s v="Power BI, Keras, TensorFlow, FastAPI"/>
    <s v="MLflow, TensorFlow, FastAPI"/>
    <x v="2"/>
  </r>
  <r>
    <x v="0"/>
    <x v="2"/>
    <x v="1"/>
    <x v="3"/>
    <n v="156797"/>
    <s v="Power BI, LangChain, AWS, Hugging Face, Flask"/>
    <s v="KDB+, LangChain, MLflow"/>
    <x v="1"/>
  </r>
  <r>
    <x v="5"/>
    <x v="4"/>
    <x v="2"/>
    <x v="1"/>
    <n v="150454"/>
    <s v="Power BI, LangChain, FastAPI, Flask, SQL, Scikit-learn"/>
    <s v="BigQuery, MLflow, TensorFlow"/>
    <x v="0"/>
  </r>
  <r>
    <x v="0"/>
    <x v="1"/>
    <x v="1"/>
    <x v="2"/>
    <n v="182426.5"/>
    <s v="Power BI, LangChain, Flask, Excel, SQL, CUDA"/>
    <s v="BigQuery, PyTorch, TensorFlow"/>
    <x v="0"/>
  </r>
  <r>
    <x v="1"/>
    <x v="1"/>
    <x v="1"/>
    <x v="0"/>
    <n v="86092"/>
    <s v="Power BI, LangChain, Python, Reinforcement Learning, TensorFlow, PyTorch"/>
    <s v="Scikit-learn, MLflow"/>
    <x v="2"/>
  </r>
  <r>
    <x v="1"/>
    <x v="7"/>
    <x v="2"/>
    <x v="3"/>
    <n v="136295.5"/>
    <s v="Power BI, MLflow, FastAPI, R, TensorFlow, NumPy"/>
    <s v="TensorFlow, FastAPI, LangChain"/>
    <x v="0"/>
  </r>
  <r>
    <x v="3"/>
    <x v="7"/>
    <x v="1"/>
    <x v="3"/>
    <n v="163893.5"/>
    <s v="Power BI, MLflow, NumPy, Pandas"/>
    <s v="Scikit-learn, PyTorch, LangChain"/>
    <x v="0"/>
  </r>
  <r>
    <x v="2"/>
    <x v="3"/>
    <x v="0"/>
    <x v="3"/>
    <n v="119570.5"/>
    <s v="Power BI, MLflow, Python, PyTorch, Scikit-learn"/>
    <s v="KDB+"/>
    <x v="0"/>
  </r>
  <r>
    <x v="6"/>
    <x v="3"/>
    <x v="0"/>
    <x v="3"/>
    <n v="160895.5"/>
    <s v="Power BI, MLflow, Reinforcement Learning"/>
    <s v="KDB+, PyTorch"/>
    <x v="2"/>
  </r>
  <r>
    <x v="5"/>
    <x v="7"/>
    <x v="2"/>
    <x v="3"/>
    <n v="164311.5"/>
    <s v="Power BI, MLflow, SQL, AWS"/>
    <s v="KDB+, LangChain, BigQuery"/>
    <x v="1"/>
  </r>
  <r>
    <x v="0"/>
    <x v="3"/>
    <x v="1"/>
    <x v="2"/>
    <n v="101885"/>
    <s v="Power BI, MLflow, TensorFlow, AWS, Hugging Face"/>
    <s v="FastAPI"/>
    <x v="1"/>
  </r>
  <r>
    <x v="1"/>
    <x v="5"/>
    <x v="1"/>
    <x v="3"/>
    <n v="75864.5"/>
    <s v="Power BI, NumPy, GCP"/>
    <s v="KDB+"/>
    <x v="1"/>
  </r>
  <r>
    <x v="6"/>
    <x v="3"/>
    <x v="1"/>
    <x v="1"/>
    <n v="123360.5"/>
    <s v="Power BI, NumPy, LangChain, CUDA, Reinforcement Learning, Excel"/>
    <s v="Scikit-learn, BigQuery"/>
    <x v="2"/>
  </r>
  <r>
    <x v="2"/>
    <x v="3"/>
    <x v="0"/>
    <x v="3"/>
    <n v="72767.5"/>
    <s v="Power BI, NumPy, R, FastAPI, Keras"/>
    <s v="TensorFlow, LangChain"/>
    <x v="2"/>
  </r>
  <r>
    <x v="5"/>
    <x v="6"/>
    <x v="1"/>
    <x v="3"/>
    <n v="152158.5"/>
    <s v="Power BI, NumPy, TensorFlow, Flask, SQL"/>
    <s v="BigQuery, FastAPI"/>
    <x v="0"/>
  </r>
  <r>
    <x v="2"/>
    <x v="5"/>
    <x v="2"/>
    <x v="2"/>
    <n v="188156.5"/>
    <s v="Power BI, Pandas, CUDA"/>
    <s v="TensorFlow"/>
    <x v="2"/>
  </r>
  <r>
    <x v="6"/>
    <x v="3"/>
    <x v="2"/>
    <x v="3"/>
    <n v="92000"/>
    <s v="Power BI, Pandas, CUDA"/>
    <s v="FastAPI"/>
    <x v="2"/>
  </r>
  <r>
    <x v="3"/>
    <x v="2"/>
    <x v="1"/>
    <x v="2"/>
    <n v="111782.5"/>
    <s v="Power BI, Pandas, Flask"/>
    <s v="Scikit-learn, KDB+, FastAPI"/>
    <x v="2"/>
  </r>
  <r>
    <x v="6"/>
    <x v="3"/>
    <x v="0"/>
    <x v="1"/>
    <n v="80571.5"/>
    <s v="Power BI, Pandas, GCP, Hugging Face, R"/>
    <s v="TensorFlow, PyTorch"/>
    <x v="1"/>
  </r>
  <r>
    <x v="4"/>
    <x v="4"/>
    <x v="0"/>
    <x v="0"/>
    <n v="75687.5"/>
    <s v="Power BI, Pandas, Hugging Face, PyTorch"/>
    <s v="BigQuery"/>
    <x v="2"/>
  </r>
  <r>
    <x v="1"/>
    <x v="5"/>
    <x v="2"/>
    <x v="3"/>
    <n v="142676.5"/>
    <s v="Power BI, Pandas, Python, Keras, NumPy, Scikit-learn"/>
    <s v="PyTorch"/>
    <x v="2"/>
  </r>
  <r>
    <x v="4"/>
    <x v="5"/>
    <x v="2"/>
    <x v="3"/>
    <n v="79460"/>
    <s v="Power BI, Python, GCP, C++"/>
    <s v="Scikit-learn, FastAPI, TensorFlow"/>
    <x v="2"/>
  </r>
  <r>
    <x v="3"/>
    <x v="0"/>
    <x v="0"/>
    <x v="2"/>
    <n v="145244"/>
    <s v="Power BI, Python, GCP, MLflow"/>
    <s v="BigQuery, KDB+, MLflow"/>
    <x v="2"/>
  </r>
  <r>
    <x v="0"/>
    <x v="3"/>
    <x v="0"/>
    <x v="3"/>
    <n v="88779.5"/>
    <s v="Power BI, Python, Pandas, AWS"/>
    <s v="Scikit-learn, PyTorch, BigQuery"/>
    <x v="0"/>
  </r>
  <r>
    <x v="5"/>
    <x v="7"/>
    <x v="0"/>
    <x v="3"/>
    <n v="99836.5"/>
    <s v="Power BI, Python, Scikit-learn, R, Pandas"/>
    <s v="BigQuery, TensorFlow"/>
    <x v="1"/>
  </r>
  <r>
    <x v="4"/>
    <x v="3"/>
    <x v="0"/>
    <x v="0"/>
    <n v="123785"/>
    <s v="Power BI, PyTorch, GCP, CUDA, Keras, Scikit-learn"/>
    <s v="FastAPI, Scikit-learn, LangChain"/>
    <x v="1"/>
  </r>
  <r>
    <x v="4"/>
    <x v="7"/>
    <x v="2"/>
    <x v="3"/>
    <n v="60307.5"/>
    <s v="Power BI, R, C++, TensorFlow, Python"/>
    <s v="Scikit-learn"/>
    <x v="1"/>
  </r>
  <r>
    <x v="0"/>
    <x v="5"/>
    <x v="0"/>
    <x v="3"/>
    <n v="139391.5"/>
    <s v="Power BI, R, GCP"/>
    <s v="PyTorch"/>
    <x v="1"/>
  </r>
  <r>
    <x v="3"/>
    <x v="3"/>
    <x v="0"/>
    <x v="3"/>
    <n v="111235.5"/>
    <s v="Power BI, R, LangChain, C++"/>
    <s v="BigQuery, KDB+"/>
    <x v="1"/>
  </r>
  <r>
    <x v="0"/>
    <x v="6"/>
    <x v="0"/>
    <x v="1"/>
    <n v="165585"/>
    <s v="Power BI, R, NumPy"/>
    <s v="PyTorch, KDB+, BigQuery"/>
    <x v="1"/>
  </r>
  <r>
    <x v="2"/>
    <x v="0"/>
    <x v="0"/>
    <x v="0"/>
    <n v="140450.5"/>
    <s v="Power BI, R, Python, C++, SQL"/>
    <s v="KDB+"/>
    <x v="2"/>
  </r>
  <r>
    <x v="0"/>
    <x v="6"/>
    <x v="2"/>
    <x v="0"/>
    <n v="158679"/>
    <s v="Power BI, R, Scikit-learn"/>
    <s v="TensorFlow, MLflow, Scikit-learn"/>
    <x v="2"/>
  </r>
  <r>
    <x v="4"/>
    <x v="2"/>
    <x v="0"/>
    <x v="1"/>
    <n v="162491.5"/>
    <s v="Power BI, Reinforcement Learning, LangChain, SQL, Excel, Scikit-learn"/>
    <s v="TensorFlow, PyTorch, MLflow"/>
    <x v="0"/>
  </r>
  <r>
    <x v="1"/>
    <x v="0"/>
    <x v="2"/>
    <x v="0"/>
    <n v="153218.5"/>
    <s v="Power BI, Reinforcement Learning, R, TensorFlow, GCP, Python"/>
    <s v="MLflow, KDB+, PyTorch"/>
    <x v="0"/>
  </r>
  <r>
    <x v="0"/>
    <x v="0"/>
    <x v="1"/>
    <x v="0"/>
    <n v="187241.5"/>
    <s v="Power BI, Reinforcement Learning, TensorFlow, CUDA"/>
    <s v="LangChain, FastAPI"/>
    <x v="0"/>
  </r>
  <r>
    <x v="3"/>
    <x v="0"/>
    <x v="1"/>
    <x v="0"/>
    <n v="90220"/>
    <s v="Power BI, Scikit-learn, Excel"/>
    <s v="BigQuery, TensorFlow"/>
    <x v="2"/>
  </r>
  <r>
    <x v="4"/>
    <x v="3"/>
    <x v="1"/>
    <x v="3"/>
    <n v="111778"/>
    <s v="Power BI, Scikit-learn, Keras, TensorFlow, MLflow, SQL"/>
    <s v="TensorFlow, BigQuery, FastAPI"/>
    <x v="2"/>
  </r>
  <r>
    <x v="1"/>
    <x v="3"/>
    <x v="2"/>
    <x v="0"/>
    <n v="170132"/>
    <s v="Power BI, Scikit-learn, R"/>
    <s v="LangChain, Scikit-learn, PyTorch"/>
    <x v="2"/>
  </r>
  <r>
    <x v="0"/>
    <x v="7"/>
    <x v="0"/>
    <x v="2"/>
    <n v="88446.5"/>
    <s v="Power BI, Scikit-learn, R, Pandas"/>
    <s v="FastAPI"/>
    <x v="0"/>
  </r>
  <r>
    <x v="6"/>
    <x v="2"/>
    <x v="1"/>
    <x v="1"/>
    <n v="160519"/>
    <s v="Power BI, Scikit-learn, R, Python, Keras"/>
    <s v="TensorFlow, KDB+, MLflow"/>
    <x v="2"/>
  </r>
  <r>
    <x v="3"/>
    <x v="3"/>
    <x v="0"/>
    <x v="3"/>
    <n v="110114.5"/>
    <s v="Power BI, SQL, Python, TensorFlow"/>
    <s v="LangChain"/>
    <x v="1"/>
  </r>
  <r>
    <x v="0"/>
    <x v="7"/>
    <x v="2"/>
    <x v="0"/>
    <n v="122711"/>
    <s v="Power BI, SQL, Reinforcement Learning, TensorFlow"/>
    <s v="LangChain, MLflow, FastAPI"/>
    <x v="0"/>
  </r>
  <r>
    <x v="4"/>
    <x v="7"/>
    <x v="1"/>
    <x v="0"/>
    <n v="74838.5"/>
    <s v="Power BI, SQL, TensorFlow"/>
    <s v="Scikit-learn"/>
    <x v="1"/>
  </r>
  <r>
    <x v="5"/>
    <x v="5"/>
    <x v="0"/>
    <x v="0"/>
    <n v="117453.5"/>
    <s v="Power BI, TensorFlow, Azure, CUDA, GCP, Pandas"/>
    <s v="TensorFlow, FastAPI"/>
    <x v="0"/>
  </r>
  <r>
    <x v="6"/>
    <x v="5"/>
    <x v="1"/>
    <x v="3"/>
    <n v="119385.5"/>
    <s v="Power BI, TensorFlow, Azure, PyTorch, NumPy"/>
    <s v="TensorFlow"/>
    <x v="0"/>
  </r>
  <r>
    <x v="1"/>
    <x v="3"/>
    <x v="0"/>
    <x v="3"/>
    <n v="186466"/>
    <s v="Power BI, TensorFlow, Keras"/>
    <s v="FastAPI"/>
    <x v="2"/>
  </r>
  <r>
    <x v="2"/>
    <x v="2"/>
    <x v="2"/>
    <x v="2"/>
    <n v="59185"/>
    <s v="Power BI, TensorFlow, NumPy, MLflow"/>
    <s v="FastAPI"/>
    <x v="0"/>
  </r>
  <r>
    <x v="3"/>
    <x v="1"/>
    <x v="2"/>
    <x v="1"/>
    <n v="155566.5"/>
    <s v="Power BI, TensorFlow, Python, Azure, C++, SQL"/>
    <s v="FastAPI, MLflow, LangChain"/>
    <x v="1"/>
  </r>
  <r>
    <x v="2"/>
    <x v="3"/>
    <x v="0"/>
    <x v="3"/>
    <n v="71298.5"/>
    <s v="Python, AWS, FastAPI"/>
    <s v="FastAPI"/>
    <x v="1"/>
  </r>
  <r>
    <x v="5"/>
    <x v="2"/>
    <x v="2"/>
    <x v="2"/>
    <n v="149956"/>
    <s v="Python, AWS, MLflow, C++, R"/>
    <s v="FastAPI"/>
    <x v="1"/>
  </r>
  <r>
    <x v="3"/>
    <x v="2"/>
    <x v="1"/>
    <x v="0"/>
    <n v="54889.5"/>
    <s v="Python, AWS, NumPy, Power BI, Hugging Face"/>
    <s v="FastAPI, LangChain"/>
    <x v="2"/>
  </r>
  <r>
    <x v="6"/>
    <x v="7"/>
    <x v="1"/>
    <x v="3"/>
    <n v="173480.5"/>
    <s v="Python, AWS, PyTorch, NumPy"/>
    <s v="MLflow"/>
    <x v="2"/>
  </r>
  <r>
    <x v="0"/>
    <x v="1"/>
    <x v="2"/>
    <x v="3"/>
    <n v="77083"/>
    <s v="Python, AWS, R, Azure, Scikit-learn"/>
    <s v="LangChain"/>
    <x v="2"/>
  </r>
  <r>
    <x v="3"/>
    <x v="4"/>
    <x v="1"/>
    <x v="0"/>
    <n v="98151.5"/>
    <s v="Python, AWS, R, Pandas, Power BI, TensorFlow"/>
    <s v="FastAPI, Scikit-learn, LangChain"/>
    <x v="0"/>
  </r>
  <r>
    <x v="1"/>
    <x v="3"/>
    <x v="1"/>
    <x v="1"/>
    <n v="87857"/>
    <s v="Python, Azure, CUDA, NumPy, Power BI"/>
    <s v="FastAPI, KDB+"/>
    <x v="2"/>
  </r>
  <r>
    <x v="0"/>
    <x v="5"/>
    <x v="2"/>
    <x v="0"/>
    <n v="83045.5"/>
    <s v="Python, Azure, Power BI, Pandas, C++, FastAPI"/>
    <s v="Scikit-learn, MLflow"/>
    <x v="0"/>
  </r>
  <r>
    <x v="5"/>
    <x v="6"/>
    <x v="0"/>
    <x v="2"/>
    <n v="89313"/>
    <s v="Python, Azure, R, TensorFlow, GCP"/>
    <s v="MLflow, BigQuery, Scikit-learn"/>
    <x v="0"/>
  </r>
  <r>
    <x v="1"/>
    <x v="0"/>
    <x v="1"/>
    <x v="2"/>
    <n v="167293"/>
    <s v="Python, Azure, Reinforcement Learning, LangChain, AWS, Hugging Face"/>
    <s v="LangChain, TensorFlow, KDB+"/>
    <x v="0"/>
  </r>
  <r>
    <x v="2"/>
    <x v="4"/>
    <x v="0"/>
    <x v="1"/>
    <n v="114291"/>
    <s v="Python, C++, Azure, MLflow, Excel, CUDA"/>
    <s v="MLflow, FastAPI"/>
    <x v="0"/>
  </r>
  <r>
    <x v="5"/>
    <x v="7"/>
    <x v="0"/>
    <x v="0"/>
    <n v="92981"/>
    <s v="Python, C++, CUDA, Excel, SQL, TensorFlow"/>
    <s v="LangChain, KDB+, BigQuery"/>
    <x v="2"/>
  </r>
  <r>
    <x v="3"/>
    <x v="6"/>
    <x v="2"/>
    <x v="0"/>
    <n v="128032"/>
    <s v="Python, C++, NumPy, Reinforcement Learning, GCP"/>
    <s v="MLflow, TensorFlow"/>
    <x v="2"/>
  </r>
  <r>
    <x v="1"/>
    <x v="1"/>
    <x v="1"/>
    <x v="3"/>
    <n v="151426.5"/>
    <s v="Python, Excel, Azure, PyTorch"/>
    <s v="KDB+"/>
    <x v="2"/>
  </r>
  <r>
    <x v="6"/>
    <x v="4"/>
    <x v="1"/>
    <x v="2"/>
    <n v="133737.5"/>
    <s v="Python, Excel, FastAPI, GCP, C++, PyTorch"/>
    <s v="MLflow, LangChain, BigQuery"/>
    <x v="1"/>
  </r>
  <r>
    <x v="1"/>
    <x v="1"/>
    <x v="2"/>
    <x v="0"/>
    <n v="72866"/>
    <s v="Python, Excel, FastAPI, PyTorch, LangChain, GCP"/>
    <s v="BigQuery, MLflow, Scikit-learn"/>
    <x v="1"/>
  </r>
  <r>
    <x v="6"/>
    <x v="0"/>
    <x v="0"/>
    <x v="1"/>
    <n v="115405"/>
    <s v="Python, Excel, Hugging Face, CUDA, Flask"/>
    <s v="MLflow"/>
    <x v="2"/>
  </r>
  <r>
    <x v="5"/>
    <x v="1"/>
    <x v="1"/>
    <x v="1"/>
    <n v="84285.5"/>
    <s v="Python, Excel, MLflow"/>
    <s v="TensorFlow, LangChain"/>
    <x v="0"/>
  </r>
  <r>
    <x v="2"/>
    <x v="4"/>
    <x v="2"/>
    <x v="2"/>
    <n v="91347"/>
    <s v="Python, Excel, Scikit-learn, TensorFlow, R"/>
    <s v="LangChain, BigQuery, FastAPI"/>
    <x v="0"/>
  </r>
  <r>
    <x v="0"/>
    <x v="5"/>
    <x v="2"/>
    <x v="0"/>
    <n v="78521.5"/>
    <s v="Python, FastAPI, MLflow, LangChain"/>
    <s v="PyTorch"/>
    <x v="2"/>
  </r>
  <r>
    <x v="4"/>
    <x v="0"/>
    <x v="2"/>
    <x v="0"/>
    <n v="79422"/>
    <s v="Python, FastAPI, Pandas, LangChain, Hugging Face, Power BI"/>
    <s v="FastAPI"/>
    <x v="0"/>
  </r>
  <r>
    <x v="3"/>
    <x v="2"/>
    <x v="2"/>
    <x v="3"/>
    <n v="146611.5"/>
    <s v="Python, FastAPI, R"/>
    <s v="MLflow, Scikit-learn, FastAPI"/>
    <x v="1"/>
  </r>
  <r>
    <x v="5"/>
    <x v="7"/>
    <x v="0"/>
    <x v="2"/>
    <n v="88546"/>
    <s v="Python, FastAPI, Scikit-learn, Hugging Face, Power BI, Flask"/>
    <s v="LangChain"/>
    <x v="0"/>
  </r>
  <r>
    <x v="1"/>
    <x v="0"/>
    <x v="2"/>
    <x v="1"/>
    <n v="153934"/>
    <s v="Python, Flask, Azure, MLflow, Keras, Power BI"/>
    <s v="BigQuery, TensorFlow"/>
    <x v="1"/>
  </r>
  <r>
    <x v="5"/>
    <x v="2"/>
    <x v="1"/>
    <x v="1"/>
    <n v="142484.5"/>
    <s v="Python, Flask, LangChain, AWS, Keras"/>
    <s v="FastAPI, Scikit-learn, PyTorch"/>
    <x v="0"/>
  </r>
  <r>
    <x v="4"/>
    <x v="3"/>
    <x v="2"/>
    <x v="3"/>
    <n v="79584.5"/>
    <s v="Python, Flask, Scikit-learn, GCP"/>
    <s v="PyTorch, MLflow"/>
    <x v="2"/>
  </r>
  <r>
    <x v="4"/>
    <x v="6"/>
    <x v="0"/>
    <x v="0"/>
    <n v="133841"/>
    <s v="Python, GCP, NumPy"/>
    <s v="MLflow, Scikit-learn"/>
    <x v="0"/>
  </r>
  <r>
    <x v="2"/>
    <x v="4"/>
    <x v="0"/>
    <x v="2"/>
    <n v="132937.5"/>
    <s v="Python, GCP, Power BI, MLflow"/>
    <s v="BigQuery, TensorFlow, PyTorch"/>
    <x v="2"/>
  </r>
  <r>
    <x v="1"/>
    <x v="1"/>
    <x v="1"/>
    <x v="0"/>
    <n v="118072.5"/>
    <s v="Python, GCP, Scikit-learn, Pandas, PyTorch"/>
    <s v="TensorFlow"/>
    <x v="1"/>
  </r>
  <r>
    <x v="4"/>
    <x v="5"/>
    <x v="0"/>
    <x v="3"/>
    <n v="125840.5"/>
    <s v="Python, Hugging Face, Flask, Excel"/>
    <s v="MLflow, LangChain, FastAPI"/>
    <x v="1"/>
  </r>
  <r>
    <x v="4"/>
    <x v="5"/>
    <x v="1"/>
    <x v="3"/>
    <n v="75695.5"/>
    <s v="Python, Hugging Face, GCP, AWS"/>
    <s v="MLflow"/>
    <x v="0"/>
  </r>
  <r>
    <x v="4"/>
    <x v="1"/>
    <x v="0"/>
    <x v="0"/>
    <n v="133893.5"/>
    <s v="Python, Hugging Face, Keras, LangChain"/>
    <s v="KDB+"/>
    <x v="0"/>
  </r>
  <r>
    <x v="2"/>
    <x v="4"/>
    <x v="2"/>
    <x v="2"/>
    <n v="96103"/>
    <s v="Python, Hugging Face, R"/>
    <s v="MLflow"/>
    <x v="2"/>
  </r>
  <r>
    <x v="3"/>
    <x v="7"/>
    <x v="0"/>
    <x v="1"/>
    <n v="85317.5"/>
    <s v="Python, Hugging Face, Scikit-learn, GCP"/>
    <s v="MLflow, KDB+"/>
    <x v="2"/>
  </r>
  <r>
    <x v="6"/>
    <x v="5"/>
    <x v="0"/>
    <x v="3"/>
    <n v="101291.5"/>
    <s v="Python, Keras, AWS, CUDA, NumPy, R"/>
    <s v="PyTorch, FastAPI, KDB+"/>
    <x v="2"/>
  </r>
  <r>
    <x v="3"/>
    <x v="6"/>
    <x v="2"/>
    <x v="2"/>
    <n v="81691"/>
    <s v="Python, Keras, CUDA, PyTorch, MLflow, NumPy"/>
    <s v="PyTorch"/>
    <x v="1"/>
  </r>
  <r>
    <x v="0"/>
    <x v="1"/>
    <x v="0"/>
    <x v="3"/>
    <n v="126096.5"/>
    <s v="Python, Keras, Hugging Face, Flask, TensorFlow"/>
    <s v="MLflow"/>
    <x v="1"/>
  </r>
  <r>
    <x v="4"/>
    <x v="5"/>
    <x v="1"/>
    <x v="0"/>
    <n v="100950"/>
    <s v="Python, Keras, NumPy, R, Scikit-learn, PyTorch"/>
    <s v="KDB+, Scikit-learn"/>
    <x v="2"/>
  </r>
  <r>
    <x v="6"/>
    <x v="1"/>
    <x v="2"/>
    <x v="0"/>
    <n v="126039.5"/>
    <s v="Python, Keras, PyTorch"/>
    <s v="Scikit-learn"/>
    <x v="1"/>
  </r>
  <r>
    <x v="4"/>
    <x v="0"/>
    <x v="0"/>
    <x v="0"/>
    <n v="164119"/>
    <s v="Python, Keras, PyTorch, Reinforcement Learning, SQL, R"/>
    <s v="TensorFlow"/>
    <x v="2"/>
  </r>
  <r>
    <x v="2"/>
    <x v="5"/>
    <x v="2"/>
    <x v="3"/>
    <n v="101909"/>
    <s v="Python, LangChain, CUDA, C++"/>
    <s v="LangChain"/>
    <x v="1"/>
  </r>
  <r>
    <x v="1"/>
    <x v="6"/>
    <x v="1"/>
    <x v="0"/>
    <n v="97376.5"/>
    <s v="Python, LangChain, Hugging Face, Excel, Flask, Reinforcement Learning"/>
    <s v="TensorFlow, MLflow"/>
    <x v="0"/>
  </r>
  <r>
    <x v="5"/>
    <x v="4"/>
    <x v="2"/>
    <x v="0"/>
    <n v="97518"/>
    <s v="Python, LangChain, Pandas, TensorFlow"/>
    <s v="MLflow"/>
    <x v="0"/>
  </r>
  <r>
    <x v="5"/>
    <x v="1"/>
    <x v="0"/>
    <x v="1"/>
    <n v="124873.5"/>
    <s v="Python, LangChain, SQL, AWS, GCP, Power BI"/>
    <s v="TensorFlow"/>
    <x v="1"/>
  </r>
  <r>
    <x v="6"/>
    <x v="6"/>
    <x v="2"/>
    <x v="3"/>
    <n v="107029"/>
    <s v="Python, LangChain, SQL, TensorFlow, Excel"/>
    <s v="TensorFlow"/>
    <x v="0"/>
  </r>
  <r>
    <x v="1"/>
    <x v="7"/>
    <x v="0"/>
    <x v="0"/>
    <n v="99725"/>
    <s v="Python, MLflow, Azure, Reinforcement Learning"/>
    <s v="FastAPI, Scikit-learn"/>
    <x v="2"/>
  </r>
  <r>
    <x v="1"/>
    <x v="6"/>
    <x v="0"/>
    <x v="2"/>
    <n v="164636"/>
    <s v="Python, MLflow, Azure, TensorFlow, Power BI"/>
    <s v="TensorFlow"/>
    <x v="1"/>
  </r>
  <r>
    <x v="5"/>
    <x v="2"/>
    <x v="0"/>
    <x v="3"/>
    <n v="159086.5"/>
    <s v="Python, MLflow, CUDA, Excel, C++"/>
    <s v="FastAPI, BigQuery"/>
    <x v="2"/>
  </r>
  <r>
    <x v="4"/>
    <x v="7"/>
    <x v="0"/>
    <x v="3"/>
    <n v="127538"/>
    <s v="Python, MLflow, LangChain, GCP, PyTorch, Keras"/>
    <s v="PyTorch, Scikit-learn, BigQuery"/>
    <x v="0"/>
  </r>
  <r>
    <x v="2"/>
    <x v="2"/>
    <x v="1"/>
    <x v="3"/>
    <n v="164228"/>
    <s v="Python, MLflow, PyTorch, C++, GCP, Hugging Face"/>
    <s v="MLflow, TensorFlow, PyTorch"/>
    <x v="1"/>
  </r>
  <r>
    <x v="2"/>
    <x v="2"/>
    <x v="1"/>
    <x v="3"/>
    <n v="104649.5"/>
    <s v="Python, MLflow, PyTorch, FastAPI"/>
    <s v="TensorFlow, FastAPI, KDB+"/>
    <x v="0"/>
  </r>
  <r>
    <x v="5"/>
    <x v="1"/>
    <x v="2"/>
    <x v="0"/>
    <n v="165557"/>
    <s v="Python, MLflow, Reinforcement Learning, Power BI, Flask"/>
    <s v="LangChain"/>
    <x v="2"/>
  </r>
  <r>
    <x v="4"/>
    <x v="5"/>
    <x v="2"/>
    <x v="0"/>
    <n v="55346.5"/>
    <s v="Python, MLflow, SQL"/>
    <s v="Scikit-learn, MLflow, FastAPI"/>
    <x v="2"/>
  </r>
  <r>
    <x v="0"/>
    <x v="4"/>
    <x v="0"/>
    <x v="1"/>
    <n v="82120"/>
    <s v="Python, NumPy, Excel, Azure, Scikit-learn"/>
    <s v="BigQuery, PyTorch"/>
    <x v="1"/>
  </r>
  <r>
    <x v="3"/>
    <x v="5"/>
    <x v="0"/>
    <x v="0"/>
    <n v="119939"/>
    <s v="Python, NumPy, Flask, LangChain, R"/>
    <s v="BigQuery, TensorFlow"/>
    <x v="0"/>
  </r>
  <r>
    <x v="3"/>
    <x v="0"/>
    <x v="1"/>
    <x v="1"/>
    <n v="58967.5"/>
    <s v="Python, NumPy, LangChain, Excel"/>
    <s v="LangChain, PyTorch"/>
    <x v="1"/>
  </r>
  <r>
    <x v="6"/>
    <x v="6"/>
    <x v="1"/>
    <x v="2"/>
    <n v="112227"/>
    <s v="Python, Pandas, AWS, TensorFlow, SQL"/>
    <s v="KDB+, FastAPI"/>
    <x v="1"/>
  </r>
  <r>
    <x v="1"/>
    <x v="2"/>
    <x v="0"/>
    <x v="3"/>
    <n v="129042.5"/>
    <s v="Python, Pandas, C++"/>
    <s v="FastAPI, BigQuery, PyTorch"/>
    <x v="2"/>
  </r>
  <r>
    <x v="6"/>
    <x v="6"/>
    <x v="0"/>
    <x v="2"/>
    <n v="80276"/>
    <s v="Python, Pandas, Excel, TensorFlow, Azure"/>
    <s v="TensorFlow, PyTorch"/>
    <x v="0"/>
  </r>
  <r>
    <x v="4"/>
    <x v="6"/>
    <x v="0"/>
    <x v="3"/>
    <n v="56714"/>
    <s v="Python, Pandas, LangChain, PyTorch, Hugging Face"/>
    <s v="PyTorch, MLflow, Scikit-learn"/>
    <x v="2"/>
  </r>
  <r>
    <x v="1"/>
    <x v="4"/>
    <x v="0"/>
    <x v="3"/>
    <n v="144737"/>
    <s v="Python, Pandas, NumPy, MLflow"/>
    <s v="KDB+"/>
    <x v="1"/>
  </r>
  <r>
    <x v="3"/>
    <x v="3"/>
    <x v="0"/>
    <x v="1"/>
    <n v="91839"/>
    <s v="Python, Pandas, R, Flask"/>
    <s v="PyTorch, MLflow"/>
    <x v="0"/>
  </r>
  <r>
    <x v="5"/>
    <x v="0"/>
    <x v="0"/>
    <x v="2"/>
    <n v="106557.5"/>
    <s v="Python, Pandas, R, Reinforcement Learning"/>
    <s v="FastAPI, MLflow, BigQuery"/>
    <x v="2"/>
  </r>
  <r>
    <x v="3"/>
    <x v="5"/>
    <x v="0"/>
    <x v="0"/>
    <n v="122818"/>
    <s v="Python, Pandas, R, Scikit-learn"/>
    <s v="LangChain, TensorFlow, BigQuery"/>
    <x v="2"/>
  </r>
  <r>
    <x v="1"/>
    <x v="0"/>
    <x v="1"/>
    <x v="3"/>
    <n v="121501"/>
    <s v="Python, Power BI, Flask"/>
    <s v="LangChain, KDB+"/>
    <x v="2"/>
  </r>
  <r>
    <x v="0"/>
    <x v="7"/>
    <x v="0"/>
    <x v="0"/>
    <n v="86841"/>
    <s v="Python, Power BI, GCP"/>
    <s v="LangChain"/>
    <x v="1"/>
  </r>
  <r>
    <x v="6"/>
    <x v="3"/>
    <x v="2"/>
    <x v="0"/>
    <n v="96104.5"/>
    <s v="Python, Power BI, Hugging Face, AWS"/>
    <s v="LangChain, BigQuery"/>
    <x v="1"/>
  </r>
  <r>
    <x v="6"/>
    <x v="7"/>
    <x v="1"/>
    <x v="3"/>
    <n v="151538"/>
    <s v="Python, Power BI, MLflow, Hugging Face, FastAPI"/>
    <s v="TensorFlow, Scikit-learn"/>
    <x v="2"/>
  </r>
  <r>
    <x v="4"/>
    <x v="2"/>
    <x v="2"/>
    <x v="1"/>
    <n v="170122"/>
    <s v="Python, Power BI, Pandas, MLflow, Keras, Scikit-learn"/>
    <s v="MLflow, PyTorch, FastAPI"/>
    <x v="1"/>
  </r>
  <r>
    <x v="3"/>
    <x v="0"/>
    <x v="1"/>
    <x v="3"/>
    <n v="95757.5"/>
    <s v="Python, Power BI, PyTorch"/>
    <s v="MLflow"/>
    <x v="0"/>
  </r>
  <r>
    <x v="0"/>
    <x v="4"/>
    <x v="0"/>
    <x v="3"/>
    <n v="82620.5"/>
    <s v="Python, Power BI, Scikit-learn, FastAPI, Excel, SQL"/>
    <s v="PyTorch"/>
    <x v="2"/>
  </r>
  <r>
    <x v="1"/>
    <x v="1"/>
    <x v="0"/>
    <x v="1"/>
    <n v="98936"/>
    <s v="Python, PyTorch, Excel"/>
    <s v="LangChain, BigQuery, FastAPI"/>
    <x v="2"/>
  </r>
  <r>
    <x v="6"/>
    <x v="7"/>
    <x v="2"/>
    <x v="3"/>
    <n v="107283.5"/>
    <s v="Python, PyTorch, GCP, Keras, Azure, Flask"/>
    <s v="KDB+, BigQuery"/>
    <x v="2"/>
  </r>
  <r>
    <x v="4"/>
    <x v="5"/>
    <x v="2"/>
    <x v="3"/>
    <n v="182329.5"/>
    <s v="Python, PyTorch, Hugging Face, CUDA, Azure, MLflow"/>
    <s v="BigQuery, LangChain"/>
    <x v="0"/>
  </r>
  <r>
    <x v="5"/>
    <x v="6"/>
    <x v="1"/>
    <x v="2"/>
    <n v="123066"/>
    <s v="Python, PyTorch, Keras, Power BI, Reinforcement Learning"/>
    <s v="BigQuery"/>
    <x v="0"/>
  </r>
  <r>
    <x v="5"/>
    <x v="4"/>
    <x v="2"/>
    <x v="1"/>
    <n v="54613"/>
    <s v="Python, PyTorch, LangChain, Hugging Face, Power BI, Scikit-learn"/>
    <s v="LangChain, PyTorch, FastAPI"/>
    <x v="0"/>
  </r>
  <r>
    <x v="6"/>
    <x v="6"/>
    <x v="2"/>
    <x v="2"/>
    <n v="167099.5"/>
    <s v="Python, PyTorch, R, LangChain"/>
    <s v="TensorFlow"/>
    <x v="2"/>
  </r>
  <r>
    <x v="0"/>
    <x v="1"/>
    <x v="2"/>
    <x v="1"/>
    <n v="85361"/>
    <s v="Python, PyTorch, SQL, FastAPI"/>
    <s v="MLflow, FastAPI, Scikit-learn"/>
    <x v="0"/>
  </r>
  <r>
    <x v="2"/>
    <x v="6"/>
    <x v="2"/>
    <x v="1"/>
    <n v="137609"/>
    <s v="Python, R, Flask"/>
    <s v="TensorFlow, KDB+"/>
    <x v="0"/>
  </r>
  <r>
    <x v="4"/>
    <x v="1"/>
    <x v="0"/>
    <x v="2"/>
    <n v="72501"/>
    <s v="Python, R, Hugging Face, Scikit-learn, NumPy"/>
    <s v="FastAPI, LangChain"/>
    <x v="2"/>
  </r>
  <r>
    <x v="2"/>
    <x v="5"/>
    <x v="2"/>
    <x v="1"/>
    <n v="89558.5"/>
    <s v="Python, R, Reinforcement Learning, Azure"/>
    <s v="Scikit-learn, FastAPI"/>
    <x v="1"/>
  </r>
  <r>
    <x v="2"/>
    <x v="4"/>
    <x v="0"/>
    <x v="1"/>
    <n v="58912"/>
    <s v="Python, R, TensorFlow, AWS, Hugging Face, GCP"/>
    <s v="BigQuery, KDB+, MLflow"/>
    <x v="1"/>
  </r>
  <r>
    <x v="0"/>
    <x v="3"/>
    <x v="1"/>
    <x v="0"/>
    <n v="96137"/>
    <s v="Python, Reinforcement Learning, CUDA"/>
    <s v="Scikit-learn, TensorFlow"/>
    <x v="1"/>
  </r>
  <r>
    <x v="3"/>
    <x v="5"/>
    <x v="1"/>
    <x v="0"/>
    <n v="172099.5"/>
    <s v="Python, Reinforcement Learning, CUDA, Flask, Excel"/>
    <s v="BigQuery"/>
    <x v="0"/>
  </r>
  <r>
    <x v="3"/>
    <x v="0"/>
    <x v="2"/>
    <x v="2"/>
    <n v="185408"/>
    <s v="Python, Reinforcement Learning, Hugging Face"/>
    <s v="PyTorch"/>
    <x v="1"/>
  </r>
  <r>
    <x v="3"/>
    <x v="2"/>
    <x v="2"/>
    <x v="0"/>
    <n v="99766.5"/>
    <s v="Python, Reinforcement Learning, MLflow"/>
    <s v="FastAPI"/>
    <x v="1"/>
  </r>
  <r>
    <x v="6"/>
    <x v="6"/>
    <x v="2"/>
    <x v="2"/>
    <n v="71957"/>
    <s v="Python, Reinforcement Learning, PyTorch, TensorFlow, Pandas, Power BI"/>
    <s v="Scikit-learn"/>
    <x v="2"/>
  </r>
  <r>
    <x v="2"/>
    <x v="5"/>
    <x v="2"/>
    <x v="3"/>
    <n v="138980.5"/>
    <s v="Python, Scikit-learn, Pandas"/>
    <s v="TensorFlow"/>
    <x v="1"/>
  </r>
  <r>
    <x v="2"/>
    <x v="5"/>
    <x v="0"/>
    <x v="0"/>
    <n v="149552"/>
    <s v="Python, SQL, C++, FastAPI"/>
    <s v="KDB+, LangChain"/>
    <x v="0"/>
  </r>
  <r>
    <x v="2"/>
    <x v="6"/>
    <x v="2"/>
    <x v="1"/>
    <n v="177820"/>
    <s v="Python, SQL, Power BI, Scikit-learn, FastAPI"/>
    <s v="FastAPI, KDB+, LangChain"/>
    <x v="2"/>
  </r>
  <r>
    <x v="1"/>
    <x v="3"/>
    <x v="1"/>
    <x v="0"/>
    <n v="95503.5"/>
    <s v="Python, SQL, PyTorch"/>
    <s v="Scikit-learn, MLflow"/>
    <x v="0"/>
  </r>
  <r>
    <x v="2"/>
    <x v="6"/>
    <x v="0"/>
    <x v="1"/>
    <n v="56051"/>
    <s v="Python, TensorFlow, Azure, PyTorch, Power BI, Hugging Face"/>
    <s v="TensorFlow, KDB+"/>
    <x v="1"/>
  </r>
  <r>
    <x v="5"/>
    <x v="5"/>
    <x v="1"/>
    <x v="3"/>
    <n v="90615"/>
    <s v="Python, TensorFlow, GCP, R"/>
    <s v="Scikit-learn, MLflow"/>
    <x v="1"/>
  </r>
  <r>
    <x v="4"/>
    <x v="3"/>
    <x v="0"/>
    <x v="2"/>
    <n v="174957.5"/>
    <s v="Python, TensorFlow, Power BI"/>
    <s v="FastAPI, KDB+, TensorFlow"/>
    <x v="1"/>
  </r>
  <r>
    <x v="3"/>
    <x v="0"/>
    <x v="0"/>
    <x v="3"/>
    <n v="146321.5"/>
    <s v="PyTorch, AWS, Flask, Scikit-learn"/>
    <s v="BigQuery, TensorFlow"/>
    <x v="1"/>
  </r>
  <r>
    <x v="2"/>
    <x v="0"/>
    <x v="2"/>
    <x v="2"/>
    <n v="87717"/>
    <s v="PyTorch, AWS, Keras, Excel, SQL"/>
    <s v="Scikit-learn, FastAPI, PyTorch"/>
    <x v="1"/>
  </r>
  <r>
    <x v="3"/>
    <x v="6"/>
    <x v="2"/>
    <x v="0"/>
    <n v="150204"/>
    <s v="PyTorch, AWS, LangChain, Pandas, GCP"/>
    <s v="FastAPI, LangChain"/>
    <x v="1"/>
  </r>
  <r>
    <x v="6"/>
    <x v="5"/>
    <x v="0"/>
    <x v="0"/>
    <n v="75883"/>
    <s v="PyTorch, AWS, Python, Scikit-learn"/>
    <s v="BigQuery, FastAPI"/>
    <x v="1"/>
  </r>
  <r>
    <x v="6"/>
    <x v="3"/>
    <x v="1"/>
    <x v="2"/>
    <n v="139380.5"/>
    <s v="PyTorch, AWS, SQL"/>
    <s v="PyTorch, Scikit-learn"/>
    <x v="0"/>
  </r>
  <r>
    <x v="4"/>
    <x v="4"/>
    <x v="1"/>
    <x v="2"/>
    <n v="95213.5"/>
    <s v="PyTorch, AWS, SQL"/>
    <s v="FastAPI, BigQuery"/>
    <x v="1"/>
  </r>
  <r>
    <x v="6"/>
    <x v="0"/>
    <x v="0"/>
    <x v="3"/>
    <n v="136665.5"/>
    <s v="PyTorch, Azure, Flask, SQL, Power BI, TensorFlow"/>
    <s v="Scikit-learn, LangChain"/>
    <x v="2"/>
  </r>
  <r>
    <x v="5"/>
    <x v="1"/>
    <x v="1"/>
    <x v="3"/>
    <n v="69174"/>
    <s v="PyTorch, Azure, GCP, Python, AWS, Power BI"/>
    <s v="BigQuery"/>
    <x v="0"/>
  </r>
  <r>
    <x v="3"/>
    <x v="1"/>
    <x v="1"/>
    <x v="0"/>
    <n v="163536"/>
    <s v="PyTorch, Azure, LangChain, Python"/>
    <s v="Scikit-learn, MLflow"/>
    <x v="2"/>
  </r>
  <r>
    <x v="0"/>
    <x v="2"/>
    <x v="2"/>
    <x v="1"/>
    <n v="172856"/>
    <s v="PyTorch, Azure, Reinforcement Learning, TensorFlow, Pandas, FastAPI"/>
    <s v="PyTorch"/>
    <x v="2"/>
  </r>
  <r>
    <x v="6"/>
    <x v="0"/>
    <x v="1"/>
    <x v="1"/>
    <n v="142204"/>
    <s v="PyTorch, C++, CUDA, MLflow, R, NumPy"/>
    <s v="MLflow, FastAPI"/>
    <x v="2"/>
  </r>
  <r>
    <x v="5"/>
    <x v="0"/>
    <x v="2"/>
    <x v="2"/>
    <n v="91022.5"/>
    <s v="PyTorch, C++, Flask, Pandas, NumPy"/>
    <s v="MLflow, LangChain, TensorFlow"/>
    <x v="0"/>
  </r>
  <r>
    <x v="0"/>
    <x v="6"/>
    <x v="2"/>
    <x v="1"/>
    <n v="105224.5"/>
    <s v="PyTorch, C++, Python, TensorFlow, Power BI"/>
    <s v="Scikit-learn, BigQuery"/>
    <x v="2"/>
  </r>
  <r>
    <x v="5"/>
    <x v="3"/>
    <x v="1"/>
    <x v="2"/>
    <n v="177180"/>
    <s v="PyTorch, C++, R, Keras, Reinforcement Learning, Hugging Face"/>
    <s v="LangChain"/>
    <x v="2"/>
  </r>
  <r>
    <x v="1"/>
    <x v="4"/>
    <x v="0"/>
    <x v="3"/>
    <n v="90661"/>
    <s v="PyTorch, CUDA, AWS, Reinforcement Learning"/>
    <s v="MLflow, PyTorch, TensorFlow"/>
    <x v="1"/>
  </r>
  <r>
    <x v="4"/>
    <x v="6"/>
    <x v="1"/>
    <x v="0"/>
    <n v="151785.5"/>
    <s v="PyTorch, CUDA, Azure, Pandas, Flask"/>
    <s v="BigQuery"/>
    <x v="2"/>
  </r>
  <r>
    <x v="0"/>
    <x v="2"/>
    <x v="1"/>
    <x v="0"/>
    <n v="96719"/>
    <s v="PyTorch, CUDA, Hugging Face, Flask, C++"/>
    <s v="Scikit-learn"/>
    <x v="1"/>
  </r>
  <r>
    <x v="1"/>
    <x v="6"/>
    <x v="0"/>
    <x v="1"/>
    <n v="82124.5"/>
    <s v="PyTorch, CUDA, Keras"/>
    <s v="BigQuery"/>
    <x v="0"/>
  </r>
  <r>
    <x v="6"/>
    <x v="7"/>
    <x v="0"/>
    <x v="3"/>
    <n v="78558"/>
    <s v="PyTorch, CUDA, Reinforcement Learning, C++"/>
    <s v="TensorFlow, BigQuery, LangChain"/>
    <x v="1"/>
  </r>
  <r>
    <x v="2"/>
    <x v="4"/>
    <x v="1"/>
    <x v="3"/>
    <n v="138946.5"/>
    <s v="PyTorch, CUDA, TensorFlow, FastAPI, Keras"/>
    <s v="Scikit-learn"/>
    <x v="0"/>
  </r>
  <r>
    <x v="4"/>
    <x v="5"/>
    <x v="2"/>
    <x v="2"/>
    <n v="176201.5"/>
    <s v="PyTorch, Excel, CUDA, Keras"/>
    <s v="LangChain, FastAPI"/>
    <x v="1"/>
  </r>
  <r>
    <x v="4"/>
    <x v="2"/>
    <x v="1"/>
    <x v="3"/>
    <n v="94472.5"/>
    <s v="PyTorch, Excel, LangChain, Scikit-learn"/>
    <s v="TensorFlow, FastAPI, KDB+"/>
    <x v="0"/>
  </r>
  <r>
    <x v="4"/>
    <x v="6"/>
    <x v="1"/>
    <x v="3"/>
    <n v="167177"/>
    <s v="PyTorch, Excel, Pandas, MLflow, Hugging Face"/>
    <s v="LangChain, BigQuery, MLflow"/>
    <x v="0"/>
  </r>
  <r>
    <x v="0"/>
    <x v="7"/>
    <x v="0"/>
    <x v="2"/>
    <n v="129693"/>
    <s v="PyTorch, Excel, Reinforcement Learning, Scikit-learn, Azure"/>
    <s v="BigQuery, KDB+"/>
    <x v="1"/>
  </r>
  <r>
    <x v="2"/>
    <x v="0"/>
    <x v="2"/>
    <x v="0"/>
    <n v="136250"/>
    <s v="PyTorch, Excel, Scikit-learn, MLflow"/>
    <s v="MLflow, TensorFlow"/>
    <x v="1"/>
  </r>
  <r>
    <x v="3"/>
    <x v="2"/>
    <x v="0"/>
    <x v="0"/>
    <n v="119864.5"/>
    <s v="PyTorch, Excel, Scikit-learn, TensorFlow"/>
    <s v="BigQuery"/>
    <x v="1"/>
  </r>
  <r>
    <x v="0"/>
    <x v="6"/>
    <x v="2"/>
    <x v="0"/>
    <n v="97476"/>
    <s v="PyTorch, Excel, TensorFlow, Scikit-learn, Power BI"/>
    <s v="KDB+, LangChain"/>
    <x v="0"/>
  </r>
  <r>
    <x v="4"/>
    <x v="3"/>
    <x v="0"/>
    <x v="0"/>
    <n v="152302"/>
    <s v="PyTorch, FastAPI, MLflow, C++, Pandas, NumPy"/>
    <s v="MLflow, Scikit-learn"/>
    <x v="0"/>
  </r>
  <r>
    <x v="0"/>
    <x v="1"/>
    <x v="1"/>
    <x v="3"/>
    <n v="89763"/>
    <s v="PyTorch, Flask, CUDA, NumPy, AWS, SQL"/>
    <s v="Scikit-learn, PyTorch, FastAPI"/>
    <x v="0"/>
  </r>
  <r>
    <x v="4"/>
    <x v="4"/>
    <x v="0"/>
    <x v="3"/>
    <n v="101710.5"/>
    <s v="PyTorch, Flask, Reinforcement Learning, Power BI"/>
    <s v="KDB+, LangChain"/>
    <x v="0"/>
  </r>
  <r>
    <x v="3"/>
    <x v="4"/>
    <x v="1"/>
    <x v="3"/>
    <n v="105374.5"/>
    <s v="PyTorch, Flask, Scikit-learn, AWS"/>
    <s v="KDB+"/>
    <x v="0"/>
  </r>
  <r>
    <x v="5"/>
    <x v="7"/>
    <x v="0"/>
    <x v="3"/>
    <n v="119146"/>
    <s v="PyTorch, GCP, Excel, Flask"/>
    <s v="FastAPI, MLflow, PyTorch"/>
    <x v="2"/>
  </r>
  <r>
    <x v="0"/>
    <x v="2"/>
    <x v="0"/>
    <x v="3"/>
    <n v="107905"/>
    <s v="PyTorch, GCP, Keras, NumPy, Flask"/>
    <s v="MLflow, TensorFlow"/>
    <x v="0"/>
  </r>
  <r>
    <x v="5"/>
    <x v="2"/>
    <x v="0"/>
    <x v="1"/>
    <n v="72108"/>
    <s v="PyTorch, GCP, NumPy, Python, Pandas, Keras"/>
    <s v="TensorFlow, KDB+, BigQuery"/>
    <x v="1"/>
  </r>
  <r>
    <x v="3"/>
    <x v="0"/>
    <x v="1"/>
    <x v="1"/>
    <n v="174160.5"/>
    <s v="PyTorch, GCP, Reinforcement Learning, Excel, C++"/>
    <s v="MLflow, TensorFlow, BigQuery"/>
    <x v="0"/>
  </r>
  <r>
    <x v="1"/>
    <x v="4"/>
    <x v="2"/>
    <x v="2"/>
    <n v="124710.5"/>
    <s v="PyTorch, GCP, Reinforcement Learning, TensorFlow, FastAPI"/>
    <s v="KDB+, Scikit-learn, PyTorch"/>
    <x v="1"/>
  </r>
  <r>
    <x v="4"/>
    <x v="7"/>
    <x v="0"/>
    <x v="2"/>
    <n v="185305.5"/>
    <s v="PyTorch, GCP, Scikit-learn, LangChain, Reinforcement Learning, Keras"/>
    <s v="TensorFlow"/>
    <x v="0"/>
  </r>
  <r>
    <x v="0"/>
    <x v="0"/>
    <x v="0"/>
    <x v="2"/>
    <n v="88598.5"/>
    <s v="PyTorch, Hugging Face, Excel"/>
    <s v="MLflow"/>
    <x v="2"/>
  </r>
  <r>
    <x v="6"/>
    <x v="4"/>
    <x v="2"/>
    <x v="3"/>
    <n v="139494"/>
    <s v="PyTorch, Hugging Face, GCP, Flask"/>
    <s v="Scikit-learn"/>
    <x v="2"/>
  </r>
  <r>
    <x v="2"/>
    <x v="5"/>
    <x v="2"/>
    <x v="2"/>
    <n v="81594"/>
    <s v="PyTorch, Hugging Face, GCP, Keras, TensorFlow, AWS"/>
    <s v="Scikit-learn"/>
    <x v="2"/>
  </r>
  <r>
    <x v="2"/>
    <x v="7"/>
    <x v="0"/>
    <x v="1"/>
    <n v="166301"/>
    <s v="PyTorch, Hugging Face, MLflow, R, Keras, Reinforcement Learning"/>
    <s v="BigQuery, PyTorch, TensorFlow"/>
    <x v="2"/>
  </r>
  <r>
    <x v="4"/>
    <x v="7"/>
    <x v="1"/>
    <x v="3"/>
    <n v="109374.5"/>
    <s v="PyTorch, Hugging Face, SQL, MLflow, R, Python"/>
    <s v="KDB+, LangChain"/>
    <x v="2"/>
  </r>
  <r>
    <x v="6"/>
    <x v="4"/>
    <x v="1"/>
    <x v="0"/>
    <n v="147367"/>
    <s v="PyTorch, Keras, Azure, AWS, R, Reinforcement Learning"/>
    <s v="Scikit-learn, MLflow"/>
    <x v="1"/>
  </r>
  <r>
    <x v="6"/>
    <x v="1"/>
    <x v="0"/>
    <x v="2"/>
    <n v="137118.5"/>
    <s v="PyTorch, Keras, R, Excel"/>
    <s v="MLflow, PyTorch"/>
    <x v="1"/>
  </r>
  <r>
    <x v="0"/>
    <x v="5"/>
    <x v="0"/>
    <x v="0"/>
    <n v="149475.5"/>
    <s v="PyTorch, Keras, R, SQL, Reinforcement Learning, Excel"/>
    <s v="FastAPI"/>
    <x v="1"/>
  </r>
  <r>
    <x v="0"/>
    <x v="4"/>
    <x v="1"/>
    <x v="3"/>
    <n v="153020.5"/>
    <s v="PyTorch, LangChain, FastAPI"/>
    <s v="KDB+"/>
    <x v="1"/>
  </r>
  <r>
    <x v="2"/>
    <x v="6"/>
    <x v="2"/>
    <x v="2"/>
    <n v="122059.5"/>
    <s v="PyTorch, LangChain, R"/>
    <s v="Scikit-learn, FastAPI, MLflow"/>
    <x v="0"/>
  </r>
  <r>
    <x v="5"/>
    <x v="2"/>
    <x v="0"/>
    <x v="0"/>
    <n v="80093"/>
    <s v="PyTorch, MLflow, LangChain"/>
    <s v="KDB+"/>
    <x v="1"/>
  </r>
  <r>
    <x v="1"/>
    <x v="5"/>
    <x v="2"/>
    <x v="1"/>
    <n v="107166"/>
    <s v="PyTorch, MLflow, LangChain, Python, Azure, Pandas"/>
    <s v="BigQuery"/>
    <x v="2"/>
  </r>
  <r>
    <x v="4"/>
    <x v="4"/>
    <x v="0"/>
    <x v="0"/>
    <n v="65242"/>
    <s v="PyTorch, MLflow, Scikit-learn"/>
    <s v="MLflow, LangChain, PyTorch"/>
    <x v="0"/>
  </r>
  <r>
    <x v="3"/>
    <x v="6"/>
    <x v="1"/>
    <x v="3"/>
    <n v="115784.5"/>
    <s v="PyTorch, MLflow, Scikit-learn, Excel, Pandas"/>
    <s v="LangChain"/>
    <x v="0"/>
  </r>
  <r>
    <x v="1"/>
    <x v="0"/>
    <x v="1"/>
    <x v="0"/>
    <n v="137875.5"/>
    <s v="PyTorch, NumPy, C++, AWS, Scikit-learn, CUDA"/>
    <s v="PyTorch, TensorFlow, Scikit-learn"/>
    <x v="0"/>
  </r>
  <r>
    <x v="2"/>
    <x v="0"/>
    <x v="0"/>
    <x v="3"/>
    <n v="123764"/>
    <s v="PyTorch, NumPy, MLflow"/>
    <s v="BigQuery, FastAPI"/>
    <x v="2"/>
  </r>
  <r>
    <x v="4"/>
    <x v="2"/>
    <x v="2"/>
    <x v="0"/>
    <n v="105810"/>
    <s v="PyTorch, NumPy, Power BI"/>
    <s v="KDB+, BigQuery"/>
    <x v="2"/>
  </r>
  <r>
    <x v="3"/>
    <x v="3"/>
    <x v="1"/>
    <x v="1"/>
    <n v="87503"/>
    <s v="PyTorch, NumPy, SQL, FastAPI"/>
    <s v="FastAPI"/>
    <x v="1"/>
  </r>
  <r>
    <x v="0"/>
    <x v="3"/>
    <x v="2"/>
    <x v="0"/>
    <n v="156339"/>
    <s v="PyTorch, Pandas, Excel"/>
    <s v="LangChain"/>
    <x v="1"/>
  </r>
  <r>
    <x v="4"/>
    <x v="3"/>
    <x v="2"/>
    <x v="1"/>
    <n v="57532.5"/>
    <s v="PyTorch, Pandas, Reinforcement Learning"/>
    <s v="KDB+"/>
    <x v="1"/>
  </r>
  <r>
    <x v="6"/>
    <x v="4"/>
    <x v="0"/>
    <x v="2"/>
    <n v="106509.5"/>
    <s v="PyTorch, Pandas, TensorFlow, Azure, NumPy"/>
    <s v="KDB+, Scikit-learn"/>
    <x v="1"/>
  </r>
  <r>
    <x v="5"/>
    <x v="0"/>
    <x v="1"/>
    <x v="0"/>
    <n v="111758.5"/>
    <s v="PyTorch, Power BI, AWS, FastAPI"/>
    <s v="LangChain"/>
    <x v="1"/>
  </r>
  <r>
    <x v="4"/>
    <x v="3"/>
    <x v="0"/>
    <x v="0"/>
    <n v="179578"/>
    <s v="PyTorch, Power BI, Keras"/>
    <s v="MLflow, PyTorch, TensorFlow"/>
    <x v="2"/>
  </r>
  <r>
    <x v="4"/>
    <x v="6"/>
    <x v="1"/>
    <x v="1"/>
    <n v="73990"/>
    <s v="PyTorch, Power BI, LangChain, Keras"/>
    <s v="LangChain, MLflow, FastAPI"/>
    <x v="0"/>
  </r>
  <r>
    <x v="1"/>
    <x v="4"/>
    <x v="2"/>
    <x v="0"/>
    <n v="129939.5"/>
    <s v="PyTorch, Power BI, Pandas, Hugging Face"/>
    <s v="BigQuery"/>
    <x v="0"/>
  </r>
  <r>
    <x v="5"/>
    <x v="5"/>
    <x v="2"/>
    <x v="0"/>
    <n v="106784.5"/>
    <s v="PyTorch, Power BI, Pandas, Scikit-learn"/>
    <s v="MLflow, LangChain, Scikit-learn"/>
    <x v="0"/>
  </r>
  <r>
    <x v="3"/>
    <x v="0"/>
    <x v="0"/>
    <x v="2"/>
    <n v="114574.5"/>
    <s v="PyTorch, Power BI, Scikit-learn"/>
    <s v="LangChain, MLflow"/>
    <x v="0"/>
  </r>
  <r>
    <x v="1"/>
    <x v="0"/>
    <x v="2"/>
    <x v="1"/>
    <n v="168212"/>
    <s v="PyTorch, Power BI, Scikit-learn, Flask, NumPy, Keras"/>
    <s v="FastAPI, MLflow"/>
    <x v="2"/>
  </r>
  <r>
    <x v="4"/>
    <x v="3"/>
    <x v="1"/>
    <x v="2"/>
    <n v="169835.5"/>
    <s v="PyTorch, Power BI, TensorFlow, Keras"/>
    <s v="BigQuery, KDB+"/>
    <x v="0"/>
  </r>
  <r>
    <x v="1"/>
    <x v="3"/>
    <x v="1"/>
    <x v="2"/>
    <n v="113679"/>
    <s v="PyTorch, Python, AWS, Reinforcement Learning, FastAPI, CUDA"/>
    <s v="KDB+, PyTorch, FastAPI"/>
    <x v="0"/>
  </r>
  <r>
    <x v="2"/>
    <x v="1"/>
    <x v="0"/>
    <x v="2"/>
    <n v="172814"/>
    <s v="PyTorch, Python, Azure, C++, GCP"/>
    <s v="PyTorch, Scikit-learn, LangChain"/>
    <x v="2"/>
  </r>
  <r>
    <x v="0"/>
    <x v="0"/>
    <x v="0"/>
    <x v="0"/>
    <n v="113908"/>
    <s v="PyTorch, Python, Excel"/>
    <s v="FastAPI, BigQuery, TensorFlow"/>
    <x v="1"/>
  </r>
  <r>
    <x v="5"/>
    <x v="6"/>
    <x v="1"/>
    <x v="3"/>
    <n v="149045.5"/>
    <s v="PyTorch, Python, FastAPI, Azure, LangChain"/>
    <s v="FastAPI, KDB+, TensorFlow"/>
    <x v="1"/>
  </r>
  <r>
    <x v="0"/>
    <x v="6"/>
    <x v="2"/>
    <x v="0"/>
    <n v="147701"/>
    <s v="PyTorch, Python, Flask"/>
    <s v="TensorFlow, KDB+"/>
    <x v="2"/>
  </r>
  <r>
    <x v="4"/>
    <x v="4"/>
    <x v="1"/>
    <x v="3"/>
    <n v="114837.5"/>
    <s v="PyTorch, Python, GCP, MLflow"/>
    <s v="Scikit-learn, BigQuery"/>
    <x v="2"/>
  </r>
  <r>
    <x v="0"/>
    <x v="5"/>
    <x v="1"/>
    <x v="0"/>
    <n v="106807.5"/>
    <s v="PyTorch, R, Python, GCP, CUDA, C++"/>
    <s v="KDB+"/>
    <x v="2"/>
  </r>
  <r>
    <x v="4"/>
    <x v="1"/>
    <x v="2"/>
    <x v="1"/>
    <n v="83216"/>
    <s v="PyTorch, Reinforcement Learning, Azure, Python, AWS, Hugging Face"/>
    <s v="FastAPI, LangChain, TensorFlow"/>
    <x v="1"/>
  </r>
  <r>
    <x v="6"/>
    <x v="7"/>
    <x v="0"/>
    <x v="2"/>
    <n v="114216.5"/>
    <s v="PyTorch, Reinforcement Learning, Excel"/>
    <s v="MLflow, Scikit-learn"/>
    <x v="2"/>
  </r>
  <r>
    <x v="2"/>
    <x v="2"/>
    <x v="2"/>
    <x v="2"/>
    <n v="117249.5"/>
    <s v="PyTorch, Reinforcement Learning, FastAPI, Power BI, Python, R"/>
    <s v="FastAPI, PyTorch, KDB+"/>
    <x v="1"/>
  </r>
  <r>
    <x v="0"/>
    <x v="1"/>
    <x v="0"/>
    <x v="3"/>
    <n v="191811"/>
    <s v="PyTorch, Reinforcement Learning, FastAPI, R, C++"/>
    <s v="BigQuery"/>
    <x v="0"/>
  </r>
  <r>
    <x v="5"/>
    <x v="1"/>
    <x v="0"/>
    <x v="1"/>
    <n v="156943.5"/>
    <s v="PyTorch, Reinforcement Learning, Keras, C++, CUDA, SQL"/>
    <s v="Scikit-learn"/>
    <x v="0"/>
  </r>
  <r>
    <x v="1"/>
    <x v="5"/>
    <x v="1"/>
    <x v="1"/>
    <n v="115371"/>
    <s v="PyTorch, Reinforcement Learning, Pandas"/>
    <s v="MLflow, PyTorch, LangChain"/>
    <x v="0"/>
  </r>
  <r>
    <x v="4"/>
    <x v="2"/>
    <x v="2"/>
    <x v="0"/>
    <n v="141771"/>
    <s v="PyTorch, Reinforcement Learning, R, NumPy"/>
    <s v="FastAPI, PyTorch"/>
    <x v="0"/>
  </r>
  <r>
    <x v="0"/>
    <x v="5"/>
    <x v="2"/>
    <x v="0"/>
    <n v="191779.5"/>
    <s v="PyTorch, Scikit-learn, Azure, LangChain"/>
    <s v="MLflow"/>
    <x v="2"/>
  </r>
  <r>
    <x v="0"/>
    <x v="7"/>
    <x v="2"/>
    <x v="0"/>
    <n v="155929"/>
    <s v="PyTorch, Scikit-learn, C++"/>
    <s v="MLflow"/>
    <x v="2"/>
  </r>
  <r>
    <x v="5"/>
    <x v="2"/>
    <x v="1"/>
    <x v="2"/>
    <n v="129082"/>
    <s v="PyTorch, Scikit-learn, C++, Azure"/>
    <s v="LangChain, MLflow"/>
    <x v="1"/>
  </r>
  <r>
    <x v="1"/>
    <x v="0"/>
    <x v="2"/>
    <x v="3"/>
    <n v="121002"/>
    <s v="PyTorch, SQL, CUDA, Excel"/>
    <s v="KDB+, BigQuery"/>
    <x v="2"/>
  </r>
  <r>
    <x v="6"/>
    <x v="2"/>
    <x v="0"/>
    <x v="2"/>
    <n v="132373.5"/>
    <s v="PyTorch, SQL, Python"/>
    <s v="FastAPI, LangChain"/>
    <x v="0"/>
  </r>
  <r>
    <x v="4"/>
    <x v="0"/>
    <x v="0"/>
    <x v="0"/>
    <n v="79193.5"/>
    <s v="PyTorch, SQL, Reinforcement Learning, MLflow, AWS"/>
    <s v="BigQuery"/>
    <x v="2"/>
  </r>
  <r>
    <x v="1"/>
    <x v="0"/>
    <x v="0"/>
    <x v="0"/>
    <n v="157053"/>
    <s v="PyTorch, TensorFlow, AWS, C++, GCP"/>
    <s v="KDB+, MLflow, FastAPI"/>
    <x v="0"/>
  </r>
  <r>
    <x v="2"/>
    <x v="3"/>
    <x v="2"/>
    <x v="3"/>
    <n v="119140.5"/>
    <s v="PyTorch, TensorFlow, Azure, Excel, GCP"/>
    <s v="LangChain, PyTorch"/>
    <x v="1"/>
  </r>
  <r>
    <x v="0"/>
    <x v="1"/>
    <x v="1"/>
    <x v="2"/>
    <n v="166285.5"/>
    <s v="PyTorch, TensorFlow, FastAPI, C++, SQL, GCP"/>
    <s v="Scikit-learn"/>
    <x v="1"/>
  </r>
  <r>
    <x v="2"/>
    <x v="1"/>
    <x v="1"/>
    <x v="1"/>
    <n v="164226.5"/>
    <s v="PyTorch, TensorFlow, FastAPI, NumPy, Reinforcement Learning"/>
    <s v="BigQuery"/>
    <x v="0"/>
  </r>
  <r>
    <x v="5"/>
    <x v="4"/>
    <x v="1"/>
    <x v="2"/>
    <n v="169983.5"/>
    <s v="PyTorch, TensorFlow, Hugging Face"/>
    <s v="MLflow, BigQuery, KDB+"/>
    <x v="1"/>
  </r>
  <r>
    <x v="2"/>
    <x v="7"/>
    <x v="2"/>
    <x v="2"/>
    <n v="99750"/>
    <s v="PyTorch, TensorFlow, SQL, LangChain, CUDA"/>
    <s v="FastAPI, Scikit-learn"/>
    <x v="2"/>
  </r>
  <r>
    <x v="4"/>
    <x v="1"/>
    <x v="0"/>
    <x v="2"/>
    <n v="75601.5"/>
    <s v="R, AWS, Azure"/>
    <s v="Scikit-learn, BigQuery"/>
    <x v="2"/>
  </r>
  <r>
    <x v="6"/>
    <x v="5"/>
    <x v="2"/>
    <x v="3"/>
    <n v="82134.5"/>
    <s v="R, AWS, Pandas"/>
    <s v="LangChain, TensorFlow"/>
    <x v="2"/>
  </r>
  <r>
    <x v="0"/>
    <x v="1"/>
    <x v="0"/>
    <x v="0"/>
    <n v="114685.5"/>
    <s v="R, AWS, Python, MLflow"/>
    <s v="FastAPI, BigQuery, PyTorch"/>
    <x v="1"/>
  </r>
  <r>
    <x v="5"/>
    <x v="2"/>
    <x v="2"/>
    <x v="3"/>
    <n v="64830.5"/>
    <s v="R, Azure, Hugging Face, C++, PyTorch, AWS"/>
    <s v="PyTorch, BigQuery, TensorFlow"/>
    <x v="1"/>
  </r>
  <r>
    <x v="5"/>
    <x v="2"/>
    <x v="1"/>
    <x v="0"/>
    <n v="168046"/>
    <s v="R, Azure, Power BI, NumPy, Reinforcement Learning"/>
    <s v="KDB+, LangChain"/>
    <x v="0"/>
  </r>
  <r>
    <x v="0"/>
    <x v="1"/>
    <x v="1"/>
    <x v="1"/>
    <n v="88778.5"/>
    <s v="R, Azure, Python"/>
    <s v="BigQuery, KDB+"/>
    <x v="0"/>
  </r>
  <r>
    <x v="1"/>
    <x v="7"/>
    <x v="2"/>
    <x v="2"/>
    <n v="108013"/>
    <s v="R, Azure, TensorFlow"/>
    <s v="BigQuery"/>
    <x v="1"/>
  </r>
  <r>
    <x v="1"/>
    <x v="1"/>
    <x v="2"/>
    <x v="1"/>
    <n v="77279.5"/>
    <s v="R, C++, FastAPI, Excel"/>
    <s v="KDB+, FastAPI"/>
    <x v="1"/>
  </r>
  <r>
    <x v="2"/>
    <x v="3"/>
    <x v="0"/>
    <x v="3"/>
    <n v="165480.5"/>
    <s v="R, C++, GCP, Hugging Face, LangChain, TensorFlow"/>
    <s v="PyTorch, Scikit-learn, BigQuery"/>
    <x v="2"/>
  </r>
  <r>
    <x v="0"/>
    <x v="4"/>
    <x v="1"/>
    <x v="3"/>
    <n v="117758"/>
    <s v="R, C++, Hugging Face, Scikit-learn, Python, LangChain"/>
    <s v="MLflow"/>
    <x v="2"/>
  </r>
  <r>
    <x v="6"/>
    <x v="2"/>
    <x v="2"/>
    <x v="3"/>
    <n v="146476"/>
    <s v="R, C++, Keras"/>
    <s v="PyTorch, FastAPI, TensorFlow"/>
    <x v="0"/>
  </r>
  <r>
    <x v="5"/>
    <x v="5"/>
    <x v="2"/>
    <x v="2"/>
    <n v="78485"/>
    <s v="R, C++, Keras, Excel, Azure"/>
    <s v="MLflow, PyTorch, Scikit-learn"/>
    <x v="2"/>
  </r>
  <r>
    <x v="6"/>
    <x v="7"/>
    <x v="0"/>
    <x v="2"/>
    <n v="141440"/>
    <s v="R, C++, Keras, Hugging Face"/>
    <s v="Scikit-learn, FastAPI"/>
    <x v="0"/>
  </r>
  <r>
    <x v="6"/>
    <x v="0"/>
    <x v="2"/>
    <x v="1"/>
    <n v="190330.5"/>
    <s v="R, C++, SQL, GCP, MLflow, TensorFlow"/>
    <s v="LangChain, MLflow, TensorFlow"/>
    <x v="2"/>
  </r>
  <r>
    <x v="4"/>
    <x v="0"/>
    <x v="2"/>
    <x v="2"/>
    <n v="113441.5"/>
    <s v="R, CUDA, C++, Excel"/>
    <s v="Scikit-learn, BigQuery, LangChain"/>
    <x v="0"/>
  </r>
  <r>
    <x v="1"/>
    <x v="3"/>
    <x v="1"/>
    <x v="1"/>
    <n v="91813"/>
    <s v="R, CUDA, Pandas, TensorFlow, Azure, PyTorch"/>
    <s v="KDB+, LangChain"/>
    <x v="2"/>
  </r>
  <r>
    <x v="6"/>
    <x v="1"/>
    <x v="2"/>
    <x v="0"/>
    <n v="161379"/>
    <s v="R, CUDA, Power BI, AWS"/>
    <s v="MLflow"/>
    <x v="2"/>
  </r>
  <r>
    <x v="3"/>
    <x v="4"/>
    <x v="1"/>
    <x v="0"/>
    <n v="78205.5"/>
    <s v="R, CUDA, Reinforcement Learning"/>
    <s v="TensorFlow, BigQuery, MLflow"/>
    <x v="0"/>
  </r>
  <r>
    <x v="2"/>
    <x v="1"/>
    <x v="1"/>
    <x v="0"/>
    <n v="159668"/>
    <s v="R, CUDA, TensorFlow"/>
    <s v="PyTorch, LangChain"/>
    <x v="2"/>
  </r>
  <r>
    <x v="3"/>
    <x v="5"/>
    <x v="0"/>
    <x v="3"/>
    <n v="120901.5"/>
    <s v="R, Excel, FastAPI, Pandas, TensorFlow, NumPy"/>
    <s v="LangChain, FastAPI, MLflow"/>
    <x v="2"/>
  </r>
  <r>
    <x v="5"/>
    <x v="7"/>
    <x v="2"/>
    <x v="3"/>
    <n v="144195"/>
    <s v="R, Excel, NumPy"/>
    <s v="Scikit-learn, MLflow, PyTorch"/>
    <x v="1"/>
  </r>
  <r>
    <x v="0"/>
    <x v="6"/>
    <x v="1"/>
    <x v="0"/>
    <n v="151679.5"/>
    <s v="R, Excel, NumPy, CUDA, Azure, TensorFlow"/>
    <s v="Scikit-learn"/>
    <x v="1"/>
  </r>
  <r>
    <x v="1"/>
    <x v="4"/>
    <x v="1"/>
    <x v="2"/>
    <n v="88181.5"/>
    <s v="R, Excel, SQL, MLflow, PyTorch, CUDA"/>
    <s v="Scikit-learn"/>
    <x v="1"/>
  </r>
  <r>
    <x v="2"/>
    <x v="0"/>
    <x v="2"/>
    <x v="0"/>
    <n v="144822"/>
    <s v="R, FastAPI, AWS"/>
    <s v="PyTorch, LangChain"/>
    <x v="2"/>
  </r>
  <r>
    <x v="1"/>
    <x v="0"/>
    <x v="0"/>
    <x v="3"/>
    <n v="144477.5"/>
    <s v="R, FastAPI, NumPy, PyTorch, Excel"/>
    <s v="KDB+"/>
    <x v="1"/>
  </r>
  <r>
    <x v="5"/>
    <x v="7"/>
    <x v="2"/>
    <x v="0"/>
    <n v="102334"/>
    <s v="R, FastAPI, Power BI"/>
    <s v="KDB+"/>
    <x v="2"/>
  </r>
  <r>
    <x v="4"/>
    <x v="2"/>
    <x v="0"/>
    <x v="0"/>
    <n v="162945.5"/>
    <s v="R, FastAPI, TensorFlow"/>
    <s v="Scikit-learn"/>
    <x v="1"/>
  </r>
  <r>
    <x v="4"/>
    <x v="7"/>
    <x v="2"/>
    <x v="2"/>
    <n v="92521.5"/>
    <s v="R, Flask, Excel, C++, CUDA, Scikit-learn"/>
    <s v="KDB+, LangChain, MLflow"/>
    <x v="2"/>
  </r>
  <r>
    <x v="3"/>
    <x v="2"/>
    <x v="2"/>
    <x v="3"/>
    <n v="62334"/>
    <s v="R, Flask, Keras, GCP, Hugging Face"/>
    <s v="Scikit-learn"/>
    <x v="0"/>
  </r>
  <r>
    <x v="6"/>
    <x v="6"/>
    <x v="0"/>
    <x v="3"/>
    <n v="184972"/>
    <s v="R, Flask, Keras, Python, CUDA, FastAPI"/>
    <s v="Scikit-learn, FastAPI, PyTorch"/>
    <x v="0"/>
  </r>
  <r>
    <x v="6"/>
    <x v="4"/>
    <x v="0"/>
    <x v="1"/>
    <n v="151071"/>
    <s v="R, Flask, Power BI"/>
    <s v="TensorFlow"/>
    <x v="2"/>
  </r>
  <r>
    <x v="3"/>
    <x v="7"/>
    <x v="2"/>
    <x v="0"/>
    <n v="93042"/>
    <s v="R, GCP, Power BI, Python, Pandas"/>
    <s v="LangChain, MLflow, TensorFlow"/>
    <x v="0"/>
  </r>
  <r>
    <x v="3"/>
    <x v="7"/>
    <x v="0"/>
    <x v="2"/>
    <n v="182196.5"/>
    <s v="R, Hugging Face, Excel, Keras"/>
    <s v="FastAPI"/>
    <x v="1"/>
  </r>
  <r>
    <x v="5"/>
    <x v="6"/>
    <x v="0"/>
    <x v="0"/>
    <n v="79640"/>
    <s v="R, Hugging Face, Flask"/>
    <s v="TensorFlow"/>
    <x v="2"/>
  </r>
  <r>
    <x v="5"/>
    <x v="6"/>
    <x v="2"/>
    <x v="3"/>
    <n v="188355"/>
    <s v="R, Hugging Face, Flask"/>
    <s v="LangChain, FastAPI, TensorFlow"/>
    <x v="2"/>
  </r>
  <r>
    <x v="5"/>
    <x v="7"/>
    <x v="0"/>
    <x v="0"/>
    <n v="167929"/>
    <s v="R, Hugging Face, Flask, NumPy, Keras, C++"/>
    <s v="KDB+"/>
    <x v="1"/>
  </r>
  <r>
    <x v="5"/>
    <x v="5"/>
    <x v="0"/>
    <x v="0"/>
    <n v="166406"/>
    <s v="R, Keras, Azure, AWS, NumPy, GCP"/>
    <s v="LangChain, BigQuery, Scikit-learn"/>
    <x v="1"/>
  </r>
  <r>
    <x v="2"/>
    <x v="2"/>
    <x v="0"/>
    <x v="2"/>
    <n v="123737"/>
    <s v="R, Keras, NumPy, FastAPI"/>
    <s v="TensorFlow, MLflow"/>
    <x v="1"/>
  </r>
  <r>
    <x v="4"/>
    <x v="6"/>
    <x v="2"/>
    <x v="3"/>
    <n v="184948.5"/>
    <s v="R, Keras, Pandas, Reinforcement Learning"/>
    <s v="TensorFlow, Scikit-learn"/>
    <x v="2"/>
  </r>
  <r>
    <x v="1"/>
    <x v="6"/>
    <x v="0"/>
    <x v="2"/>
    <n v="56274.5"/>
    <s v="R, Keras, PyTorch"/>
    <s v="KDB+"/>
    <x v="0"/>
  </r>
  <r>
    <x v="0"/>
    <x v="6"/>
    <x v="2"/>
    <x v="3"/>
    <n v="69673"/>
    <s v="R, LangChain, FastAPI, Reinforcement Learning, Pandas, GCP"/>
    <s v="LangChain, FastAPI"/>
    <x v="0"/>
  </r>
  <r>
    <x v="0"/>
    <x v="1"/>
    <x v="0"/>
    <x v="2"/>
    <n v="115746"/>
    <s v="R, LangChain, Hugging Face"/>
    <s v="LangChain"/>
    <x v="1"/>
  </r>
  <r>
    <x v="6"/>
    <x v="1"/>
    <x v="0"/>
    <x v="0"/>
    <n v="91834"/>
    <s v="R, LangChain, MLflow, Power BI, Azure, CUDA"/>
    <s v="BigQuery"/>
    <x v="0"/>
  </r>
  <r>
    <x v="3"/>
    <x v="6"/>
    <x v="2"/>
    <x v="0"/>
    <n v="79245.5"/>
    <s v="R, LangChain, Power BI, C++"/>
    <s v="KDB+, BigQuery, FastAPI"/>
    <x v="0"/>
  </r>
  <r>
    <x v="6"/>
    <x v="6"/>
    <x v="1"/>
    <x v="0"/>
    <n v="108357.5"/>
    <s v="R, MLflow, AWS, Flask, C++"/>
    <s v="TensorFlow, FastAPI"/>
    <x v="2"/>
  </r>
  <r>
    <x v="4"/>
    <x v="2"/>
    <x v="0"/>
    <x v="0"/>
    <n v="121919"/>
    <s v="R, MLflow, Azure, Scikit-learn"/>
    <s v="PyTorch"/>
    <x v="1"/>
  </r>
  <r>
    <x v="6"/>
    <x v="2"/>
    <x v="1"/>
    <x v="2"/>
    <n v="156327.5"/>
    <s v="R, MLflow, Power BI, SQL, FastAPI"/>
    <s v="BigQuery"/>
    <x v="0"/>
  </r>
  <r>
    <x v="2"/>
    <x v="0"/>
    <x v="0"/>
    <x v="2"/>
    <n v="148935"/>
    <s v="R, MLflow, Reinforcement Learning, Azure"/>
    <s v="TensorFlow, KDB+"/>
    <x v="2"/>
  </r>
  <r>
    <x v="2"/>
    <x v="0"/>
    <x v="1"/>
    <x v="0"/>
    <n v="102985"/>
    <s v="R, NumPy, Hugging Face, TensorFlow"/>
    <s v="KDB+"/>
    <x v="0"/>
  </r>
  <r>
    <x v="2"/>
    <x v="4"/>
    <x v="2"/>
    <x v="1"/>
    <n v="89652.5"/>
    <s v="R, NumPy, Keras, TensorFlow, Python, GCP"/>
    <s v="Scikit-learn, KDB+, BigQuery"/>
    <x v="2"/>
  </r>
  <r>
    <x v="5"/>
    <x v="3"/>
    <x v="1"/>
    <x v="3"/>
    <n v="180135.5"/>
    <s v="R, NumPy, PyTorch"/>
    <s v="PyTorch"/>
    <x v="0"/>
  </r>
  <r>
    <x v="2"/>
    <x v="6"/>
    <x v="1"/>
    <x v="1"/>
    <n v="162714"/>
    <s v="R, NumPy, PyTorch, Pandas"/>
    <s v="PyTorch"/>
    <x v="2"/>
  </r>
  <r>
    <x v="2"/>
    <x v="2"/>
    <x v="2"/>
    <x v="2"/>
    <n v="153250"/>
    <s v="R, NumPy, Scikit-learn"/>
    <s v="BigQuery, PyTorch"/>
    <x v="1"/>
  </r>
  <r>
    <x v="0"/>
    <x v="3"/>
    <x v="1"/>
    <x v="3"/>
    <n v="111273"/>
    <s v="R, NumPy, SQL, GCP, Python, FastAPI"/>
    <s v="KDB+"/>
    <x v="2"/>
  </r>
  <r>
    <x v="0"/>
    <x v="4"/>
    <x v="0"/>
    <x v="1"/>
    <n v="77089"/>
    <s v="R, Pandas, CUDA"/>
    <s v="FastAPI"/>
    <x v="0"/>
  </r>
  <r>
    <x v="0"/>
    <x v="6"/>
    <x v="2"/>
    <x v="1"/>
    <n v="108049.5"/>
    <s v="R, Pandas, Flask"/>
    <s v="FastAPI"/>
    <x v="2"/>
  </r>
  <r>
    <x v="5"/>
    <x v="1"/>
    <x v="1"/>
    <x v="3"/>
    <n v="101942"/>
    <s v="R, Pandas, NumPy"/>
    <s v="TensorFlow"/>
    <x v="2"/>
  </r>
  <r>
    <x v="1"/>
    <x v="4"/>
    <x v="1"/>
    <x v="0"/>
    <n v="153865"/>
    <s v="R, Pandas, TensorFlow"/>
    <s v="TensorFlow, LangChain"/>
    <x v="1"/>
  </r>
  <r>
    <x v="4"/>
    <x v="1"/>
    <x v="0"/>
    <x v="0"/>
    <n v="149044"/>
    <s v="R, Pandas, TensorFlow, Hugging Face, Python"/>
    <s v="LangChain, KDB+"/>
    <x v="2"/>
  </r>
  <r>
    <x v="6"/>
    <x v="2"/>
    <x v="2"/>
    <x v="3"/>
    <n v="136190"/>
    <s v="R, Power BI, CUDA, MLflow"/>
    <s v="TensorFlow"/>
    <x v="0"/>
  </r>
  <r>
    <x v="6"/>
    <x v="4"/>
    <x v="0"/>
    <x v="0"/>
    <n v="186602"/>
    <s v="R, Power BI, Python, Azure, TensorFlow, Reinforcement Learning"/>
    <s v="TensorFlow"/>
    <x v="1"/>
  </r>
  <r>
    <x v="4"/>
    <x v="5"/>
    <x v="2"/>
    <x v="1"/>
    <n v="70476.5"/>
    <s v="R, Python, Flask"/>
    <s v="FastAPI, TensorFlow, PyTorch"/>
    <x v="1"/>
  </r>
  <r>
    <x v="5"/>
    <x v="6"/>
    <x v="0"/>
    <x v="3"/>
    <n v="107418.5"/>
    <s v="R, Python, Hugging Face, Excel, Azure"/>
    <s v="Scikit-learn, KDB+, TensorFlow"/>
    <x v="2"/>
  </r>
  <r>
    <x v="5"/>
    <x v="3"/>
    <x v="1"/>
    <x v="2"/>
    <n v="140698"/>
    <s v="R, Python, Keras"/>
    <s v="TensorFlow, BigQuery"/>
    <x v="1"/>
  </r>
  <r>
    <x v="6"/>
    <x v="0"/>
    <x v="0"/>
    <x v="3"/>
    <n v="115304.5"/>
    <s v="R, Python, LangChain, FastAPI"/>
    <s v="BigQuery, FastAPI, PyTorch"/>
    <x v="2"/>
  </r>
  <r>
    <x v="3"/>
    <x v="3"/>
    <x v="0"/>
    <x v="1"/>
    <n v="148691.5"/>
    <s v="R, Python, Pandas"/>
    <s v="PyTorch, MLflow"/>
    <x v="0"/>
  </r>
  <r>
    <x v="1"/>
    <x v="2"/>
    <x v="0"/>
    <x v="2"/>
    <n v="107531"/>
    <s v="R, Python, PyTorch, CUDA"/>
    <s v="KDB+, PyTorch, FastAPI"/>
    <x v="2"/>
  </r>
  <r>
    <x v="2"/>
    <x v="7"/>
    <x v="1"/>
    <x v="1"/>
    <n v="137660.5"/>
    <s v="R, Python, PyTorch, GCP, Power BI"/>
    <s v="MLflow, TensorFlow"/>
    <x v="1"/>
  </r>
  <r>
    <x v="5"/>
    <x v="5"/>
    <x v="1"/>
    <x v="3"/>
    <n v="110308.5"/>
    <s v="R, Python, Reinforcement Learning"/>
    <s v="FastAPI, PyTorch"/>
    <x v="2"/>
  </r>
  <r>
    <x v="5"/>
    <x v="0"/>
    <x v="1"/>
    <x v="1"/>
    <n v="110923"/>
    <s v="R, PyTorch, FastAPI, Pandas, Reinforcement Learning, Scikit-learn"/>
    <s v="Scikit-learn"/>
    <x v="1"/>
  </r>
  <r>
    <x v="4"/>
    <x v="6"/>
    <x v="1"/>
    <x v="3"/>
    <n v="153933"/>
    <s v="R, PyTorch, Flask, GCP, Hugging Face"/>
    <s v="MLflow, KDB+"/>
    <x v="1"/>
  </r>
  <r>
    <x v="1"/>
    <x v="0"/>
    <x v="2"/>
    <x v="1"/>
    <n v="158832"/>
    <s v="R, PyTorch, SQL, NumPy, CUDA"/>
    <s v="KDB+"/>
    <x v="2"/>
  </r>
  <r>
    <x v="6"/>
    <x v="5"/>
    <x v="0"/>
    <x v="2"/>
    <n v="169202.5"/>
    <s v="R, Reinforcement Learning, LangChain, Hugging Face, CUDA, Flask"/>
    <s v="KDB+"/>
    <x v="2"/>
  </r>
  <r>
    <x v="6"/>
    <x v="3"/>
    <x v="1"/>
    <x v="3"/>
    <n v="89036.5"/>
    <s v="R, Reinforcement Learning, MLflow, C++, Scikit-learn"/>
    <s v="PyTorch, FastAPI"/>
    <x v="0"/>
  </r>
  <r>
    <x v="4"/>
    <x v="3"/>
    <x v="0"/>
    <x v="2"/>
    <n v="183808"/>
    <s v="R, Reinforcement Learning, Scikit-learn, PyTorch, GCP"/>
    <s v="BigQuery, TensorFlow, FastAPI"/>
    <x v="1"/>
  </r>
  <r>
    <x v="1"/>
    <x v="5"/>
    <x v="2"/>
    <x v="2"/>
    <n v="107122.5"/>
    <s v="R, Scikit-learn, Excel, Hugging Face"/>
    <s v="LangChain, TensorFlow"/>
    <x v="1"/>
  </r>
  <r>
    <x v="0"/>
    <x v="0"/>
    <x v="0"/>
    <x v="3"/>
    <n v="136601"/>
    <s v="R, Scikit-learn, LangChain, Flask"/>
    <s v="BigQuery, TensorFlow"/>
    <x v="2"/>
  </r>
  <r>
    <x v="6"/>
    <x v="1"/>
    <x v="1"/>
    <x v="0"/>
    <n v="122735.5"/>
    <s v="R, Scikit-learn, Power BI"/>
    <s v="MLflow"/>
    <x v="0"/>
  </r>
  <r>
    <x v="6"/>
    <x v="1"/>
    <x v="0"/>
    <x v="0"/>
    <n v="143745"/>
    <s v="R, Scikit-learn, SQL, LangChain"/>
    <s v="PyTorch"/>
    <x v="0"/>
  </r>
  <r>
    <x v="1"/>
    <x v="6"/>
    <x v="0"/>
    <x v="0"/>
    <n v="114118"/>
    <s v="R, SQL, C++, FastAPI"/>
    <s v="LangChain, TensorFlow"/>
    <x v="1"/>
  </r>
  <r>
    <x v="5"/>
    <x v="4"/>
    <x v="2"/>
    <x v="1"/>
    <n v="65357.5"/>
    <s v="R, SQL, CUDA, Keras, AWS, Power BI"/>
    <s v="KDB+, LangChain"/>
    <x v="0"/>
  </r>
  <r>
    <x v="2"/>
    <x v="4"/>
    <x v="2"/>
    <x v="2"/>
    <n v="57737.5"/>
    <s v="R, SQL, Hugging Face, Keras, Pandas"/>
    <s v="TensorFlow, BigQuery, LangChain"/>
    <x v="2"/>
  </r>
  <r>
    <x v="6"/>
    <x v="7"/>
    <x v="0"/>
    <x v="1"/>
    <n v="72060"/>
    <s v="R, SQL, Pandas, Python"/>
    <s v="Scikit-learn, FastAPI, LangChain"/>
    <x v="0"/>
  </r>
  <r>
    <x v="0"/>
    <x v="4"/>
    <x v="2"/>
    <x v="3"/>
    <n v="95554.5"/>
    <s v="R, SQL, Python, PyTorch"/>
    <s v="LangChain, BigQuery, MLflow"/>
    <x v="2"/>
  </r>
  <r>
    <x v="6"/>
    <x v="5"/>
    <x v="2"/>
    <x v="2"/>
    <n v="133751"/>
    <s v="R, TensorFlow, AWS"/>
    <s v="PyTorch, KDB+"/>
    <x v="0"/>
  </r>
  <r>
    <x v="2"/>
    <x v="7"/>
    <x v="0"/>
    <x v="0"/>
    <n v="150884.5"/>
    <s v="R, TensorFlow, C++, Hugging Face, SQL, Flask"/>
    <s v="KDB+, BigQuery"/>
    <x v="2"/>
  </r>
  <r>
    <x v="2"/>
    <x v="5"/>
    <x v="2"/>
    <x v="2"/>
    <n v="79250.5"/>
    <s v="Reinforcement Learning, AWS, Azure"/>
    <s v="LangChain, Scikit-learn"/>
    <x v="1"/>
  </r>
  <r>
    <x v="5"/>
    <x v="4"/>
    <x v="0"/>
    <x v="3"/>
    <n v="120019"/>
    <s v="Reinforcement Learning, AWS, Azure, Pandas, Keras, Power BI"/>
    <s v="TensorFlow, BigQuery"/>
    <x v="1"/>
  </r>
  <r>
    <x v="4"/>
    <x v="5"/>
    <x v="0"/>
    <x v="2"/>
    <n v="126134"/>
    <s v="Reinforcement Learning, AWS, FastAPI, C++, Azure, LangChain"/>
    <s v="TensorFlow, FastAPI"/>
    <x v="2"/>
  </r>
  <r>
    <x v="0"/>
    <x v="1"/>
    <x v="2"/>
    <x v="2"/>
    <n v="138573"/>
    <s v="Reinforcement Learning, Azure, Flask"/>
    <s v="BigQuery, FastAPI"/>
    <x v="1"/>
  </r>
  <r>
    <x v="2"/>
    <x v="6"/>
    <x v="0"/>
    <x v="1"/>
    <n v="173195"/>
    <s v="Reinforcement Learning, Azure, Hugging Face, LangChain, Pandas"/>
    <s v="Scikit-learn, LangChain"/>
    <x v="0"/>
  </r>
  <r>
    <x v="3"/>
    <x v="3"/>
    <x v="1"/>
    <x v="0"/>
    <n v="117623.5"/>
    <s v="Reinforcement Learning, C++, GCP, AWS, FastAPI"/>
    <s v="Scikit-learn, FastAPI"/>
    <x v="0"/>
  </r>
  <r>
    <x v="3"/>
    <x v="7"/>
    <x v="1"/>
    <x v="2"/>
    <n v="58869.5"/>
    <s v="Reinforcement Learning, C++, Keras"/>
    <s v="BigQuery, MLflow, PyTorch"/>
    <x v="2"/>
  </r>
  <r>
    <x v="4"/>
    <x v="3"/>
    <x v="2"/>
    <x v="2"/>
    <n v="163075.5"/>
    <s v="Reinforcement Learning, C++, MLflow"/>
    <s v="FastAPI, LangChain"/>
    <x v="2"/>
  </r>
  <r>
    <x v="4"/>
    <x v="6"/>
    <x v="1"/>
    <x v="1"/>
    <n v="177868.5"/>
    <s v="Reinforcement Learning, C++, Pandas, Keras, NumPy"/>
    <s v="MLflow, Scikit-learn"/>
    <x v="0"/>
  </r>
  <r>
    <x v="4"/>
    <x v="7"/>
    <x v="2"/>
    <x v="0"/>
    <n v="67997"/>
    <s v="Reinforcement Learning, C++, PyTorch, AWS, Azure"/>
    <s v="FastAPI, LangChain, KDB+"/>
    <x v="2"/>
  </r>
  <r>
    <x v="5"/>
    <x v="4"/>
    <x v="1"/>
    <x v="3"/>
    <n v="153067"/>
    <s v="Reinforcement Learning, C++, Scikit-learn"/>
    <s v="FastAPI"/>
    <x v="1"/>
  </r>
  <r>
    <x v="6"/>
    <x v="4"/>
    <x v="2"/>
    <x v="1"/>
    <n v="67021.5"/>
    <s v="Reinforcement Learning, C++, TensorFlow"/>
    <s v="PyTorch"/>
    <x v="2"/>
  </r>
  <r>
    <x v="0"/>
    <x v="7"/>
    <x v="1"/>
    <x v="3"/>
    <n v="158028"/>
    <s v="Reinforcement Learning, CUDA, NumPy"/>
    <s v="MLflow"/>
    <x v="2"/>
  </r>
  <r>
    <x v="2"/>
    <x v="3"/>
    <x v="1"/>
    <x v="1"/>
    <n v="94447.5"/>
    <s v="Reinforcement Learning, Excel, Azure, Pandas, GCP, MLflow"/>
    <s v="LangChain, KDB+, Scikit-learn"/>
    <x v="1"/>
  </r>
  <r>
    <x v="2"/>
    <x v="0"/>
    <x v="0"/>
    <x v="2"/>
    <n v="138101.5"/>
    <s v="Reinforcement Learning, Excel, Azure, SQL, FastAPI, Pandas"/>
    <s v="PyTorch, BigQuery, FastAPI"/>
    <x v="2"/>
  </r>
  <r>
    <x v="2"/>
    <x v="0"/>
    <x v="2"/>
    <x v="3"/>
    <n v="120868.5"/>
    <s v="Reinforcement Learning, Excel, C++, CUDA, Keras"/>
    <s v="LangChain, MLflow"/>
    <x v="1"/>
  </r>
  <r>
    <x v="6"/>
    <x v="1"/>
    <x v="2"/>
    <x v="0"/>
    <n v="155958.5"/>
    <s v="Reinforcement Learning, Excel, LangChain, TensorFlow, FastAPI, R"/>
    <s v="TensorFlow"/>
    <x v="2"/>
  </r>
  <r>
    <x v="4"/>
    <x v="4"/>
    <x v="0"/>
    <x v="0"/>
    <n v="116678"/>
    <s v="Reinforcement Learning, Excel, NumPy, PyTorch, Pandas, SQL"/>
    <s v="FastAPI, LangChain"/>
    <x v="2"/>
  </r>
  <r>
    <x v="4"/>
    <x v="6"/>
    <x v="1"/>
    <x v="2"/>
    <n v="132009"/>
    <s v="Reinforcement Learning, Excel, Power BI, Hugging Face"/>
    <s v="TensorFlow, Scikit-learn"/>
    <x v="0"/>
  </r>
  <r>
    <x v="5"/>
    <x v="4"/>
    <x v="2"/>
    <x v="0"/>
    <n v="155436"/>
    <s v="Reinforcement Learning, Excel, TensorFlow, AWS, C++"/>
    <s v="KDB+, MLflow, TensorFlow"/>
    <x v="2"/>
  </r>
  <r>
    <x v="0"/>
    <x v="0"/>
    <x v="0"/>
    <x v="2"/>
    <n v="97126.5"/>
    <s v="Reinforcement Learning, FastAPI, AWS"/>
    <s v="FastAPI"/>
    <x v="2"/>
  </r>
  <r>
    <x v="5"/>
    <x v="4"/>
    <x v="0"/>
    <x v="3"/>
    <n v="128800"/>
    <s v="Reinforcement Learning, FastAPI, Power BI"/>
    <s v="Scikit-learn, KDB+"/>
    <x v="0"/>
  </r>
  <r>
    <x v="1"/>
    <x v="1"/>
    <x v="0"/>
    <x v="0"/>
    <n v="155667"/>
    <s v="Reinforcement Learning, FastAPI, R, Azure, PyTorch, Scikit-learn"/>
    <s v="BigQuery, PyTorch, FastAPI"/>
    <x v="1"/>
  </r>
  <r>
    <x v="0"/>
    <x v="7"/>
    <x v="2"/>
    <x v="3"/>
    <n v="99379.5"/>
    <s v="Reinforcement Learning, FastAPI, SQL, Excel, Keras, NumPy"/>
    <s v="MLflow, BigQuery, FastAPI"/>
    <x v="2"/>
  </r>
  <r>
    <x v="5"/>
    <x v="0"/>
    <x v="1"/>
    <x v="2"/>
    <n v="128037"/>
    <s v="Reinforcement Learning, Flask, C++, Azure, Hugging Face, Python"/>
    <s v="Scikit-learn"/>
    <x v="0"/>
  </r>
  <r>
    <x v="0"/>
    <x v="3"/>
    <x v="1"/>
    <x v="1"/>
    <n v="172014.5"/>
    <s v="Reinforcement Learning, Flask, CUDA"/>
    <s v="BigQuery"/>
    <x v="2"/>
  </r>
  <r>
    <x v="5"/>
    <x v="3"/>
    <x v="2"/>
    <x v="3"/>
    <n v="131424.5"/>
    <s v="Reinforcement Learning, Flask, Hugging Face"/>
    <s v="FastAPI, MLflow, KDB+"/>
    <x v="0"/>
  </r>
  <r>
    <x v="3"/>
    <x v="1"/>
    <x v="0"/>
    <x v="0"/>
    <n v="152638"/>
    <s v="Reinforcement Learning, Flask, NumPy, Keras"/>
    <s v="MLflow, PyTorch, FastAPI"/>
    <x v="0"/>
  </r>
  <r>
    <x v="0"/>
    <x v="4"/>
    <x v="0"/>
    <x v="1"/>
    <n v="96143"/>
    <s v="Reinforcement Learning, Flask, NumPy, LangChain"/>
    <s v="LangChain"/>
    <x v="0"/>
  </r>
  <r>
    <x v="4"/>
    <x v="1"/>
    <x v="1"/>
    <x v="1"/>
    <n v="141709.5"/>
    <s v="Reinforcement Learning, Flask, Power BI, TensorFlow"/>
    <s v="KDB+, MLflow, PyTorch"/>
    <x v="1"/>
  </r>
  <r>
    <x v="5"/>
    <x v="1"/>
    <x v="0"/>
    <x v="2"/>
    <n v="158515"/>
    <s v="Reinforcement Learning, Flask, TensorFlow"/>
    <s v="FastAPI"/>
    <x v="2"/>
  </r>
  <r>
    <x v="3"/>
    <x v="3"/>
    <x v="2"/>
    <x v="1"/>
    <n v="70578.5"/>
    <s v="Reinforcement Learning, GCP, Azure, LangChain, MLflow"/>
    <s v="TensorFlow, BigQuery, MLflow"/>
    <x v="2"/>
  </r>
  <r>
    <x v="1"/>
    <x v="7"/>
    <x v="1"/>
    <x v="3"/>
    <n v="103103"/>
    <s v="Reinforcement Learning, GCP, NumPy"/>
    <s v="Scikit-learn, TensorFlow, BigQuery"/>
    <x v="0"/>
  </r>
  <r>
    <x v="3"/>
    <x v="1"/>
    <x v="1"/>
    <x v="3"/>
    <n v="67737"/>
    <s v="Reinforcement Learning, GCP, PyTorch"/>
    <s v="LangChain, MLflow, Scikit-learn"/>
    <x v="0"/>
  </r>
  <r>
    <x v="5"/>
    <x v="0"/>
    <x v="1"/>
    <x v="3"/>
    <n v="149525.5"/>
    <s v="Reinforcement Learning, GCP, TensorFlow"/>
    <s v="Scikit-learn, MLflow, LangChain"/>
    <x v="2"/>
  </r>
  <r>
    <x v="0"/>
    <x v="0"/>
    <x v="2"/>
    <x v="0"/>
    <n v="70578"/>
    <s v="Reinforcement Learning, GCP, TensorFlow, Pandas"/>
    <s v="FastAPI"/>
    <x v="2"/>
  </r>
  <r>
    <x v="0"/>
    <x v="4"/>
    <x v="2"/>
    <x v="1"/>
    <n v="137462"/>
    <s v="Reinforcement Learning, Hugging Face, CUDA, MLflow, AWS, PyTorch"/>
    <s v="LangChain, TensorFlow, KDB+"/>
    <x v="1"/>
  </r>
  <r>
    <x v="4"/>
    <x v="3"/>
    <x v="2"/>
    <x v="2"/>
    <n v="85102"/>
    <s v="Reinforcement Learning, Hugging Face, CUDA, PyTorch"/>
    <s v="BigQuery, PyTorch"/>
    <x v="0"/>
  </r>
  <r>
    <x v="6"/>
    <x v="0"/>
    <x v="1"/>
    <x v="1"/>
    <n v="93142.5"/>
    <s v="Reinforcement Learning, Hugging Face, GCP, Excel, MLflow, CUDA"/>
    <s v="MLflow"/>
    <x v="2"/>
  </r>
  <r>
    <x v="3"/>
    <x v="3"/>
    <x v="1"/>
    <x v="1"/>
    <n v="144832"/>
    <s v="Reinforcement Learning, Hugging Face, MLflow, CUDA"/>
    <s v="MLflow, BigQuery, PyTorch"/>
    <x v="1"/>
  </r>
  <r>
    <x v="6"/>
    <x v="0"/>
    <x v="2"/>
    <x v="1"/>
    <n v="86518.5"/>
    <s v="Reinforcement Learning, Hugging Face, Pandas, Excel"/>
    <s v="FastAPI, PyTorch"/>
    <x v="0"/>
  </r>
  <r>
    <x v="0"/>
    <x v="4"/>
    <x v="1"/>
    <x v="0"/>
    <n v="110313.5"/>
    <s v="Reinforcement Learning, Hugging Face, Scikit-learn, C++"/>
    <s v="MLflow"/>
    <x v="1"/>
  </r>
  <r>
    <x v="6"/>
    <x v="0"/>
    <x v="1"/>
    <x v="1"/>
    <n v="77929"/>
    <s v="Reinforcement Learning, Keras, MLflow, Flask, Pandas, AWS"/>
    <s v="MLflow"/>
    <x v="0"/>
  </r>
  <r>
    <x v="1"/>
    <x v="3"/>
    <x v="0"/>
    <x v="2"/>
    <n v="122831"/>
    <s v="Reinforcement Learning, Keras, MLflow, PyTorch, Pandas"/>
    <s v="TensorFlow"/>
    <x v="1"/>
  </r>
  <r>
    <x v="2"/>
    <x v="1"/>
    <x v="0"/>
    <x v="1"/>
    <n v="69724"/>
    <s v="Reinforcement Learning, Keras, NumPy, Pandas, Hugging Face, R"/>
    <s v="TensorFlow"/>
    <x v="2"/>
  </r>
  <r>
    <x v="4"/>
    <x v="5"/>
    <x v="2"/>
    <x v="2"/>
    <n v="155058"/>
    <s v="Reinforcement Learning, Keras, PyTorch, Pandas, C++, Hugging Face"/>
    <s v="KDB+, Scikit-learn"/>
    <x v="2"/>
  </r>
  <r>
    <x v="0"/>
    <x v="7"/>
    <x v="2"/>
    <x v="3"/>
    <n v="103697"/>
    <s v="Reinforcement Learning, Keras, R, MLflow, Power BI, Flask"/>
    <s v="LangChain"/>
    <x v="0"/>
  </r>
  <r>
    <x v="5"/>
    <x v="6"/>
    <x v="1"/>
    <x v="2"/>
    <n v="50505"/>
    <s v="Reinforcement Learning, Keras, TensorFlow, Python, LangChain"/>
    <s v="Scikit-learn, MLflow, LangChain"/>
    <x v="0"/>
  </r>
  <r>
    <x v="1"/>
    <x v="0"/>
    <x v="0"/>
    <x v="0"/>
    <n v="172244"/>
    <s v="Reinforcement Learning, LangChain, C++"/>
    <s v="LangChain, FastAPI"/>
    <x v="0"/>
  </r>
  <r>
    <x v="0"/>
    <x v="4"/>
    <x v="1"/>
    <x v="0"/>
    <n v="128117"/>
    <s v="Reinforcement Learning, LangChain, CUDA"/>
    <s v="BigQuery, Scikit-learn, FastAPI"/>
    <x v="0"/>
  </r>
  <r>
    <x v="3"/>
    <x v="6"/>
    <x v="0"/>
    <x v="2"/>
    <n v="162770"/>
    <s v="Reinforcement Learning, LangChain, CUDA, Hugging Face"/>
    <s v="LangChain, MLflow"/>
    <x v="1"/>
  </r>
  <r>
    <x v="5"/>
    <x v="2"/>
    <x v="2"/>
    <x v="0"/>
    <n v="58969.5"/>
    <s v="Reinforcement Learning, LangChain, Excel, Pandas, Python, Flask"/>
    <s v="TensorFlow, PyTorch"/>
    <x v="1"/>
  </r>
  <r>
    <x v="2"/>
    <x v="3"/>
    <x v="0"/>
    <x v="3"/>
    <n v="149266"/>
    <s v="Reinforcement Learning, LangChain, MLflow, Hugging Face, NumPy, Python"/>
    <s v="MLflow"/>
    <x v="0"/>
  </r>
  <r>
    <x v="0"/>
    <x v="0"/>
    <x v="1"/>
    <x v="3"/>
    <n v="160922.5"/>
    <s v="Reinforcement Learning, LangChain, Pandas, TensorFlow, MLflow, FastAPI"/>
    <s v="LangChain, Scikit-learn"/>
    <x v="2"/>
  </r>
  <r>
    <x v="6"/>
    <x v="7"/>
    <x v="0"/>
    <x v="2"/>
    <n v="118081.5"/>
    <s v="Reinforcement Learning, LangChain, Python"/>
    <s v="FastAPI"/>
    <x v="0"/>
  </r>
  <r>
    <x v="1"/>
    <x v="2"/>
    <x v="1"/>
    <x v="0"/>
    <n v="101024.5"/>
    <s v="Reinforcement Learning, MLflow, GCP, Azure, Pandas"/>
    <s v="PyTorch"/>
    <x v="0"/>
  </r>
  <r>
    <x v="5"/>
    <x v="2"/>
    <x v="1"/>
    <x v="2"/>
    <n v="149631"/>
    <s v="Reinforcement Learning, MLflow, Hugging Face, C++, Azure"/>
    <s v="MLflow"/>
    <x v="0"/>
  </r>
  <r>
    <x v="5"/>
    <x v="5"/>
    <x v="1"/>
    <x v="3"/>
    <n v="170858.5"/>
    <s v="Reinforcement Learning, MLflow, Hugging Face, CUDA, Flask"/>
    <s v="MLflow, BigQuery, LangChain"/>
    <x v="0"/>
  </r>
  <r>
    <x v="5"/>
    <x v="3"/>
    <x v="1"/>
    <x v="2"/>
    <n v="102633.5"/>
    <s v="Reinforcement Learning, MLflow, PyTorch, LangChain, Hugging Face, AWS"/>
    <s v="TensorFlow, PyTorch"/>
    <x v="1"/>
  </r>
  <r>
    <x v="1"/>
    <x v="2"/>
    <x v="2"/>
    <x v="1"/>
    <n v="186827.5"/>
    <s v="Reinforcement Learning, MLflow, Scikit-learn, Flask, Python, FastAPI"/>
    <s v="FastAPI, KDB+, LangChain"/>
    <x v="1"/>
  </r>
  <r>
    <x v="5"/>
    <x v="2"/>
    <x v="2"/>
    <x v="3"/>
    <n v="82758.5"/>
    <s v="Reinforcement Learning, MLflow, SQL, NumPy"/>
    <s v="TensorFlow"/>
    <x v="2"/>
  </r>
  <r>
    <x v="4"/>
    <x v="4"/>
    <x v="2"/>
    <x v="1"/>
    <n v="75276"/>
    <s v="Reinforcement Learning, MLflow, TensorFlow, PyTorch, Keras"/>
    <s v="PyTorch"/>
    <x v="2"/>
  </r>
  <r>
    <x v="6"/>
    <x v="1"/>
    <x v="0"/>
    <x v="3"/>
    <n v="166231.5"/>
    <s v="Reinforcement Learning, NumPy, LangChain, GCP"/>
    <s v="PyTorch, KDB+"/>
    <x v="0"/>
  </r>
  <r>
    <x v="4"/>
    <x v="5"/>
    <x v="1"/>
    <x v="0"/>
    <n v="66403.5"/>
    <s v="Reinforcement Learning, NumPy, Power BI"/>
    <s v="MLflow, BigQuery"/>
    <x v="1"/>
  </r>
  <r>
    <x v="0"/>
    <x v="2"/>
    <x v="2"/>
    <x v="3"/>
    <n v="111206"/>
    <s v="Reinforcement Learning, NumPy, Python, Pandas"/>
    <s v="FastAPI, BigQuery, PyTorch"/>
    <x v="0"/>
  </r>
  <r>
    <x v="2"/>
    <x v="7"/>
    <x v="0"/>
    <x v="1"/>
    <n v="145152.5"/>
    <s v="Reinforcement Learning, NumPy, Scikit-learn"/>
    <s v="LangChain, BigQuery"/>
    <x v="0"/>
  </r>
  <r>
    <x v="1"/>
    <x v="3"/>
    <x v="1"/>
    <x v="2"/>
    <n v="156929.5"/>
    <s v="Reinforcement Learning, Pandas, AWS"/>
    <s v="FastAPI, KDB+, BigQuery"/>
    <x v="1"/>
  </r>
  <r>
    <x v="1"/>
    <x v="0"/>
    <x v="0"/>
    <x v="1"/>
    <n v="105540.5"/>
    <s v="Reinforcement Learning, Pandas, AWS"/>
    <s v="KDB+"/>
    <x v="1"/>
  </r>
  <r>
    <x v="6"/>
    <x v="7"/>
    <x v="0"/>
    <x v="2"/>
    <n v="74666.5"/>
    <s v="Reinforcement Learning, Pandas, AWS, PyTorch, Azure, C++"/>
    <s v="LangChain, BigQuery, KDB+"/>
    <x v="0"/>
  </r>
  <r>
    <x v="5"/>
    <x v="2"/>
    <x v="1"/>
    <x v="3"/>
    <n v="62971"/>
    <s v="Reinforcement Learning, Pandas, Azure, SQL, C++"/>
    <s v="TensorFlow, Scikit-learn"/>
    <x v="0"/>
  </r>
  <r>
    <x v="2"/>
    <x v="0"/>
    <x v="1"/>
    <x v="0"/>
    <n v="79698.5"/>
    <s v="Reinforcement Learning, Pandas, Flask"/>
    <s v="PyTorch, FastAPI, TensorFlow"/>
    <x v="1"/>
  </r>
  <r>
    <x v="6"/>
    <x v="2"/>
    <x v="0"/>
    <x v="3"/>
    <n v="142721"/>
    <s v="Reinforcement Learning, Pandas, NumPy, FastAPI"/>
    <s v="TensorFlow"/>
    <x v="1"/>
  </r>
  <r>
    <x v="2"/>
    <x v="3"/>
    <x v="0"/>
    <x v="3"/>
    <n v="117160.5"/>
    <s v="Reinforcement Learning, Power BI, C++, AWS"/>
    <s v="TensorFlow"/>
    <x v="2"/>
  </r>
  <r>
    <x v="2"/>
    <x v="0"/>
    <x v="1"/>
    <x v="0"/>
    <n v="157670.5"/>
    <s v="Reinforcement Learning, Power BI, Hugging Face, CUDA, Pandas"/>
    <s v="TensorFlow, BigQuery, Scikit-learn"/>
    <x v="2"/>
  </r>
  <r>
    <x v="3"/>
    <x v="5"/>
    <x v="2"/>
    <x v="1"/>
    <n v="135925.5"/>
    <s v="Reinforcement Learning, Power BI, MLflow, PyTorch, R, Pandas"/>
    <s v="Scikit-learn, FastAPI, LangChain"/>
    <x v="0"/>
  </r>
  <r>
    <x v="4"/>
    <x v="4"/>
    <x v="0"/>
    <x v="1"/>
    <n v="174465"/>
    <s v="Reinforcement Learning, Power BI, SQL, MLflow, Excel, Scikit-learn"/>
    <s v="Scikit-learn, MLflow"/>
    <x v="0"/>
  </r>
  <r>
    <x v="5"/>
    <x v="7"/>
    <x v="2"/>
    <x v="2"/>
    <n v="145050"/>
    <s v="Reinforcement Learning, Python, MLflow, Flask"/>
    <s v="LangChain"/>
    <x v="0"/>
  </r>
  <r>
    <x v="1"/>
    <x v="6"/>
    <x v="0"/>
    <x v="0"/>
    <n v="155805.5"/>
    <s v="Reinforcement Learning, Python, NumPy, LangChain"/>
    <s v="TensorFlow"/>
    <x v="2"/>
  </r>
  <r>
    <x v="6"/>
    <x v="4"/>
    <x v="2"/>
    <x v="1"/>
    <n v="194075"/>
    <s v="Reinforcement Learning, Python, Pandas, Excel, LangChain, Azure"/>
    <s v="PyTorch, LangChain, TensorFlow"/>
    <x v="2"/>
  </r>
  <r>
    <x v="1"/>
    <x v="5"/>
    <x v="2"/>
    <x v="0"/>
    <n v="138886"/>
    <s v="Reinforcement Learning, Python, Pandas, TensorFlow"/>
    <s v="Scikit-learn, MLflow, PyTorch"/>
    <x v="2"/>
  </r>
  <r>
    <x v="3"/>
    <x v="3"/>
    <x v="2"/>
    <x v="0"/>
    <n v="181603"/>
    <s v="Reinforcement Learning, Python, PyTorch, Keras"/>
    <s v="LangChain, KDB+"/>
    <x v="2"/>
  </r>
  <r>
    <x v="2"/>
    <x v="6"/>
    <x v="1"/>
    <x v="3"/>
    <n v="109860.5"/>
    <s v="Reinforcement Learning, PyTorch, GCP, R, Excel"/>
    <s v="LangChain, KDB+"/>
    <x v="0"/>
  </r>
  <r>
    <x v="5"/>
    <x v="6"/>
    <x v="1"/>
    <x v="0"/>
    <n v="52169.5"/>
    <s v="Reinforcement Learning, PyTorch, Pandas, Scikit-learn"/>
    <s v="Scikit-learn"/>
    <x v="1"/>
  </r>
  <r>
    <x v="1"/>
    <x v="1"/>
    <x v="2"/>
    <x v="2"/>
    <n v="140248"/>
    <s v="Reinforcement Learning, PyTorch, Scikit-learn"/>
    <s v="FastAPI, LangChain, MLflow"/>
    <x v="2"/>
  </r>
  <r>
    <x v="4"/>
    <x v="6"/>
    <x v="0"/>
    <x v="2"/>
    <n v="146171.5"/>
    <s v="Reinforcement Learning, R, Azure, CUDA, TensorFlow"/>
    <s v="Scikit-learn, KDB+, FastAPI"/>
    <x v="0"/>
  </r>
  <r>
    <x v="0"/>
    <x v="6"/>
    <x v="1"/>
    <x v="2"/>
    <n v="110544.5"/>
    <s v="Reinforcement Learning, R, C++"/>
    <s v="LangChain, MLflow, KDB+"/>
    <x v="0"/>
  </r>
  <r>
    <x v="6"/>
    <x v="6"/>
    <x v="1"/>
    <x v="0"/>
    <n v="117429.5"/>
    <s v="Reinforcement Learning, Scikit-learn, Excel, SQL"/>
    <s v="MLflow, BigQuery"/>
    <x v="0"/>
  </r>
  <r>
    <x v="6"/>
    <x v="3"/>
    <x v="0"/>
    <x v="1"/>
    <n v="80228.5"/>
    <s v="Reinforcement Learning, Scikit-learn, Hugging Face, MLflow"/>
    <s v="FastAPI"/>
    <x v="2"/>
  </r>
  <r>
    <x v="3"/>
    <x v="0"/>
    <x v="2"/>
    <x v="1"/>
    <n v="152211"/>
    <s v="Reinforcement Learning, Scikit-learn, TensorFlow, PyTorch, Hugging Face, Flask"/>
    <s v="PyTorch"/>
    <x v="0"/>
  </r>
  <r>
    <x v="1"/>
    <x v="3"/>
    <x v="1"/>
    <x v="0"/>
    <n v="125425"/>
    <s v="Reinforcement Learning, SQL, AWS, FastAPI, TensorFlow, PyTorch"/>
    <s v="BigQuery, MLflow"/>
    <x v="2"/>
  </r>
  <r>
    <x v="0"/>
    <x v="2"/>
    <x v="0"/>
    <x v="2"/>
    <n v="88403.5"/>
    <s v="Reinforcement Learning, SQL, C++, Pandas"/>
    <s v="BigQuery, FastAPI, MLflow"/>
    <x v="0"/>
  </r>
  <r>
    <x v="2"/>
    <x v="3"/>
    <x v="2"/>
    <x v="2"/>
    <n v="183947"/>
    <s v="Reinforcement Learning, SQL, Pandas, NumPy, TensorFlow, Power BI"/>
    <s v="KDB+, FastAPI"/>
    <x v="0"/>
  </r>
  <r>
    <x v="6"/>
    <x v="3"/>
    <x v="1"/>
    <x v="2"/>
    <n v="149154"/>
    <s v="Reinforcement Learning, SQL, Scikit-learn, AWS"/>
    <s v="KDB+, Scikit-learn, PyTorch"/>
    <x v="2"/>
  </r>
  <r>
    <x v="5"/>
    <x v="4"/>
    <x v="2"/>
    <x v="3"/>
    <n v="89846.5"/>
    <s v="Reinforcement Learning, TensorFlow, Azure, CUDA, GCP, Hugging Face"/>
    <s v="Scikit-learn, LangChain, BigQuery"/>
    <x v="1"/>
  </r>
  <r>
    <x v="6"/>
    <x v="2"/>
    <x v="0"/>
    <x v="2"/>
    <n v="59248"/>
    <s v="Reinforcement Learning, TensorFlow, CUDA"/>
    <s v="KDB+, BigQuery, PyTorch"/>
    <x v="0"/>
  </r>
  <r>
    <x v="3"/>
    <x v="1"/>
    <x v="1"/>
    <x v="3"/>
    <n v="152413"/>
    <s v="Reinforcement Learning, TensorFlow, Excel, Azure"/>
    <s v="TensorFlow, LangChain"/>
    <x v="0"/>
  </r>
  <r>
    <x v="4"/>
    <x v="5"/>
    <x v="1"/>
    <x v="2"/>
    <n v="176845.5"/>
    <s v="Reinforcement Learning, TensorFlow, Flask, Excel, GCP"/>
    <s v="Scikit-learn, LangChain, FastAPI"/>
    <x v="1"/>
  </r>
  <r>
    <x v="4"/>
    <x v="1"/>
    <x v="1"/>
    <x v="2"/>
    <n v="126431.5"/>
    <s v="Reinforcement Learning, TensorFlow, Hugging Face, SQL, C++, LangChain"/>
    <s v="KDB+"/>
    <x v="0"/>
  </r>
  <r>
    <x v="5"/>
    <x v="2"/>
    <x v="2"/>
    <x v="1"/>
    <n v="135968"/>
    <s v="Reinforcement Learning, TensorFlow, NumPy"/>
    <s v="TensorFlow"/>
    <x v="1"/>
  </r>
  <r>
    <x v="1"/>
    <x v="2"/>
    <x v="1"/>
    <x v="3"/>
    <n v="100078.5"/>
    <s v="Reinforcement Learning, TensorFlow, Pandas, FastAPI"/>
    <s v="Scikit-learn, BigQuery, FastAPI"/>
    <x v="1"/>
  </r>
  <r>
    <x v="5"/>
    <x v="2"/>
    <x v="2"/>
    <x v="0"/>
    <n v="72337.5"/>
    <s v="Reinforcement Learning, TensorFlow, Pandas, Keras, Python, PyTorch"/>
    <s v="Scikit-learn"/>
    <x v="0"/>
  </r>
  <r>
    <x v="3"/>
    <x v="3"/>
    <x v="0"/>
    <x v="0"/>
    <n v="146787.5"/>
    <s v="Reinforcement Learning, TensorFlow, PyTorch, Excel, FastAPI"/>
    <s v="FastAPI, PyTorch, KDB+"/>
    <x v="2"/>
  </r>
  <r>
    <x v="1"/>
    <x v="4"/>
    <x v="2"/>
    <x v="1"/>
    <n v="131540"/>
    <s v="Reinforcement Learning, TensorFlow, R, SQL, FastAPI"/>
    <s v="TensorFlow"/>
    <x v="2"/>
  </r>
  <r>
    <x v="3"/>
    <x v="4"/>
    <x v="0"/>
    <x v="0"/>
    <n v="155592.5"/>
    <s v="Reinforcement Learning, TensorFlow, SQL, Flask, C++, Keras"/>
    <s v="LangChain, MLflow, KDB+"/>
    <x v="2"/>
  </r>
  <r>
    <x v="0"/>
    <x v="1"/>
    <x v="1"/>
    <x v="3"/>
    <n v="76046.5"/>
    <s v="Scikit-learn, AWS, CUDA, Azure, Hugging Face"/>
    <s v="FastAPI, TensorFlow, LangChain"/>
    <x v="0"/>
  </r>
  <r>
    <x v="3"/>
    <x v="4"/>
    <x v="2"/>
    <x v="0"/>
    <n v="91590.5"/>
    <s v="Scikit-learn, AWS, Python, CUDA"/>
    <s v="KDB+, FastAPI"/>
    <x v="2"/>
  </r>
  <r>
    <x v="5"/>
    <x v="5"/>
    <x v="1"/>
    <x v="0"/>
    <n v="181185"/>
    <s v="Scikit-learn, AWS, Python, MLflow"/>
    <s v="FastAPI"/>
    <x v="1"/>
  </r>
  <r>
    <x v="1"/>
    <x v="5"/>
    <x v="2"/>
    <x v="3"/>
    <n v="107884"/>
    <s v="Scikit-learn, Azure, FastAPI, C++"/>
    <s v="MLflow, LangChain"/>
    <x v="0"/>
  </r>
  <r>
    <x v="3"/>
    <x v="5"/>
    <x v="2"/>
    <x v="3"/>
    <n v="104701"/>
    <s v="Scikit-learn, Azure, GCP"/>
    <s v="PyTorch, MLflow"/>
    <x v="2"/>
  </r>
  <r>
    <x v="5"/>
    <x v="4"/>
    <x v="2"/>
    <x v="2"/>
    <n v="163848"/>
    <s v="Scikit-learn, Azure, Hugging Face"/>
    <s v="Scikit-learn"/>
    <x v="2"/>
  </r>
  <r>
    <x v="3"/>
    <x v="5"/>
    <x v="2"/>
    <x v="3"/>
    <n v="145732.5"/>
    <s v="Scikit-learn, Azure, MLflow, LangChain, TensorFlow"/>
    <s v="PyTorch"/>
    <x v="0"/>
  </r>
  <r>
    <x v="5"/>
    <x v="0"/>
    <x v="1"/>
    <x v="1"/>
    <n v="137379.5"/>
    <s v="Scikit-learn, C++, GCP, FastAPI"/>
    <s v="TensorFlow, Scikit-learn, BigQuery"/>
    <x v="0"/>
  </r>
  <r>
    <x v="5"/>
    <x v="6"/>
    <x v="0"/>
    <x v="2"/>
    <n v="185144"/>
    <s v="Scikit-learn, C++, LangChain, CUDA, Excel, Flask"/>
    <s v="PyTorch"/>
    <x v="0"/>
  </r>
  <r>
    <x v="0"/>
    <x v="1"/>
    <x v="1"/>
    <x v="2"/>
    <n v="97891"/>
    <s v="Scikit-learn, C++, NumPy, FastAPI"/>
    <s v="BigQuery, KDB+"/>
    <x v="1"/>
  </r>
  <r>
    <x v="0"/>
    <x v="7"/>
    <x v="2"/>
    <x v="3"/>
    <n v="87325.5"/>
    <s v="Scikit-learn, C++, Pandas, LangChain, AWS, R"/>
    <s v="TensorFlow, BigQuery, MLflow"/>
    <x v="2"/>
  </r>
  <r>
    <x v="4"/>
    <x v="6"/>
    <x v="0"/>
    <x v="1"/>
    <n v="148614.5"/>
    <s v="Scikit-learn, C++, Power BI"/>
    <s v="MLflow"/>
    <x v="2"/>
  </r>
  <r>
    <x v="0"/>
    <x v="5"/>
    <x v="0"/>
    <x v="1"/>
    <n v="59803"/>
    <s v="Scikit-learn, CUDA, GCP, SQL, Reinforcement Learning"/>
    <s v="LangChain, BigQuery"/>
    <x v="2"/>
  </r>
  <r>
    <x v="5"/>
    <x v="4"/>
    <x v="0"/>
    <x v="3"/>
    <n v="102844.5"/>
    <s v="Scikit-learn, CUDA, Python"/>
    <s v="PyTorch, FastAPI"/>
    <x v="1"/>
  </r>
  <r>
    <x v="0"/>
    <x v="6"/>
    <x v="1"/>
    <x v="3"/>
    <n v="111699"/>
    <s v="Scikit-learn, CUDA, SQL, Pandas"/>
    <s v="FastAPI, KDB+, TensorFlow"/>
    <x v="2"/>
  </r>
  <r>
    <x v="2"/>
    <x v="4"/>
    <x v="1"/>
    <x v="3"/>
    <n v="107818"/>
    <s v="Scikit-learn, Excel, Azure, Flask, Hugging Face, Pandas"/>
    <s v="PyTorch, LangChain, KDB+"/>
    <x v="0"/>
  </r>
  <r>
    <x v="5"/>
    <x v="4"/>
    <x v="0"/>
    <x v="0"/>
    <n v="112864"/>
    <s v="Scikit-learn, Excel, Flask"/>
    <s v="FastAPI"/>
    <x v="1"/>
  </r>
  <r>
    <x v="1"/>
    <x v="3"/>
    <x v="1"/>
    <x v="3"/>
    <n v="95912.5"/>
    <s v="Scikit-learn, Excel, GCP, Python"/>
    <s v="MLflow, FastAPI"/>
    <x v="1"/>
  </r>
  <r>
    <x v="1"/>
    <x v="6"/>
    <x v="0"/>
    <x v="2"/>
    <n v="56335.5"/>
    <s v="Scikit-learn, Excel, Power BI, Python"/>
    <s v="KDB+"/>
    <x v="1"/>
  </r>
  <r>
    <x v="1"/>
    <x v="1"/>
    <x v="0"/>
    <x v="0"/>
    <n v="76478.5"/>
    <s v="Scikit-learn, Excel, Python, Flask, GCP, C++"/>
    <s v="TensorFlow, KDB+"/>
    <x v="0"/>
  </r>
  <r>
    <x v="6"/>
    <x v="1"/>
    <x v="0"/>
    <x v="1"/>
    <n v="194743.5"/>
    <s v="Scikit-learn, FastAPI, PyTorch, Hugging Face, GCP, LangChain"/>
    <s v="BigQuery, MLflow"/>
    <x v="1"/>
  </r>
  <r>
    <x v="5"/>
    <x v="6"/>
    <x v="1"/>
    <x v="2"/>
    <n v="144971.5"/>
    <s v="Scikit-learn, Flask, PyTorch, SQL"/>
    <s v="BigQuery, TensorFlow"/>
    <x v="2"/>
  </r>
  <r>
    <x v="5"/>
    <x v="0"/>
    <x v="0"/>
    <x v="0"/>
    <n v="64942.5"/>
    <s v="Scikit-learn, GCP, AWS, FastAPI, Excel, Pandas"/>
    <s v="Scikit-learn"/>
    <x v="2"/>
  </r>
  <r>
    <x v="5"/>
    <x v="3"/>
    <x v="0"/>
    <x v="2"/>
    <n v="163349.5"/>
    <s v="Scikit-learn, GCP, LangChain, Python, CUDA, Excel"/>
    <s v="LangChain"/>
    <x v="0"/>
  </r>
  <r>
    <x v="3"/>
    <x v="0"/>
    <x v="2"/>
    <x v="2"/>
    <n v="85302"/>
    <s v="Scikit-learn, GCP, MLflow"/>
    <s v="FastAPI, Scikit-learn, LangChain"/>
    <x v="2"/>
  </r>
  <r>
    <x v="2"/>
    <x v="0"/>
    <x v="0"/>
    <x v="2"/>
    <n v="108449.5"/>
    <s v="Scikit-learn, GCP, NumPy, Flask, Excel, AWS"/>
    <s v="FastAPI, Scikit-learn"/>
    <x v="0"/>
  </r>
  <r>
    <x v="3"/>
    <x v="3"/>
    <x v="0"/>
    <x v="1"/>
    <n v="183918.5"/>
    <s v="Scikit-learn, Hugging Face, LangChain"/>
    <s v="PyTorch, KDB+, LangChain"/>
    <x v="2"/>
  </r>
  <r>
    <x v="4"/>
    <x v="5"/>
    <x v="1"/>
    <x v="2"/>
    <n v="104121.5"/>
    <s v="Scikit-learn, Hugging Face, Pandas, Keras, TensorFlow"/>
    <s v="TensorFlow, Scikit-learn"/>
    <x v="1"/>
  </r>
  <r>
    <x v="4"/>
    <x v="1"/>
    <x v="0"/>
    <x v="1"/>
    <n v="89141"/>
    <s v="Scikit-learn, Hugging Face, TensorFlow"/>
    <s v="TensorFlow, BigQuery"/>
    <x v="0"/>
  </r>
  <r>
    <x v="2"/>
    <x v="7"/>
    <x v="2"/>
    <x v="0"/>
    <n v="136174.5"/>
    <s v="Scikit-learn, Keras, C++"/>
    <s v="BigQuery, MLflow, KDB+"/>
    <x v="1"/>
  </r>
  <r>
    <x v="5"/>
    <x v="1"/>
    <x v="0"/>
    <x v="3"/>
    <n v="82400"/>
    <s v="Scikit-learn, Keras, Excel, PyTorch"/>
    <s v="KDB+, BigQuery"/>
    <x v="0"/>
  </r>
  <r>
    <x v="1"/>
    <x v="6"/>
    <x v="1"/>
    <x v="1"/>
    <n v="129978.5"/>
    <s v="Scikit-learn, Keras, NumPy, Reinforcement Learning"/>
    <s v="LangChain, PyTorch"/>
    <x v="2"/>
  </r>
  <r>
    <x v="0"/>
    <x v="4"/>
    <x v="0"/>
    <x v="0"/>
    <n v="97994.5"/>
    <s v="Scikit-learn, Keras, Pandas"/>
    <s v="PyTorch, BigQuery"/>
    <x v="2"/>
  </r>
  <r>
    <x v="2"/>
    <x v="2"/>
    <x v="2"/>
    <x v="0"/>
    <n v="140725"/>
    <s v="Scikit-learn, LangChain, Hugging Face, Python"/>
    <s v="PyTorch"/>
    <x v="0"/>
  </r>
  <r>
    <x v="4"/>
    <x v="3"/>
    <x v="1"/>
    <x v="2"/>
    <n v="136259"/>
    <s v="Scikit-learn, LangChain, Hugging Face, SQL, Azure, MLflow"/>
    <s v="LangChain, FastAPI, KDB+"/>
    <x v="2"/>
  </r>
  <r>
    <x v="5"/>
    <x v="6"/>
    <x v="0"/>
    <x v="3"/>
    <n v="88304.5"/>
    <s v="Scikit-learn, LangChain, MLflow, FastAPI"/>
    <s v="KDB+, FastAPI"/>
    <x v="2"/>
  </r>
  <r>
    <x v="1"/>
    <x v="7"/>
    <x v="2"/>
    <x v="2"/>
    <n v="86689.5"/>
    <s v="Scikit-learn, LangChain, MLflow, Flask"/>
    <s v="KDB+, LangChain, Scikit-learn"/>
    <x v="2"/>
  </r>
  <r>
    <x v="6"/>
    <x v="6"/>
    <x v="0"/>
    <x v="1"/>
    <n v="181054"/>
    <s v="Scikit-learn, LangChain, Power BI, TensorFlow"/>
    <s v="FastAPI"/>
    <x v="0"/>
  </r>
  <r>
    <x v="5"/>
    <x v="2"/>
    <x v="0"/>
    <x v="0"/>
    <n v="166269.5"/>
    <s v="Scikit-learn, MLflow, AWS"/>
    <s v="Scikit-learn, MLflow"/>
    <x v="1"/>
  </r>
  <r>
    <x v="2"/>
    <x v="1"/>
    <x v="0"/>
    <x v="1"/>
    <n v="114658"/>
    <s v="Scikit-learn, MLflow, FastAPI"/>
    <s v="FastAPI, KDB+, Scikit-learn"/>
    <x v="0"/>
  </r>
  <r>
    <x v="1"/>
    <x v="7"/>
    <x v="1"/>
    <x v="3"/>
    <n v="125457"/>
    <s v="Scikit-learn, MLflow, Keras, Hugging Face"/>
    <s v="PyTorch, FastAPI"/>
    <x v="1"/>
  </r>
  <r>
    <x v="0"/>
    <x v="1"/>
    <x v="1"/>
    <x v="0"/>
    <n v="110970.5"/>
    <s v="Scikit-learn, MLflow, Python, R, Pandas, FastAPI"/>
    <s v="MLflow"/>
    <x v="0"/>
  </r>
  <r>
    <x v="0"/>
    <x v="1"/>
    <x v="1"/>
    <x v="3"/>
    <n v="147007.5"/>
    <s v="Scikit-learn, NumPy, FastAPI"/>
    <s v="KDB+, LangChain"/>
    <x v="1"/>
  </r>
  <r>
    <x v="3"/>
    <x v="1"/>
    <x v="1"/>
    <x v="3"/>
    <n v="88227"/>
    <s v="Scikit-learn, NumPy, Power BI, Azure, FastAPI, Reinforcement Learning"/>
    <s v="FastAPI, LangChain, TensorFlow"/>
    <x v="0"/>
  </r>
  <r>
    <x v="5"/>
    <x v="0"/>
    <x v="2"/>
    <x v="1"/>
    <n v="132807.5"/>
    <s v="Scikit-learn, NumPy, Reinforcement Learning, C++, LangChain"/>
    <s v="BigQuery, TensorFlow"/>
    <x v="0"/>
  </r>
  <r>
    <x v="0"/>
    <x v="7"/>
    <x v="2"/>
    <x v="1"/>
    <n v="115309.5"/>
    <s v="Scikit-learn, Pandas, FastAPI, AWS, Python"/>
    <s v="FastAPI, LangChain"/>
    <x v="2"/>
  </r>
  <r>
    <x v="2"/>
    <x v="0"/>
    <x v="0"/>
    <x v="3"/>
    <n v="90889"/>
    <s v="Scikit-learn, Pandas, GCP, Python, R"/>
    <s v="KDB+"/>
    <x v="1"/>
  </r>
  <r>
    <x v="2"/>
    <x v="1"/>
    <x v="2"/>
    <x v="3"/>
    <n v="176093"/>
    <s v="Scikit-learn, Pandas, Keras, Power BI, TensorFlow, LangChain"/>
    <s v="LangChain, PyTorch, KDB+"/>
    <x v="0"/>
  </r>
  <r>
    <x v="6"/>
    <x v="4"/>
    <x v="2"/>
    <x v="2"/>
    <n v="70174.5"/>
    <s v="Scikit-learn, Pandas, Python, Keras"/>
    <s v="Scikit-learn, KDB+"/>
    <x v="0"/>
  </r>
  <r>
    <x v="4"/>
    <x v="0"/>
    <x v="0"/>
    <x v="0"/>
    <n v="131594"/>
    <s v="Scikit-learn, Power BI, PyTorch, SQL, Excel, AWS"/>
    <s v="LangChain"/>
    <x v="1"/>
  </r>
  <r>
    <x v="4"/>
    <x v="0"/>
    <x v="1"/>
    <x v="3"/>
    <n v="89387.5"/>
    <s v="Scikit-learn, Power BI, R, Reinforcement Learning, Excel, Azure"/>
    <s v="KDB+"/>
    <x v="1"/>
  </r>
  <r>
    <x v="6"/>
    <x v="2"/>
    <x v="1"/>
    <x v="0"/>
    <n v="58720"/>
    <s v="Scikit-learn, Python, Excel, C++"/>
    <s v="KDB+, PyTorch, BigQuery"/>
    <x v="0"/>
  </r>
  <r>
    <x v="3"/>
    <x v="0"/>
    <x v="1"/>
    <x v="3"/>
    <n v="139252.5"/>
    <s v="Scikit-learn, Python, Hugging Face, Pandas, Keras, MLflow"/>
    <s v="BigQuery, MLflow"/>
    <x v="1"/>
  </r>
  <r>
    <x v="3"/>
    <x v="3"/>
    <x v="2"/>
    <x v="3"/>
    <n v="122171.5"/>
    <s v="Scikit-learn, PyTorch, CUDA"/>
    <s v="KDB+, TensorFlow, LangChain"/>
    <x v="0"/>
  </r>
  <r>
    <x v="2"/>
    <x v="0"/>
    <x v="2"/>
    <x v="1"/>
    <n v="162947.5"/>
    <s v="Scikit-learn, PyTorch, Flask, Azure"/>
    <s v="PyTorch, BigQuery"/>
    <x v="0"/>
  </r>
  <r>
    <x v="5"/>
    <x v="4"/>
    <x v="0"/>
    <x v="1"/>
    <n v="93975"/>
    <s v="Scikit-learn, PyTorch, Python"/>
    <s v="Scikit-learn"/>
    <x v="1"/>
  </r>
  <r>
    <x v="5"/>
    <x v="3"/>
    <x v="0"/>
    <x v="1"/>
    <n v="80851"/>
    <s v="Scikit-learn, PyTorch, Python, GCP"/>
    <s v="MLflow, KDB+"/>
    <x v="1"/>
  </r>
  <r>
    <x v="1"/>
    <x v="2"/>
    <x v="2"/>
    <x v="0"/>
    <n v="57113"/>
    <s v="Scikit-learn, PyTorch, R, FastAPI, Excel, NumPy"/>
    <s v="KDB+, BigQuery, FastAPI"/>
    <x v="1"/>
  </r>
  <r>
    <x v="2"/>
    <x v="4"/>
    <x v="2"/>
    <x v="0"/>
    <n v="155555"/>
    <s v="Scikit-learn, PyTorch, Reinforcement Learning, Flask, FastAPI, MLflow"/>
    <s v="MLflow, KDB+"/>
    <x v="1"/>
  </r>
  <r>
    <x v="0"/>
    <x v="4"/>
    <x v="2"/>
    <x v="3"/>
    <n v="146054.5"/>
    <s v="Scikit-learn, R, Power BI"/>
    <s v="PyTorch, LangChain, BigQuery"/>
    <x v="2"/>
  </r>
  <r>
    <x v="5"/>
    <x v="1"/>
    <x v="2"/>
    <x v="0"/>
    <n v="73875"/>
    <s v="Scikit-learn, R, TensorFlow, Power BI, Azure"/>
    <s v="PyTorch, LangChain"/>
    <x v="1"/>
  </r>
  <r>
    <x v="6"/>
    <x v="5"/>
    <x v="1"/>
    <x v="3"/>
    <n v="142426"/>
    <s v="Scikit-learn, R, TensorFlow, PyTorch"/>
    <s v="BigQuery, LangChain, MLflow"/>
    <x v="1"/>
  </r>
  <r>
    <x v="2"/>
    <x v="2"/>
    <x v="2"/>
    <x v="0"/>
    <n v="91535.5"/>
    <s v="Scikit-learn, Reinforcement Learning, Azure, Power BI, TensorFlow"/>
    <s v="LangChain"/>
    <x v="2"/>
  </r>
  <r>
    <x v="6"/>
    <x v="3"/>
    <x v="0"/>
    <x v="3"/>
    <n v="164165.5"/>
    <s v="Scikit-learn, Reinforcement Learning, NumPy, MLflow, Flask, Hugging Face"/>
    <s v="FastAPI"/>
    <x v="1"/>
  </r>
  <r>
    <x v="6"/>
    <x v="4"/>
    <x v="0"/>
    <x v="2"/>
    <n v="176149.5"/>
    <s v="Scikit-learn, Reinforcement Learning, Pandas, Azure, R, GCP"/>
    <s v="TensorFlow"/>
    <x v="2"/>
  </r>
  <r>
    <x v="5"/>
    <x v="4"/>
    <x v="1"/>
    <x v="3"/>
    <n v="120019"/>
    <s v="Scikit-learn, Reinforcement Learning, Pandas, LangChain, Python, CUDA"/>
    <s v="KDB+, Scikit-learn"/>
    <x v="0"/>
  </r>
  <r>
    <x v="5"/>
    <x v="0"/>
    <x v="0"/>
    <x v="0"/>
    <n v="120209"/>
    <s v="Scikit-learn, Reinforcement Learning, TensorFlow"/>
    <s v="KDB+, LangChain"/>
    <x v="1"/>
  </r>
  <r>
    <x v="2"/>
    <x v="3"/>
    <x v="0"/>
    <x v="1"/>
    <n v="116250"/>
    <s v="Scikit-learn, SQL, Azure"/>
    <s v="TensorFlow"/>
    <x v="0"/>
  </r>
  <r>
    <x v="3"/>
    <x v="7"/>
    <x v="1"/>
    <x v="1"/>
    <n v="155923"/>
    <s v="Scikit-learn, SQL, GCP, Hugging Face"/>
    <s v="MLflow"/>
    <x v="1"/>
  </r>
  <r>
    <x v="5"/>
    <x v="6"/>
    <x v="2"/>
    <x v="2"/>
    <n v="79599.5"/>
    <s v="Scikit-learn, SQL, Keras, GCP, AWS, NumPy"/>
    <s v="KDB+"/>
    <x v="2"/>
  </r>
  <r>
    <x v="1"/>
    <x v="4"/>
    <x v="0"/>
    <x v="0"/>
    <n v="169485.5"/>
    <s v="Scikit-learn, SQL, Python, Hugging Face"/>
    <s v="Scikit-learn, BigQuery"/>
    <x v="1"/>
  </r>
  <r>
    <x v="5"/>
    <x v="6"/>
    <x v="1"/>
    <x v="1"/>
    <n v="115231"/>
    <s v="Scikit-learn, TensorFlow, Azure, C++, Flask"/>
    <s v="FastAPI"/>
    <x v="1"/>
  </r>
  <r>
    <x v="3"/>
    <x v="4"/>
    <x v="1"/>
    <x v="3"/>
    <n v="115511"/>
    <s v="Scikit-learn, TensorFlow, Azure, CUDA"/>
    <s v="KDB+, TensorFlow, Scikit-learn"/>
    <x v="2"/>
  </r>
  <r>
    <x v="3"/>
    <x v="7"/>
    <x v="2"/>
    <x v="1"/>
    <n v="103469.5"/>
    <s v="Scikit-learn, TensorFlow, Excel, CUDA"/>
    <s v="MLflow, PyTorch, FastAPI"/>
    <x v="0"/>
  </r>
  <r>
    <x v="5"/>
    <x v="7"/>
    <x v="0"/>
    <x v="0"/>
    <n v="99267.5"/>
    <s v="Scikit-learn, TensorFlow, Power BI, SQL, Hugging Face, Excel"/>
    <s v="LangChain, TensorFlow"/>
    <x v="0"/>
  </r>
  <r>
    <x v="4"/>
    <x v="6"/>
    <x v="1"/>
    <x v="0"/>
    <n v="158500.5"/>
    <s v="Scikit-learn, TensorFlow, PyTorch, Python"/>
    <s v="MLflow, FastAPI"/>
    <x v="1"/>
  </r>
  <r>
    <x v="5"/>
    <x v="3"/>
    <x v="1"/>
    <x v="1"/>
    <n v="168770"/>
    <s v="SQL, AWS, Pandas, PyTorch, LangChain, C++"/>
    <s v="BigQuery"/>
    <x v="0"/>
  </r>
  <r>
    <x v="0"/>
    <x v="6"/>
    <x v="2"/>
    <x v="2"/>
    <n v="121848.5"/>
    <s v="SQL, AWS, Power BI"/>
    <s v="PyTorch"/>
    <x v="2"/>
  </r>
  <r>
    <x v="4"/>
    <x v="6"/>
    <x v="1"/>
    <x v="0"/>
    <n v="142225"/>
    <s v="SQL, AWS, Power BI, NumPy, Reinforcement Learning"/>
    <s v="FastAPI"/>
    <x v="0"/>
  </r>
  <r>
    <x v="0"/>
    <x v="7"/>
    <x v="2"/>
    <x v="1"/>
    <n v="170508.5"/>
    <s v="SQL, AWS, Python"/>
    <s v="Scikit-learn, BigQuery"/>
    <x v="0"/>
  </r>
  <r>
    <x v="4"/>
    <x v="6"/>
    <x v="2"/>
    <x v="2"/>
    <n v="85885.5"/>
    <s v="SQL, AWS, PyTorch, Scikit-learn"/>
    <s v="KDB+, LangChain, BigQuery"/>
    <x v="0"/>
  </r>
  <r>
    <x v="5"/>
    <x v="4"/>
    <x v="0"/>
    <x v="3"/>
    <n v="183357"/>
    <s v="SQL, AWS, TensorFlow"/>
    <s v="PyTorch"/>
    <x v="1"/>
  </r>
  <r>
    <x v="3"/>
    <x v="1"/>
    <x v="2"/>
    <x v="3"/>
    <n v="179766"/>
    <s v="SQL, Azure, MLflow, LangChain"/>
    <s v="KDB+"/>
    <x v="1"/>
  </r>
  <r>
    <x v="4"/>
    <x v="4"/>
    <x v="2"/>
    <x v="1"/>
    <n v="111185.5"/>
    <s v="SQL, Azure, Reinforcement Learning, C++"/>
    <s v="FastAPI"/>
    <x v="1"/>
  </r>
  <r>
    <x v="4"/>
    <x v="2"/>
    <x v="0"/>
    <x v="1"/>
    <n v="117930.5"/>
    <s v="SQL, C++, CUDA, GCP, Flask, Reinforcement Learning"/>
    <s v="BigQuery"/>
    <x v="1"/>
  </r>
  <r>
    <x v="4"/>
    <x v="3"/>
    <x v="1"/>
    <x v="2"/>
    <n v="123939"/>
    <s v="SQL, C++, Flask, Scikit-learn, Power BI, R"/>
    <s v="LangChain"/>
    <x v="0"/>
  </r>
  <r>
    <x v="4"/>
    <x v="7"/>
    <x v="1"/>
    <x v="3"/>
    <n v="104831"/>
    <s v="SQL, C++, R, Scikit-learn, NumPy"/>
    <s v="Scikit-learn"/>
    <x v="2"/>
  </r>
  <r>
    <x v="0"/>
    <x v="7"/>
    <x v="0"/>
    <x v="2"/>
    <n v="68634.5"/>
    <s v="SQL, CUDA, AWS"/>
    <s v="TensorFlow"/>
    <x v="0"/>
  </r>
  <r>
    <x v="5"/>
    <x v="0"/>
    <x v="0"/>
    <x v="3"/>
    <n v="160072"/>
    <s v="SQL, CUDA, Flask"/>
    <s v="Scikit-learn, BigQuery, MLflow"/>
    <x v="1"/>
  </r>
  <r>
    <x v="0"/>
    <x v="7"/>
    <x v="2"/>
    <x v="3"/>
    <n v="128309"/>
    <s v="SQL, CUDA, Flask, MLflow, TensorFlow"/>
    <s v="Scikit-learn, FastAPI, LangChain"/>
    <x v="1"/>
  </r>
  <r>
    <x v="1"/>
    <x v="4"/>
    <x v="2"/>
    <x v="0"/>
    <n v="68971.5"/>
    <s v="SQL, CUDA, GCP"/>
    <s v="FastAPI"/>
    <x v="2"/>
  </r>
  <r>
    <x v="0"/>
    <x v="3"/>
    <x v="2"/>
    <x v="2"/>
    <n v="184067"/>
    <s v="SQL, CUDA, LangChain, Scikit-learn, Reinforcement Learning"/>
    <s v="KDB+, LangChain, BigQuery"/>
    <x v="2"/>
  </r>
  <r>
    <x v="4"/>
    <x v="6"/>
    <x v="2"/>
    <x v="0"/>
    <n v="70330.5"/>
    <s v="SQL, CUDA, Reinforcement Learning, Excel"/>
    <s v="BigQuery, TensorFlow, KDB+"/>
    <x v="0"/>
  </r>
  <r>
    <x v="0"/>
    <x v="7"/>
    <x v="1"/>
    <x v="1"/>
    <n v="145110"/>
    <s v="SQL, CUDA, Scikit-learn, Keras, Power BI, R"/>
    <s v="TensorFlow, LangChain"/>
    <x v="1"/>
  </r>
  <r>
    <x v="2"/>
    <x v="5"/>
    <x v="2"/>
    <x v="2"/>
    <n v="145954.5"/>
    <s v="SQL, Excel, AWS, MLflow, TensorFlow, FastAPI"/>
    <s v="BigQuery"/>
    <x v="0"/>
  </r>
  <r>
    <x v="2"/>
    <x v="4"/>
    <x v="2"/>
    <x v="1"/>
    <n v="146938"/>
    <s v="SQL, Excel, Azure, PyTorch, Scikit-learn"/>
    <s v="Scikit-learn, LangChain, TensorFlow"/>
    <x v="0"/>
  </r>
  <r>
    <x v="6"/>
    <x v="5"/>
    <x v="0"/>
    <x v="1"/>
    <n v="114608.5"/>
    <s v="SQL, Excel, Flask, NumPy, FastAPI"/>
    <s v="TensorFlow, PyTorch"/>
    <x v="1"/>
  </r>
  <r>
    <x v="3"/>
    <x v="4"/>
    <x v="1"/>
    <x v="1"/>
    <n v="144470.5"/>
    <s v="SQL, Excel, Flask, Scikit-learn"/>
    <s v="BigQuery"/>
    <x v="0"/>
  </r>
  <r>
    <x v="4"/>
    <x v="4"/>
    <x v="2"/>
    <x v="2"/>
    <n v="153512"/>
    <s v="SQL, Excel, GCP, Keras, FastAPI, MLflow"/>
    <s v="KDB+, MLflow, TensorFlow"/>
    <x v="0"/>
  </r>
  <r>
    <x v="3"/>
    <x v="3"/>
    <x v="1"/>
    <x v="0"/>
    <n v="133033"/>
    <s v="SQL, Excel, LangChain, MLflow, Scikit-learn, Python"/>
    <s v="BigQuery, PyTorch"/>
    <x v="2"/>
  </r>
  <r>
    <x v="5"/>
    <x v="5"/>
    <x v="2"/>
    <x v="2"/>
    <n v="132648"/>
    <s v="SQL, Excel, Python"/>
    <s v="Scikit-learn, MLflow"/>
    <x v="1"/>
  </r>
  <r>
    <x v="3"/>
    <x v="7"/>
    <x v="0"/>
    <x v="0"/>
    <n v="121764"/>
    <s v="SQL, FastAPI, CUDA, GCP, LangChain, Scikit-learn"/>
    <s v="TensorFlow"/>
    <x v="0"/>
  </r>
  <r>
    <x v="0"/>
    <x v="6"/>
    <x v="0"/>
    <x v="0"/>
    <n v="92876.5"/>
    <s v="SQL, FastAPI, Excel, Keras"/>
    <s v="Scikit-learn, MLflow"/>
    <x v="0"/>
  </r>
  <r>
    <x v="2"/>
    <x v="3"/>
    <x v="0"/>
    <x v="3"/>
    <n v="145988"/>
    <s v="SQL, FastAPI, Flask, Hugging Face"/>
    <s v="LangChain, BigQuery"/>
    <x v="2"/>
  </r>
  <r>
    <x v="3"/>
    <x v="4"/>
    <x v="1"/>
    <x v="2"/>
    <n v="80347.5"/>
    <s v="SQL, FastAPI, LangChain, Scikit-learn, NumPy, TensorFlow"/>
    <s v="FastAPI, LangChain"/>
    <x v="0"/>
  </r>
  <r>
    <x v="1"/>
    <x v="4"/>
    <x v="0"/>
    <x v="2"/>
    <n v="64069"/>
    <s v="SQL, FastAPI, NumPy, TensorFlow, Keras, Reinforcement Learning"/>
    <s v="TensorFlow, MLflow"/>
    <x v="1"/>
  </r>
  <r>
    <x v="6"/>
    <x v="0"/>
    <x v="2"/>
    <x v="0"/>
    <n v="79767.5"/>
    <s v="SQL, Flask, AWS, Reinforcement Learning, FastAPI, LangChain"/>
    <s v="LangChain, KDB+, PyTorch"/>
    <x v="0"/>
  </r>
  <r>
    <x v="0"/>
    <x v="2"/>
    <x v="0"/>
    <x v="0"/>
    <n v="157780.5"/>
    <s v="SQL, Flask, Azure, LangChain"/>
    <s v="Scikit-learn"/>
    <x v="1"/>
  </r>
  <r>
    <x v="4"/>
    <x v="1"/>
    <x v="2"/>
    <x v="0"/>
    <n v="142097.5"/>
    <s v="SQL, Flask, C++"/>
    <s v="Scikit-learn, TensorFlow, PyTorch"/>
    <x v="1"/>
  </r>
  <r>
    <x v="5"/>
    <x v="6"/>
    <x v="1"/>
    <x v="1"/>
    <n v="137700.5"/>
    <s v="SQL, Flask, FastAPI, Pandas, Power BI"/>
    <s v="FastAPI, PyTorch, MLflow"/>
    <x v="1"/>
  </r>
  <r>
    <x v="0"/>
    <x v="0"/>
    <x v="1"/>
    <x v="1"/>
    <n v="70943.5"/>
    <s v="SQL, Flask, LangChain, Excel, Python"/>
    <s v="Scikit-learn, LangChain, KDB+"/>
    <x v="0"/>
  </r>
  <r>
    <x v="1"/>
    <x v="5"/>
    <x v="0"/>
    <x v="2"/>
    <n v="80322.5"/>
    <s v="SQL, Flask, NumPy, Power BI, Excel"/>
    <s v="KDB+"/>
    <x v="2"/>
  </r>
  <r>
    <x v="2"/>
    <x v="7"/>
    <x v="0"/>
    <x v="2"/>
    <n v="129249"/>
    <s v="SQL, Flask, Reinforcement Learning, C++"/>
    <s v="LangChain, BigQuery"/>
    <x v="0"/>
  </r>
  <r>
    <x v="4"/>
    <x v="4"/>
    <x v="0"/>
    <x v="2"/>
    <n v="126814"/>
    <s v="SQL, GCP, Excel, CUDA, R"/>
    <s v="BigQuery, KDB+"/>
    <x v="0"/>
  </r>
  <r>
    <x v="2"/>
    <x v="3"/>
    <x v="0"/>
    <x v="2"/>
    <n v="85976.5"/>
    <s v="SQL, GCP, PyTorch"/>
    <s v="KDB+, TensorFlow, PyTorch"/>
    <x v="0"/>
  </r>
  <r>
    <x v="4"/>
    <x v="6"/>
    <x v="2"/>
    <x v="3"/>
    <n v="119102"/>
    <s v="SQL, GCP, Reinforcement Learning, Python, Power BI, R"/>
    <s v="MLflow"/>
    <x v="2"/>
  </r>
  <r>
    <x v="2"/>
    <x v="3"/>
    <x v="1"/>
    <x v="0"/>
    <n v="133701.5"/>
    <s v="SQL, GCP, Scikit-learn"/>
    <s v="Scikit-learn, MLflow"/>
    <x v="0"/>
  </r>
  <r>
    <x v="1"/>
    <x v="4"/>
    <x v="1"/>
    <x v="1"/>
    <n v="140207"/>
    <s v="SQL, Hugging Face, Azure, C++, Keras, Flask"/>
    <s v="KDB+"/>
    <x v="1"/>
  </r>
  <r>
    <x v="4"/>
    <x v="0"/>
    <x v="1"/>
    <x v="3"/>
    <n v="57514.5"/>
    <s v="SQL, Hugging Face, CUDA, GCP, NumPy, C++"/>
    <s v="PyTorch, Scikit-learn"/>
    <x v="1"/>
  </r>
  <r>
    <x v="0"/>
    <x v="4"/>
    <x v="2"/>
    <x v="0"/>
    <n v="115892"/>
    <s v="SQL, Hugging Face, Keras, AWS, MLflow, R"/>
    <s v="LangChain, PyTorch, FastAPI"/>
    <x v="0"/>
  </r>
  <r>
    <x v="5"/>
    <x v="7"/>
    <x v="2"/>
    <x v="2"/>
    <n v="169570.5"/>
    <s v="SQL, Hugging Face, R, Python, Azure, LangChain"/>
    <s v="KDB+"/>
    <x v="1"/>
  </r>
  <r>
    <x v="6"/>
    <x v="1"/>
    <x v="2"/>
    <x v="2"/>
    <n v="137937.5"/>
    <s v="SQL, Hugging Face, TensorFlow"/>
    <s v="MLflow"/>
    <x v="0"/>
  </r>
  <r>
    <x v="4"/>
    <x v="0"/>
    <x v="1"/>
    <x v="1"/>
    <n v="166076"/>
    <s v="SQL, Keras, Pandas, GCP"/>
    <s v="FastAPI, KDB+"/>
    <x v="0"/>
  </r>
  <r>
    <x v="0"/>
    <x v="7"/>
    <x v="1"/>
    <x v="0"/>
    <n v="75202.5"/>
    <s v="SQL, Keras, Scikit-learn, NumPy"/>
    <s v="KDB+, FastAPI"/>
    <x v="1"/>
  </r>
  <r>
    <x v="5"/>
    <x v="7"/>
    <x v="1"/>
    <x v="0"/>
    <n v="102117.5"/>
    <s v="SQL, LangChain, AWS, NumPy, Azure"/>
    <s v="Scikit-learn, BigQuery, MLflow"/>
    <x v="0"/>
  </r>
  <r>
    <x v="2"/>
    <x v="4"/>
    <x v="2"/>
    <x v="2"/>
    <n v="94029.5"/>
    <s v="SQL, LangChain, Hugging Face, R"/>
    <s v="FastAPI"/>
    <x v="2"/>
  </r>
  <r>
    <x v="1"/>
    <x v="3"/>
    <x v="2"/>
    <x v="1"/>
    <n v="163111.5"/>
    <s v="SQL, LangChain, MLflow, AWS, Reinforcement Learning"/>
    <s v="MLflow"/>
    <x v="0"/>
  </r>
  <r>
    <x v="1"/>
    <x v="7"/>
    <x v="2"/>
    <x v="2"/>
    <n v="81886.5"/>
    <s v="SQL, MLflow, Keras"/>
    <s v="MLflow"/>
    <x v="2"/>
  </r>
  <r>
    <x v="1"/>
    <x v="3"/>
    <x v="0"/>
    <x v="1"/>
    <n v="124184"/>
    <s v="SQL, MLflow, Keras, TensorFlow, NumPy, Reinforcement Learning"/>
    <s v="KDB+, MLflow"/>
    <x v="0"/>
  </r>
  <r>
    <x v="6"/>
    <x v="0"/>
    <x v="1"/>
    <x v="2"/>
    <n v="85879.5"/>
    <s v="SQL, MLflow, LangChain"/>
    <s v="FastAPI, Scikit-learn"/>
    <x v="2"/>
  </r>
  <r>
    <x v="2"/>
    <x v="3"/>
    <x v="2"/>
    <x v="2"/>
    <n v="102836"/>
    <s v="SQL, MLflow, Pandas, CUDA, Scikit-learn"/>
    <s v="TensorFlow"/>
    <x v="0"/>
  </r>
  <r>
    <x v="4"/>
    <x v="2"/>
    <x v="1"/>
    <x v="3"/>
    <n v="148805"/>
    <s v="SQL, MLflow, Power BI, FastAPI, NumPy"/>
    <s v="FastAPI, BigQuery, MLflow"/>
    <x v="0"/>
  </r>
  <r>
    <x v="0"/>
    <x v="1"/>
    <x v="0"/>
    <x v="3"/>
    <n v="81089.5"/>
    <s v="SQL, MLflow, PyTorch, Power BI"/>
    <s v="LangChain"/>
    <x v="1"/>
  </r>
  <r>
    <x v="1"/>
    <x v="7"/>
    <x v="1"/>
    <x v="2"/>
    <n v="97635.5"/>
    <s v="SQL, MLflow, R"/>
    <s v="Scikit-learn"/>
    <x v="0"/>
  </r>
  <r>
    <x v="5"/>
    <x v="5"/>
    <x v="2"/>
    <x v="0"/>
    <n v="89251.5"/>
    <s v="SQL, NumPy, Excel, Pandas, Python"/>
    <s v="LangChain"/>
    <x v="0"/>
  </r>
  <r>
    <x v="1"/>
    <x v="5"/>
    <x v="2"/>
    <x v="0"/>
    <n v="143622"/>
    <s v="SQL, NumPy, GCP"/>
    <s v="MLflow, TensorFlow, PyTorch"/>
    <x v="2"/>
  </r>
  <r>
    <x v="3"/>
    <x v="2"/>
    <x v="2"/>
    <x v="0"/>
    <n v="69365.5"/>
    <s v="SQL, NumPy, Keras"/>
    <s v="Scikit-learn, FastAPI, LangChain"/>
    <x v="2"/>
  </r>
  <r>
    <x v="1"/>
    <x v="1"/>
    <x v="1"/>
    <x v="1"/>
    <n v="121584.5"/>
    <s v="SQL, NumPy, Python, Power BI, Scikit-learn"/>
    <s v="FastAPI"/>
    <x v="2"/>
  </r>
  <r>
    <x v="6"/>
    <x v="1"/>
    <x v="0"/>
    <x v="3"/>
    <n v="136008.5"/>
    <s v="SQL, NumPy, Scikit-learn"/>
    <s v="TensorFlow, LangChain"/>
    <x v="2"/>
  </r>
  <r>
    <x v="1"/>
    <x v="2"/>
    <x v="0"/>
    <x v="1"/>
    <n v="103486.5"/>
    <s v="SQL, Pandas, AWS, Power BI, Scikit-learn"/>
    <s v="Scikit-learn, PyTorch"/>
    <x v="1"/>
  </r>
  <r>
    <x v="3"/>
    <x v="1"/>
    <x v="1"/>
    <x v="3"/>
    <n v="114963"/>
    <s v="SQL, Pandas, CUDA, LangChain, Excel"/>
    <s v="TensorFlow, MLflow"/>
    <x v="2"/>
  </r>
  <r>
    <x v="5"/>
    <x v="5"/>
    <x v="0"/>
    <x v="0"/>
    <n v="77141.5"/>
    <s v="SQL, Pandas, Excel"/>
    <s v="LangChain, KDB+"/>
    <x v="2"/>
  </r>
  <r>
    <x v="4"/>
    <x v="7"/>
    <x v="1"/>
    <x v="0"/>
    <n v="54915"/>
    <s v="SQL, Pandas, FastAPI, C++, Keras, Python"/>
    <s v="MLflow, Scikit-learn, LangChain"/>
    <x v="0"/>
  </r>
  <r>
    <x v="4"/>
    <x v="0"/>
    <x v="1"/>
    <x v="2"/>
    <n v="94569"/>
    <s v="SQL, Pandas, Flask"/>
    <s v="FastAPI, MLflow, BigQuery"/>
    <x v="1"/>
  </r>
  <r>
    <x v="5"/>
    <x v="5"/>
    <x v="0"/>
    <x v="0"/>
    <n v="94761.5"/>
    <s v="SQL, Pandas, Power BI, FastAPI"/>
    <s v="MLflow"/>
    <x v="0"/>
  </r>
  <r>
    <x v="5"/>
    <x v="3"/>
    <x v="0"/>
    <x v="1"/>
    <n v="177123.5"/>
    <s v="SQL, Power BI, Excel, Reinforcement Learning"/>
    <s v="FastAPI, KDB+"/>
    <x v="2"/>
  </r>
  <r>
    <x v="2"/>
    <x v="1"/>
    <x v="2"/>
    <x v="1"/>
    <n v="109995"/>
    <s v="SQL, Power BI, Reinforcement Learning, Keras"/>
    <s v="Scikit-learn, TensorFlow, FastAPI"/>
    <x v="2"/>
  </r>
  <r>
    <x v="5"/>
    <x v="2"/>
    <x v="2"/>
    <x v="3"/>
    <n v="92728"/>
    <s v="SQL, Python, C++, MLflow, CUDA"/>
    <s v="PyTorch"/>
    <x v="0"/>
  </r>
  <r>
    <x v="2"/>
    <x v="1"/>
    <x v="1"/>
    <x v="2"/>
    <n v="152401.5"/>
    <s v="SQL, Python, CUDA, FastAPI, TensorFlow"/>
    <s v="MLflow, Scikit-learn, FastAPI"/>
    <x v="2"/>
  </r>
  <r>
    <x v="0"/>
    <x v="7"/>
    <x v="0"/>
    <x v="1"/>
    <n v="88199.5"/>
    <s v="SQL, Python, Excel, Flask"/>
    <s v="TensorFlow, KDB+, BigQuery"/>
    <x v="1"/>
  </r>
  <r>
    <x v="1"/>
    <x v="2"/>
    <x v="1"/>
    <x v="2"/>
    <n v="100537.5"/>
    <s v="SQL, Python, MLflow"/>
    <s v="MLflow"/>
    <x v="1"/>
  </r>
  <r>
    <x v="5"/>
    <x v="2"/>
    <x v="1"/>
    <x v="2"/>
    <n v="162148.5"/>
    <s v="SQL, PyTorch, Keras, Reinforcement Learning, C++, Hugging Face"/>
    <s v="TensorFlow, LangChain"/>
    <x v="0"/>
  </r>
  <r>
    <x v="4"/>
    <x v="1"/>
    <x v="2"/>
    <x v="0"/>
    <n v="60168.5"/>
    <s v="SQL, R, AWS"/>
    <s v="MLflow, BigQuery, FastAPI"/>
    <x v="1"/>
  </r>
  <r>
    <x v="5"/>
    <x v="4"/>
    <x v="2"/>
    <x v="2"/>
    <n v="66068"/>
    <s v="SQL, R, Keras"/>
    <s v="KDB+, MLflow"/>
    <x v="2"/>
  </r>
  <r>
    <x v="3"/>
    <x v="0"/>
    <x v="2"/>
    <x v="3"/>
    <n v="120906"/>
    <s v="SQL, R, MLflow, Flask, Reinforcement Learning, Python"/>
    <s v="BigQuery, LangChain, KDB+"/>
    <x v="2"/>
  </r>
  <r>
    <x v="2"/>
    <x v="7"/>
    <x v="0"/>
    <x v="0"/>
    <n v="112857.5"/>
    <s v="SQL, R, TensorFlow, Flask"/>
    <s v="KDB+, LangChain"/>
    <x v="1"/>
  </r>
  <r>
    <x v="5"/>
    <x v="2"/>
    <x v="1"/>
    <x v="2"/>
    <n v="154142.5"/>
    <s v="SQL, Reinforcement Learning, LangChain, R"/>
    <s v="PyTorch, KDB+"/>
    <x v="0"/>
  </r>
  <r>
    <x v="2"/>
    <x v="2"/>
    <x v="2"/>
    <x v="0"/>
    <n v="178767"/>
    <s v="SQL, Reinforcement Learning, Python"/>
    <s v="FastAPI, TensorFlow"/>
    <x v="2"/>
  </r>
  <r>
    <x v="2"/>
    <x v="3"/>
    <x v="0"/>
    <x v="1"/>
    <n v="103684"/>
    <s v="SQL, Scikit-learn, FastAPI, GCP"/>
    <s v="MLflow, TensorFlow"/>
    <x v="1"/>
  </r>
  <r>
    <x v="1"/>
    <x v="4"/>
    <x v="2"/>
    <x v="2"/>
    <n v="112145"/>
    <s v="SQL, Scikit-learn, GCP"/>
    <s v="LangChain, BigQuery, MLflow"/>
    <x v="0"/>
  </r>
  <r>
    <x v="4"/>
    <x v="7"/>
    <x v="1"/>
    <x v="3"/>
    <n v="139389"/>
    <s v="SQL, Scikit-learn, Reinforcement Learning, MLflow, Pandas"/>
    <s v="MLflow, LangChain"/>
    <x v="2"/>
  </r>
  <r>
    <x v="4"/>
    <x v="3"/>
    <x v="2"/>
    <x v="3"/>
    <n v="127382"/>
    <s v="SQL, Scikit-learn, TensorFlow, LangChain, R, Power BI"/>
    <s v="MLflow, TensorFlow, Scikit-learn"/>
    <x v="0"/>
  </r>
  <r>
    <x v="1"/>
    <x v="3"/>
    <x v="1"/>
    <x v="2"/>
    <n v="91205.5"/>
    <s v="SQL, TensorFlow, AWS, Reinforcement Learning, GCP, NumPy"/>
    <s v="PyTorch"/>
    <x v="2"/>
  </r>
  <r>
    <x v="4"/>
    <x v="4"/>
    <x v="2"/>
    <x v="1"/>
    <n v="153416"/>
    <s v="SQL, TensorFlow, CUDA"/>
    <s v="MLflow"/>
    <x v="2"/>
  </r>
  <r>
    <x v="5"/>
    <x v="4"/>
    <x v="1"/>
    <x v="2"/>
    <n v="159685"/>
    <s v="TensorFlow, AWS, Azure"/>
    <s v="FastAPI, LangChain, PyTorch"/>
    <x v="2"/>
  </r>
  <r>
    <x v="5"/>
    <x v="3"/>
    <x v="2"/>
    <x v="3"/>
    <n v="80896.5"/>
    <s v="TensorFlow, AWS, Flask"/>
    <s v="KDB+"/>
    <x v="1"/>
  </r>
  <r>
    <x v="5"/>
    <x v="0"/>
    <x v="0"/>
    <x v="3"/>
    <n v="180953"/>
    <s v="TensorFlow, Azure, C++, Scikit-learn, Python, Flask"/>
    <s v="Scikit-learn, FastAPI, BigQuery"/>
    <x v="0"/>
  </r>
  <r>
    <x v="6"/>
    <x v="1"/>
    <x v="2"/>
    <x v="1"/>
    <n v="105038.5"/>
    <s v="TensorFlow, Azure, LangChain, Flask, Excel"/>
    <s v="Scikit-learn"/>
    <x v="0"/>
  </r>
  <r>
    <x v="6"/>
    <x v="6"/>
    <x v="0"/>
    <x v="0"/>
    <n v="68255.5"/>
    <s v="TensorFlow, C++, AWS, CUDA"/>
    <s v="KDB+, TensorFlow"/>
    <x v="2"/>
  </r>
  <r>
    <x v="4"/>
    <x v="5"/>
    <x v="0"/>
    <x v="1"/>
    <n v="108195"/>
    <s v="TensorFlow, C++, AWS, GCP"/>
    <s v="BigQuery, MLflow"/>
    <x v="2"/>
  </r>
  <r>
    <x v="6"/>
    <x v="4"/>
    <x v="0"/>
    <x v="0"/>
    <n v="149986"/>
    <s v="TensorFlow, C++, Excel, FastAPI, Pandas"/>
    <s v="PyTorch"/>
    <x v="1"/>
  </r>
  <r>
    <x v="2"/>
    <x v="1"/>
    <x v="1"/>
    <x v="0"/>
    <n v="183423"/>
    <s v="TensorFlow, C++, Excel, LangChain, Power BI, Azure"/>
    <s v="FastAPI"/>
    <x v="2"/>
  </r>
  <r>
    <x v="5"/>
    <x v="6"/>
    <x v="0"/>
    <x v="3"/>
    <n v="126027"/>
    <s v="TensorFlow, C++, Pandas"/>
    <s v="TensorFlow, KDB+"/>
    <x v="0"/>
  </r>
  <r>
    <x v="2"/>
    <x v="7"/>
    <x v="2"/>
    <x v="0"/>
    <n v="89857.5"/>
    <s v="TensorFlow, C++, SQL, Hugging Face, Flask, Power BI"/>
    <s v="BigQuery"/>
    <x v="0"/>
  </r>
  <r>
    <x v="1"/>
    <x v="1"/>
    <x v="0"/>
    <x v="0"/>
    <n v="157438"/>
    <s v="TensorFlow, CUDA, Excel, C++, Pandas"/>
    <s v="FastAPI, MLflow"/>
    <x v="0"/>
  </r>
  <r>
    <x v="6"/>
    <x v="6"/>
    <x v="1"/>
    <x v="0"/>
    <n v="185745.5"/>
    <s v="TensorFlow, CUDA, MLflow"/>
    <s v="TensorFlow, BigQuery"/>
    <x v="1"/>
  </r>
  <r>
    <x v="6"/>
    <x v="6"/>
    <x v="1"/>
    <x v="0"/>
    <n v="147760.5"/>
    <s v="TensorFlow, CUDA, Pandas, Hugging Face, PyTorch, MLflow"/>
    <s v="KDB+"/>
    <x v="2"/>
  </r>
  <r>
    <x v="0"/>
    <x v="0"/>
    <x v="0"/>
    <x v="0"/>
    <n v="97428.5"/>
    <s v="TensorFlow, CUDA, Reinforcement Learning, Flask, R"/>
    <s v="FastAPI, PyTorch"/>
    <x v="1"/>
  </r>
  <r>
    <x v="2"/>
    <x v="5"/>
    <x v="0"/>
    <x v="0"/>
    <n v="141233.5"/>
    <s v="TensorFlow, CUDA, Reinforcement Learning, GCP, Excel"/>
    <s v="PyTorch"/>
    <x v="1"/>
  </r>
  <r>
    <x v="1"/>
    <x v="3"/>
    <x v="0"/>
    <x v="0"/>
    <n v="143311"/>
    <s v="TensorFlow, Excel, Azure, GCP"/>
    <s v="BigQuery, FastAPI"/>
    <x v="0"/>
  </r>
  <r>
    <x v="5"/>
    <x v="7"/>
    <x v="1"/>
    <x v="3"/>
    <n v="153856"/>
    <s v="TensorFlow, Excel, LangChain"/>
    <s v="BigQuery"/>
    <x v="0"/>
  </r>
  <r>
    <x v="4"/>
    <x v="3"/>
    <x v="2"/>
    <x v="1"/>
    <n v="91656.5"/>
    <s v="TensorFlow, Excel, LangChain"/>
    <s v="KDB+, FastAPI, PyTorch"/>
    <x v="1"/>
  </r>
  <r>
    <x v="2"/>
    <x v="6"/>
    <x v="1"/>
    <x v="2"/>
    <n v="87289.5"/>
    <s v="TensorFlow, Excel, NumPy, Reinforcement Learning, MLflow, Power BI"/>
    <s v="BigQuery"/>
    <x v="0"/>
  </r>
  <r>
    <x v="1"/>
    <x v="4"/>
    <x v="2"/>
    <x v="3"/>
    <n v="154934.5"/>
    <s v="TensorFlow, Excel, Scikit-learn, Azure, R, Pandas"/>
    <s v="TensorFlow"/>
    <x v="1"/>
  </r>
  <r>
    <x v="2"/>
    <x v="7"/>
    <x v="2"/>
    <x v="1"/>
    <n v="117190"/>
    <s v="TensorFlow, FastAPI, AWS"/>
    <s v="Scikit-learn"/>
    <x v="1"/>
  </r>
  <r>
    <x v="5"/>
    <x v="4"/>
    <x v="1"/>
    <x v="2"/>
    <n v="133597"/>
    <s v="TensorFlow, FastAPI, Excel, GCP"/>
    <s v="Scikit-learn, TensorFlow, KDB+"/>
    <x v="0"/>
  </r>
  <r>
    <x v="0"/>
    <x v="4"/>
    <x v="2"/>
    <x v="3"/>
    <n v="154335.5"/>
    <s v="TensorFlow, FastAPI, PyTorch, Hugging Face, Pandas"/>
    <s v="TensorFlow, LangChain, Scikit-learn"/>
    <x v="1"/>
  </r>
  <r>
    <x v="3"/>
    <x v="4"/>
    <x v="1"/>
    <x v="0"/>
    <n v="179275"/>
    <s v="TensorFlow, FastAPI, SQL, Keras"/>
    <s v="KDB+"/>
    <x v="1"/>
  </r>
  <r>
    <x v="0"/>
    <x v="1"/>
    <x v="0"/>
    <x v="0"/>
    <n v="85420"/>
    <s v="TensorFlow, Flask, AWS, Python"/>
    <s v="TensorFlow"/>
    <x v="2"/>
  </r>
  <r>
    <x v="0"/>
    <x v="7"/>
    <x v="0"/>
    <x v="1"/>
    <n v="87623.5"/>
    <s v="TensorFlow, Flask, GCP, Pandas"/>
    <s v="LangChain, BigQuery, MLflow"/>
    <x v="2"/>
  </r>
  <r>
    <x v="0"/>
    <x v="4"/>
    <x v="2"/>
    <x v="0"/>
    <n v="129018.5"/>
    <s v="TensorFlow, Flask, NumPy, GCP"/>
    <s v="TensorFlow"/>
    <x v="1"/>
  </r>
  <r>
    <x v="5"/>
    <x v="7"/>
    <x v="0"/>
    <x v="1"/>
    <n v="126301.5"/>
    <s v="TensorFlow, GCP, CUDA, R"/>
    <s v="LangChain"/>
    <x v="2"/>
  </r>
  <r>
    <x v="1"/>
    <x v="2"/>
    <x v="1"/>
    <x v="0"/>
    <n v="111453"/>
    <s v="TensorFlow, GCP, Flask, Excel"/>
    <s v="MLflow, PyTorch"/>
    <x v="1"/>
  </r>
  <r>
    <x v="0"/>
    <x v="3"/>
    <x v="0"/>
    <x v="2"/>
    <n v="131137.5"/>
    <s v="TensorFlow, GCP, Power BI, FastAPI, Pandas, R"/>
    <s v="LangChain"/>
    <x v="1"/>
  </r>
  <r>
    <x v="0"/>
    <x v="5"/>
    <x v="2"/>
    <x v="3"/>
    <n v="82159"/>
    <s v="TensorFlow, GCP, Python"/>
    <s v="BigQuery"/>
    <x v="1"/>
  </r>
  <r>
    <x v="1"/>
    <x v="4"/>
    <x v="1"/>
    <x v="0"/>
    <n v="119542.5"/>
    <s v="TensorFlow, GCP, Reinforcement Learning, Hugging Face"/>
    <s v="PyTorch, TensorFlow, KDB+"/>
    <x v="0"/>
  </r>
  <r>
    <x v="2"/>
    <x v="4"/>
    <x v="0"/>
    <x v="1"/>
    <n v="149931.5"/>
    <s v="TensorFlow, Hugging Face, CUDA, PyTorch"/>
    <s v="BigQuery, MLflow, FastAPI"/>
    <x v="1"/>
  </r>
  <r>
    <x v="1"/>
    <x v="1"/>
    <x v="2"/>
    <x v="0"/>
    <n v="96864.5"/>
    <s v="TensorFlow, Hugging Face, LangChain"/>
    <s v="PyTorch, LangChain, TensorFlow"/>
    <x v="2"/>
  </r>
  <r>
    <x v="5"/>
    <x v="2"/>
    <x v="1"/>
    <x v="0"/>
    <n v="137878.5"/>
    <s v="TensorFlow, Hugging Face, MLflow, GCP, PyTorch"/>
    <s v="FastAPI, TensorFlow"/>
    <x v="2"/>
  </r>
  <r>
    <x v="0"/>
    <x v="6"/>
    <x v="2"/>
    <x v="0"/>
    <n v="117540.5"/>
    <s v="TensorFlow, Hugging Face, Pandas, Flask, Reinforcement Learning, Keras"/>
    <s v="FastAPI"/>
    <x v="2"/>
  </r>
  <r>
    <x v="5"/>
    <x v="1"/>
    <x v="2"/>
    <x v="2"/>
    <n v="175712"/>
    <s v="TensorFlow, Hugging Face, R"/>
    <s v="Scikit-learn"/>
    <x v="1"/>
  </r>
  <r>
    <x v="5"/>
    <x v="3"/>
    <x v="2"/>
    <x v="2"/>
    <n v="128034.5"/>
    <s v="TensorFlow, Hugging Face, Scikit-learn"/>
    <s v="KDB+, MLflow, FastAPI"/>
    <x v="1"/>
  </r>
  <r>
    <x v="1"/>
    <x v="5"/>
    <x v="2"/>
    <x v="1"/>
    <n v="92841"/>
    <s v="TensorFlow, Keras, Python, FastAPI"/>
    <s v="LangChain, FastAPI, TensorFlow"/>
    <x v="0"/>
  </r>
  <r>
    <x v="6"/>
    <x v="7"/>
    <x v="0"/>
    <x v="3"/>
    <n v="182411.5"/>
    <s v="TensorFlow, Keras, PyTorch, AWS, Scikit-learn"/>
    <s v="BigQuery"/>
    <x v="2"/>
  </r>
  <r>
    <x v="6"/>
    <x v="3"/>
    <x v="1"/>
    <x v="0"/>
    <n v="129663.5"/>
    <s v="TensorFlow, Keras, PyTorch, Reinforcement Learning"/>
    <s v="PyTorch, Scikit-learn"/>
    <x v="0"/>
  </r>
  <r>
    <x v="0"/>
    <x v="1"/>
    <x v="2"/>
    <x v="0"/>
    <n v="168212"/>
    <s v="TensorFlow, Keras, R"/>
    <s v="MLflow, TensorFlow, KDB+"/>
    <x v="2"/>
  </r>
  <r>
    <x v="3"/>
    <x v="1"/>
    <x v="1"/>
    <x v="3"/>
    <n v="157524.5"/>
    <s v="TensorFlow, LangChain, AWS"/>
    <s v="TensorFlow, KDB+, FastAPI"/>
    <x v="0"/>
  </r>
  <r>
    <x v="5"/>
    <x v="1"/>
    <x v="1"/>
    <x v="0"/>
    <n v="182201"/>
    <s v="TensorFlow, LangChain, Hugging Face"/>
    <s v="Scikit-learn, KDB+, FastAPI"/>
    <x v="2"/>
  </r>
  <r>
    <x v="3"/>
    <x v="1"/>
    <x v="0"/>
    <x v="1"/>
    <n v="92378"/>
    <s v="TensorFlow, LangChain, Keras, Scikit-learn, Excel, C++"/>
    <s v="MLflow"/>
    <x v="1"/>
  </r>
  <r>
    <x v="1"/>
    <x v="2"/>
    <x v="0"/>
    <x v="2"/>
    <n v="119857"/>
    <s v="TensorFlow, LangChain, PyTorch, Power BI, R"/>
    <s v="KDB+, PyTorch, MLflow"/>
    <x v="1"/>
  </r>
  <r>
    <x v="4"/>
    <x v="3"/>
    <x v="0"/>
    <x v="0"/>
    <n v="168659"/>
    <s v="TensorFlow, MLflow, C++, Flask, SQL, GCP"/>
    <s v="BigQuery, MLflow"/>
    <x v="1"/>
  </r>
  <r>
    <x v="3"/>
    <x v="2"/>
    <x v="0"/>
    <x v="2"/>
    <n v="188486"/>
    <s v="TensorFlow, MLflow, CUDA"/>
    <s v="MLflow, TensorFlow, FastAPI"/>
    <x v="2"/>
  </r>
  <r>
    <x v="4"/>
    <x v="5"/>
    <x v="2"/>
    <x v="3"/>
    <n v="101853"/>
    <s v="TensorFlow, MLflow, SQL, Flask, CUDA, C++"/>
    <s v="KDB+, PyTorch"/>
    <x v="2"/>
  </r>
  <r>
    <x v="2"/>
    <x v="0"/>
    <x v="2"/>
    <x v="3"/>
    <n v="100350"/>
    <s v="TensorFlow, MLflow, SQL, PyTorch"/>
    <s v="MLflow"/>
    <x v="2"/>
  </r>
  <r>
    <x v="3"/>
    <x v="2"/>
    <x v="1"/>
    <x v="0"/>
    <n v="122145"/>
    <s v="TensorFlow, NumPy, Azure, LangChain, AWS"/>
    <s v="MLflow"/>
    <x v="1"/>
  </r>
  <r>
    <x v="1"/>
    <x v="6"/>
    <x v="1"/>
    <x v="3"/>
    <n v="145816.5"/>
    <s v="TensorFlow, NumPy, CUDA, Power BI"/>
    <s v="TensorFlow, Scikit-learn, MLflow"/>
    <x v="2"/>
  </r>
  <r>
    <x v="5"/>
    <x v="6"/>
    <x v="0"/>
    <x v="3"/>
    <n v="140928.5"/>
    <s v="TensorFlow, NumPy, CUDA, Python, AWS, Pandas"/>
    <s v="MLflow"/>
    <x v="0"/>
  </r>
  <r>
    <x v="5"/>
    <x v="5"/>
    <x v="0"/>
    <x v="2"/>
    <n v="92446"/>
    <s v="TensorFlow, NumPy, FastAPI"/>
    <s v="BigQuery, LangChain, MLflow"/>
    <x v="0"/>
  </r>
  <r>
    <x v="6"/>
    <x v="2"/>
    <x v="0"/>
    <x v="0"/>
    <n v="181485"/>
    <s v="TensorFlow, NumPy, GCP, Power BI, FastAPI"/>
    <s v="PyTorch"/>
    <x v="0"/>
  </r>
  <r>
    <x v="3"/>
    <x v="6"/>
    <x v="1"/>
    <x v="3"/>
    <n v="78827.5"/>
    <s v="TensorFlow, NumPy, Pandas, PyTorch, Azure"/>
    <s v="KDB+, FastAPI, Scikit-learn"/>
    <x v="1"/>
  </r>
  <r>
    <x v="3"/>
    <x v="6"/>
    <x v="0"/>
    <x v="0"/>
    <n v="164225"/>
    <s v="TensorFlow, Pandas, Excel, LangChain, MLflow"/>
    <s v="MLflow, BigQuery"/>
    <x v="1"/>
  </r>
  <r>
    <x v="0"/>
    <x v="0"/>
    <x v="2"/>
    <x v="3"/>
    <n v="136902"/>
    <s v="TensorFlow, Pandas, Flask, Reinforcement Learning, Azure"/>
    <s v="MLflow, TensorFlow"/>
    <x v="1"/>
  </r>
  <r>
    <x v="2"/>
    <x v="5"/>
    <x v="0"/>
    <x v="3"/>
    <n v="173148"/>
    <s v="TensorFlow, Pandas, Keras, R"/>
    <s v="PyTorch"/>
    <x v="0"/>
  </r>
  <r>
    <x v="1"/>
    <x v="0"/>
    <x v="1"/>
    <x v="1"/>
    <n v="154499.5"/>
    <s v="TensorFlow, Pandas, Power BI, AWS, Keras, Reinforcement Learning"/>
    <s v="LangChain"/>
    <x v="1"/>
  </r>
  <r>
    <x v="5"/>
    <x v="7"/>
    <x v="0"/>
    <x v="1"/>
    <n v="59611"/>
    <s v="TensorFlow, Pandas, Reinforcement Learning"/>
    <s v="KDB+, PyTorch, FastAPI"/>
    <x v="0"/>
  </r>
  <r>
    <x v="0"/>
    <x v="4"/>
    <x v="1"/>
    <x v="1"/>
    <n v="185276"/>
    <s v="TensorFlow, Power BI, Azure, Flask, Reinforcement Learning, R"/>
    <s v="PyTorch, BigQuery, TensorFlow"/>
    <x v="2"/>
  </r>
  <r>
    <x v="4"/>
    <x v="2"/>
    <x v="2"/>
    <x v="1"/>
    <n v="113658"/>
    <s v="TensorFlow, Power BI, FastAPI, LangChain, Scikit-learn, Python"/>
    <s v="BigQuery, KDB+, LangChain"/>
    <x v="1"/>
  </r>
  <r>
    <x v="6"/>
    <x v="2"/>
    <x v="0"/>
    <x v="0"/>
    <n v="142413.5"/>
    <s v="TensorFlow, Power BI, GCP, Flask, Keras, Pandas"/>
    <s v="FastAPI, BigQuery, TensorFlow"/>
    <x v="1"/>
  </r>
  <r>
    <x v="3"/>
    <x v="3"/>
    <x v="0"/>
    <x v="2"/>
    <n v="74229.5"/>
    <s v="TensorFlow, Power BI, MLflow, Flask, CUDA, Reinforcement Learning"/>
    <s v="BigQuery, FastAPI, MLflow"/>
    <x v="2"/>
  </r>
  <r>
    <x v="4"/>
    <x v="4"/>
    <x v="1"/>
    <x v="0"/>
    <n v="90614"/>
    <s v="TensorFlow, Power BI, Python, Keras, AWS"/>
    <s v="Scikit-learn"/>
    <x v="2"/>
  </r>
  <r>
    <x v="0"/>
    <x v="5"/>
    <x v="2"/>
    <x v="0"/>
    <n v="95808"/>
    <s v="TensorFlow, Power BI, PyTorch"/>
    <s v="BigQuery"/>
    <x v="1"/>
  </r>
  <r>
    <x v="6"/>
    <x v="7"/>
    <x v="2"/>
    <x v="2"/>
    <n v="145832"/>
    <s v="TensorFlow, Power BI, Reinforcement Learning, NumPy, CUDA, Excel"/>
    <s v="LangChain, Scikit-learn, FastAPI"/>
    <x v="0"/>
  </r>
  <r>
    <x v="4"/>
    <x v="5"/>
    <x v="0"/>
    <x v="2"/>
    <n v="117462"/>
    <s v="TensorFlow, Power BI, Scikit-learn, Excel"/>
    <s v="FastAPI, PyTorch"/>
    <x v="1"/>
  </r>
  <r>
    <x v="6"/>
    <x v="1"/>
    <x v="2"/>
    <x v="3"/>
    <n v="129528"/>
    <s v="TensorFlow, Power BI, Scikit-learn, Python, GCP, SQL"/>
    <s v="LangChain"/>
    <x v="2"/>
  </r>
  <r>
    <x v="0"/>
    <x v="2"/>
    <x v="0"/>
    <x v="2"/>
    <n v="135997"/>
    <s v="TensorFlow, Python, AWS, Power BI, NumPy"/>
    <s v="Scikit-learn"/>
    <x v="0"/>
  </r>
  <r>
    <x v="5"/>
    <x v="6"/>
    <x v="1"/>
    <x v="0"/>
    <n v="119144.5"/>
    <s v="TensorFlow, Python, AWS, Reinforcement Learning, NumPy, CUDA"/>
    <s v="TensorFlow"/>
    <x v="2"/>
  </r>
  <r>
    <x v="3"/>
    <x v="2"/>
    <x v="1"/>
    <x v="1"/>
    <n v="126317.5"/>
    <s v="TensorFlow, Python, CUDA"/>
    <s v="PyTorch, MLflow"/>
    <x v="1"/>
  </r>
  <r>
    <x v="3"/>
    <x v="5"/>
    <x v="2"/>
    <x v="0"/>
    <n v="107572.5"/>
    <s v="TensorFlow, Python, Reinforcement Learning"/>
    <s v="PyTorch, Scikit-learn, KDB+"/>
    <x v="0"/>
  </r>
  <r>
    <x v="5"/>
    <x v="3"/>
    <x v="0"/>
    <x v="1"/>
    <n v="142798"/>
    <s v="TensorFlow, Python, SQL"/>
    <s v="KDB+"/>
    <x v="2"/>
  </r>
  <r>
    <x v="6"/>
    <x v="3"/>
    <x v="0"/>
    <x v="1"/>
    <n v="188367"/>
    <s v="TensorFlow, PyTorch, C++"/>
    <s v="LangChain, FastAPI"/>
    <x v="1"/>
  </r>
  <r>
    <x v="3"/>
    <x v="1"/>
    <x v="1"/>
    <x v="1"/>
    <n v="49666"/>
    <s v="TensorFlow, PyTorch, FastAPI, Hugging Face, LangChain, AWS"/>
    <s v="TensorFlow, PyTorch, LangChain"/>
    <x v="2"/>
  </r>
  <r>
    <x v="6"/>
    <x v="5"/>
    <x v="2"/>
    <x v="0"/>
    <n v="153126"/>
    <s v="TensorFlow, PyTorch, LangChain"/>
    <s v="KDB+"/>
    <x v="0"/>
  </r>
  <r>
    <x v="3"/>
    <x v="7"/>
    <x v="1"/>
    <x v="1"/>
    <n v="129986.5"/>
    <s v="TensorFlow, PyTorch, Pandas, Excel, Scikit-learn, MLflow"/>
    <s v="MLflow, KDB+"/>
    <x v="0"/>
  </r>
  <r>
    <x v="3"/>
    <x v="5"/>
    <x v="2"/>
    <x v="1"/>
    <n v="64953"/>
    <s v="TensorFlow, R, FastAPI, Pandas, Power BI"/>
    <s v="MLflow, Scikit-learn"/>
    <x v="2"/>
  </r>
  <r>
    <x v="6"/>
    <x v="3"/>
    <x v="2"/>
    <x v="0"/>
    <n v="96385.5"/>
    <s v="TensorFlow, R, Hugging Face"/>
    <s v="Scikit-learn"/>
    <x v="0"/>
  </r>
  <r>
    <x v="0"/>
    <x v="4"/>
    <x v="1"/>
    <x v="0"/>
    <n v="117946"/>
    <s v="TensorFlow, R, Python"/>
    <s v="MLflow, KDB+"/>
    <x v="1"/>
  </r>
  <r>
    <x v="0"/>
    <x v="5"/>
    <x v="0"/>
    <x v="3"/>
    <n v="164119"/>
    <s v="TensorFlow, Reinforcement Learning, C++, Power BI, LangChain"/>
    <s v="TensorFlow, LangChain"/>
    <x v="2"/>
  </r>
  <r>
    <x v="4"/>
    <x v="4"/>
    <x v="0"/>
    <x v="2"/>
    <n v="111165"/>
    <s v="TensorFlow, Reinforcement Learning, LangChain"/>
    <s v="FastAPI"/>
    <x v="2"/>
  </r>
  <r>
    <x v="0"/>
    <x v="0"/>
    <x v="2"/>
    <x v="3"/>
    <n v="128609.5"/>
    <s v="TensorFlow, Reinforcement Learning, Python, AWS, Pandas, Power BI"/>
    <s v="TensorFlow, KDB+, Scikit-learn"/>
    <x v="2"/>
  </r>
  <r>
    <x v="3"/>
    <x v="2"/>
    <x v="0"/>
    <x v="2"/>
    <n v="108784.5"/>
    <s v="TensorFlow, Reinforcement Learning, Python, C++, CUDA"/>
    <s v="PyTorch, TensorFlow, Scikit-learn"/>
    <x v="1"/>
  </r>
  <r>
    <x v="4"/>
    <x v="1"/>
    <x v="0"/>
    <x v="1"/>
    <n v="110730.5"/>
    <s v="TensorFlow, Reinforcement Learning, SQL, NumPy, Python"/>
    <s v="FastAPI, TensorFlow"/>
    <x v="1"/>
  </r>
  <r>
    <x v="2"/>
    <x v="1"/>
    <x v="0"/>
    <x v="2"/>
    <n v="156236.5"/>
    <s v="TensorFlow, Scikit-learn, Flask, NumPy, SQL, LangChain"/>
    <s v="Scikit-learn, PyTorch"/>
    <x v="2"/>
  </r>
  <r>
    <x v="1"/>
    <x v="6"/>
    <x v="1"/>
    <x v="0"/>
    <n v="84224.5"/>
    <s v="TensorFlow, Scikit-learn, NumPy, C++, FastAPI"/>
    <s v="KDB+, PyTorch, Scikit-learn"/>
    <x v="1"/>
  </r>
  <r>
    <x v="1"/>
    <x v="0"/>
    <x v="0"/>
    <x v="1"/>
    <n v="130091"/>
    <s v="TensorFlow, Scikit-learn, NumPy, C++, Hugging Face"/>
    <s v="FastAPI, MLflow, PyTorch"/>
    <x v="2"/>
  </r>
  <r>
    <x v="0"/>
    <x v="0"/>
    <x v="2"/>
    <x v="2"/>
    <n v="83415.5"/>
    <s v="TensorFlow, SQL, AWS, PyTorch, LangChain"/>
    <s v="PyTorch"/>
    <x v="0"/>
  </r>
  <r>
    <x v="5"/>
    <x v="2"/>
    <x v="0"/>
    <x v="0"/>
    <n v="174884"/>
    <s v="TensorFlow, SQL, NumPy"/>
    <s v="BigQuery, FastAPI"/>
    <x v="1"/>
  </r>
  <r>
    <x v="0"/>
    <x v="6"/>
    <x v="0"/>
    <x v="1"/>
    <n v="158957.5"/>
    <s v="TensorFlow, SQL, NumPy, Flask, Scikit-learn, Hugging Face"/>
    <s v="BigQuery, Scikit-learn, PyTorch"/>
    <x v="1"/>
  </r>
  <r>
    <x v="1"/>
    <x v="3"/>
    <x v="1"/>
    <x v="1"/>
    <n v="130348"/>
    <s v="TensorFlow, SQL, Reinforcement Learning, AWS, PyTorch, Python"/>
    <s v="PyTorch, TensorFlow"/>
    <x v="2"/>
  </r>
  <r>
    <x v="5"/>
    <x v="3"/>
    <x v="2"/>
    <x v="3"/>
    <n v="78404.5"/>
    <s v="TensorFlow, SQL, Scikit-learn"/>
    <s v="MLflow, LangChain, PyTorch"/>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0F482D-5B0E-4247-BE79-6DAB63797C36}"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R2:BV7" firstHeaderRow="1" firstDataRow="2" firstDataCol="1"/>
  <pivotFields count="8">
    <pivotField showAll="0">
      <items count="9">
        <item x="4"/>
        <item x="6"/>
        <item x="1"/>
        <item x="2"/>
        <item x="3"/>
        <item x="5"/>
        <item x="0"/>
        <item m="1" x="7"/>
        <item t="default"/>
      </items>
    </pivotField>
    <pivotField showAll="0"/>
    <pivotField axis="axisCol" dataField="1" showAll="0">
      <items count="5">
        <item x="0"/>
        <item x="2"/>
        <item x="1"/>
        <item m="1" x="3"/>
        <item t="default"/>
      </items>
    </pivotField>
    <pivotField showAll="0"/>
    <pivotField numFmtId="164" showAll="0"/>
    <pivotField showAll="0"/>
    <pivotField showAll="0"/>
    <pivotField axis="axisRow" showAll="0">
      <items count="5">
        <item x="2"/>
        <item x="1"/>
        <item x="0"/>
        <item m="1" x="3"/>
        <item t="default"/>
      </items>
    </pivotField>
  </pivotFields>
  <rowFields count="1">
    <field x="7"/>
  </rowFields>
  <rowItems count="4">
    <i>
      <x/>
    </i>
    <i>
      <x v="1"/>
    </i>
    <i>
      <x v="2"/>
    </i>
    <i t="grand">
      <x/>
    </i>
  </rowItems>
  <colFields count="1">
    <field x="2"/>
  </colFields>
  <colItems count="4">
    <i>
      <x/>
    </i>
    <i>
      <x v="1"/>
    </i>
    <i>
      <x v="2"/>
    </i>
    <i t="grand">
      <x/>
    </i>
  </colItems>
  <dataFields count="1">
    <dataField name="Count of experience_level" fld="2" subtotal="count" baseField="0" baseItem="0"/>
  </dataFields>
  <chartFormats count="6">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4" format="6" series="1">
      <pivotArea type="data" outline="0" fieldPosition="0">
        <references count="2">
          <reference field="4294967294" count="1" selected="0">
            <x v="0"/>
          </reference>
          <reference field="2" count="1" selected="0">
            <x v="0"/>
          </reference>
        </references>
      </pivotArea>
    </chartFormat>
    <chartFormat chart="4" format="7" series="1">
      <pivotArea type="data" outline="0" fieldPosition="0">
        <references count="2">
          <reference field="4294967294" count="1" selected="0">
            <x v="0"/>
          </reference>
          <reference field="2" count="1" selected="0">
            <x v="1"/>
          </reference>
        </references>
      </pivotArea>
    </chartFormat>
    <chartFormat chart="4"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A1E5C0-0FD9-453D-A9D3-E868278F682B}" name="PivotTable3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kills Required">
  <location ref="BA2:BA3" firstHeaderRow="1" firstDataRow="1" firstDataCol="0"/>
  <pivotFields count="2">
    <pivotField showAll="0"/>
    <pivotField dataField="1" showAll="0"/>
  </pivotFields>
  <rowItems count="1">
    <i/>
  </rowItems>
  <colItems count="1">
    <i/>
  </colItems>
  <dataFields count="1">
    <dataField name="Sum of Count" fld="1"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A12675-03B4-463D-B714-6DCB64D8724F}" name="PivotTable2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INDUSTRY">
  <location ref="J13:K21" firstHeaderRow="1" firstDataRow="1" firstDataCol="1"/>
  <pivotFields count="8">
    <pivotField axis="axisRow" dataField="1" showAll="0">
      <items count="9">
        <item x="4"/>
        <item x="6"/>
        <item x="1"/>
        <item x="2"/>
        <item x="3"/>
        <item x="5"/>
        <item x="0"/>
        <item m="1" x="7"/>
        <item t="default"/>
      </items>
    </pivotField>
    <pivotField showAll="0"/>
    <pivotField showAll="0"/>
    <pivotField showAll="0"/>
    <pivotField numFmtId="164" showAll="0"/>
    <pivotField showAll="0"/>
    <pivotField showAll="0"/>
    <pivotField showAll="0"/>
  </pivotFields>
  <rowFields count="1">
    <field x="0"/>
  </rowFields>
  <rowItems count="8">
    <i>
      <x/>
    </i>
    <i>
      <x v="1"/>
    </i>
    <i>
      <x v="2"/>
    </i>
    <i>
      <x v="3"/>
    </i>
    <i>
      <x v="4"/>
    </i>
    <i>
      <x v="5"/>
    </i>
    <i>
      <x v="6"/>
    </i>
    <i t="grand">
      <x/>
    </i>
  </rowItems>
  <colItems count="1">
    <i/>
  </colItems>
  <dataFields count="1">
    <dataField name="Count of industry" fld="0" subtotal="count" baseField="0" baseItem="0"/>
  </dataFields>
  <formats count="19">
    <format dxfId="21">
      <pivotArea type="all" dataOnly="0" outline="0" fieldPosition="0"/>
    </format>
    <format dxfId="20">
      <pivotArea outline="0" collapsedLevelsAreSubtotals="1" fieldPosition="0"/>
    </format>
    <format dxfId="19">
      <pivotArea field="0" type="button" dataOnly="0" labelOnly="1" outline="0" axis="axisRow" fieldPosition="0"/>
    </format>
    <format dxfId="18">
      <pivotArea dataOnly="0" labelOnly="1" fieldPosition="0">
        <references count="1">
          <reference field="0" count="0"/>
        </references>
      </pivotArea>
    </format>
    <format dxfId="17">
      <pivotArea dataOnly="0" labelOnly="1" grandRow="1" outline="0" fieldPosition="0"/>
    </format>
    <format dxfId="16">
      <pivotArea dataOnly="0" labelOnly="1" outline="0" axis="axisValues" fieldPosition="0"/>
    </format>
    <format dxfId="15">
      <pivotArea type="all" dataOnly="0" outline="0" fieldPosition="0"/>
    </format>
    <format dxfId="14">
      <pivotArea outline="0" collapsedLevelsAreSubtotals="1" fieldPosition="0"/>
    </format>
    <format dxfId="13">
      <pivotArea field="0" type="button" dataOnly="0" labelOnly="1" outline="0" axis="axisRow" fieldPosition="0"/>
    </format>
    <format dxfId="12">
      <pivotArea dataOnly="0" labelOnly="1" fieldPosition="0">
        <references count="1">
          <reference field="0" count="0"/>
        </references>
      </pivotArea>
    </format>
    <format dxfId="11">
      <pivotArea dataOnly="0" labelOnly="1" grandRow="1" outline="0" fieldPosition="0"/>
    </format>
    <format dxfId="10">
      <pivotArea dataOnly="0" labelOnly="1" outline="0" axis="axisValues" fieldPosition="0"/>
    </format>
    <format dxfId="9">
      <pivotArea type="all" dataOnly="0" outline="0" fieldPosition="0"/>
    </format>
    <format dxfId="8">
      <pivotArea outline="0" collapsedLevelsAreSubtotals="1" fieldPosition="0"/>
    </format>
    <format dxfId="7">
      <pivotArea field="0" type="button" dataOnly="0" labelOnly="1" outline="0" axis="axisRow" fieldPosition="0"/>
    </format>
    <format dxfId="6">
      <pivotArea dataOnly="0" labelOnly="1" fieldPosition="0">
        <references count="1">
          <reference field="0" count="0"/>
        </references>
      </pivotArea>
    </format>
    <format dxfId="5">
      <pivotArea dataOnly="0" labelOnly="1" grandRow="1" outline="0" fieldPosition="0"/>
    </format>
    <format dxfId="4">
      <pivotArea dataOnly="0" labelOnly="1" outline="0" axis="axisValues" fieldPosition="0"/>
    </format>
    <format dxfId="3">
      <pivotArea dataOnly="0" labelOnly="1" fieldPosition="0">
        <references count="1">
          <reference field="0" count="0"/>
        </references>
      </pivotArea>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FF1FF9-0971-415C-A047-BADB52BB04CF}" name="PivotTable3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P2:AY11" firstHeaderRow="1" firstDataRow="2" firstDataCol="1"/>
  <pivotFields count="8">
    <pivotField axis="axisRow" showAll="0">
      <items count="9">
        <item x="4"/>
        <item x="6"/>
        <item x="1"/>
        <item x="2"/>
        <item x="3"/>
        <item x="5"/>
        <item x="0"/>
        <item m="1" x="7"/>
        <item t="default"/>
      </items>
    </pivotField>
    <pivotField axis="axisCol" dataField="1" showAll="0">
      <items count="10">
        <item x="7"/>
        <item x="5"/>
        <item x="6"/>
        <item x="3"/>
        <item x="0"/>
        <item x="1"/>
        <item x="2"/>
        <item x="4"/>
        <item m="1" x="8"/>
        <item t="default"/>
      </items>
    </pivotField>
    <pivotField showAll="0"/>
    <pivotField showAll="0"/>
    <pivotField numFmtId="164" showAll="0"/>
    <pivotField showAll="0"/>
    <pivotField showAll="0"/>
    <pivotField showAll="0"/>
  </pivotFields>
  <rowFields count="1">
    <field x="0"/>
  </rowFields>
  <rowItems count="8">
    <i>
      <x/>
    </i>
    <i>
      <x v="1"/>
    </i>
    <i>
      <x v="2"/>
    </i>
    <i>
      <x v="3"/>
    </i>
    <i>
      <x v="4"/>
    </i>
    <i>
      <x v="5"/>
    </i>
    <i>
      <x v="6"/>
    </i>
    <i t="grand">
      <x/>
    </i>
  </rowItems>
  <colFields count="1">
    <field x="1"/>
  </colFields>
  <colItems count="9">
    <i>
      <x/>
    </i>
    <i>
      <x v="1"/>
    </i>
    <i>
      <x v="2"/>
    </i>
    <i>
      <x v="3"/>
    </i>
    <i>
      <x v="4"/>
    </i>
    <i>
      <x v="5"/>
    </i>
    <i>
      <x v="6"/>
    </i>
    <i>
      <x v="7"/>
    </i>
    <i t="grand">
      <x/>
    </i>
  </colItems>
  <dataFields count="1">
    <dataField name="Count of job_title" fld="1" subtotal="count" baseField="0" baseItem="0"/>
  </dataFields>
  <chartFormats count="18">
    <chartFormat chart="37" format="0" series="1">
      <pivotArea type="data" outline="0" fieldPosition="0">
        <references count="2">
          <reference field="4294967294" count="1" selected="0">
            <x v="0"/>
          </reference>
          <reference field="1" count="1" selected="0">
            <x v="0"/>
          </reference>
        </references>
      </pivotArea>
    </chartFormat>
    <chartFormat chart="37" format="1" series="1">
      <pivotArea type="data" outline="0" fieldPosition="0">
        <references count="2">
          <reference field="4294967294" count="1" selected="0">
            <x v="0"/>
          </reference>
          <reference field="1" count="1" selected="0">
            <x v="1"/>
          </reference>
        </references>
      </pivotArea>
    </chartFormat>
    <chartFormat chart="37" format="2" series="1">
      <pivotArea type="data" outline="0" fieldPosition="0">
        <references count="2">
          <reference field="4294967294" count="1" selected="0">
            <x v="0"/>
          </reference>
          <reference field="1" count="1" selected="0">
            <x v="2"/>
          </reference>
        </references>
      </pivotArea>
    </chartFormat>
    <chartFormat chart="37" format="3" series="1">
      <pivotArea type="data" outline="0" fieldPosition="0">
        <references count="2">
          <reference field="4294967294" count="1" selected="0">
            <x v="0"/>
          </reference>
          <reference field="1" count="1" selected="0">
            <x v="3"/>
          </reference>
        </references>
      </pivotArea>
    </chartFormat>
    <chartFormat chart="37" format="4" series="1">
      <pivotArea type="data" outline="0" fieldPosition="0">
        <references count="2">
          <reference field="4294967294" count="1" selected="0">
            <x v="0"/>
          </reference>
          <reference field="1" count="1" selected="0">
            <x v="4"/>
          </reference>
        </references>
      </pivotArea>
    </chartFormat>
    <chartFormat chart="37" format="5" series="1">
      <pivotArea type="data" outline="0" fieldPosition="0">
        <references count="2">
          <reference field="4294967294" count="1" selected="0">
            <x v="0"/>
          </reference>
          <reference field="1" count="1" selected="0">
            <x v="5"/>
          </reference>
        </references>
      </pivotArea>
    </chartFormat>
    <chartFormat chart="37" format="6" series="1">
      <pivotArea type="data" outline="0" fieldPosition="0">
        <references count="2">
          <reference field="4294967294" count="1" selected="0">
            <x v="0"/>
          </reference>
          <reference field="1" count="1" selected="0">
            <x v="6"/>
          </reference>
        </references>
      </pivotArea>
    </chartFormat>
    <chartFormat chart="37" format="7" series="1">
      <pivotArea type="data" outline="0" fieldPosition="0">
        <references count="2">
          <reference field="4294967294" count="1" selected="0">
            <x v="0"/>
          </reference>
          <reference field="1" count="1" selected="0">
            <x v="7"/>
          </reference>
        </references>
      </pivotArea>
    </chartFormat>
    <chartFormat chart="42" format="16" series="1">
      <pivotArea type="data" outline="0" fieldPosition="0">
        <references count="2">
          <reference field="4294967294" count="1" selected="0">
            <x v="0"/>
          </reference>
          <reference field="1" count="1" selected="0">
            <x v="0"/>
          </reference>
        </references>
      </pivotArea>
    </chartFormat>
    <chartFormat chart="42" format="17" series="1">
      <pivotArea type="data" outline="0" fieldPosition="0">
        <references count="2">
          <reference field="4294967294" count="1" selected="0">
            <x v="0"/>
          </reference>
          <reference field="1" count="1" selected="0">
            <x v="1"/>
          </reference>
        </references>
      </pivotArea>
    </chartFormat>
    <chartFormat chart="42" format="18" series="1">
      <pivotArea type="data" outline="0" fieldPosition="0">
        <references count="2">
          <reference field="4294967294" count="1" selected="0">
            <x v="0"/>
          </reference>
          <reference field="1" count="1" selected="0">
            <x v="2"/>
          </reference>
        </references>
      </pivotArea>
    </chartFormat>
    <chartFormat chart="42" format="19" series="1">
      <pivotArea type="data" outline="0" fieldPosition="0">
        <references count="2">
          <reference field="4294967294" count="1" selected="0">
            <x v="0"/>
          </reference>
          <reference field="1" count="1" selected="0">
            <x v="3"/>
          </reference>
        </references>
      </pivotArea>
    </chartFormat>
    <chartFormat chart="42" format="20" series="1">
      <pivotArea type="data" outline="0" fieldPosition="0">
        <references count="2">
          <reference field="4294967294" count="1" selected="0">
            <x v="0"/>
          </reference>
          <reference field="1" count="1" selected="0">
            <x v="4"/>
          </reference>
        </references>
      </pivotArea>
    </chartFormat>
    <chartFormat chart="42" format="21" series="1">
      <pivotArea type="data" outline="0" fieldPosition="0">
        <references count="2">
          <reference field="4294967294" count="1" selected="0">
            <x v="0"/>
          </reference>
          <reference field="1" count="1" selected="0">
            <x v="5"/>
          </reference>
        </references>
      </pivotArea>
    </chartFormat>
    <chartFormat chart="42" format="22" series="1">
      <pivotArea type="data" outline="0" fieldPosition="0">
        <references count="2">
          <reference field="4294967294" count="1" selected="0">
            <x v="0"/>
          </reference>
          <reference field="1" count="1" selected="0">
            <x v="6"/>
          </reference>
        </references>
      </pivotArea>
    </chartFormat>
    <chartFormat chart="42" format="23" series="1">
      <pivotArea type="data" outline="0" fieldPosition="0">
        <references count="2">
          <reference field="4294967294" count="1" selected="0">
            <x v="0"/>
          </reference>
          <reference field="1" count="1" selected="0">
            <x v="7"/>
          </reference>
        </references>
      </pivotArea>
    </chartFormat>
    <chartFormat chart="37" format="8" series="1">
      <pivotArea type="data" outline="0" fieldPosition="0">
        <references count="2">
          <reference field="4294967294" count="1" selected="0">
            <x v="0"/>
          </reference>
          <reference field="1" count="1" selected="0">
            <x v="8"/>
          </reference>
        </references>
      </pivotArea>
    </chartFormat>
    <chartFormat chart="42" format="24" series="1">
      <pivotArea type="data" outline="0" fieldPosition="0">
        <references count="2">
          <reference field="4294967294" count="1" selected="0">
            <x v="0"/>
          </reference>
          <reference field="1"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04B5F9-2523-4A8E-BD65-C81ACCC525FC}" name="PivotTable4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H40:BE49" firstHeaderRow="1" firstDataRow="2" firstDataCol="1"/>
  <pivotFields count="26">
    <pivotField showAll="0"/>
    <pivotField showAll="0"/>
    <pivotField axis="axisRow" showAll="0">
      <items count="8">
        <item x="5"/>
        <item x="4"/>
        <item x="3"/>
        <item x="2"/>
        <item x="0"/>
        <item x="6"/>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axis="axisCol" dataField="1" showAll="0">
      <items count="23">
        <item x="10"/>
        <item x="15"/>
        <item x="8"/>
        <item x="13"/>
        <item x="2"/>
        <item x="20"/>
        <item x="16"/>
        <item x="4"/>
        <item x="9"/>
        <item x="7"/>
        <item x="12"/>
        <item x="3"/>
        <item x="0"/>
        <item x="6"/>
        <item x="18"/>
        <item x="5"/>
        <item x="14"/>
        <item x="11"/>
        <item x="21"/>
        <item x="1"/>
        <item x="17"/>
        <item x="19"/>
        <item t="default"/>
      </items>
    </pivotField>
    <pivotField showAll="0"/>
    <pivotField showAll="0"/>
    <pivotField showAll="0"/>
  </pivotFields>
  <rowFields count="1">
    <field x="2"/>
  </rowFields>
  <rowItems count="8">
    <i>
      <x/>
    </i>
    <i>
      <x v="1"/>
    </i>
    <i>
      <x v="2"/>
    </i>
    <i>
      <x v="3"/>
    </i>
    <i>
      <x v="4"/>
    </i>
    <i>
      <x v="5"/>
    </i>
    <i>
      <x v="6"/>
    </i>
    <i t="grand">
      <x/>
    </i>
  </rowItems>
  <colFields count="1">
    <field x="22"/>
  </colFields>
  <colItems count="23">
    <i>
      <x/>
    </i>
    <i>
      <x v="1"/>
    </i>
    <i>
      <x v="2"/>
    </i>
    <i>
      <x v="3"/>
    </i>
    <i>
      <x v="4"/>
    </i>
    <i>
      <x v="5"/>
    </i>
    <i>
      <x v="6"/>
    </i>
    <i>
      <x v="7"/>
    </i>
    <i>
      <x v="8"/>
    </i>
    <i>
      <x v="9"/>
    </i>
    <i>
      <x v="10"/>
    </i>
    <i>
      <x v="11"/>
    </i>
    <i>
      <x v="12"/>
    </i>
    <i>
      <x v="13"/>
    </i>
    <i>
      <x v="14"/>
    </i>
    <i>
      <x v="15"/>
    </i>
    <i>
      <x v="16"/>
    </i>
    <i>
      <x v="17"/>
    </i>
    <i>
      <x v="18"/>
    </i>
    <i>
      <x v="19"/>
    </i>
    <i>
      <x v="20"/>
    </i>
    <i>
      <x v="21"/>
    </i>
    <i t="grand">
      <x/>
    </i>
  </colItems>
  <dataFields count="1">
    <dataField name="Count of ai_job_market (2).skills_required.1" fld="22" subtotal="count" baseField="0" baseItem="0"/>
  </dataFields>
  <chartFormats count="68">
    <chartFormat chart="0" format="15" series="1">
      <pivotArea type="data" outline="0" fieldPosition="0">
        <references count="1">
          <reference field="22" count="1" selected="0">
            <x v="0"/>
          </reference>
        </references>
      </pivotArea>
    </chartFormat>
    <chartFormat chart="0" format="16" series="1">
      <pivotArea type="data" outline="0" fieldPosition="0">
        <references count="1">
          <reference field="22" count="1" selected="0">
            <x v="1"/>
          </reference>
        </references>
      </pivotArea>
    </chartFormat>
    <chartFormat chart="0" format="17" series="1">
      <pivotArea type="data" outline="0" fieldPosition="0">
        <references count="1">
          <reference field="22" count="1" selected="0">
            <x v="2"/>
          </reference>
        </references>
      </pivotArea>
    </chartFormat>
    <chartFormat chart="0" format="18" series="1">
      <pivotArea type="data" outline="0" fieldPosition="0">
        <references count="1">
          <reference field="22" count="1" selected="0">
            <x v="3"/>
          </reference>
        </references>
      </pivotArea>
    </chartFormat>
    <chartFormat chart="0" format="19" series="1">
      <pivotArea type="data" outline="0" fieldPosition="0">
        <references count="1">
          <reference field="22" count="1" selected="0">
            <x v="4"/>
          </reference>
        </references>
      </pivotArea>
    </chartFormat>
    <chartFormat chart="0" format="20" series="1">
      <pivotArea type="data" outline="0" fieldPosition="0">
        <references count="1">
          <reference field="22" count="1" selected="0">
            <x v="5"/>
          </reference>
        </references>
      </pivotArea>
    </chartFormat>
    <chartFormat chart="0" format="21" series="1">
      <pivotArea type="data" outline="0" fieldPosition="0">
        <references count="1">
          <reference field="22" count="1" selected="0">
            <x v="6"/>
          </reference>
        </references>
      </pivotArea>
    </chartFormat>
    <chartFormat chart="0" format="22" series="1">
      <pivotArea type="data" outline="0" fieldPosition="0">
        <references count="1">
          <reference field="22" count="1" selected="0">
            <x v="7"/>
          </reference>
        </references>
      </pivotArea>
    </chartFormat>
    <chartFormat chart="0" format="23" series="1">
      <pivotArea type="data" outline="0" fieldPosition="0">
        <references count="1">
          <reference field="22" count="1" selected="0">
            <x v="8"/>
          </reference>
        </references>
      </pivotArea>
    </chartFormat>
    <chartFormat chart="0" format="24" series="1">
      <pivotArea type="data" outline="0" fieldPosition="0">
        <references count="1">
          <reference field="22" count="1" selected="0">
            <x v="9"/>
          </reference>
        </references>
      </pivotArea>
    </chartFormat>
    <chartFormat chart="0" format="25" series="1">
      <pivotArea type="data" outline="0" fieldPosition="0">
        <references count="1">
          <reference field="22" count="1" selected="0">
            <x v="10"/>
          </reference>
        </references>
      </pivotArea>
    </chartFormat>
    <chartFormat chart="0" format="26" series="1">
      <pivotArea type="data" outline="0" fieldPosition="0">
        <references count="1">
          <reference field="22" count="1" selected="0">
            <x v="11"/>
          </reference>
        </references>
      </pivotArea>
    </chartFormat>
    <chartFormat chart="0" format="27" series="1">
      <pivotArea type="data" outline="0" fieldPosition="0">
        <references count="1">
          <reference field="22" count="1" selected="0">
            <x v="12"/>
          </reference>
        </references>
      </pivotArea>
    </chartFormat>
    <chartFormat chart="0" format="28" series="1">
      <pivotArea type="data" outline="0" fieldPosition="0">
        <references count="1">
          <reference field="22" count="1" selected="0">
            <x v="13"/>
          </reference>
        </references>
      </pivotArea>
    </chartFormat>
    <chartFormat chart="0" format="29" series="1">
      <pivotArea type="data" outline="0" fieldPosition="0">
        <references count="1">
          <reference field="22" count="1" selected="0">
            <x v="14"/>
          </reference>
        </references>
      </pivotArea>
    </chartFormat>
    <chartFormat chart="0" format="30" series="1">
      <pivotArea type="data" outline="0" fieldPosition="0">
        <references count="1">
          <reference field="22" count="1" selected="0">
            <x v="15"/>
          </reference>
        </references>
      </pivotArea>
    </chartFormat>
    <chartFormat chart="0" format="31" series="1">
      <pivotArea type="data" outline="0" fieldPosition="0">
        <references count="1">
          <reference field="22" count="1" selected="0">
            <x v="16"/>
          </reference>
        </references>
      </pivotArea>
    </chartFormat>
    <chartFormat chart="0" format="32" series="1">
      <pivotArea type="data" outline="0" fieldPosition="0">
        <references count="1">
          <reference field="22" count="1" selected="0">
            <x v="17"/>
          </reference>
        </references>
      </pivotArea>
    </chartFormat>
    <chartFormat chart="0" format="33" series="1">
      <pivotArea type="data" outline="0" fieldPosition="0">
        <references count="1">
          <reference field="22" count="1" selected="0">
            <x v="18"/>
          </reference>
        </references>
      </pivotArea>
    </chartFormat>
    <chartFormat chart="0" format="34" series="1">
      <pivotArea type="data" outline="0" fieldPosition="0">
        <references count="1">
          <reference field="22" count="1" selected="0">
            <x v="19"/>
          </reference>
        </references>
      </pivotArea>
    </chartFormat>
    <chartFormat chart="0" format="35" series="1">
      <pivotArea type="data" outline="0" fieldPosition="0">
        <references count="1">
          <reference field="22" count="1" selected="0">
            <x v="20"/>
          </reference>
        </references>
      </pivotArea>
    </chartFormat>
    <chartFormat chart="0" format="36" series="1">
      <pivotArea type="data" outline="0" fieldPosition="0">
        <references count="1">
          <reference field="22" count="1" selected="0">
            <x v="21"/>
          </reference>
        </references>
      </pivotArea>
    </chartFormat>
    <chartFormat chart="2" format="42" series="1">
      <pivotArea type="data" outline="0" fieldPosition="0">
        <references count="2">
          <reference field="4294967294" count="1" selected="0">
            <x v="0"/>
          </reference>
          <reference field="22" count="1" selected="0">
            <x v="4"/>
          </reference>
        </references>
      </pivotArea>
    </chartFormat>
    <chartFormat chart="2" format="43" series="1">
      <pivotArea type="data" outline="0" fieldPosition="0">
        <references count="2">
          <reference field="4294967294" count="1" selected="0">
            <x v="0"/>
          </reference>
          <reference field="22" count="1" selected="0">
            <x v="5"/>
          </reference>
        </references>
      </pivotArea>
    </chartFormat>
    <chartFormat chart="2" format="44" series="1">
      <pivotArea type="data" outline="0" fieldPosition="0">
        <references count="2">
          <reference field="4294967294" count="1" selected="0">
            <x v="0"/>
          </reference>
          <reference field="22" count="1" selected="0">
            <x v="10"/>
          </reference>
        </references>
      </pivotArea>
    </chartFormat>
    <chartFormat chart="2" format="45" series="1">
      <pivotArea type="data" outline="0" fieldPosition="0">
        <references count="2">
          <reference field="4294967294" count="1" selected="0">
            <x v="0"/>
          </reference>
          <reference field="22" count="1" selected="0">
            <x v="12"/>
          </reference>
        </references>
      </pivotArea>
    </chartFormat>
    <chartFormat chart="2" format="46" series="1">
      <pivotArea type="data" outline="0" fieldPosition="0">
        <references count="2">
          <reference field="4294967294" count="1" selected="0">
            <x v="0"/>
          </reference>
          <reference field="22" count="1" selected="0">
            <x v="18"/>
          </reference>
        </references>
      </pivotArea>
    </chartFormat>
    <chartFormat chart="2" format="47" series="1">
      <pivotArea type="data" outline="0" fieldPosition="0">
        <references count="1">
          <reference field="4294967294" count="1" selected="0">
            <x v="0"/>
          </reference>
        </references>
      </pivotArea>
    </chartFormat>
    <chartFormat chart="0" format="37" series="1">
      <pivotArea type="data" outline="0" fieldPosition="0">
        <references count="1">
          <reference field="4294967294" count="1" selected="0">
            <x v="0"/>
          </reference>
        </references>
      </pivotArea>
    </chartFormat>
    <chartFormat chart="0" format="38" series="1">
      <pivotArea type="data" outline="0" fieldPosition="0">
        <references count="2">
          <reference field="4294967294" count="1" selected="0">
            <x v="0"/>
          </reference>
          <reference field="22" count="1" selected="0">
            <x v="5"/>
          </reference>
        </references>
      </pivotArea>
    </chartFormat>
    <chartFormat chart="0" format="39" series="1">
      <pivotArea type="data" outline="0" fieldPosition="0">
        <references count="2">
          <reference field="4294967294" count="1" selected="0">
            <x v="0"/>
          </reference>
          <reference field="22" count="1" selected="0">
            <x v="10"/>
          </reference>
        </references>
      </pivotArea>
    </chartFormat>
    <chartFormat chart="0" format="40" series="1">
      <pivotArea type="data" outline="0" fieldPosition="0">
        <references count="2">
          <reference field="4294967294" count="1" selected="0">
            <x v="0"/>
          </reference>
          <reference field="22" count="1" selected="0">
            <x v="12"/>
          </reference>
        </references>
      </pivotArea>
    </chartFormat>
    <chartFormat chart="0" format="41" series="1">
      <pivotArea type="data" outline="0" fieldPosition="0">
        <references count="2">
          <reference field="4294967294" count="1" selected="0">
            <x v="0"/>
          </reference>
          <reference field="22" count="1" selected="0">
            <x v="18"/>
          </reference>
        </references>
      </pivotArea>
    </chartFormat>
    <chartFormat chart="2" format="48" series="1">
      <pivotArea type="data" outline="0" fieldPosition="0">
        <references count="2">
          <reference field="4294967294" count="1" selected="0">
            <x v="0"/>
          </reference>
          <reference field="22" count="1" selected="0">
            <x v="6"/>
          </reference>
        </references>
      </pivotArea>
    </chartFormat>
    <chartFormat chart="2" format="49" series="1">
      <pivotArea type="data" outline="0" fieldPosition="0">
        <references count="2">
          <reference field="4294967294" count="1" selected="0">
            <x v="0"/>
          </reference>
          <reference field="22" count="1" selected="0">
            <x v="7"/>
          </reference>
        </references>
      </pivotArea>
    </chartFormat>
    <chartFormat chart="2" format="50" series="1">
      <pivotArea type="data" outline="0" fieldPosition="0">
        <references count="2">
          <reference field="4294967294" count="1" selected="0">
            <x v="0"/>
          </reference>
          <reference field="22" count="1" selected="0">
            <x v="8"/>
          </reference>
        </references>
      </pivotArea>
    </chartFormat>
    <chartFormat chart="2" format="51" series="1">
      <pivotArea type="data" outline="0" fieldPosition="0">
        <references count="2">
          <reference field="4294967294" count="1" selected="0">
            <x v="0"/>
          </reference>
          <reference field="22" count="1" selected="0">
            <x v="9"/>
          </reference>
        </references>
      </pivotArea>
    </chartFormat>
    <chartFormat chart="2" format="52" series="1">
      <pivotArea type="data" outline="0" fieldPosition="0">
        <references count="2">
          <reference field="4294967294" count="1" selected="0">
            <x v="0"/>
          </reference>
          <reference field="22" count="1" selected="0">
            <x v="11"/>
          </reference>
        </references>
      </pivotArea>
    </chartFormat>
    <chartFormat chart="2" format="53" series="1">
      <pivotArea type="data" outline="0" fieldPosition="0">
        <references count="2">
          <reference field="4294967294" count="1" selected="0">
            <x v="0"/>
          </reference>
          <reference field="22" count="1" selected="0">
            <x v="13"/>
          </reference>
        </references>
      </pivotArea>
    </chartFormat>
    <chartFormat chart="2" format="54" series="1">
      <pivotArea type="data" outline="0" fieldPosition="0">
        <references count="2">
          <reference field="4294967294" count="1" selected="0">
            <x v="0"/>
          </reference>
          <reference field="22" count="1" selected="0">
            <x v="14"/>
          </reference>
        </references>
      </pivotArea>
    </chartFormat>
    <chartFormat chart="2" format="55" series="1">
      <pivotArea type="data" outline="0" fieldPosition="0">
        <references count="2">
          <reference field="4294967294" count="1" selected="0">
            <x v="0"/>
          </reference>
          <reference field="22" count="1" selected="0">
            <x v="15"/>
          </reference>
        </references>
      </pivotArea>
    </chartFormat>
    <chartFormat chart="2" format="56" series="1">
      <pivotArea type="data" outline="0" fieldPosition="0">
        <references count="2">
          <reference field="4294967294" count="1" selected="0">
            <x v="0"/>
          </reference>
          <reference field="22" count="1" selected="0">
            <x v="16"/>
          </reference>
        </references>
      </pivotArea>
    </chartFormat>
    <chartFormat chart="2" format="57" series="1">
      <pivotArea type="data" outline="0" fieldPosition="0">
        <references count="2">
          <reference field="4294967294" count="1" selected="0">
            <x v="0"/>
          </reference>
          <reference field="22" count="1" selected="0">
            <x v="17"/>
          </reference>
        </references>
      </pivotArea>
    </chartFormat>
    <chartFormat chart="2" format="58" series="1">
      <pivotArea type="data" outline="0" fieldPosition="0">
        <references count="2">
          <reference field="4294967294" count="1" selected="0">
            <x v="0"/>
          </reference>
          <reference field="22" count="1" selected="0">
            <x v="19"/>
          </reference>
        </references>
      </pivotArea>
    </chartFormat>
    <chartFormat chart="2" format="59" series="1">
      <pivotArea type="data" outline="0" fieldPosition="0">
        <references count="2">
          <reference field="4294967294" count="1" selected="0">
            <x v="0"/>
          </reference>
          <reference field="22" count="1" selected="0">
            <x v="20"/>
          </reference>
        </references>
      </pivotArea>
    </chartFormat>
    <chartFormat chart="2" format="60" series="1">
      <pivotArea type="data" outline="0" fieldPosition="0">
        <references count="2">
          <reference field="4294967294" count="1" selected="0">
            <x v="0"/>
          </reference>
          <reference field="22" count="1" selected="0">
            <x v="21"/>
          </reference>
        </references>
      </pivotArea>
    </chartFormat>
    <chartFormat chart="0" format="42" series="1">
      <pivotArea type="data" outline="0" fieldPosition="0">
        <references count="2">
          <reference field="4294967294" count="1" selected="0">
            <x v="0"/>
          </reference>
          <reference field="22" count="1" selected="0">
            <x v="6"/>
          </reference>
        </references>
      </pivotArea>
    </chartFormat>
    <chartFormat chart="0" format="43" series="1">
      <pivotArea type="data" outline="0" fieldPosition="0">
        <references count="2">
          <reference field="4294967294" count="1" selected="0">
            <x v="0"/>
          </reference>
          <reference field="22" count="1" selected="0">
            <x v="7"/>
          </reference>
        </references>
      </pivotArea>
    </chartFormat>
    <chartFormat chart="0" format="44" series="1">
      <pivotArea type="data" outline="0" fieldPosition="0">
        <references count="2">
          <reference field="4294967294" count="1" selected="0">
            <x v="0"/>
          </reference>
          <reference field="22" count="1" selected="0">
            <x v="8"/>
          </reference>
        </references>
      </pivotArea>
    </chartFormat>
    <chartFormat chart="0" format="45" series="1">
      <pivotArea type="data" outline="0" fieldPosition="0">
        <references count="2">
          <reference field="4294967294" count="1" selected="0">
            <x v="0"/>
          </reference>
          <reference field="22" count="1" selected="0">
            <x v="9"/>
          </reference>
        </references>
      </pivotArea>
    </chartFormat>
    <chartFormat chart="0" format="46" series="1">
      <pivotArea type="data" outline="0" fieldPosition="0">
        <references count="2">
          <reference field="4294967294" count="1" selected="0">
            <x v="0"/>
          </reference>
          <reference field="22" count="1" selected="0">
            <x v="11"/>
          </reference>
        </references>
      </pivotArea>
    </chartFormat>
    <chartFormat chart="0" format="47" series="1">
      <pivotArea type="data" outline="0" fieldPosition="0">
        <references count="2">
          <reference field="4294967294" count="1" selected="0">
            <x v="0"/>
          </reference>
          <reference field="22" count="1" selected="0">
            <x v="13"/>
          </reference>
        </references>
      </pivotArea>
    </chartFormat>
    <chartFormat chart="0" format="48" series="1">
      <pivotArea type="data" outline="0" fieldPosition="0">
        <references count="2">
          <reference field="4294967294" count="1" selected="0">
            <x v="0"/>
          </reference>
          <reference field="22" count="1" selected="0">
            <x v="14"/>
          </reference>
        </references>
      </pivotArea>
    </chartFormat>
    <chartFormat chart="0" format="49" series="1">
      <pivotArea type="data" outline="0" fieldPosition="0">
        <references count="2">
          <reference field="4294967294" count="1" selected="0">
            <x v="0"/>
          </reference>
          <reference field="22" count="1" selected="0">
            <x v="15"/>
          </reference>
        </references>
      </pivotArea>
    </chartFormat>
    <chartFormat chart="0" format="50" series="1">
      <pivotArea type="data" outline="0" fieldPosition="0">
        <references count="2">
          <reference field="4294967294" count="1" selected="0">
            <x v="0"/>
          </reference>
          <reference field="22" count="1" selected="0">
            <x v="16"/>
          </reference>
        </references>
      </pivotArea>
    </chartFormat>
    <chartFormat chart="0" format="51" series="1">
      <pivotArea type="data" outline="0" fieldPosition="0">
        <references count="2">
          <reference field="4294967294" count="1" selected="0">
            <x v="0"/>
          </reference>
          <reference field="22" count="1" selected="0">
            <x v="17"/>
          </reference>
        </references>
      </pivotArea>
    </chartFormat>
    <chartFormat chart="0" format="52" series="1">
      <pivotArea type="data" outline="0" fieldPosition="0">
        <references count="2">
          <reference field="4294967294" count="1" selected="0">
            <x v="0"/>
          </reference>
          <reference field="22" count="1" selected="0">
            <x v="19"/>
          </reference>
        </references>
      </pivotArea>
    </chartFormat>
    <chartFormat chart="0" format="53" series="1">
      <pivotArea type="data" outline="0" fieldPosition="0">
        <references count="2">
          <reference field="4294967294" count="1" selected="0">
            <x v="0"/>
          </reference>
          <reference field="22" count="1" selected="0">
            <x v="20"/>
          </reference>
        </references>
      </pivotArea>
    </chartFormat>
    <chartFormat chart="0" format="54" series="1">
      <pivotArea type="data" outline="0" fieldPosition="0">
        <references count="2">
          <reference field="4294967294" count="1" selected="0">
            <x v="0"/>
          </reference>
          <reference field="22" count="1" selected="0">
            <x v="21"/>
          </reference>
        </references>
      </pivotArea>
    </chartFormat>
    <chartFormat chart="2" format="61" series="1">
      <pivotArea type="data" outline="0" fieldPosition="0">
        <references count="2">
          <reference field="4294967294" count="1" selected="0">
            <x v="0"/>
          </reference>
          <reference field="22" count="1" selected="0">
            <x v="0"/>
          </reference>
        </references>
      </pivotArea>
    </chartFormat>
    <chartFormat chart="2" format="62" series="1">
      <pivotArea type="data" outline="0" fieldPosition="0">
        <references count="2">
          <reference field="4294967294" count="1" selected="0">
            <x v="0"/>
          </reference>
          <reference field="22" count="1" selected="0">
            <x v="1"/>
          </reference>
        </references>
      </pivotArea>
    </chartFormat>
    <chartFormat chart="2" format="63" series="1">
      <pivotArea type="data" outline="0" fieldPosition="0">
        <references count="2">
          <reference field="4294967294" count="1" selected="0">
            <x v="0"/>
          </reference>
          <reference field="22" count="1" selected="0">
            <x v="2"/>
          </reference>
        </references>
      </pivotArea>
    </chartFormat>
    <chartFormat chart="2" format="64" series="1">
      <pivotArea type="data" outline="0" fieldPosition="0">
        <references count="2">
          <reference field="4294967294" count="1" selected="0">
            <x v="0"/>
          </reference>
          <reference field="22" count="1" selected="0">
            <x v="3"/>
          </reference>
        </references>
      </pivotArea>
    </chartFormat>
    <chartFormat chart="0" format="55" series="1">
      <pivotArea type="data" outline="0" fieldPosition="0">
        <references count="2">
          <reference field="4294967294" count="1" selected="0">
            <x v="0"/>
          </reference>
          <reference field="22" count="1" selected="0">
            <x v="0"/>
          </reference>
        </references>
      </pivotArea>
    </chartFormat>
    <chartFormat chart="0" format="56" series="1">
      <pivotArea type="data" outline="0" fieldPosition="0">
        <references count="2">
          <reference field="4294967294" count="1" selected="0">
            <x v="0"/>
          </reference>
          <reference field="22" count="1" selected="0">
            <x v="1"/>
          </reference>
        </references>
      </pivotArea>
    </chartFormat>
    <chartFormat chart="0" format="57" series="1">
      <pivotArea type="data" outline="0" fieldPosition="0">
        <references count="2">
          <reference field="4294967294" count="1" selected="0">
            <x v="0"/>
          </reference>
          <reference field="22" count="1" selected="0">
            <x v="2"/>
          </reference>
        </references>
      </pivotArea>
    </chartFormat>
    <chartFormat chart="0" format="58" series="1">
      <pivotArea type="data" outline="0" fieldPosition="0">
        <references count="2">
          <reference field="4294967294" count="1" selected="0">
            <x v="0"/>
          </reference>
          <reference field="22" count="1" selected="0">
            <x v="3"/>
          </reference>
        </references>
      </pivotArea>
    </chartFormat>
    <chartFormat chart="0" format="59" series="1">
      <pivotArea type="data" outline="0" fieldPosition="0">
        <references count="2">
          <reference field="4294967294" count="1" selected="0">
            <x v="0"/>
          </reference>
          <reference field="2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3B872F-BE32-49D1-AD02-CB8C512741C3}" name="PivotTable4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J2:BN26" firstHeaderRow="1" firstDataRow="2" firstDataCol="1"/>
  <pivotFields count="26">
    <pivotField showAll="0"/>
    <pivotField showAll="0"/>
    <pivotField showAll="0">
      <items count="8">
        <item x="5"/>
        <item x="4"/>
        <item x="3"/>
        <item x="2"/>
        <item x="0"/>
        <item x="6"/>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axis="axisCol" dataField="1" showAll="0">
      <items count="4">
        <item x="0"/>
        <item x="1"/>
        <item x="2"/>
        <item t="default"/>
      </items>
    </pivotField>
    <pivotField showAll="0"/>
    <pivotField showAll="0"/>
    <pivotField showAll="0"/>
    <pivotField axis="axisRow" showAll="0">
      <items count="23">
        <item x="10"/>
        <item x="15"/>
        <item x="8"/>
        <item x="13"/>
        <item x="2"/>
        <item x="20"/>
        <item x="16"/>
        <item x="4"/>
        <item x="9"/>
        <item x="7"/>
        <item x="12"/>
        <item x="3"/>
        <item x="0"/>
        <item x="6"/>
        <item x="18"/>
        <item x="5"/>
        <item x="14"/>
        <item x="11"/>
        <item x="21"/>
        <item x="1"/>
        <item x="17"/>
        <item x="19"/>
        <item t="default"/>
      </items>
    </pivotField>
    <pivotField showAll="0"/>
    <pivotField showAll="0"/>
    <pivotField showAll="0"/>
  </pivotFields>
  <rowFields count="1">
    <field x="22"/>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18"/>
  </colFields>
  <colItems count="4">
    <i>
      <x/>
    </i>
    <i>
      <x v="1"/>
    </i>
    <i>
      <x v="2"/>
    </i>
    <i t="grand">
      <x/>
    </i>
  </colItems>
  <dataFields count="1">
    <dataField name="Count of company_size" fld="18" subtotal="count" baseField="0" baseItem="0"/>
  </dataFields>
  <chartFormats count="9">
    <chartFormat chart="1" format="8" series="1">
      <pivotArea type="data" outline="0" fieldPosition="0">
        <references count="1">
          <reference field="18" count="1" selected="0">
            <x v="0"/>
          </reference>
        </references>
      </pivotArea>
    </chartFormat>
    <chartFormat chart="1" format="9" series="1">
      <pivotArea type="data" outline="0" fieldPosition="0">
        <references count="1">
          <reference field="18" count="1" selected="0">
            <x v="1"/>
          </reference>
        </references>
      </pivotArea>
    </chartFormat>
    <chartFormat chart="1" format="10" series="1">
      <pivotArea type="data" outline="0" fieldPosition="0">
        <references count="1">
          <reference field="18" count="1" selected="0">
            <x v="2"/>
          </reference>
        </references>
      </pivotArea>
    </chartFormat>
    <chartFormat chart="3" format="14" series="1">
      <pivotArea type="data" outline="0" fieldPosition="0">
        <references count="2">
          <reference field="4294967294" count="1" selected="0">
            <x v="0"/>
          </reference>
          <reference field="18" count="1" selected="0">
            <x v="0"/>
          </reference>
        </references>
      </pivotArea>
    </chartFormat>
    <chartFormat chart="3" format="15" series="1">
      <pivotArea type="data" outline="0" fieldPosition="0">
        <references count="2">
          <reference field="4294967294" count="1" selected="0">
            <x v="0"/>
          </reference>
          <reference field="18" count="1" selected="0">
            <x v="1"/>
          </reference>
        </references>
      </pivotArea>
    </chartFormat>
    <chartFormat chart="3" format="16" series="1">
      <pivotArea type="data" outline="0" fieldPosition="0">
        <references count="2">
          <reference field="4294967294" count="1" selected="0">
            <x v="0"/>
          </reference>
          <reference field="18" count="1" selected="0">
            <x v="2"/>
          </reference>
        </references>
      </pivotArea>
    </chartFormat>
    <chartFormat chart="1" format="11" series="1">
      <pivotArea type="data" outline="0" fieldPosition="0">
        <references count="2">
          <reference field="4294967294" count="1" selected="0">
            <x v="0"/>
          </reference>
          <reference field="18" count="1" selected="0">
            <x v="2"/>
          </reference>
        </references>
      </pivotArea>
    </chartFormat>
    <chartFormat chart="1" format="12" series="1">
      <pivotArea type="data" outline="0" fieldPosition="0">
        <references count="2">
          <reference field="4294967294" count="1" selected="0">
            <x v="0"/>
          </reference>
          <reference field="18" count="1" selected="0">
            <x v="1"/>
          </reference>
        </references>
      </pivotArea>
    </chartFormat>
    <chartFormat chart="1" format="13" series="1">
      <pivotArea type="data" outline="0" fieldPosition="0">
        <references count="2">
          <reference field="4294967294" count="1" selected="0">
            <x v="0"/>
          </reference>
          <reference field="1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66DD01-DD20-4A98-8560-C28F5E4EEE42}"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O11" firstHeaderRow="1" firstDataRow="2" firstDataCol="1"/>
  <pivotFields count="26">
    <pivotField showAll="0"/>
    <pivotField showAll="0"/>
    <pivotField axis="axisRow" showAll="0">
      <items count="8">
        <item x="5"/>
        <item x="4"/>
        <item x="3"/>
        <item x="2"/>
        <item x="0"/>
        <item x="6"/>
        <item x="1"/>
        <item t="default"/>
      </items>
    </pivotField>
    <pivotField showAll="0"/>
    <pivotField showAll="0"/>
    <pivotField showAll="0"/>
    <pivotField showAll="0"/>
    <pivotField showAll="0"/>
    <pivotField showAll="0"/>
    <pivotField showAll="0"/>
    <pivotField showAll="0"/>
    <pivotField showAll="0"/>
    <pivotField axis="axisCol" dataField="1" showAll="0">
      <items count="5">
        <item x="2"/>
        <item x="0"/>
        <item x="1"/>
        <item x="3"/>
        <item t="default"/>
      </items>
    </pivotField>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s>
  <rowFields count="1">
    <field x="2"/>
  </rowFields>
  <rowItems count="8">
    <i>
      <x/>
    </i>
    <i>
      <x v="1"/>
    </i>
    <i>
      <x v="2"/>
    </i>
    <i>
      <x v="3"/>
    </i>
    <i>
      <x v="4"/>
    </i>
    <i>
      <x v="5"/>
    </i>
    <i>
      <x v="6"/>
    </i>
    <i t="grand">
      <x/>
    </i>
  </rowItems>
  <colFields count="1">
    <field x="12"/>
  </colFields>
  <colItems count="5">
    <i>
      <x/>
    </i>
    <i>
      <x v="1"/>
    </i>
    <i>
      <x v="2"/>
    </i>
    <i>
      <x v="3"/>
    </i>
    <i t="grand">
      <x/>
    </i>
  </colItems>
  <dataFields count="1">
    <dataField name="Count of employment_type"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2553603-4FF8-41F9-90F2-8FF06EC1860E}" name="PivotTable3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I2:AN11" firstHeaderRow="1" firstDataRow="2" firstDataCol="1"/>
  <pivotFields count="8">
    <pivotField axis="axisRow" showAll="0">
      <items count="9">
        <item x="4"/>
        <item x="6"/>
        <item x="1"/>
        <item x="2"/>
        <item x="3"/>
        <item x="5"/>
        <item x="0"/>
        <item m="1" x="7"/>
        <item t="default"/>
      </items>
    </pivotField>
    <pivotField showAll="0"/>
    <pivotField showAll="0"/>
    <pivotField axis="axisCol" dataField="1" showAll="0">
      <items count="6">
        <item x="1"/>
        <item x="3"/>
        <item x="0"/>
        <item x="2"/>
        <item m="1" x="4"/>
        <item t="default"/>
      </items>
    </pivotField>
    <pivotField numFmtId="164" showAll="0"/>
    <pivotField showAll="0"/>
    <pivotField showAll="0"/>
    <pivotField showAll="0"/>
  </pivotFields>
  <rowFields count="1">
    <field x="0"/>
  </rowFields>
  <rowItems count="8">
    <i>
      <x/>
    </i>
    <i>
      <x v="1"/>
    </i>
    <i>
      <x v="2"/>
    </i>
    <i>
      <x v="3"/>
    </i>
    <i>
      <x v="4"/>
    </i>
    <i>
      <x v="5"/>
    </i>
    <i>
      <x v="6"/>
    </i>
    <i t="grand">
      <x/>
    </i>
  </rowItems>
  <colFields count="1">
    <field x="3"/>
  </colFields>
  <colItems count="5">
    <i>
      <x/>
    </i>
    <i>
      <x v="1"/>
    </i>
    <i>
      <x v="2"/>
    </i>
    <i>
      <x v="3"/>
    </i>
    <i t="grand">
      <x/>
    </i>
  </colItems>
  <dataFields count="1">
    <dataField name="Count of employment_type" fld="3" subtotal="count" baseField="0" baseItem="0"/>
  </dataFields>
  <chartFormats count="10">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3"/>
          </reference>
        </references>
      </pivotArea>
    </chartFormat>
    <chartFormat chart="3" format="8" series="1">
      <pivotArea type="data" outline="0" fieldPosition="0">
        <references count="2">
          <reference field="4294967294" count="1" selected="0">
            <x v="0"/>
          </reference>
          <reference field="3" count="1" selected="0">
            <x v="0"/>
          </reference>
        </references>
      </pivotArea>
    </chartFormat>
    <chartFormat chart="3" format="9" series="1">
      <pivotArea type="data" outline="0" fieldPosition="0">
        <references count="2">
          <reference field="4294967294" count="1" selected="0">
            <x v="0"/>
          </reference>
          <reference field="3" count="1" selected="0">
            <x v="1"/>
          </reference>
        </references>
      </pivotArea>
    </chartFormat>
    <chartFormat chart="3" format="10" series="1">
      <pivotArea type="data" outline="0" fieldPosition="0">
        <references count="2">
          <reference field="4294967294" count="1" selected="0">
            <x v="0"/>
          </reference>
          <reference field="3" count="1" selected="0">
            <x v="2"/>
          </reference>
        </references>
      </pivotArea>
    </chartFormat>
    <chartFormat chart="3" format="11" series="1">
      <pivotArea type="data" outline="0" fieldPosition="0">
        <references count="2">
          <reference field="4294967294" count="1" selected="0">
            <x v="0"/>
          </reference>
          <reference field="3" count="1" selected="0">
            <x v="3"/>
          </reference>
        </references>
      </pivotArea>
    </chartFormat>
    <chartFormat chart="1" format="4" series="1">
      <pivotArea type="data" outline="0" fieldPosition="0">
        <references count="2">
          <reference field="4294967294" count="1" selected="0">
            <x v="0"/>
          </reference>
          <reference field="3" count="1" selected="0">
            <x v="4"/>
          </reference>
        </references>
      </pivotArea>
    </chartFormat>
    <chartFormat chart="3" format="12"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ED42913-0D0D-4B8A-BB99-F078900B8848}" name="PivotTable3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H69:AQ79" firstHeaderRow="1" firstDataRow="2" firstDataCol="1"/>
  <pivotFields count="26">
    <pivotField showAll="0"/>
    <pivotField showAll="0"/>
    <pivotField showAll="0">
      <items count="8">
        <item x="5"/>
        <item x="4"/>
        <item x="3"/>
        <item x="2"/>
        <item x="0"/>
        <item x="6"/>
        <item x="1"/>
        <item t="default"/>
      </items>
    </pivotField>
    <pivotField axis="axisRow" showAll="0">
      <items count="9">
        <item x="2"/>
        <item x="7"/>
        <item x="1"/>
        <item x="0"/>
        <item x="5"/>
        <item x="3"/>
        <item x="6"/>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axis="axisCol" dataField="1" showAll="0">
      <items count="9">
        <item x="3"/>
        <item x="1"/>
        <item x="0"/>
        <item x="4"/>
        <item x="6"/>
        <item x="5"/>
        <item x="7"/>
        <item x="2"/>
        <item t="default"/>
      </items>
    </pivotField>
    <pivotField showAll="0"/>
  </pivotFields>
  <rowFields count="1">
    <field x="3"/>
  </rowFields>
  <rowItems count="9">
    <i>
      <x/>
    </i>
    <i>
      <x v="1"/>
    </i>
    <i>
      <x v="2"/>
    </i>
    <i>
      <x v="3"/>
    </i>
    <i>
      <x v="4"/>
    </i>
    <i>
      <x v="5"/>
    </i>
    <i>
      <x v="6"/>
    </i>
    <i>
      <x v="7"/>
    </i>
    <i t="grand">
      <x/>
    </i>
  </rowItems>
  <colFields count="1">
    <field x="24"/>
  </colFields>
  <colItems count="9">
    <i>
      <x/>
    </i>
    <i>
      <x v="1"/>
    </i>
    <i>
      <x v="2"/>
    </i>
    <i>
      <x v="3"/>
    </i>
    <i>
      <x v="4"/>
    </i>
    <i>
      <x v="5"/>
    </i>
    <i>
      <x v="6"/>
    </i>
    <i>
      <x v="7"/>
    </i>
    <i t="grand">
      <x/>
    </i>
  </colItems>
  <dataFields count="1">
    <dataField name="Count of ai_job_market (3).tools_preferred.1" fld="24" subtotal="count" baseField="0" baseItem="0"/>
  </dataFields>
  <chartFormats count="18">
    <chartFormat chart="0" format="0" series="1">
      <pivotArea type="data" outline="0" fieldPosition="0">
        <references count="2">
          <reference field="4294967294" count="1" selected="0">
            <x v="0"/>
          </reference>
          <reference field="24" count="1" selected="0">
            <x v="0"/>
          </reference>
        </references>
      </pivotArea>
    </chartFormat>
    <chartFormat chart="0" format="1" series="1">
      <pivotArea type="data" outline="0" fieldPosition="0">
        <references count="2">
          <reference field="4294967294" count="1" selected="0">
            <x v="0"/>
          </reference>
          <reference field="24" count="1" selected="0">
            <x v="1"/>
          </reference>
        </references>
      </pivotArea>
    </chartFormat>
    <chartFormat chart="0" format="2" series="1">
      <pivotArea type="data" outline="0" fieldPosition="0">
        <references count="2">
          <reference field="4294967294" count="1" selected="0">
            <x v="0"/>
          </reference>
          <reference field="24" count="1" selected="0">
            <x v="2"/>
          </reference>
        </references>
      </pivotArea>
    </chartFormat>
    <chartFormat chart="0" format="3" series="1">
      <pivotArea type="data" outline="0" fieldPosition="0">
        <references count="2">
          <reference field="4294967294" count="1" selected="0">
            <x v="0"/>
          </reference>
          <reference field="24" count="1" selected="0">
            <x v="3"/>
          </reference>
        </references>
      </pivotArea>
    </chartFormat>
    <chartFormat chart="0" format="4" series="1">
      <pivotArea type="data" outline="0" fieldPosition="0">
        <references count="2">
          <reference field="4294967294" count="1" selected="0">
            <x v="0"/>
          </reference>
          <reference field="24" count="1" selected="0">
            <x v="4"/>
          </reference>
        </references>
      </pivotArea>
    </chartFormat>
    <chartFormat chart="0" format="5" series="1">
      <pivotArea type="data" outline="0" fieldPosition="0">
        <references count="2">
          <reference field="4294967294" count="1" selected="0">
            <x v="0"/>
          </reference>
          <reference field="24" count="1" selected="0">
            <x v="5"/>
          </reference>
        </references>
      </pivotArea>
    </chartFormat>
    <chartFormat chart="0" format="6" series="1">
      <pivotArea type="data" outline="0" fieldPosition="0">
        <references count="2">
          <reference field="4294967294" count="1" selected="0">
            <x v="0"/>
          </reference>
          <reference field="24" count="1" selected="0">
            <x v="6"/>
          </reference>
        </references>
      </pivotArea>
    </chartFormat>
    <chartFormat chart="0" format="7" series="1">
      <pivotArea type="data" outline="0" fieldPosition="0">
        <references count="2">
          <reference field="4294967294" count="1" selected="0">
            <x v="0"/>
          </reference>
          <reference field="24" count="1" selected="0">
            <x v="7"/>
          </reference>
        </references>
      </pivotArea>
    </chartFormat>
    <chartFormat chart="3" format="14" series="1">
      <pivotArea type="data" outline="0" fieldPosition="0">
        <references count="2">
          <reference field="4294967294" count="1" selected="0">
            <x v="0"/>
          </reference>
          <reference field="24" count="1" selected="0">
            <x v="1"/>
          </reference>
        </references>
      </pivotArea>
    </chartFormat>
    <chartFormat chart="3" format="15" series="1">
      <pivotArea type="data" outline="0" fieldPosition="0">
        <references count="2">
          <reference field="4294967294" count="1" selected="0">
            <x v="0"/>
          </reference>
          <reference field="24" count="1" selected="0">
            <x v="2"/>
          </reference>
        </references>
      </pivotArea>
    </chartFormat>
    <chartFormat chart="3" format="16" series="1">
      <pivotArea type="data" outline="0" fieldPosition="0">
        <references count="2">
          <reference field="4294967294" count="1" selected="0">
            <x v="0"/>
          </reference>
          <reference field="24" count="1" selected="0">
            <x v="3"/>
          </reference>
        </references>
      </pivotArea>
    </chartFormat>
    <chartFormat chart="3" format="17" series="1">
      <pivotArea type="data" outline="0" fieldPosition="0">
        <references count="2">
          <reference field="4294967294" count="1" selected="0">
            <x v="0"/>
          </reference>
          <reference field="24" count="1" selected="0">
            <x v="4"/>
          </reference>
        </references>
      </pivotArea>
    </chartFormat>
    <chartFormat chart="3" format="18" series="1">
      <pivotArea type="data" outline="0" fieldPosition="0">
        <references count="2">
          <reference field="4294967294" count="1" selected="0">
            <x v="0"/>
          </reference>
          <reference field="24" count="1" selected="0">
            <x v="6"/>
          </reference>
        </references>
      </pivotArea>
    </chartFormat>
    <chartFormat chart="3" format="19" series="1">
      <pivotArea type="data" outline="0" fieldPosition="0">
        <references count="2">
          <reference field="4294967294" count="1" selected="0">
            <x v="0"/>
          </reference>
          <reference field="24" count="1" selected="0">
            <x v="7"/>
          </reference>
        </references>
      </pivotArea>
    </chartFormat>
    <chartFormat chart="3" format="20" series="1">
      <pivotArea type="data" outline="0" fieldPosition="0">
        <references count="1">
          <reference field="4294967294" count="1" selected="0">
            <x v="0"/>
          </reference>
        </references>
      </pivotArea>
    </chartFormat>
    <chartFormat chart="0" format="8" series="1">
      <pivotArea type="data" outline="0" fieldPosition="0">
        <references count="1">
          <reference field="4294967294" count="1" selected="0">
            <x v="0"/>
          </reference>
        </references>
      </pivotArea>
    </chartFormat>
    <chartFormat chart="3" format="21" series="1">
      <pivotArea type="data" outline="0" fieldPosition="0">
        <references count="2">
          <reference field="4294967294" count="1" selected="0">
            <x v="0"/>
          </reference>
          <reference field="24" count="1" selected="0">
            <x v="0"/>
          </reference>
        </references>
      </pivotArea>
    </chartFormat>
    <chartFormat chart="3" format="22" series="1">
      <pivotArea type="data" outline="0" fieldPosition="0">
        <references count="2">
          <reference field="4294967294" count="1" selected="0">
            <x v="0"/>
          </reference>
          <reference field="2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AC622DA-2181-4739-BC9F-92FF9C0A4DB8}" name="PivotTable3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C2:AG7" firstHeaderRow="1" firstDataRow="2" firstDataCol="1"/>
  <pivotFields count="8">
    <pivotField showAll="0">
      <items count="9">
        <item x="4"/>
        <item x="6"/>
        <item x="1"/>
        <item x="2"/>
        <item x="3"/>
        <item x="5"/>
        <item x="0"/>
        <item m="1" x="7"/>
        <item t="default"/>
      </items>
    </pivotField>
    <pivotField showAll="0"/>
    <pivotField axis="axisCol" dataField="1" showAll="0">
      <items count="5">
        <item x="0"/>
        <item x="2"/>
        <item x="1"/>
        <item m="1" x="3"/>
        <item t="default"/>
      </items>
    </pivotField>
    <pivotField showAll="0"/>
    <pivotField numFmtId="164" showAll="0"/>
    <pivotField showAll="0"/>
    <pivotField showAll="0"/>
    <pivotField axis="axisRow" showAll="0">
      <items count="5">
        <item x="2"/>
        <item x="1"/>
        <item x="0"/>
        <item m="1" x="3"/>
        <item t="default"/>
      </items>
    </pivotField>
  </pivotFields>
  <rowFields count="1">
    <field x="7"/>
  </rowFields>
  <rowItems count="4">
    <i>
      <x/>
    </i>
    <i>
      <x v="1"/>
    </i>
    <i>
      <x v="2"/>
    </i>
    <i t="grand">
      <x/>
    </i>
  </rowItems>
  <colFields count="1">
    <field x="2"/>
  </colFields>
  <colItems count="4">
    <i>
      <x/>
    </i>
    <i>
      <x v="1"/>
    </i>
    <i>
      <x v="2"/>
    </i>
    <i t="grand">
      <x/>
    </i>
  </colItems>
  <dataFields count="1">
    <dataField name="Count of experience_level" fld="2" subtotal="count" baseField="0" baseItem="0"/>
  </dataFields>
  <chartFormats count="10">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9" format="12" series="1">
      <pivotArea type="data" outline="0" fieldPosition="0">
        <references count="2">
          <reference field="4294967294" count="1" selected="0">
            <x v="0"/>
          </reference>
          <reference field="2" count="1" selected="0">
            <x v="0"/>
          </reference>
        </references>
      </pivotArea>
    </chartFormat>
    <chartFormat chart="9" format="13" series="1">
      <pivotArea type="data" outline="0" fieldPosition="0">
        <references count="2">
          <reference field="4294967294" count="1" selected="0">
            <x v="0"/>
          </reference>
          <reference field="2" count="1" selected="0">
            <x v="1"/>
          </reference>
        </references>
      </pivotArea>
    </chartFormat>
    <chartFormat chart="9" format="14" series="1">
      <pivotArea type="data" outline="0" fieldPosition="0">
        <references count="2">
          <reference field="4294967294" count="1" selected="0">
            <x v="0"/>
          </reference>
          <reference field="2" count="1" selected="0">
            <x v="2"/>
          </reference>
        </references>
      </pivotArea>
    </chartFormat>
    <chartFormat chart="1" format="3" series="1">
      <pivotArea type="data" outline="0" fieldPosition="0">
        <references count="2">
          <reference field="4294967294" count="1" selected="0">
            <x v="0"/>
          </reference>
          <reference field="2" count="1" selected="0">
            <x v="3"/>
          </reference>
        </references>
      </pivotArea>
    </chartFormat>
    <chartFormat chart="9" format="15" series="1">
      <pivotArea type="data" outline="0" fieldPosition="0">
        <references count="2">
          <reference field="4294967294" count="1" selected="0">
            <x v="0"/>
          </reference>
          <reference field="2" count="1" selected="0">
            <x v="3"/>
          </reference>
        </references>
      </pivotArea>
    </chartFormat>
    <chartFormat chart="9" format="16"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793679C-A930-4BC6-8D4A-DA1E6C8FCC6F}" name="PivotTable3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X2:Y10" firstHeaderRow="1" firstDataRow="1" firstDataCol="1"/>
  <pivotFields count="8">
    <pivotField axis="axisRow" showAll="0">
      <items count="9">
        <item x="4"/>
        <item x="6"/>
        <item x="1"/>
        <item x="2"/>
        <item x="3"/>
        <item x="5"/>
        <item x="0"/>
        <item m="1" x="7"/>
        <item t="default"/>
      </items>
    </pivotField>
    <pivotField showAll="0"/>
    <pivotField showAll="0"/>
    <pivotField showAll="0"/>
    <pivotField dataField="1" numFmtId="164" showAll="0"/>
    <pivotField showAll="0"/>
    <pivotField showAll="0"/>
    <pivotField showAll="0"/>
  </pivotFields>
  <rowFields count="1">
    <field x="0"/>
  </rowFields>
  <rowItems count="8">
    <i>
      <x/>
    </i>
    <i>
      <x v="1"/>
    </i>
    <i>
      <x v="2"/>
    </i>
    <i>
      <x v="3"/>
    </i>
    <i>
      <x v="4"/>
    </i>
    <i>
      <x v="5"/>
    </i>
    <i>
      <x v="6"/>
    </i>
    <i t="grand">
      <x/>
    </i>
  </rowItems>
  <colItems count="1">
    <i/>
  </colItems>
  <dataFields count="1">
    <dataField name="Average of avg_salary" fld="4" subtotal="average" baseField="0" baseItem="0" numFmtId="164"/>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64AC942-1A07-475A-98C0-8674CB96090F}" name="PivotTable3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Tools Preferred">
  <location ref="BE2:BE11" firstHeaderRow="1" firstDataRow="1" firstDataCol="1"/>
  <pivotFields count="2">
    <pivotField axis="axisRow" showAll="0">
      <items count="9">
        <item x="2"/>
        <item x="1"/>
        <item x="0"/>
        <item x="7"/>
        <item x="6"/>
        <item x="4"/>
        <item x="5"/>
        <item x="3"/>
        <item t="default"/>
      </items>
    </pivotField>
    <pivotField showAll="0"/>
  </pivotFields>
  <rowFields count="1">
    <field x="0"/>
  </rowFields>
  <rowItems count="9">
    <i>
      <x/>
    </i>
    <i>
      <x v="1"/>
    </i>
    <i>
      <x v="2"/>
    </i>
    <i>
      <x v="3"/>
    </i>
    <i>
      <x v="4"/>
    </i>
    <i>
      <x v="5"/>
    </i>
    <i>
      <x v="6"/>
    </i>
    <i>
      <x v="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D3FB488-6A0D-48E9-B4AA-63B953D721D1}" name="PivotTable30" cacheId="3"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7" rowHeaderCaption="Experience Level">
  <location ref="Q2:U11" firstHeaderRow="1" firstDataRow="2" firstDataCol="1"/>
  <pivotFields count="8">
    <pivotField axis="axisRow" showAll="0">
      <items count="9">
        <item x="4"/>
        <item x="6"/>
        <item x="1"/>
        <item x="2"/>
        <item x="3"/>
        <item x="5"/>
        <item x="0"/>
        <item m="1" x="7"/>
        <item t="default"/>
      </items>
    </pivotField>
    <pivotField showAll="0"/>
    <pivotField axis="axisCol" dataField="1" showAll="0">
      <items count="5">
        <item x="0"/>
        <item x="2"/>
        <item x="1"/>
        <item m="1" x="3"/>
        <item t="default"/>
      </items>
    </pivotField>
    <pivotField showAll="0"/>
    <pivotField numFmtId="164" showAll="0"/>
    <pivotField showAll="0"/>
    <pivotField showAll="0"/>
    <pivotField showAll="0"/>
  </pivotFields>
  <rowFields count="1">
    <field x="0"/>
  </rowFields>
  <rowItems count="8">
    <i>
      <x/>
    </i>
    <i>
      <x v="1"/>
    </i>
    <i>
      <x v="2"/>
    </i>
    <i>
      <x v="3"/>
    </i>
    <i>
      <x v="4"/>
    </i>
    <i>
      <x v="5"/>
    </i>
    <i>
      <x v="6"/>
    </i>
    <i t="grand">
      <x/>
    </i>
  </rowItems>
  <colFields count="1">
    <field x="2"/>
  </colFields>
  <colItems count="4">
    <i>
      <x/>
    </i>
    <i>
      <x v="1"/>
    </i>
    <i>
      <x v="2"/>
    </i>
    <i t="grand">
      <x/>
    </i>
  </colItems>
  <dataFields count="1">
    <dataField name="Count of experience_level" fld="2" subtotal="count" baseField="0" baseItem="0"/>
  </dataFields>
  <chartFormats count="14">
    <chartFormat chart="13" format="21" series="1">
      <pivotArea type="data" outline="0" fieldPosition="0">
        <references count="1">
          <reference field="2" count="1" selected="0">
            <x v="0"/>
          </reference>
        </references>
      </pivotArea>
    </chartFormat>
    <chartFormat chart="13" format="22" series="1">
      <pivotArea type="data" outline="0" fieldPosition="0">
        <references count="1">
          <reference field="2" count="1" selected="0">
            <x v="1"/>
          </reference>
        </references>
      </pivotArea>
    </chartFormat>
    <chartFormat chart="13" format="23" series="1">
      <pivotArea type="data" outline="0" fieldPosition="0">
        <references count="1">
          <reference field="2" count="1" selected="0">
            <x v="2"/>
          </reference>
        </references>
      </pivotArea>
    </chartFormat>
    <chartFormat chart="5" format="12" series="1">
      <pivotArea type="data" outline="0" fieldPosition="0">
        <references count="1">
          <reference field="2" count="1" selected="0">
            <x v="0"/>
          </reference>
        </references>
      </pivotArea>
    </chartFormat>
    <chartFormat chart="5" format="13" series="1">
      <pivotArea type="data" outline="0" fieldPosition="0">
        <references count="1">
          <reference field="2" count="1" selected="0">
            <x v="1"/>
          </reference>
        </references>
      </pivotArea>
    </chartFormat>
    <chartFormat chart="5" format="14" series="1">
      <pivotArea type="data" outline="0" fieldPosition="0">
        <references count="1">
          <reference field="2" count="1" selected="0">
            <x v="2"/>
          </reference>
        </references>
      </pivotArea>
    </chartFormat>
    <chartFormat chart="5" format="15" series="1">
      <pivotArea type="data" outline="0" fieldPosition="0">
        <references count="2">
          <reference field="4294967294" count="1" selected="0">
            <x v="0"/>
          </reference>
          <reference field="2" count="1" selected="0">
            <x v="3"/>
          </reference>
        </references>
      </pivotArea>
    </chartFormat>
    <chartFormat chart="13" format="24" series="1">
      <pivotArea type="data" outline="0" fieldPosition="0">
        <references count="2">
          <reference field="4294967294" count="1" selected="0">
            <x v="0"/>
          </reference>
          <reference field="2" count="1" selected="0">
            <x v="3"/>
          </reference>
        </references>
      </pivotArea>
    </chartFormat>
    <chartFormat chart="5" format="16" series="1">
      <pivotArea type="data" outline="0" fieldPosition="0">
        <references count="2">
          <reference field="4294967294" count="1" selected="0">
            <x v="0"/>
          </reference>
          <reference field="2" count="1" selected="0">
            <x v="0"/>
          </reference>
        </references>
      </pivotArea>
    </chartFormat>
    <chartFormat chart="5" format="17" series="1">
      <pivotArea type="data" outline="0" fieldPosition="0">
        <references count="2">
          <reference field="4294967294" count="1" selected="0">
            <x v="0"/>
          </reference>
          <reference field="2" count="1" selected="0">
            <x v="1"/>
          </reference>
        </references>
      </pivotArea>
    </chartFormat>
    <chartFormat chart="5" format="18" series="1">
      <pivotArea type="data" outline="0" fieldPosition="0">
        <references count="2">
          <reference field="4294967294" count="1" selected="0">
            <x v="0"/>
          </reference>
          <reference field="2" count="1" selected="0">
            <x v="2"/>
          </reference>
        </references>
      </pivotArea>
    </chartFormat>
    <chartFormat chart="13" format="25" series="1">
      <pivotArea type="data" outline="0" fieldPosition="0">
        <references count="2">
          <reference field="4294967294" count="1" selected="0">
            <x v="0"/>
          </reference>
          <reference field="2" count="1" selected="0">
            <x v="0"/>
          </reference>
        </references>
      </pivotArea>
    </chartFormat>
    <chartFormat chart="13" format="26" series="1">
      <pivotArea type="data" outline="0" fieldPosition="0">
        <references count="2">
          <reference field="4294967294" count="1" selected="0">
            <x v="0"/>
          </reference>
          <reference field="2" count="1" selected="0">
            <x v="1"/>
          </reference>
        </references>
      </pivotArea>
    </chartFormat>
    <chartFormat chart="13" format="27"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3A1C0A7-3CBD-4837-8700-647CA2C69ADD}" autoFormatId="16" applyNumberFormats="0" applyBorderFormats="0" applyFontFormats="0" applyPatternFormats="0" applyAlignmentFormats="0" applyWidthHeightFormats="0">
  <queryTableRefresh nextId="60">
    <queryTableFields count="26">
      <queryTableField id="1" name="job_id" tableColumnId="1"/>
      <queryTableField id="2" name="company_name" tableColumnId="2"/>
      <queryTableField id="3" name="industry" tableColumnId="3"/>
      <queryTableField id="4" name="job_title" tableColumnId="4"/>
      <queryTableField id="40" name="skills_required.1" tableColumnId="8"/>
      <queryTableField id="41" name="skills_required.2" tableColumnId="9"/>
      <queryTableField id="42" name="skills_required.3" tableColumnId="12"/>
      <queryTableField id="43" name="skills_required.4" tableColumnId="15"/>
      <queryTableField id="44" name="skills_required.5" tableColumnId="16"/>
      <queryTableField id="39" dataBound="0" tableColumnId="5"/>
      <queryTableField id="45" name="skills_required.6" tableColumnId="17"/>
      <queryTableField id="6" name="experience_level" tableColumnId="6"/>
      <queryTableField id="7" name="employment_type" tableColumnId="7"/>
      <queryTableField id="13" name="location.1" tableColumnId="13"/>
      <queryTableField id="14" name="location.2" tableColumnId="14"/>
      <queryTableField id="35" name="min_salary" tableColumnId="26"/>
      <queryTableField id="36" name="max_salary" tableColumnId="27"/>
      <queryTableField id="10" name="posted_date" tableColumnId="10"/>
      <queryTableField id="11" name="company_size" tableColumnId="11"/>
      <queryTableField id="46" name="tools_preferred.1" tableColumnId="18"/>
      <queryTableField id="47" name="tools_preferred.2" tableColumnId="19"/>
      <queryTableField id="48" name="tools_preferred.3" tableColumnId="20"/>
      <queryTableField id="49" name="ai_job_market (2).skills_required.1" tableColumnId="21"/>
      <queryTableField id="50" name="ai_job_market (2).Count" tableColumnId="22"/>
      <queryTableField id="51" name="ai_job_market (3).tools_preferred.1" tableColumnId="23"/>
      <queryTableField id="52" name="ai_job_market (3).Count" tableColumnId="2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30F8B0E3-C92A-498B-B17F-AD11209B72C1}" autoFormatId="16" applyNumberFormats="0" applyBorderFormats="0" applyFontFormats="0" applyPatternFormats="0" applyAlignmentFormats="0" applyWidthHeightFormats="0">
  <queryTableRefresh nextId="42">
    <queryTableFields count="2">
      <queryTableField id="40" name="skills_required.1" tableColumnId="1"/>
      <queryTableField id="41" name="Count"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1DF12AEF-D1EB-4BFC-9250-097CD4C002F2}" autoFormatId="16" applyNumberFormats="0" applyBorderFormats="0" applyFontFormats="0" applyPatternFormats="0" applyAlignmentFormats="0" applyWidthHeightFormats="0">
  <queryTableRefresh nextId="42">
    <queryTableFields count="2">
      <queryTableField id="40" name="tools_preferred.1" tableColumnId="1"/>
      <queryTableField id="41" name="Count"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1" xr10:uid="{4AC24E24-2B53-43DB-B984-1B5B3D2F371B}" sourceName="industry">
  <pivotTables>
    <pivotTable tabId="12" name="PivotTable30"/>
    <pivotTable tabId="12" name="PivotTable31"/>
    <pivotTable tabId="12" name="PivotTable34"/>
    <pivotTable tabId="12" name="PivotTable33"/>
  </pivotTables>
  <data>
    <tabular pivotCacheId="819164358">
      <items count="8">
        <i x="4" s="1"/>
        <i x="6" s="1"/>
        <i x="1" s="1"/>
        <i x="2" s="1"/>
        <i x="3" s="1"/>
        <i x="5" s="1"/>
        <i x="0" s="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4E06BAA0-ABED-4E54-AB73-519ADA84C2DA}" sourceName="industry">
  <pivotTables>
    <pivotTable tabId="12" name="PivotTable40"/>
    <pivotTable tabId="12" name="PivotTable41"/>
    <pivotTable tabId="12" name="PivotTable39"/>
  </pivotTables>
  <data>
    <tabular pivotCacheId="1123029127">
      <items count="7">
        <i x="5" s="1"/>
        <i x="4" s="1"/>
        <i x="3" s="1"/>
        <i x="2" s="1"/>
        <i x="0" s="1"/>
        <i x="6"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size" xr10:uid="{7B811FB1-5379-41B9-BEFA-8C7F0FE9672F}" sourceName="company_size">
  <pivotTables>
    <pivotTable tabId="12" name="PivotTable32"/>
  </pivotTables>
  <data>
    <tabular pivotCacheId="819164358">
      <items count="4">
        <i x="2" s="1"/>
        <i x="1" s="1"/>
        <i x="0"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xr10:uid="{550D7979-8D0C-426A-8012-9CF2FC9D3ED2}" cache="Slicer_industry1" caption="industry" rowHeight="234950"/>
  <slicer name="industry 4" xr10:uid="{AC500C26-855D-42F0-B2DF-F25718F90AD8}" cache="Slicer_industry" caption="industry" rowHeight="234950"/>
  <slicer name="industry 3" xr10:uid="{328CD960-FC7D-43B7-A200-2D48FC2B87A2}" cache="Slicer_industry" caption="industry" rowHeight="234950"/>
  <slicer name="company_size" xr10:uid="{B09EAA32-2E11-4115-91C8-ECB3AEE42D0A}" cache="Slicer_company_size" caption="company_siz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1" xr10:uid="{85F14D07-17C9-476C-8957-FD0E43374167}" cache="Slicer_industry1" caption="Industry" style="SlicerStyleDark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5" xr10:uid="{AB6EDAC4-9E47-4A6E-BF56-DC3973D262DD}" cache="Slicer_industry" caption="Industry" style="SlicerStyleDark1" rowHeight="234950"/>
  <slicer name="company_size 1" xr10:uid="{9CB04DEE-C0C6-4317-B120-D08F2F53C70E}" cache="Slicer_company_size" caption="Company Size"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EA9B53-A3F1-4EBA-82CF-575F83C6B8C1}" name="ai_job_market" displayName="ai_job_market" ref="A1:Z2001" tableType="queryTable" totalsRowShown="0">
  <autoFilter ref="A1:Z2001" xr:uid="{D1EA9B53-A3F1-4EBA-82CF-575F83C6B8C1}"/>
  <tableColumns count="26">
    <tableColumn id="1" xr3:uid="{9EDA01EC-07FD-4204-85A3-CBD76754A3B2}" uniqueName="1" name="job_id" queryTableFieldId="1"/>
    <tableColumn id="2" xr3:uid="{27F18BB5-D6FE-4564-8452-18EF775C8C47}" uniqueName="2" name="company_name" queryTableFieldId="2" dataDxfId="53"/>
    <tableColumn id="3" xr3:uid="{6097FF0F-3BBA-4E85-9CEA-4C22250970FC}" uniqueName="3" name="industry" queryTableFieldId="3" dataDxfId="52"/>
    <tableColumn id="4" xr3:uid="{1AB894F7-6F85-4C78-BB7B-47A006744726}" uniqueName="4" name="job_title" queryTableFieldId="4" dataDxfId="51"/>
    <tableColumn id="8" xr3:uid="{91FA9AAB-326C-495C-A642-0B8A0D88ED89}" uniqueName="8" name="skills_required.1" queryTableFieldId="40" dataDxfId="50"/>
    <tableColumn id="9" xr3:uid="{2C14664B-7AED-41C1-88BA-089FAB231D2B}" uniqueName="9" name="skills_required.2" queryTableFieldId="41" dataDxfId="49"/>
    <tableColumn id="12" xr3:uid="{9415FF89-E4A0-4136-B572-E207A03FFA25}" uniqueName="12" name="skills_required.3" queryTableFieldId="42" dataDxfId="48"/>
    <tableColumn id="15" xr3:uid="{B6A45E34-054D-4915-9176-1A7FB2C69906}" uniqueName="15" name="skills_required.4" queryTableFieldId="43" dataDxfId="47"/>
    <tableColumn id="16" xr3:uid="{F112A0EB-FFA6-40AA-8725-CEF5C98AEFD8}" uniqueName="16" name="skills_required.5" queryTableFieldId="44" dataDxfId="46"/>
    <tableColumn id="5" xr3:uid="{2F30FF0C-516F-46CE-BA99-2A6691CD647C}" uniqueName="5" name="avg_salary" queryTableFieldId="39" dataDxfId="45">
      <calculatedColumnFormula>AVERAGE(ai_job_market[[#This Row],[min_salary]],ai_job_market[[#This Row],[max_salary]])</calculatedColumnFormula>
    </tableColumn>
    <tableColumn id="17" xr3:uid="{F20BEFC6-863D-442E-B977-B727CD6FF5D0}" uniqueName="17" name="skills_required.6" queryTableFieldId="45" dataDxfId="44"/>
    <tableColumn id="6" xr3:uid="{A484A240-2BC8-4600-B50B-5A6F1921E95B}" uniqueName="6" name="experience_level" queryTableFieldId="6" dataDxfId="43"/>
    <tableColumn id="7" xr3:uid="{A56FBC9E-37B6-4D8B-809E-7DA452147045}" uniqueName="7" name="employment_type" queryTableFieldId="7" dataDxfId="42"/>
    <tableColumn id="13" xr3:uid="{6C4C70D4-D3AB-4A42-B52C-1451287FA61C}" uniqueName="13" name="location.1" queryTableFieldId="13" dataDxfId="41"/>
    <tableColumn id="14" xr3:uid="{36A62748-172C-49FA-9D43-944659A1C90D}" uniqueName="14" name="location.2" queryTableFieldId="14" dataDxfId="40"/>
    <tableColumn id="26" xr3:uid="{75AEE39F-6901-4984-AE15-942F8E9DE5C0}" uniqueName="26" name="min_salary" queryTableFieldId="35"/>
    <tableColumn id="27" xr3:uid="{6460F4EE-D20F-4C83-B6DC-802A8F41FEB7}" uniqueName="27" name="max_salary" queryTableFieldId="36"/>
    <tableColumn id="10" xr3:uid="{87650CAE-9062-44B9-8789-0A17A4F70329}" uniqueName="10" name="posted_date" queryTableFieldId="10" dataDxfId="39"/>
    <tableColumn id="11" xr3:uid="{74445235-AB06-4B30-8420-4CB4E6A82C49}" uniqueName="11" name="company_size" queryTableFieldId="11" dataDxfId="38"/>
    <tableColumn id="18" xr3:uid="{DAD93E09-4248-4238-A4B7-E6194C45184F}" uniqueName="18" name="tools_preferred.1" queryTableFieldId="46" dataDxfId="37"/>
    <tableColumn id="19" xr3:uid="{897EA195-6683-45E1-9CEA-BB2F1D80C967}" uniqueName="19" name="tools_preferred.2" queryTableFieldId="47" dataDxfId="36"/>
    <tableColumn id="20" xr3:uid="{82B644AF-10D0-406F-B23F-248F14DC3413}" uniqueName="20" name="tools_preferred.3" queryTableFieldId="48" dataDxfId="35"/>
    <tableColumn id="21" xr3:uid="{4E0CBBBD-CAFA-49BF-80C0-A7FB277526E3}" uniqueName="21" name="ai_job_market (2).skills_required.1" queryTableFieldId="49" dataDxfId="34"/>
    <tableColumn id="22" xr3:uid="{616C7B5A-A887-4106-9957-EF03B11AA7B2}" uniqueName="22" name="ai_job_market (2).Count" queryTableFieldId="50"/>
    <tableColumn id="23" xr3:uid="{D082DD7A-1B71-4161-B7E5-C150B4808A9D}" uniqueName="23" name="ai_job_market (3).tools_preferred.1" queryTableFieldId="51" dataDxfId="33"/>
    <tableColumn id="24" xr3:uid="{4633C241-3456-4767-B98B-7DDF3E4252B0}" uniqueName="24" name="ai_job_market (3).Count" queryTableFieldId="5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C0E0A10-4015-47C0-AA95-0ECA68FEBDE2}" name="ai_job_market13" displayName="ai_job_market13" ref="A1:B23" tableType="queryTable" totalsRowShown="0" headerRowDxfId="32" dataDxfId="30" headerRowBorderDxfId="31" tableBorderDxfId="29" totalsRowBorderDxfId="28">
  <autoFilter ref="A1:B23" xr:uid="{EC0E0A10-4015-47C0-AA95-0ECA68FEBDE2}"/>
  <sortState xmlns:xlrd2="http://schemas.microsoft.com/office/spreadsheetml/2017/richdata2" ref="A2:B23">
    <sortCondition descending="1" ref="B1:B23"/>
  </sortState>
  <tableColumns count="2">
    <tableColumn id="1" xr3:uid="{C3B932D4-41FF-41AE-AE60-5A8609926CDA}" uniqueName="1" name="skills_required.1" queryTableFieldId="40" dataDxfId="27"/>
    <tableColumn id="2" xr3:uid="{54CD00B1-9F94-47CC-843C-380108B084F6}" uniqueName="2" name="Count" queryTableFieldId="41" dataDxfId="2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65FF624-680E-467D-ADDD-FE10E96EDC1F}" name="ai_job_market14" displayName="ai_job_market14" ref="D1:E9" tableType="queryTable" totalsRowShown="0" headerRowDxfId="25" dataDxfId="24">
  <autoFilter ref="D1:E9" xr:uid="{065FF624-680E-467D-ADDD-FE10E96EDC1F}"/>
  <tableColumns count="2">
    <tableColumn id="1" xr3:uid="{FE69E822-C9FE-4255-9BA8-79F51163D21B}" uniqueName="1" name="tools_preferred.1" queryTableFieldId="40" dataDxfId="23"/>
    <tableColumn id="2" xr3:uid="{AD63E04F-83D2-4064-B86C-A821851793D2}" uniqueName="2" name="Count" queryTableFieldId="41" dataDxfId="2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31437AE-1136-426C-AF4B-99DE5F032F33}" name="Table11" displayName="Table11" ref="A1:H2001" totalsRowShown="0">
  <autoFilter ref="A1:H2001" xr:uid="{131437AE-1136-426C-AF4B-99DE5F032F33}"/>
  <tableColumns count="8">
    <tableColumn id="1" xr3:uid="{C41241AA-E7D1-4F91-B9FB-E28896E11F72}" name="industry"/>
    <tableColumn id="2" xr3:uid="{86B2CABB-EB25-49CC-AEBB-A2793FCAA181}" name="job_title"/>
    <tableColumn id="3" xr3:uid="{7B1CA42E-87AB-480E-9424-BC8A4AE2CC2B}" name="experience_level"/>
    <tableColumn id="4" xr3:uid="{D3BD0A9A-DB68-4C31-B1DF-5840462AA8D5}" name="employment_type"/>
    <tableColumn id="5" xr3:uid="{7DA16E98-888C-4B29-A431-FF2821D4CD09}" name="avg_salary" dataDxfId="2"/>
    <tableColumn id="8" xr3:uid="{268A2BF0-76E2-4A4B-BDE5-6900B70B6EF6}" name="skills_required" dataDxfId="1"/>
    <tableColumn id="7" xr3:uid="{01FBFEC7-FC58-4F53-AE59-9E90BDEBC10A}" name="tools_preferred" dataDxfId="0"/>
    <tableColumn id="6" xr3:uid="{C085881A-14ED-45A2-A278-B70573651230}" name="company_siz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table" Target="../tables/table4.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2D1FA-325E-45EB-AD80-7817378A979B}">
  <dimension ref="A1:Z2001"/>
  <sheetViews>
    <sheetView topLeftCell="A2" workbookViewId="0">
      <selection activeCell="B1" sqref="B1"/>
    </sheetView>
  </sheetViews>
  <sheetFormatPr defaultRowHeight="14.4" x14ac:dyDescent="0.3"/>
  <cols>
    <col min="1" max="1" width="8.5546875" bestFit="1" customWidth="1"/>
    <col min="2" max="2" width="31" bestFit="1" customWidth="1"/>
    <col min="3" max="3" width="11.33203125" bestFit="1" customWidth="1"/>
    <col min="4" max="4" width="22.21875" bestFit="1" customWidth="1"/>
    <col min="5" max="5" width="20.6640625" hidden="1" customWidth="1"/>
    <col min="6" max="9" width="21.109375" hidden="1" customWidth="1"/>
    <col min="10" max="10" width="12.109375" style="5" bestFit="1" customWidth="1"/>
    <col min="11" max="11" width="21.109375" style="6" bestFit="1" customWidth="1"/>
    <col min="12" max="12" width="17.33203125" style="5" bestFit="1" customWidth="1"/>
    <col min="13" max="13" width="18.88671875" bestFit="1" customWidth="1"/>
    <col min="14" max="14" width="21.88671875" hidden="1" customWidth="1"/>
    <col min="15" max="15" width="11.5546875" hidden="1" customWidth="1"/>
    <col min="16" max="16" width="13.44140625" hidden="1" customWidth="1"/>
    <col min="17" max="17" width="13.77734375" hidden="1" customWidth="1"/>
    <col min="18" max="18" width="13.77734375" customWidth="1"/>
    <col min="19" max="19" width="15.109375" bestFit="1" customWidth="1"/>
    <col min="20" max="22" width="17.88671875" hidden="1" customWidth="1"/>
    <col min="23" max="23" width="32.88671875" bestFit="1" customWidth="1"/>
    <col min="24" max="24" width="24.21875" bestFit="1" customWidth="1"/>
    <col min="25" max="25" width="33.88671875" bestFit="1" customWidth="1"/>
    <col min="26" max="26" width="24.21875" bestFit="1" customWidth="1"/>
    <col min="27" max="27" width="15.109375" customWidth="1"/>
    <col min="28" max="29" width="30.109375" bestFit="1" customWidth="1"/>
    <col min="30" max="30" width="18.88671875" bestFit="1" customWidth="1"/>
    <col min="31" max="31" width="21.88671875" bestFit="1" customWidth="1"/>
    <col min="32" max="32" width="11.5546875" bestFit="1" customWidth="1"/>
    <col min="33" max="33" width="18" bestFit="1" customWidth="1"/>
    <col min="34" max="34" width="13.77734375" customWidth="1"/>
    <col min="35" max="35" width="15.109375" bestFit="1" customWidth="1"/>
    <col min="36" max="38" width="17.88671875" bestFit="1" customWidth="1"/>
    <col min="39" max="39" width="15.109375" customWidth="1"/>
    <col min="40" max="41" width="30.109375" bestFit="1" customWidth="1"/>
  </cols>
  <sheetData>
    <row r="1" spans="1:26" x14ac:dyDescent="0.3">
      <c r="A1" t="s">
        <v>0</v>
      </c>
      <c r="B1" t="s">
        <v>1</v>
      </c>
      <c r="C1" t="s">
        <v>2</v>
      </c>
      <c r="D1" t="s">
        <v>3</v>
      </c>
      <c r="E1" t="s">
        <v>6342</v>
      </c>
      <c r="F1" t="s">
        <v>6363</v>
      </c>
      <c r="G1" t="s">
        <v>6364</v>
      </c>
      <c r="H1" t="s">
        <v>6365</v>
      </c>
      <c r="I1" t="s">
        <v>6366</v>
      </c>
      <c r="J1" s="6" t="s">
        <v>6335</v>
      </c>
      <c r="K1" t="s">
        <v>6367</v>
      </c>
      <c r="L1" t="s">
        <v>5</v>
      </c>
      <c r="M1" t="s">
        <v>6</v>
      </c>
      <c r="N1" t="s">
        <v>4278</v>
      </c>
      <c r="O1" t="s">
        <v>4279</v>
      </c>
      <c r="P1" s="7" t="s">
        <v>6333</v>
      </c>
      <c r="Q1" s="5" t="s">
        <v>6334</v>
      </c>
      <c r="R1" t="s">
        <v>7</v>
      </c>
      <c r="S1" t="s">
        <v>8</v>
      </c>
      <c r="T1" t="s">
        <v>6360</v>
      </c>
      <c r="U1" t="s">
        <v>6368</v>
      </c>
      <c r="V1" t="s">
        <v>6369</v>
      </c>
      <c r="W1" t="s">
        <v>6370</v>
      </c>
      <c r="X1" t="s">
        <v>6371</v>
      </c>
      <c r="Y1" t="s">
        <v>6372</v>
      </c>
      <c r="Z1" t="s">
        <v>6373</v>
      </c>
    </row>
    <row r="2" spans="1:26" x14ac:dyDescent="0.3">
      <c r="A2">
        <v>1</v>
      </c>
      <c r="B2" t="s">
        <v>10</v>
      </c>
      <c r="C2" t="s">
        <v>11</v>
      </c>
      <c r="D2" t="s">
        <v>12</v>
      </c>
      <c r="E2" t="s">
        <v>6344</v>
      </c>
      <c r="F2" t="s">
        <v>6374</v>
      </c>
      <c r="G2" t="s">
        <v>6375</v>
      </c>
      <c r="H2" t="s">
        <v>6376</v>
      </c>
      <c r="I2" t="s">
        <v>6377</v>
      </c>
      <c r="J2" s="6">
        <f>AVERAGE(ai_job_market[[#This Row],[min_salary]],ai_job_market[[#This Row],[max_salary]])</f>
        <v>101229</v>
      </c>
      <c r="K2" t="s">
        <v>6378</v>
      </c>
      <c r="L2" t="s">
        <v>14</v>
      </c>
      <c r="M2" t="s">
        <v>15</v>
      </c>
      <c r="N2" t="s">
        <v>4280</v>
      </c>
      <c r="O2" t="s">
        <v>4281</v>
      </c>
      <c r="P2" s="5">
        <v>92860</v>
      </c>
      <c r="Q2" s="5">
        <v>109598</v>
      </c>
      <c r="R2" s="2">
        <v>45889</v>
      </c>
      <c r="S2" t="s">
        <v>16</v>
      </c>
      <c r="T2" t="s">
        <v>157</v>
      </c>
      <c r="U2" t="s">
        <v>6379</v>
      </c>
      <c r="W2" t="s">
        <v>6344</v>
      </c>
      <c r="X2">
        <v>104</v>
      </c>
      <c r="Y2" t="s">
        <v>157</v>
      </c>
      <c r="Z2">
        <v>247</v>
      </c>
    </row>
    <row r="3" spans="1:26" x14ac:dyDescent="0.3">
      <c r="A3">
        <v>2</v>
      </c>
      <c r="B3" t="s">
        <v>18</v>
      </c>
      <c r="C3" t="s">
        <v>19</v>
      </c>
      <c r="D3" t="s">
        <v>20</v>
      </c>
      <c r="E3" t="s">
        <v>101</v>
      </c>
      <c r="F3" t="s">
        <v>6380</v>
      </c>
      <c r="G3" t="s">
        <v>6381</v>
      </c>
      <c r="H3" t="s">
        <v>6382</v>
      </c>
      <c r="J3">
        <f>AVERAGE(ai_job_market[[#This Row],[min_salary]],ai_job_market[[#This Row],[max_salary]])</f>
        <v>111699</v>
      </c>
      <c r="K3"/>
      <c r="L3" t="s">
        <v>22</v>
      </c>
      <c r="M3" t="s">
        <v>15</v>
      </c>
      <c r="N3" t="s">
        <v>4282</v>
      </c>
      <c r="O3" t="s">
        <v>4283</v>
      </c>
      <c r="P3">
        <v>78523</v>
      </c>
      <c r="Q3">
        <v>144875</v>
      </c>
      <c r="R3" s="2">
        <v>45373</v>
      </c>
      <c r="S3" t="s">
        <v>16</v>
      </c>
      <c r="T3" t="s">
        <v>77</v>
      </c>
      <c r="U3" t="s">
        <v>6383</v>
      </c>
      <c r="V3" t="s">
        <v>6384</v>
      </c>
      <c r="W3" t="s">
        <v>101</v>
      </c>
      <c r="X3">
        <v>76</v>
      </c>
      <c r="Y3" t="s">
        <v>77</v>
      </c>
      <c r="Z3">
        <v>251</v>
      </c>
    </row>
    <row r="4" spans="1:26" x14ac:dyDescent="0.3">
      <c r="A4">
        <v>4</v>
      </c>
      <c r="B4" t="s">
        <v>29</v>
      </c>
      <c r="C4" t="s">
        <v>19</v>
      </c>
      <c r="D4" t="s">
        <v>30</v>
      </c>
      <c r="E4" t="s">
        <v>101</v>
      </c>
      <c r="F4" t="s">
        <v>6385</v>
      </c>
      <c r="G4" t="s">
        <v>6382</v>
      </c>
      <c r="H4" t="s">
        <v>6379</v>
      </c>
      <c r="I4" t="s">
        <v>6386</v>
      </c>
      <c r="J4">
        <f>AVERAGE(ai_job_market[[#This Row],[min_salary]],ai_job_market[[#This Row],[max_salary]])</f>
        <v>87325.5</v>
      </c>
      <c r="K4" t="s">
        <v>6387</v>
      </c>
      <c r="L4" t="s">
        <v>14</v>
      </c>
      <c r="M4" t="s">
        <v>15</v>
      </c>
      <c r="N4" t="s">
        <v>4286</v>
      </c>
      <c r="O4" t="s">
        <v>4287</v>
      </c>
      <c r="P4">
        <v>50908</v>
      </c>
      <c r="Q4">
        <v>123743</v>
      </c>
      <c r="R4" s="2">
        <v>45420</v>
      </c>
      <c r="S4" t="s">
        <v>16</v>
      </c>
      <c r="T4" t="s">
        <v>80</v>
      </c>
      <c r="U4" t="s">
        <v>6388</v>
      </c>
      <c r="V4" t="s">
        <v>6389</v>
      </c>
      <c r="W4" t="s">
        <v>101</v>
      </c>
      <c r="X4">
        <v>76</v>
      </c>
      <c r="Y4" t="s">
        <v>80</v>
      </c>
      <c r="Z4">
        <v>249</v>
      </c>
    </row>
    <row r="5" spans="1:26" x14ac:dyDescent="0.3">
      <c r="A5">
        <v>12</v>
      </c>
      <c r="B5" t="s">
        <v>63</v>
      </c>
      <c r="C5" t="s">
        <v>34</v>
      </c>
      <c r="D5" t="s">
        <v>54</v>
      </c>
      <c r="E5" t="s">
        <v>6345</v>
      </c>
      <c r="F5" t="s">
        <v>6374</v>
      </c>
      <c r="G5" t="s">
        <v>6390</v>
      </c>
      <c r="H5" t="s">
        <v>6376</v>
      </c>
      <c r="J5">
        <f>AVERAGE(ai_job_market[[#This Row],[min_salary]],ai_job_market[[#This Row],[max_salary]])</f>
        <v>98126.5</v>
      </c>
      <c r="K5"/>
      <c r="L5" t="s">
        <v>27</v>
      </c>
      <c r="M5" t="s">
        <v>15</v>
      </c>
      <c r="N5" t="s">
        <v>4302</v>
      </c>
      <c r="O5" t="s">
        <v>4303</v>
      </c>
      <c r="P5">
        <v>63583</v>
      </c>
      <c r="Q5">
        <v>132670</v>
      </c>
      <c r="R5" s="2">
        <v>45366</v>
      </c>
      <c r="S5" t="s">
        <v>16</v>
      </c>
      <c r="T5" t="s">
        <v>80</v>
      </c>
      <c r="U5" t="s">
        <v>6375</v>
      </c>
      <c r="V5" t="s">
        <v>6388</v>
      </c>
      <c r="W5" t="s">
        <v>6345</v>
      </c>
      <c r="X5">
        <v>101</v>
      </c>
      <c r="Y5" t="s">
        <v>80</v>
      </c>
      <c r="Z5">
        <v>249</v>
      </c>
    </row>
    <row r="6" spans="1:26" x14ac:dyDescent="0.3">
      <c r="A6">
        <v>3</v>
      </c>
      <c r="B6" t="s">
        <v>24</v>
      </c>
      <c r="C6" t="s">
        <v>19</v>
      </c>
      <c r="D6" t="s">
        <v>25</v>
      </c>
      <c r="E6" t="s">
        <v>90</v>
      </c>
      <c r="F6" t="s">
        <v>6378</v>
      </c>
      <c r="G6" t="s">
        <v>6391</v>
      </c>
      <c r="H6" t="s">
        <v>6375</v>
      </c>
      <c r="I6" t="s">
        <v>6381</v>
      </c>
      <c r="J6" s="6">
        <f>AVERAGE(ai_job_market[[#This Row],[min_salary]],ai_job_market[[#This Row],[max_salary]])</f>
        <v>170850</v>
      </c>
      <c r="K6" t="s">
        <v>6377</v>
      </c>
      <c r="L6" t="s">
        <v>27</v>
      </c>
      <c r="M6" t="s">
        <v>15</v>
      </c>
      <c r="N6" t="s">
        <v>4284</v>
      </c>
      <c r="O6" t="s">
        <v>4285</v>
      </c>
      <c r="P6" s="5">
        <v>124496</v>
      </c>
      <c r="Q6" s="5">
        <v>217204</v>
      </c>
      <c r="R6" s="2">
        <v>45918</v>
      </c>
      <c r="S6" t="s">
        <v>16</v>
      </c>
      <c r="T6" t="s">
        <v>52</v>
      </c>
      <c r="U6" t="s">
        <v>6375</v>
      </c>
      <c r="V6" t="s">
        <v>6376</v>
      </c>
      <c r="W6" t="s">
        <v>90</v>
      </c>
      <c r="X6">
        <v>80</v>
      </c>
      <c r="Y6" t="s">
        <v>52</v>
      </c>
      <c r="Z6">
        <v>238</v>
      </c>
    </row>
    <row r="7" spans="1:26" x14ac:dyDescent="0.3">
      <c r="A7">
        <v>8</v>
      </c>
      <c r="B7" t="s">
        <v>48</v>
      </c>
      <c r="C7" t="s">
        <v>49</v>
      </c>
      <c r="D7" t="s">
        <v>35</v>
      </c>
      <c r="E7" t="s">
        <v>6345</v>
      </c>
      <c r="F7" t="s">
        <v>6381</v>
      </c>
      <c r="G7" t="s">
        <v>6392</v>
      </c>
      <c r="J7">
        <f>AVERAGE(ai_job_market[[#This Row],[min_salary]],ai_job_market[[#This Row],[max_salary]])</f>
        <v>72588</v>
      </c>
      <c r="K7"/>
      <c r="L7" t="s">
        <v>27</v>
      </c>
      <c r="M7" t="s">
        <v>51</v>
      </c>
      <c r="N7" t="s">
        <v>4294</v>
      </c>
      <c r="O7" t="s">
        <v>4295</v>
      </c>
      <c r="P7">
        <v>63032</v>
      </c>
      <c r="Q7">
        <v>82144</v>
      </c>
      <c r="R7" s="2">
        <v>45518</v>
      </c>
      <c r="S7" t="s">
        <v>16</v>
      </c>
      <c r="T7" t="s">
        <v>52</v>
      </c>
      <c r="W7" t="s">
        <v>6345</v>
      </c>
      <c r="X7">
        <v>101</v>
      </c>
      <c r="Y7" t="s">
        <v>52</v>
      </c>
      <c r="Z7">
        <v>238</v>
      </c>
    </row>
    <row r="8" spans="1:26" x14ac:dyDescent="0.3">
      <c r="A8">
        <v>17</v>
      </c>
      <c r="B8" t="s">
        <v>81</v>
      </c>
      <c r="C8" t="s">
        <v>40</v>
      </c>
      <c r="D8" t="s">
        <v>54</v>
      </c>
      <c r="E8" t="s">
        <v>90</v>
      </c>
      <c r="F8" t="s">
        <v>6387</v>
      </c>
      <c r="G8" t="s">
        <v>6385</v>
      </c>
      <c r="J8">
        <f>AVERAGE(ai_job_market[[#This Row],[min_salary]],ai_job_market[[#This Row],[max_salary]])</f>
        <v>158810</v>
      </c>
      <c r="K8"/>
      <c r="L8" t="s">
        <v>27</v>
      </c>
      <c r="M8" t="s">
        <v>15</v>
      </c>
      <c r="N8" t="s">
        <v>4311</v>
      </c>
      <c r="O8" t="s">
        <v>4312</v>
      </c>
      <c r="P8">
        <v>137523</v>
      </c>
      <c r="Q8">
        <v>180097</v>
      </c>
      <c r="R8" s="2">
        <v>45791</v>
      </c>
      <c r="S8" t="s">
        <v>14</v>
      </c>
      <c r="T8" t="s">
        <v>70</v>
      </c>
      <c r="W8" t="s">
        <v>90</v>
      </c>
      <c r="X8">
        <v>80</v>
      </c>
      <c r="Y8" t="s">
        <v>70</v>
      </c>
      <c r="Z8">
        <v>268</v>
      </c>
    </row>
    <row r="9" spans="1:26" x14ac:dyDescent="0.3">
      <c r="A9">
        <v>5</v>
      </c>
      <c r="B9" t="s">
        <v>33</v>
      </c>
      <c r="C9" t="s">
        <v>34</v>
      </c>
      <c r="D9" t="s">
        <v>35</v>
      </c>
      <c r="E9" t="s">
        <v>6345</v>
      </c>
      <c r="F9" t="s">
        <v>6390</v>
      </c>
      <c r="G9" t="s">
        <v>6381</v>
      </c>
      <c r="H9" t="s">
        <v>6393</v>
      </c>
      <c r="J9">
        <f>AVERAGE(ai_job_market[[#This Row],[min_salary]],ai_job_market[[#This Row],[max_salary]])</f>
        <v>117053.5</v>
      </c>
      <c r="K9"/>
      <c r="L9" t="s">
        <v>22</v>
      </c>
      <c r="M9" t="s">
        <v>37</v>
      </c>
      <c r="N9" t="s">
        <v>4288</v>
      </c>
      <c r="O9" t="s">
        <v>4289</v>
      </c>
      <c r="P9">
        <v>98694</v>
      </c>
      <c r="Q9">
        <v>135413</v>
      </c>
      <c r="R9" s="2">
        <v>45712</v>
      </c>
      <c r="S9" t="s">
        <v>16</v>
      </c>
      <c r="T9" t="s">
        <v>128</v>
      </c>
      <c r="U9" t="s">
        <v>6379</v>
      </c>
      <c r="W9" t="s">
        <v>6345</v>
      </c>
      <c r="X9">
        <v>101</v>
      </c>
      <c r="Y9" t="s">
        <v>128</v>
      </c>
      <c r="Z9">
        <v>233</v>
      </c>
    </row>
    <row r="10" spans="1:26" x14ac:dyDescent="0.3">
      <c r="A10">
        <v>10</v>
      </c>
      <c r="B10" t="s">
        <v>57</v>
      </c>
      <c r="C10" t="s">
        <v>45</v>
      </c>
      <c r="D10" t="s">
        <v>20</v>
      </c>
      <c r="E10" t="s">
        <v>6345</v>
      </c>
      <c r="F10" t="s">
        <v>6374</v>
      </c>
      <c r="G10" t="s">
        <v>6384</v>
      </c>
      <c r="J10">
        <f>AVERAGE(ai_job_market[[#This Row],[min_salary]],ai_job_market[[#This Row],[max_salary]])</f>
        <v>122195</v>
      </c>
      <c r="K10"/>
      <c r="L10" t="s">
        <v>22</v>
      </c>
      <c r="M10" t="s">
        <v>15</v>
      </c>
      <c r="N10" t="s">
        <v>4298</v>
      </c>
      <c r="O10" t="s">
        <v>4299</v>
      </c>
      <c r="P10">
        <v>79361</v>
      </c>
      <c r="Q10">
        <v>165029</v>
      </c>
      <c r="R10" s="2">
        <v>45876</v>
      </c>
      <c r="S10" t="s">
        <v>16</v>
      </c>
      <c r="T10" t="s">
        <v>90</v>
      </c>
      <c r="U10" t="s">
        <v>6384</v>
      </c>
      <c r="W10" t="s">
        <v>6345</v>
      </c>
      <c r="X10">
        <v>101</v>
      </c>
      <c r="Y10" t="s">
        <v>90</v>
      </c>
      <c r="Z10">
        <v>259</v>
      </c>
    </row>
    <row r="11" spans="1:26" x14ac:dyDescent="0.3">
      <c r="A11">
        <v>14</v>
      </c>
      <c r="B11" t="s">
        <v>71</v>
      </c>
      <c r="C11" t="s">
        <v>72</v>
      </c>
      <c r="D11" t="s">
        <v>25</v>
      </c>
      <c r="E11" t="s">
        <v>6345</v>
      </c>
      <c r="F11" t="s">
        <v>6389</v>
      </c>
      <c r="G11" t="s">
        <v>6394</v>
      </c>
      <c r="H11" t="s">
        <v>6393</v>
      </c>
      <c r="I11" t="s">
        <v>6379</v>
      </c>
      <c r="J11">
        <f>AVERAGE(ai_job_market[[#This Row],[min_salary]],ai_job_market[[#This Row],[max_salary]])</f>
        <v>165489.5</v>
      </c>
      <c r="K11" t="s">
        <v>6378</v>
      </c>
      <c r="L11" t="s">
        <v>22</v>
      </c>
      <c r="M11" t="s">
        <v>15</v>
      </c>
      <c r="N11" t="s">
        <v>4306</v>
      </c>
      <c r="O11" t="s">
        <v>4307</v>
      </c>
      <c r="P11">
        <v>137004</v>
      </c>
      <c r="Q11">
        <v>193975</v>
      </c>
      <c r="R11" s="2">
        <v>45616</v>
      </c>
      <c r="S11" t="s">
        <v>14</v>
      </c>
      <c r="T11" t="s">
        <v>70</v>
      </c>
      <c r="U11" t="s">
        <v>6384</v>
      </c>
      <c r="V11" t="s">
        <v>6376</v>
      </c>
      <c r="W11" t="s">
        <v>6345</v>
      </c>
      <c r="X11">
        <v>101</v>
      </c>
      <c r="Y11" t="s">
        <v>70</v>
      </c>
      <c r="Z11">
        <v>268</v>
      </c>
    </row>
    <row r="12" spans="1:26" x14ac:dyDescent="0.3">
      <c r="A12">
        <v>18</v>
      </c>
      <c r="B12" t="s">
        <v>83</v>
      </c>
      <c r="C12" t="s">
        <v>45</v>
      </c>
      <c r="D12" t="s">
        <v>30</v>
      </c>
      <c r="E12" t="s">
        <v>6345</v>
      </c>
      <c r="F12" t="s">
        <v>6389</v>
      </c>
      <c r="G12" t="s">
        <v>6393</v>
      </c>
      <c r="H12" t="s">
        <v>6392</v>
      </c>
      <c r="I12" t="s">
        <v>6395</v>
      </c>
      <c r="J12">
        <f>AVERAGE(ai_job_market[[#This Row],[min_salary]],ai_job_market[[#This Row],[max_salary]])</f>
        <v>165520.5</v>
      </c>
      <c r="K12"/>
      <c r="L12" t="s">
        <v>27</v>
      </c>
      <c r="M12" t="s">
        <v>51</v>
      </c>
      <c r="N12" t="s">
        <v>4313</v>
      </c>
      <c r="O12" t="s">
        <v>4314</v>
      </c>
      <c r="P12">
        <v>138184</v>
      </c>
      <c r="Q12">
        <v>192857</v>
      </c>
      <c r="R12" s="2">
        <v>45411</v>
      </c>
      <c r="S12" t="s">
        <v>69</v>
      </c>
      <c r="T12" t="s">
        <v>52</v>
      </c>
      <c r="W12" t="s">
        <v>6345</v>
      </c>
      <c r="X12">
        <v>101</v>
      </c>
      <c r="Y12" t="s">
        <v>52</v>
      </c>
      <c r="Z12">
        <v>238</v>
      </c>
    </row>
    <row r="13" spans="1:26" x14ac:dyDescent="0.3">
      <c r="A13">
        <v>6</v>
      </c>
      <c r="B13" t="s">
        <v>39</v>
      </c>
      <c r="C13" t="s">
        <v>40</v>
      </c>
      <c r="D13" t="s">
        <v>30</v>
      </c>
      <c r="E13" t="s">
        <v>6346</v>
      </c>
      <c r="F13" t="s">
        <v>6396</v>
      </c>
      <c r="G13" t="s">
        <v>6376</v>
      </c>
      <c r="H13" t="s">
        <v>6389</v>
      </c>
      <c r="J13">
        <f>AVERAGE(ai_job_market[[#This Row],[min_salary]],ai_job_market[[#This Row],[max_salary]])</f>
        <v>136675</v>
      </c>
      <c r="K13"/>
      <c r="L13" t="s">
        <v>22</v>
      </c>
      <c r="M13" t="s">
        <v>42</v>
      </c>
      <c r="N13" t="s">
        <v>4290</v>
      </c>
      <c r="O13" t="s">
        <v>4291</v>
      </c>
      <c r="P13">
        <v>92632</v>
      </c>
      <c r="Q13">
        <v>180718</v>
      </c>
      <c r="R13" s="2">
        <v>45876</v>
      </c>
      <c r="S13" t="s">
        <v>16</v>
      </c>
      <c r="T13" t="s">
        <v>128</v>
      </c>
      <c r="U13" t="s">
        <v>6384</v>
      </c>
      <c r="V13" t="s">
        <v>6378</v>
      </c>
      <c r="W13" t="s">
        <v>6346</v>
      </c>
      <c r="X13">
        <v>78</v>
      </c>
      <c r="Y13" t="s">
        <v>128</v>
      </c>
      <c r="Z13">
        <v>233</v>
      </c>
    </row>
    <row r="14" spans="1:26" x14ac:dyDescent="0.3">
      <c r="A14">
        <v>7</v>
      </c>
      <c r="B14" t="s">
        <v>44</v>
      </c>
      <c r="C14" t="s">
        <v>45</v>
      </c>
      <c r="D14" t="s">
        <v>12</v>
      </c>
      <c r="E14" t="s">
        <v>6347</v>
      </c>
      <c r="F14" t="s">
        <v>6392</v>
      </c>
      <c r="G14" t="s">
        <v>6376</v>
      </c>
      <c r="H14" t="s">
        <v>6377</v>
      </c>
      <c r="J14">
        <f>AVERAGE(ai_job_market[[#This Row],[min_salary]],ai_job_market[[#This Row],[max_salary]])</f>
        <v>79584.5</v>
      </c>
      <c r="K14"/>
      <c r="L14" t="s">
        <v>14</v>
      </c>
      <c r="M14" t="s">
        <v>15</v>
      </c>
      <c r="N14" t="s">
        <v>4292</v>
      </c>
      <c r="O14" t="s">
        <v>4293</v>
      </c>
      <c r="P14">
        <v>70575</v>
      </c>
      <c r="Q14">
        <v>88594</v>
      </c>
      <c r="R14" s="2">
        <v>45649</v>
      </c>
      <c r="S14" t="s">
        <v>16</v>
      </c>
      <c r="T14" t="s">
        <v>128</v>
      </c>
      <c r="U14" t="s">
        <v>6389</v>
      </c>
      <c r="W14" t="s">
        <v>6347</v>
      </c>
      <c r="X14">
        <v>94</v>
      </c>
      <c r="Y14" t="s">
        <v>128</v>
      </c>
      <c r="Z14">
        <v>233</v>
      </c>
    </row>
    <row r="15" spans="1:26" x14ac:dyDescent="0.3">
      <c r="A15">
        <v>9</v>
      </c>
      <c r="B15" t="s">
        <v>53</v>
      </c>
      <c r="C15" t="s">
        <v>11</v>
      </c>
      <c r="D15" t="s">
        <v>54</v>
      </c>
      <c r="E15" t="s">
        <v>6348</v>
      </c>
      <c r="F15" t="s">
        <v>6379</v>
      </c>
      <c r="G15" t="s">
        <v>6377</v>
      </c>
      <c r="H15" t="s">
        <v>6391</v>
      </c>
      <c r="J15">
        <f>AVERAGE(ai_job_market[[#This Row],[min_salary]],ai_job_market[[#This Row],[max_salary]])</f>
        <v>161371.5</v>
      </c>
      <c r="K15"/>
      <c r="L15" t="s">
        <v>27</v>
      </c>
      <c r="M15" t="s">
        <v>51</v>
      </c>
      <c r="N15" t="s">
        <v>4296</v>
      </c>
      <c r="O15" t="s">
        <v>4297</v>
      </c>
      <c r="P15">
        <v>134239</v>
      </c>
      <c r="Q15">
        <v>188504</v>
      </c>
      <c r="R15" s="2">
        <v>45915</v>
      </c>
      <c r="S15" t="s">
        <v>16</v>
      </c>
      <c r="T15" t="s">
        <v>101</v>
      </c>
      <c r="U15" t="s">
        <v>6379</v>
      </c>
      <c r="V15" t="s">
        <v>6388</v>
      </c>
      <c r="W15" t="s">
        <v>6348</v>
      </c>
      <c r="X15">
        <v>78</v>
      </c>
      <c r="Y15" t="s">
        <v>101</v>
      </c>
      <c r="Z15">
        <v>255</v>
      </c>
    </row>
    <row r="16" spans="1:26" x14ac:dyDescent="0.3">
      <c r="A16">
        <v>15</v>
      </c>
      <c r="B16" t="s">
        <v>75</v>
      </c>
      <c r="C16" t="s">
        <v>49</v>
      </c>
      <c r="D16" t="s">
        <v>67</v>
      </c>
      <c r="E16" t="s">
        <v>6348</v>
      </c>
      <c r="F16" t="s">
        <v>6380</v>
      </c>
      <c r="G16" t="s">
        <v>6394</v>
      </c>
      <c r="H16" t="s">
        <v>6378</v>
      </c>
      <c r="J16">
        <f>AVERAGE(ai_job_market[[#This Row],[min_salary]],ai_job_market[[#This Row],[max_salary]])</f>
        <v>173291.5</v>
      </c>
      <c r="K16"/>
      <c r="L16" t="s">
        <v>14</v>
      </c>
      <c r="M16" t="s">
        <v>42</v>
      </c>
      <c r="N16" t="s">
        <v>4308</v>
      </c>
      <c r="O16" t="s">
        <v>4309</v>
      </c>
      <c r="P16">
        <v>129842</v>
      </c>
      <c r="Q16">
        <v>216741</v>
      </c>
      <c r="R16" s="2">
        <v>45481</v>
      </c>
      <c r="S16" t="s">
        <v>16</v>
      </c>
      <c r="T16" t="s">
        <v>77</v>
      </c>
      <c r="W16" t="s">
        <v>6348</v>
      </c>
      <c r="X16">
        <v>78</v>
      </c>
      <c r="Y16" t="s">
        <v>77</v>
      </c>
      <c r="Z16">
        <v>251</v>
      </c>
    </row>
    <row r="17" spans="1:26" x14ac:dyDescent="0.3">
      <c r="A17">
        <v>11</v>
      </c>
      <c r="B17" t="s">
        <v>60</v>
      </c>
      <c r="C17" t="s">
        <v>19</v>
      </c>
      <c r="D17" t="s">
        <v>35</v>
      </c>
      <c r="E17" t="s">
        <v>6349</v>
      </c>
      <c r="F17" t="s">
        <v>6389</v>
      </c>
      <c r="G17" t="s">
        <v>6374</v>
      </c>
      <c r="J17" s="6">
        <f>AVERAGE(ai_job_market[[#This Row],[min_salary]],ai_job_market[[#This Row],[max_salary]])</f>
        <v>112967.5</v>
      </c>
      <c r="K17"/>
      <c r="L17" t="s">
        <v>27</v>
      </c>
      <c r="M17" t="s">
        <v>51</v>
      </c>
      <c r="N17" t="s">
        <v>4300</v>
      </c>
      <c r="O17" t="s">
        <v>4301</v>
      </c>
      <c r="P17" s="5">
        <v>99964</v>
      </c>
      <c r="Q17" s="5">
        <v>125971</v>
      </c>
      <c r="R17" s="2">
        <v>45301</v>
      </c>
      <c r="S17" t="s">
        <v>16</v>
      </c>
      <c r="T17" t="s">
        <v>70</v>
      </c>
      <c r="U17" t="s">
        <v>6388</v>
      </c>
      <c r="V17" t="s">
        <v>6376</v>
      </c>
      <c r="W17" t="s">
        <v>6349</v>
      </c>
      <c r="X17">
        <v>96</v>
      </c>
      <c r="Y17" t="s">
        <v>70</v>
      </c>
      <c r="Z17">
        <v>268</v>
      </c>
    </row>
    <row r="18" spans="1:26" x14ac:dyDescent="0.3">
      <c r="A18">
        <v>13</v>
      </c>
      <c r="B18" t="s">
        <v>66</v>
      </c>
      <c r="C18" t="s">
        <v>40</v>
      </c>
      <c r="D18" t="s">
        <v>67</v>
      </c>
      <c r="E18" t="s">
        <v>6350</v>
      </c>
      <c r="F18" t="s">
        <v>6393</v>
      </c>
      <c r="G18" t="s">
        <v>6397</v>
      </c>
      <c r="H18" t="s">
        <v>6378</v>
      </c>
      <c r="J18">
        <f>AVERAGE(ai_job_market[[#This Row],[min_salary]],ai_job_market[[#This Row],[max_salary]])</f>
        <v>109898</v>
      </c>
      <c r="K18"/>
      <c r="L18" t="s">
        <v>27</v>
      </c>
      <c r="M18" t="s">
        <v>15</v>
      </c>
      <c r="N18" t="s">
        <v>4304</v>
      </c>
      <c r="O18" t="s">
        <v>4305</v>
      </c>
      <c r="P18">
        <v>102770</v>
      </c>
      <c r="Q18">
        <v>117026</v>
      </c>
      <c r="R18" s="2">
        <v>45196</v>
      </c>
      <c r="S18" t="s">
        <v>69</v>
      </c>
      <c r="T18" t="s">
        <v>70</v>
      </c>
      <c r="W18" t="s">
        <v>6350</v>
      </c>
      <c r="X18">
        <v>84</v>
      </c>
      <c r="Y18" t="s">
        <v>70</v>
      </c>
      <c r="Z18">
        <v>268</v>
      </c>
    </row>
    <row r="19" spans="1:26" x14ac:dyDescent="0.3">
      <c r="A19">
        <v>21</v>
      </c>
      <c r="B19" t="s">
        <v>91</v>
      </c>
      <c r="C19" t="s">
        <v>72</v>
      </c>
      <c r="D19" t="s">
        <v>25</v>
      </c>
      <c r="E19" t="s">
        <v>6350</v>
      </c>
      <c r="F19" t="s">
        <v>6395</v>
      </c>
      <c r="G19" t="s">
        <v>6387</v>
      </c>
      <c r="H19" t="s">
        <v>6381</v>
      </c>
      <c r="I19" t="s">
        <v>6390</v>
      </c>
      <c r="J19">
        <f>AVERAGE(ai_job_market[[#This Row],[min_salary]],ai_job_market[[#This Row],[max_salary]])</f>
        <v>148844.5</v>
      </c>
      <c r="K19" t="s">
        <v>6391</v>
      </c>
      <c r="L19" t="s">
        <v>27</v>
      </c>
      <c r="M19" t="s">
        <v>42</v>
      </c>
      <c r="N19" t="s">
        <v>4319</v>
      </c>
      <c r="O19" t="s">
        <v>4320</v>
      </c>
      <c r="P19">
        <v>122521</v>
      </c>
      <c r="Q19">
        <v>175168</v>
      </c>
      <c r="R19" s="2">
        <v>45310</v>
      </c>
      <c r="S19" t="s">
        <v>16</v>
      </c>
      <c r="T19" t="s">
        <v>101</v>
      </c>
      <c r="U19" t="s">
        <v>6388</v>
      </c>
      <c r="V19" t="s">
        <v>6375</v>
      </c>
      <c r="W19" t="s">
        <v>6350</v>
      </c>
      <c r="X19">
        <v>84</v>
      </c>
      <c r="Y19" t="s">
        <v>101</v>
      </c>
      <c r="Z19">
        <v>255</v>
      </c>
    </row>
    <row r="20" spans="1:26" x14ac:dyDescent="0.3">
      <c r="A20">
        <v>16</v>
      </c>
      <c r="B20" t="s">
        <v>78</v>
      </c>
      <c r="C20" t="s">
        <v>45</v>
      </c>
      <c r="D20" t="s">
        <v>67</v>
      </c>
      <c r="E20" t="s">
        <v>6351</v>
      </c>
      <c r="F20" t="s">
        <v>6376</v>
      </c>
      <c r="G20" t="s">
        <v>6374</v>
      </c>
      <c r="J20">
        <f>AVERAGE(ai_job_market[[#This Row],[min_salary]],ai_job_market[[#This Row],[max_salary]])</f>
        <v>171267.5</v>
      </c>
      <c r="K20"/>
      <c r="L20" t="s">
        <v>22</v>
      </c>
      <c r="M20" t="s">
        <v>42</v>
      </c>
      <c r="N20" t="s">
        <v>4310</v>
      </c>
      <c r="O20" t="s">
        <v>4301</v>
      </c>
      <c r="P20">
        <v>124669</v>
      </c>
      <c r="Q20">
        <v>217866</v>
      </c>
      <c r="R20" s="2">
        <v>45388</v>
      </c>
      <c r="S20" t="s">
        <v>69</v>
      </c>
      <c r="T20" t="s">
        <v>80</v>
      </c>
      <c r="W20" t="s">
        <v>6351</v>
      </c>
      <c r="X20">
        <v>89</v>
      </c>
      <c r="Y20" t="s">
        <v>80</v>
      </c>
      <c r="Z20">
        <v>249</v>
      </c>
    </row>
    <row r="21" spans="1:26" x14ac:dyDescent="0.3">
      <c r="A21">
        <v>19</v>
      </c>
      <c r="B21" t="s">
        <v>85</v>
      </c>
      <c r="C21" t="s">
        <v>11</v>
      </c>
      <c r="D21" t="s">
        <v>35</v>
      </c>
      <c r="E21" t="s">
        <v>6352</v>
      </c>
      <c r="F21" t="s">
        <v>6391</v>
      </c>
      <c r="G21" t="s">
        <v>6395</v>
      </c>
      <c r="H21" t="s">
        <v>6380</v>
      </c>
      <c r="I21" t="s">
        <v>6374</v>
      </c>
      <c r="J21">
        <f>AVERAGE(ai_job_market[[#This Row],[min_salary]],ai_job_market[[#This Row],[max_salary]])</f>
        <v>130295</v>
      </c>
      <c r="K21" t="s">
        <v>6393</v>
      </c>
      <c r="L21" t="s">
        <v>22</v>
      </c>
      <c r="M21" t="s">
        <v>42</v>
      </c>
      <c r="N21" t="s">
        <v>4315</v>
      </c>
      <c r="O21" t="s">
        <v>4316</v>
      </c>
      <c r="P21">
        <v>100845</v>
      </c>
      <c r="Q21">
        <v>159745</v>
      </c>
      <c r="R21" s="2">
        <v>45584</v>
      </c>
      <c r="S21" t="s">
        <v>14</v>
      </c>
      <c r="T21" t="s">
        <v>52</v>
      </c>
      <c r="U21" t="s">
        <v>6378</v>
      </c>
      <c r="V21" t="s">
        <v>6383</v>
      </c>
      <c r="W21" t="s">
        <v>6352</v>
      </c>
      <c r="X21">
        <v>97</v>
      </c>
      <c r="Y21" t="s">
        <v>52</v>
      </c>
      <c r="Z21">
        <v>238</v>
      </c>
    </row>
    <row r="22" spans="1:26" x14ac:dyDescent="0.3">
      <c r="A22">
        <v>20</v>
      </c>
      <c r="B22" t="s">
        <v>88</v>
      </c>
      <c r="C22" t="s">
        <v>40</v>
      </c>
      <c r="D22" t="s">
        <v>54</v>
      </c>
      <c r="E22" t="s">
        <v>6353</v>
      </c>
      <c r="F22" t="s">
        <v>6380</v>
      </c>
      <c r="G22" t="s">
        <v>6395</v>
      </c>
      <c r="H22" t="s">
        <v>6386</v>
      </c>
      <c r="J22">
        <f>AVERAGE(ai_job_market[[#This Row],[min_salary]],ai_job_market[[#This Row],[max_salary]])</f>
        <v>161379</v>
      </c>
      <c r="K22"/>
      <c r="L22" t="s">
        <v>14</v>
      </c>
      <c r="M22" t="s">
        <v>51</v>
      </c>
      <c r="N22" t="s">
        <v>4317</v>
      </c>
      <c r="O22" t="s">
        <v>4318</v>
      </c>
      <c r="P22">
        <v>115578</v>
      </c>
      <c r="Q22">
        <v>207180</v>
      </c>
      <c r="R22" s="2">
        <v>45533</v>
      </c>
      <c r="S22" t="s">
        <v>16</v>
      </c>
      <c r="T22" t="s">
        <v>90</v>
      </c>
      <c r="W22" t="s">
        <v>6353</v>
      </c>
      <c r="X22">
        <v>86</v>
      </c>
      <c r="Y22" t="s">
        <v>90</v>
      </c>
      <c r="Z22">
        <v>259</v>
      </c>
    </row>
    <row r="23" spans="1:26" x14ac:dyDescent="0.3">
      <c r="A23">
        <v>22</v>
      </c>
      <c r="B23" t="s">
        <v>94</v>
      </c>
      <c r="C23" t="s">
        <v>72</v>
      </c>
      <c r="D23" t="s">
        <v>25</v>
      </c>
      <c r="E23" t="s">
        <v>70</v>
      </c>
      <c r="F23" t="s">
        <v>6394</v>
      </c>
      <c r="G23" t="s">
        <v>6380</v>
      </c>
      <c r="H23" t="s">
        <v>6385</v>
      </c>
      <c r="I23" t="s">
        <v>6389</v>
      </c>
      <c r="J23" s="6">
        <f>AVERAGE(ai_job_market[[#This Row],[min_salary]],ai_job_market[[#This Row],[max_salary]])</f>
        <v>83849.5</v>
      </c>
      <c r="K23" t="s">
        <v>6387</v>
      </c>
      <c r="L23" t="s">
        <v>27</v>
      </c>
      <c r="M23" t="s">
        <v>15</v>
      </c>
      <c r="N23" t="s">
        <v>4321</v>
      </c>
      <c r="O23" t="s">
        <v>4295</v>
      </c>
      <c r="P23" s="5">
        <v>62483</v>
      </c>
      <c r="Q23" s="5">
        <v>105216</v>
      </c>
      <c r="R23" s="2">
        <v>45288</v>
      </c>
      <c r="S23" t="s">
        <v>16</v>
      </c>
      <c r="T23" t="s">
        <v>128</v>
      </c>
      <c r="U23" t="s">
        <v>6379</v>
      </c>
      <c r="W23" t="s">
        <v>70</v>
      </c>
      <c r="X23">
        <v>100</v>
      </c>
      <c r="Y23" t="s">
        <v>128</v>
      </c>
      <c r="Z23">
        <v>233</v>
      </c>
    </row>
    <row r="24" spans="1:26" x14ac:dyDescent="0.3">
      <c r="A24">
        <v>23</v>
      </c>
      <c r="B24" t="s">
        <v>96</v>
      </c>
      <c r="C24" t="s">
        <v>40</v>
      </c>
      <c r="D24" t="s">
        <v>67</v>
      </c>
      <c r="E24" t="s">
        <v>6354</v>
      </c>
      <c r="F24" t="s">
        <v>6378</v>
      </c>
      <c r="G24" t="s">
        <v>6376</v>
      </c>
      <c r="H24" t="s">
        <v>6389</v>
      </c>
      <c r="I24" t="s">
        <v>6393</v>
      </c>
      <c r="J24">
        <f>AVERAGE(ai_job_market[[#This Row],[min_salary]],ai_job_market[[#This Row],[max_salary]])</f>
        <v>111608</v>
      </c>
      <c r="K24"/>
      <c r="L24" t="s">
        <v>14</v>
      </c>
      <c r="M24" t="s">
        <v>42</v>
      </c>
      <c r="N24" t="s">
        <v>4322</v>
      </c>
      <c r="O24" t="s">
        <v>4323</v>
      </c>
      <c r="P24">
        <v>74317</v>
      </c>
      <c r="Q24">
        <v>148899</v>
      </c>
      <c r="R24" s="2">
        <v>45621</v>
      </c>
      <c r="S24" t="s">
        <v>69</v>
      </c>
      <c r="T24" t="s">
        <v>128</v>
      </c>
      <c r="U24" t="s">
        <v>6376</v>
      </c>
      <c r="V24" t="s">
        <v>6383</v>
      </c>
      <c r="W24" t="s">
        <v>6354</v>
      </c>
      <c r="X24">
        <v>75</v>
      </c>
      <c r="Y24" t="s">
        <v>128</v>
      </c>
      <c r="Z24">
        <v>233</v>
      </c>
    </row>
    <row r="25" spans="1:26" x14ac:dyDescent="0.3">
      <c r="A25">
        <v>24</v>
      </c>
      <c r="B25" t="s">
        <v>99</v>
      </c>
      <c r="C25" t="s">
        <v>19</v>
      </c>
      <c r="D25" t="s">
        <v>67</v>
      </c>
      <c r="E25" t="s">
        <v>128</v>
      </c>
      <c r="F25" t="s">
        <v>6380</v>
      </c>
      <c r="G25" t="s">
        <v>6393</v>
      </c>
      <c r="H25" t="s">
        <v>6392</v>
      </c>
      <c r="I25" t="s">
        <v>6385</v>
      </c>
      <c r="J25">
        <f>AVERAGE(ai_job_market[[#This Row],[min_salary]],ai_job_market[[#This Row],[max_salary]])</f>
        <v>96719</v>
      </c>
      <c r="K25"/>
      <c r="L25" t="s">
        <v>22</v>
      </c>
      <c r="M25" t="s">
        <v>51</v>
      </c>
      <c r="N25" t="s">
        <v>4324</v>
      </c>
      <c r="O25" t="s">
        <v>4325</v>
      </c>
      <c r="P25">
        <v>68115</v>
      </c>
      <c r="Q25">
        <v>125323</v>
      </c>
      <c r="R25" s="2">
        <v>45266</v>
      </c>
      <c r="S25" t="s">
        <v>14</v>
      </c>
      <c r="T25" t="s">
        <v>101</v>
      </c>
      <c r="W25" t="s">
        <v>128</v>
      </c>
      <c r="X25">
        <v>92</v>
      </c>
      <c r="Y25" t="s">
        <v>101</v>
      </c>
      <c r="Z25">
        <v>255</v>
      </c>
    </row>
    <row r="26" spans="1:26" x14ac:dyDescent="0.3">
      <c r="A26">
        <v>25</v>
      </c>
      <c r="B26" t="s">
        <v>102</v>
      </c>
      <c r="C26" t="s">
        <v>11</v>
      </c>
      <c r="D26" t="s">
        <v>67</v>
      </c>
      <c r="E26" t="s">
        <v>6347</v>
      </c>
      <c r="F26" t="s">
        <v>6374</v>
      </c>
      <c r="G26" t="s">
        <v>6389</v>
      </c>
      <c r="J26">
        <f>AVERAGE(ai_job_market[[#This Row],[min_salary]],ai_job_market[[#This Row],[max_salary]])</f>
        <v>99766.5</v>
      </c>
      <c r="K26"/>
      <c r="L26" t="s">
        <v>14</v>
      </c>
      <c r="M26" t="s">
        <v>51</v>
      </c>
      <c r="N26" t="s">
        <v>4326</v>
      </c>
      <c r="O26" t="s">
        <v>4327</v>
      </c>
      <c r="P26">
        <v>89840</v>
      </c>
      <c r="Q26">
        <v>109693</v>
      </c>
      <c r="R26" s="2">
        <v>45821</v>
      </c>
      <c r="S26" t="s">
        <v>14</v>
      </c>
      <c r="T26" t="s">
        <v>77</v>
      </c>
      <c r="W26" t="s">
        <v>6347</v>
      </c>
      <c r="X26">
        <v>94</v>
      </c>
      <c r="Y26" t="s">
        <v>77</v>
      </c>
      <c r="Z26">
        <v>251</v>
      </c>
    </row>
    <row r="27" spans="1:26" x14ac:dyDescent="0.3">
      <c r="A27">
        <v>26</v>
      </c>
      <c r="B27" t="s">
        <v>104</v>
      </c>
      <c r="C27" t="s">
        <v>34</v>
      </c>
      <c r="D27" t="s">
        <v>67</v>
      </c>
      <c r="E27" t="s">
        <v>128</v>
      </c>
      <c r="F27" t="s">
        <v>6374</v>
      </c>
      <c r="G27" t="s">
        <v>6378</v>
      </c>
      <c r="H27" t="s">
        <v>6395</v>
      </c>
      <c r="I27" t="s">
        <v>6397</v>
      </c>
      <c r="J27">
        <f>AVERAGE(ai_job_market[[#This Row],[min_salary]],ai_job_market[[#This Row],[max_salary]])</f>
        <v>117249.5</v>
      </c>
      <c r="K27" t="s">
        <v>6387</v>
      </c>
      <c r="L27" t="s">
        <v>14</v>
      </c>
      <c r="M27" t="s">
        <v>42</v>
      </c>
      <c r="N27" t="s">
        <v>4328</v>
      </c>
      <c r="O27" t="s">
        <v>4329</v>
      </c>
      <c r="P27">
        <v>107786</v>
      </c>
      <c r="Q27">
        <v>126713</v>
      </c>
      <c r="R27" s="2">
        <v>45646</v>
      </c>
      <c r="S27" t="s">
        <v>14</v>
      </c>
      <c r="T27" t="s">
        <v>77</v>
      </c>
      <c r="U27" t="s">
        <v>6375</v>
      </c>
      <c r="V27" t="s">
        <v>6383</v>
      </c>
      <c r="W27" t="s">
        <v>128</v>
      </c>
      <c r="X27">
        <v>92</v>
      </c>
      <c r="Y27" t="s">
        <v>77</v>
      </c>
      <c r="Z27">
        <v>251</v>
      </c>
    </row>
    <row r="28" spans="1:26" x14ac:dyDescent="0.3">
      <c r="A28">
        <v>27</v>
      </c>
      <c r="B28" t="s">
        <v>107</v>
      </c>
      <c r="C28" t="s">
        <v>49</v>
      </c>
      <c r="D28" t="s">
        <v>25</v>
      </c>
      <c r="E28" t="s">
        <v>6355</v>
      </c>
      <c r="F28" t="s">
        <v>6392</v>
      </c>
      <c r="G28" t="s">
        <v>6378</v>
      </c>
      <c r="H28" t="s">
        <v>6393</v>
      </c>
      <c r="I28" t="s">
        <v>6395</v>
      </c>
      <c r="J28">
        <f>AVERAGE(ai_job_market[[#This Row],[min_salary]],ai_job_market[[#This Row],[max_salary]])</f>
        <v>60796.5</v>
      </c>
      <c r="K28" t="s">
        <v>6397</v>
      </c>
      <c r="L28" t="s">
        <v>22</v>
      </c>
      <c r="M28" t="s">
        <v>51</v>
      </c>
      <c r="N28" t="s">
        <v>4330</v>
      </c>
      <c r="O28" t="s">
        <v>4331</v>
      </c>
      <c r="P28">
        <v>44309</v>
      </c>
      <c r="Q28">
        <v>77284</v>
      </c>
      <c r="R28" s="2">
        <v>45659</v>
      </c>
      <c r="S28" t="s">
        <v>16</v>
      </c>
      <c r="T28" t="s">
        <v>80</v>
      </c>
      <c r="U28" t="s">
        <v>6376</v>
      </c>
      <c r="V28" t="s">
        <v>6378</v>
      </c>
      <c r="W28" t="s">
        <v>6355</v>
      </c>
      <c r="X28">
        <v>90</v>
      </c>
      <c r="Y28" t="s">
        <v>80</v>
      </c>
      <c r="Z28">
        <v>249</v>
      </c>
    </row>
    <row r="29" spans="1:26" x14ac:dyDescent="0.3">
      <c r="A29">
        <v>28</v>
      </c>
      <c r="B29" t="s">
        <v>110</v>
      </c>
      <c r="C29" t="s">
        <v>11</v>
      </c>
      <c r="D29" t="s">
        <v>12</v>
      </c>
      <c r="E29" t="s">
        <v>6353</v>
      </c>
      <c r="F29" t="s">
        <v>6397</v>
      </c>
      <c r="G29" t="s">
        <v>6382</v>
      </c>
      <c r="J29">
        <f>AVERAGE(ai_job_market[[#This Row],[min_salary]],ai_job_market[[#This Row],[max_salary]])</f>
        <v>148691.5</v>
      </c>
      <c r="K29"/>
      <c r="L29" t="s">
        <v>27</v>
      </c>
      <c r="M29" t="s">
        <v>37</v>
      </c>
      <c r="N29" t="s">
        <v>4332</v>
      </c>
      <c r="O29" t="s">
        <v>4333</v>
      </c>
      <c r="P29">
        <v>124616</v>
      </c>
      <c r="Q29">
        <v>172767</v>
      </c>
      <c r="R29" s="2">
        <v>45716</v>
      </c>
      <c r="S29" t="s">
        <v>69</v>
      </c>
      <c r="T29" t="s">
        <v>128</v>
      </c>
      <c r="U29" t="s">
        <v>6389</v>
      </c>
      <c r="W29" t="s">
        <v>6353</v>
      </c>
      <c r="X29">
        <v>86</v>
      </c>
      <c r="Y29" t="s">
        <v>128</v>
      </c>
      <c r="Z29">
        <v>233</v>
      </c>
    </row>
    <row r="30" spans="1:26" x14ac:dyDescent="0.3">
      <c r="A30">
        <v>29</v>
      </c>
      <c r="B30" t="s">
        <v>112</v>
      </c>
      <c r="C30" t="s">
        <v>34</v>
      </c>
      <c r="D30" t="s">
        <v>12</v>
      </c>
      <c r="E30" t="s">
        <v>6356</v>
      </c>
      <c r="F30" t="s">
        <v>6393</v>
      </c>
      <c r="G30" t="s">
        <v>6382</v>
      </c>
      <c r="H30" t="s">
        <v>6397</v>
      </c>
      <c r="I30" t="s">
        <v>6376</v>
      </c>
      <c r="J30">
        <f>AVERAGE(ai_job_market[[#This Row],[min_salary]],ai_job_market[[#This Row],[max_salary]])</f>
        <v>179503.5</v>
      </c>
      <c r="K30" t="s">
        <v>6390</v>
      </c>
      <c r="L30" t="s">
        <v>14</v>
      </c>
      <c r="M30" t="s">
        <v>51</v>
      </c>
      <c r="N30" t="s">
        <v>4334</v>
      </c>
      <c r="O30" t="s">
        <v>4335</v>
      </c>
      <c r="P30">
        <v>142616</v>
      </c>
      <c r="Q30">
        <v>216391</v>
      </c>
      <c r="R30" s="2">
        <v>45688</v>
      </c>
      <c r="S30" t="s">
        <v>69</v>
      </c>
      <c r="T30" t="s">
        <v>101</v>
      </c>
      <c r="U30" t="s">
        <v>6378</v>
      </c>
      <c r="V30" t="s">
        <v>6379</v>
      </c>
      <c r="W30" t="s">
        <v>6356</v>
      </c>
      <c r="X30">
        <v>86</v>
      </c>
      <c r="Y30" t="s">
        <v>101</v>
      </c>
      <c r="Z30">
        <v>255</v>
      </c>
    </row>
    <row r="31" spans="1:26" x14ac:dyDescent="0.3">
      <c r="A31">
        <v>30</v>
      </c>
      <c r="B31" t="s">
        <v>115</v>
      </c>
      <c r="C31" t="s">
        <v>34</v>
      </c>
      <c r="D31" t="s">
        <v>12</v>
      </c>
      <c r="E31" t="s">
        <v>101</v>
      </c>
      <c r="F31" t="s">
        <v>6381</v>
      </c>
      <c r="G31" t="s">
        <v>6391</v>
      </c>
      <c r="J31" s="6">
        <f>AVERAGE(ai_job_market[[#This Row],[min_salary]],ai_job_market[[#This Row],[max_salary]])</f>
        <v>116250</v>
      </c>
      <c r="K31"/>
      <c r="L31" t="s">
        <v>27</v>
      </c>
      <c r="M31" t="s">
        <v>37</v>
      </c>
      <c r="N31" t="s">
        <v>4336</v>
      </c>
      <c r="O31" t="s">
        <v>4337</v>
      </c>
      <c r="P31" s="5">
        <v>70932</v>
      </c>
      <c r="Q31" s="5">
        <v>161568</v>
      </c>
      <c r="R31" s="2">
        <v>45450</v>
      </c>
      <c r="S31" t="s">
        <v>69</v>
      </c>
      <c r="T31" t="s">
        <v>80</v>
      </c>
      <c r="W31" t="s">
        <v>101</v>
      </c>
      <c r="X31">
        <v>76</v>
      </c>
      <c r="Y31" t="s">
        <v>80</v>
      </c>
      <c r="Z31">
        <v>249</v>
      </c>
    </row>
    <row r="32" spans="1:26" x14ac:dyDescent="0.3">
      <c r="A32">
        <v>31</v>
      </c>
      <c r="B32" t="s">
        <v>117</v>
      </c>
      <c r="C32" t="s">
        <v>19</v>
      </c>
      <c r="D32" t="s">
        <v>25</v>
      </c>
      <c r="E32" t="s">
        <v>6349</v>
      </c>
      <c r="F32" t="s">
        <v>6396</v>
      </c>
      <c r="G32" t="s">
        <v>6384</v>
      </c>
      <c r="J32" s="6">
        <f>AVERAGE(ai_job_market[[#This Row],[min_salary]],ai_job_market[[#This Row],[max_salary]])</f>
        <v>74513</v>
      </c>
      <c r="K32"/>
      <c r="L32" t="s">
        <v>22</v>
      </c>
      <c r="M32" t="s">
        <v>15</v>
      </c>
      <c r="N32" t="s">
        <v>4338</v>
      </c>
      <c r="O32" t="s">
        <v>4339</v>
      </c>
      <c r="P32" s="5">
        <v>54565</v>
      </c>
      <c r="Q32" s="5">
        <v>94461</v>
      </c>
      <c r="R32" s="2">
        <v>45470</v>
      </c>
      <c r="S32" t="s">
        <v>69</v>
      </c>
      <c r="T32" t="s">
        <v>157</v>
      </c>
      <c r="U32" t="s">
        <v>6375</v>
      </c>
      <c r="W32" t="s">
        <v>6349</v>
      </c>
      <c r="X32">
        <v>96</v>
      </c>
      <c r="Y32" t="s">
        <v>157</v>
      </c>
      <c r="Z32">
        <v>247</v>
      </c>
    </row>
    <row r="33" spans="1:26" x14ac:dyDescent="0.3">
      <c r="A33">
        <v>32</v>
      </c>
      <c r="B33" t="s">
        <v>120</v>
      </c>
      <c r="C33" t="s">
        <v>11</v>
      </c>
      <c r="D33" t="s">
        <v>35</v>
      </c>
      <c r="E33" t="s">
        <v>6351</v>
      </c>
      <c r="F33" t="s">
        <v>6376</v>
      </c>
      <c r="G33" t="s">
        <v>6385</v>
      </c>
      <c r="H33" t="s">
        <v>6396</v>
      </c>
      <c r="I33" t="s">
        <v>6391</v>
      </c>
      <c r="J33">
        <f>AVERAGE(ai_job_market[[#This Row],[min_salary]],ai_job_market[[#This Row],[max_salary]])</f>
        <v>146069</v>
      </c>
      <c r="K33"/>
      <c r="L33" t="s">
        <v>27</v>
      </c>
      <c r="M33" t="s">
        <v>15</v>
      </c>
      <c r="N33" t="s">
        <v>4340</v>
      </c>
      <c r="O33" t="s">
        <v>4341</v>
      </c>
      <c r="P33">
        <v>112660</v>
      </c>
      <c r="Q33">
        <v>179478</v>
      </c>
      <c r="R33" s="2">
        <v>45191</v>
      </c>
      <c r="S33" t="s">
        <v>14</v>
      </c>
      <c r="T33" t="s">
        <v>70</v>
      </c>
      <c r="U33" t="s">
        <v>6383</v>
      </c>
      <c r="W33" t="s">
        <v>6351</v>
      </c>
      <c r="X33">
        <v>89</v>
      </c>
      <c r="Y33" t="s">
        <v>70</v>
      </c>
      <c r="Z33">
        <v>268</v>
      </c>
    </row>
    <row r="34" spans="1:26" x14ac:dyDescent="0.3">
      <c r="A34">
        <v>33</v>
      </c>
      <c r="B34" t="s">
        <v>123</v>
      </c>
      <c r="C34" t="s">
        <v>19</v>
      </c>
      <c r="D34" t="s">
        <v>30</v>
      </c>
      <c r="E34" t="s">
        <v>6349</v>
      </c>
      <c r="F34" t="s">
        <v>6375</v>
      </c>
      <c r="G34" t="s">
        <v>6386</v>
      </c>
      <c r="H34" t="s">
        <v>6378</v>
      </c>
      <c r="I34" t="s">
        <v>6380</v>
      </c>
      <c r="J34">
        <f>AVERAGE(ai_job_market[[#This Row],[min_salary]],ai_job_market[[#This Row],[max_salary]])</f>
        <v>80135.5</v>
      </c>
      <c r="K34"/>
      <c r="L34" t="s">
        <v>14</v>
      </c>
      <c r="M34" t="s">
        <v>37</v>
      </c>
      <c r="N34" t="s">
        <v>4342</v>
      </c>
      <c r="O34" t="s">
        <v>4343</v>
      </c>
      <c r="P34">
        <v>55330</v>
      </c>
      <c r="Q34">
        <v>104941</v>
      </c>
      <c r="R34" s="2">
        <v>45565</v>
      </c>
      <c r="S34" t="s">
        <v>69</v>
      </c>
      <c r="T34" t="s">
        <v>80</v>
      </c>
      <c r="U34" t="s">
        <v>6376</v>
      </c>
      <c r="W34" t="s">
        <v>6349</v>
      </c>
      <c r="X34">
        <v>96</v>
      </c>
      <c r="Y34" t="s">
        <v>80</v>
      </c>
      <c r="Z34">
        <v>249</v>
      </c>
    </row>
    <row r="35" spans="1:26" x14ac:dyDescent="0.3">
      <c r="A35">
        <v>34</v>
      </c>
      <c r="B35" t="s">
        <v>126</v>
      </c>
      <c r="C35" t="s">
        <v>34</v>
      </c>
      <c r="D35" t="s">
        <v>67</v>
      </c>
      <c r="E35" t="s">
        <v>90</v>
      </c>
      <c r="F35" t="s">
        <v>6390</v>
      </c>
      <c r="G35" t="s">
        <v>6381</v>
      </c>
      <c r="H35" t="s">
        <v>6377</v>
      </c>
      <c r="I35" t="s">
        <v>6395</v>
      </c>
      <c r="J35">
        <f>AVERAGE(ai_job_market[[#This Row],[min_salary]],ai_job_market[[#This Row],[max_salary]])</f>
        <v>146755</v>
      </c>
      <c r="K35"/>
      <c r="L35" t="s">
        <v>22</v>
      </c>
      <c r="M35" t="s">
        <v>51</v>
      </c>
      <c r="N35" t="s">
        <v>4344</v>
      </c>
      <c r="O35" t="s">
        <v>4337</v>
      </c>
      <c r="P35">
        <v>110439</v>
      </c>
      <c r="Q35">
        <v>183071</v>
      </c>
      <c r="R35" s="2">
        <v>45255</v>
      </c>
      <c r="S35" t="s">
        <v>69</v>
      </c>
      <c r="T35" t="s">
        <v>128</v>
      </c>
      <c r="W35" t="s">
        <v>90</v>
      </c>
      <c r="X35">
        <v>80</v>
      </c>
      <c r="Y35" t="s">
        <v>128</v>
      </c>
      <c r="Z35">
        <v>233</v>
      </c>
    </row>
    <row r="36" spans="1:26" x14ac:dyDescent="0.3">
      <c r="A36">
        <v>35</v>
      </c>
      <c r="B36" t="s">
        <v>129</v>
      </c>
      <c r="C36" t="s">
        <v>45</v>
      </c>
      <c r="D36" t="s">
        <v>20</v>
      </c>
      <c r="E36" t="s">
        <v>6346</v>
      </c>
      <c r="F36" t="s">
        <v>6385</v>
      </c>
      <c r="G36" t="s">
        <v>6396</v>
      </c>
      <c r="J36">
        <f>AVERAGE(ai_job_market[[#This Row],[min_salary]],ai_job_market[[#This Row],[max_salary]])</f>
        <v>115927</v>
      </c>
      <c r="K36"/>
      <c r="L36" t="s">
        <v>27</v>
      </c>
      <c r="M36" t="s">
        <v>37</v>
      </c>
      <c r="N36" t="s">
        <v>4345</v>
      </c>
      <c r="O36" t="s">
        <v>4346</v>
      </c>
      <c r="P36">
        <v>97714</v>
      </c>
      <c r="Q36">
        <v>134140</v>
      </c>
      <c r="R36" s="2">
        <v>45383</v>
      </c>
      <c r="S36" t="s">
        <v>16</v>
      </c>
      <c r="T36" t="s">
        <v>80</v>
      </c>
      <c r="U36" t="s">
        <v>6376</v>
      </c>
      <c r="W36" t="s">
        <v>6346</v>
      </c>
      <c r="X36">
        <v>78</v>
      </c>
      <c r="Y36" t="s">
        <v>80</v>
      </c>
      <c r="Z36">
        <v>249</v>
      </c>
    </row>
    <row r="37" spans="1:26" x14ac:dyDescent="0.3">
      <c r="A37">
        <v>36</v>
      </c>
      <c r="B37" t="s">
        <v>131</v>
      </c>
      <c r="C37" t="s">
        <v>34</v>
      </c>
      <c r="D37" t="s">
        <v>20</v>
      </c>
      <c r="E37" t="s">
        <v>128</v>
      </c>
      <c r="F37" t="s">
        <v>6379</v>
      </c>
      <c r="G37" t="s">
        <v>6387</v>
      </c>
      <c r="J37">
        <f>AVERAGE(ai_job_market[[#This Row],[min_salary]],ai_job_market[[#This Row],[max_salary]])</f>
        <v>122059.5</v>
      </c>
      <c r="K37"/>
      <c r="L37" t="s">
        <v>14</v>
      </c>
      <c r="M37" t="s">
        <v>42</v>
      </c>
      <c r="N37" t="s">
        <v>4347</v>
      </c>
      <c r="O37" t="s">
        <v>4303</v>
      </c>
      <c r="P37">
        <v>87250</v>
      </c>
      <c r="Q37">
        <v>156869</v>
      </c>
      <c r="R37" s="2">
        <v>45285</v>
      </c>
      <c r="S37" t="s">
        <v>69</v>
      </c>
      <c r="T37" t="s">
        <v>101</v>
      </c>
      <c r="U37" t="s">
        <v>6378</v>
      </c>
      <c r="V37" t="s">
        <v>6389</v>
      </c>
      <c r="W37" t="s">
        <v>128</v>
      </c>
      <c r="X37">
        <v>92</v>
      </c>
      <c r="Y37" t="s">
        <v>101</v>
      </c>
      <c r="Z37">
        <v>255</v>
      </c>
    </row>
    <row r="38" spans="1:26" x14ac:dyDescent="0.3">
      <c r="A38">
        <v>37</v>
      </c>
      <c r="B38" t="s">
        <v>134</v>
      </c>
      <c r="C38" t="s">
        <v>72</v>
      </c>
      <c r="D38" t="s">
        <v>135</v>
      </c>
      <c r="E38" t="s">
        <v>6345</v>
      </c>
      <c r="F38" t="s">
        <v>6381</v>
      </c>
      <c r="G38" t="s">
        <v>6397</v>
      </c>
      <c r="J38">
        <f>AVERAGE(ai_job_market[[#This Row],[min_salary]],ai_job_market[[#This Row],[max_salary]])</f>
        <v>120173</v>
      </c>
      <c r="K38"/>
      <c r="L38" t="s">
        <v>27</v>
      </c>
      <c r="M38" t="s">
        <v>37</v>
      </c>
      <c r="N38" t="s">
        <v>4348</v>
      </c>
      <c r="O38" t="s">
        <v>4349</v>
      </c>
      <c r="P38">
        <v>77074</v>
      </c>
      <c r="Q38">
        <v>163272</v>
      </c>
      <c r="R38" s="2">
        <v>45612</v>
      </c>
      <c r="S38" t="s">
        <v>14</v>
      </c>
      <c r="T38" t="s">
        <v>101</v>
      </c>
      <c r="U38" t="s">
        <v>6379</v>
      </c>
      <c r="V38" t="s">
        <v>6383</v>
      </c>
      <c r="W38" t="s">
        <v>6345</v>
      </c>
      <c r="X38">
        <v>101</v>
      </c>
      <c r="Y38" t="s">
        <v>101</v>
      </c>
      <c r="Z38">
        <v>255</v>
      </c>
    </row>
    <row r="39" spans="1:26" x14ac:dyDescent="0.3">
      <c r="A39">
        <v>38</v>
      </c>
      <c r="B39" t="s">
        <v>138</v>
      </c>
      <c r="C39" t="s">
        <v>40</v>
      </c>
      <c r="D39" t="s">
        <v>54</v>
      </c>
      <c r="E39" t="s">
        <v>6357</v>
      </c>
      <c r="F39" t="s">
        <v>6393</v>
      </c>
      <c r="G39" t="s">
        <v>6384</v>
      </c>
      <c r="J39">
        <f>AVERAGE(ai_job_market[[#This Row],[min_salary]],ai_job_market[[#This Row],[max_salary]])</f>
        <v>137937.5</v>
      </c>
      <c r="K39"/>
      <c r="L39" t="s">
        <v>14</v>
      </c>
      <c r="M39" t="s">
        <v>42</v>
      </c>
      <c r="N39" t="s">
        <v>4350</v>
      </c>
      <c r="O39" t="s">
        <v>4351</v>
      </c>
      <c r="P39">
        <v>116061</v>
      </c>
      <c r="Q39">
        <v>159814</v>
      </c>
      <c r="R39" s="2">
        <v>45791</v>
      </c>
      <c r="S39" t="s">
        <v>69</v>
      </c>
      <c r="T39" t="s">
        <v>90</v>
      </c>
      <c r="W39" t="s">
        <v>6357</v>
      </c>
      <c r="X39">
        <v>88</v>
      </c>
      <c r="Y39" t="s">
        <v>90</v>
      </c>
      <c r="Z39">
        <v>259</v>
      </c>
    </row>
    <row r="40" spans="1:26" x14ac:dyDescent="0.3">
      <c r="A40">
        <v>39</v>
      </c>
      <c r="B40" t="s">
        <v>140</v>
      </c>
      <c r="C40" t="s">
        <v>72</v>
      </c>
      <c r="D40" t="s">
        <v>35</v>
      </c>
      <c r="E40" t="s">
        <v>128</v>
      </c>
      <c r="F40" t="s">
        <v>6395</v>
      </c>
      <c r="G40" t="s">
        <v>6386</v>
      </c>
      <c r="H40" t="s">
        <v>6378</v>
      </c>
      <c r="J40">
        <f>AVERAGE(ai_job_market[[#This Row],[min_salary]],ai_job_market[[#This Row],[max_salary]])</f>
        <v>111758.5</v>
      </c>
      <c r="K40"/>
      <c r="L40" t="s">
        <v>22</v>
      </c>
      <c r="M40" t="s">
        <v>51</v>
      </c>
      <c r="N40" t="s">
        <v>4352</v>
      </c>
      <c r="O40" t="s">
        <v>4353</v>
      </c>
      <c r="P40">
        <v>87411</v>
      </c>
      <c r="Q40">
        <v>136106</v>
      </c>
      <c r="R40" s="2">
        <v>45453</v>
      </c>
      <c r="S40" t="s">
        <v>14</v>
      </c>
      <c r="T40" t="s">
        <v>70</v>
      </c>
      <c r="W40" t="s">
        <v>128</v>
      </c>
      <c r="X40">
        <v>92</v>
      </c>
      <c r="Y40" t="s">
        <v>70</v>
      </c>
      <c r="Z40">
        <v>268</v>
      </c>
    </row>
    <row r="41" spans="1:26" x14ac:dyDescent="0.3">
      <c r="A41">
        <v>40</v>
      </c>
      <c r="B41" t="s">
        <v>142</v>
      </c>
      <c r="C41" t="s">
        <v>45</v>
      </c>
      <c r="D41" t="s">
        <v>12</v>
      </c>
      <c r="E41" t="s">
        <v>6358</v>
      </c>
      <c r="F41" t="s">
        <v>6375</v>
      </c>
      <c r="G41" t="s">
        <v>6377</v>
      </c>
      <c r="H41" t="s">
        <v>6380</v>
      </c>
      <c r="I41" t="s">
        <v>6390</v>
      </c>
      <c r="J41">
        <f>AVERAGE(ai_job_market[[#This Row],[min_salary]],ai_job_market[[#This Row],[max_salary]])</f>
        <v>123785</v>
      </c>
      <c r="K41" t="s">
        <v>6376</v>
      </c>
      <c r="L41" t="s">
        <v>27</v>
      </c>
      <c r="M41" t="s">
        <v>51</v>
      </c>
      <c r="N41" t="s">
        <v>4354</v>
      </c>
      <c r="O41" t="s">
        <v>4355</v>
      </c>
      <c r="P41">
        <v>88562</v>
      </c>
      <c r="Q41">
        <v>159008</v>
      </c>
      <c r="R41" s="2">
        <v>45835</v>
      </c>
      <c r="S41" t="s">
        <v>14</v>
      </c>
      <c r="T41" t="s">
        <v>77</v>
      </c>
      <c r="U41" t="s">
        <v>6376</v>
      </c>
      <c r="V41" t="s">
        <v>6379</v>
      </c>
      <c r="W41" t="s">
        <v>6358</v>
      </c>
      <c r="X41">
        <v>96</v>
      </c>
      <c r="Y41" t="s">
        <v>77</v>
      </c>
      <c r="Z41">
        <v>251</v>
      </c>
    </row>
    <row r="42" spans="1:26" x14ac:dyDescent="0.3">
      <c r="A42">
        <v>41</v>
      </c>
      <c r="B42" t="s">
        <v>145</v>
      </c>
      <c r="C42" t="s">
        <v>40</v>
      </c>
      <c r="D42" t="s">
        <v>25</v>
      </c>
      <c r="E42" t="s">
        <v>6344</v>
      </c>
      <c r="F42" t="s">
        <v>6386</v>
      </c>
      <c r="G42" t="s">
        <v>6396</v>
      </c>
      <c r="H42" t="s">
        <v>6381</v>
      </c>
      <c r="I42" t="s">
        <v>6390</v>
      </c>
      <c r="J42">
        <f>AVERAGE(ai_job_market[[#This Row],[min_salary]],ai_job_market[[#This Row],[max_salary]])</f>
        <v>68771.5</v>
      </c>
      <c r="K42"/>
      <c r="L42" t="s">
        <v>22</v>
      </c>
      <c r="M42" t="s">
        <v>42</v>
      </c>
      <c r="N42" t="s">
        <v>4356</v>
      </c>
      <c r="O42" t="s">
        <v>4357</v>
      </c>
      <c r="P42">
        <v>41935</v>
      </c>
      <c r="Q42">
        <v>95608</v>
      </c>
      <c r="R42" s="2">
        <v>45696</v>
      </c>
      <c r="S42" t="s">
        <v>14</v>
      </c>
      <c r="T42" t="s">
        <v>101</v>
      </c>
      <c r="U42" t="s">
        <v>6384</v>
      </c>
      <c r="V42" t="s">
        <v>6388</v>
      </c>
      <c r="W42" t="s">
        <v>6344</v>
      </c>
      <c r="X42">
        <v>104</v>
      </c>
      <c r="Y42" t="s">
        <v>101</v>
      </c>
      <c r="Z42">
        <v>255</v>
      </c>
    </row>
    <row r="43" spans="1:26" x14ac:dyDescent="0.3">
      <c r="A43">
        <v>42</v>
      </c>
      <c r="B43" t="s">
        <v>148</v>
      </c>
      <c r="C43" t="s">
        <v>40</v>
      </c>
      <c r="D43" t="s">
        <v>67</v>
      </c>
      <c r="E43" t="s">
        <v>6353</v>
      </c>
      <c r="F43" t="s">
        <v>6395</v>
      </c>
      <c r="G43" t="s">
        <v>6380</v>
      </c>
      <c r="H43" t="s">
        <v>6389</v>
      </c>
      <c r="J43">
        <f>AVERAGE(ai_job_market[[#This Row],[min_salary]],ai_job_market[[#This Row],[max_salary]])</f>
        <v>136190</v>
      </c>
      <c r="K43"/>
      <c r="L43" t="s">
        <v>14</v>
      </c>
      <c r="M43" t="s">
        <v>15</v>
      </c>
      <c r="N43" t="s">
        <v>4358</v>
      </c>
      <c r="O43" t="s">
        <v>4318</v>
      </c>
      <c r="P43">
        <v>126443</v>
      </c>
      <c r="Q43">
        <v>145937</v>
      </c>
      <c r="R43" s="2">
        <v>45240</v>
      </c>
      <c r="S43" t="s">
        <v>69</v>
      </c>
      <c r="T43" t="s">
        <v>80</v>
      </c>
      <c r="W43" t="s">
        <v>6353</v>
      </c>
      <c r="X43">
        <v>86</v>
      </c>
      <c r="Y43" t="s">
        <v>80</v>
      </c>
      <c r="Z43">
        <v>249</v>
      </c>
    </row>
    <row r="44" spans="1:26" x14ac:dyDescent="0.3">
      <c r="A44">
        <v>43</v>
      </c>
      <c r="B44" t="s">
        <v>150</v>
      </c>
      <c r="C44" t="s">
        <v>11</v>
      </c>
      <c r="D44" t="s">
        <v>30</v>
      </c>
      <c r="E44" t="s">
        <v>6344</v>
      </c>
      <c r="F44" t="s">
        <v>6381</v>
      </c>
      <c r="G44" t="s">
        <v>6397</v>
      </c>
      <c r="H44" t="s">
        <v>6374</v>
      </c>
      <c r="I44" t="s">
        <v>6379</v>
      </c>
      <c r="J44">
        <f>AVERAGE(ai_job_market[[#This Row],[min_salary]],ai_job_market[[#This Row],[max_salary]])</f>
        <v>144976.5</v>
      </c>
      <c r="K44"/>
      <c r="L44" t="s">
        <v>27</v>
      </c>
      <c r="M44" t="s">
        <v>15</v>
      </c>
      <c r="N44" t="s">
        <v>4359</v>
      </c>
      <c r="O44" t="s">
        <v>4333</v>
      </c>
      <c r="P44">
        <v>99978</v>
      </c>
      <c r="Q44">
        <v>189975</v>
      </c>
      <c r="R44" s="2">
        <v>45540</v>
      </c>
      <c r="S44" t="s">
        <v>16</v>
      </c>
      <c r="T44" t="s">
        <v>128</v>
      </c>
      <c r="U44" t="s">
        <v>6384</v>
      </c>
      <c r="V44" t="s">
        <v>6378</v>
      </c>
      <c r="W44" t="s">
        <v>6344</v>
      </c>
      <c r="X44">
        <v>104</v>
      </c>
      <c r="Y44" t="s">
        <v>128</v>
      </c>
      <c r="Z44">
        <v>233</v>
      </c>
    </row>
    <row r="45" spans="1:26" x14ac:dyDescent="0.3">
      <c r="A45">
        <v>44</v>
      </c>
      <c r="B45" t="s">
        <v>152</v>
      </c>
      <c r="C45" t="s">
        <v>49</v>
      </c>
      <c r="D45" t="s">
        <v>25</v>
      </c>
      <c r="E45" t="s">
        <v>6351</v>
      </c>
      <c r="F45" t="s">
        <v>6392</v>
      </c>
      <c r="G45" t="s">
        <v>6384</v>
      </c>
      <c r="H45" t="s">
        <v>6396</v>
      </c>
      <c r="I45" t="s">
        <v>6381</v>
      </c>
      <c r="J45">
        <f>AVERAGE(ai_job_market[[#This Row],[min_salary]],ai_job_market[[#This Row],[max_salary]])</f>
        <v>108523</v>
      </c>
      <c r="K45"/>
      <c r="L45" t="s">
        <v>27</v>
      </c>
      <c r="M45" t="s">
        <v>37</v>
      </c>
      <c r="N45" t="s">
        <v>4360</v>
      </c>
      <c r="O45" t="s">
        <v>4361</v>
      </c>
      <c r="P45">
        <v>65214</v>
      </c>
      <c r="Q45">
        <v>151832</v>
      </c>
      <c r="R45" s="2">
        <v>45727</v>
      </c>
      <c r="S45" t="s">
        <v>16</v>
      </c>
      <c r="T45" t="s">
        <v>80</v>
      </c>
      <c r="U45" t="s">
        <v>6379</v>
      </c>
      <c r="V45" t="s">
        <v>6375</v>
      </c>
      <c r="W45" t="s">
        <v>6351</v>
      </c>
      <c r="X45">
        <v>89</v>
      </c>
      <c r="Y45" t="s">
        <v>80</v>
      </c>
      <c r="Z45">
        <v>249</v>
      </c>
    </row>
    <row r="46" spans="1:26" x14ac:dyDescent="0.3">
      <c r="A46">
        <v>45</v>
      </c>
      <c r="B46" t="s">
        <v>155</v>
      </c>
      <c r="C46" t="s">
        <v>45</v>
      </c>
      <c r="D46" t="s">
        <v>25</v>
      </c>
      <c r="E46" t="s">
        <v>6351</v>
      </c>
      <c r="F46" t="s">
        <v>6382</v>
      </c>
      <c r="G46" t="s">
        <v>6380</v>
      </c>
      <c r="H46" t="s">
        <v>6379</v>
      </c>
      <c r="I46" t="s">
        <v>6378</v>
      </c>
      <c r="J46">
        <f>AVERAGE(ai_job_market[[#This Row],[min_salary]],ai_job_market[[#This Row],[max_salary]])</f>
        <v>114761</v>
      </c>
      <c r="K46"/>
      <c r="L46" t="s">
        <v>14</v>
      </c>
      <c r="M46" t="s">
        <v>51</v>
      </c>
      <c r="N46" t="s">
        <v>4362</v>
      </c>
      <c r="O46" t="s">
        <v>4363</v>
      </c>
      <c r="P46">
        <v>71101</v>
      </c>
      <c r="Q46">
        <v>158421</v>
      </c>
      <c r="R46" s="2">
        <v>45732</v>
      </c>
      <c r="S46" t="s">
        <v>14</v>
      </c>
      <c r="T46" t="s">
        <v>157</v>
      </c>
      <c r="W46" t="s">
        <v>6351</v>
      </c>
      <c r="X46">
        <v>89</v>
      </c>
      <c r="Y46" t="s">
        <v>157</v>
      </c>
      <c r="Z46">
        <v>247</v>
      </c>
    </row>
    <row r="47" spans="1:26" x14ac:dyDescent="0.3">
      <c r="A47">
        <v>46</v>
      </c>
      <c r="B47" t="s">
        <v>158</v>
      </c>
      <c r="C47" t="s">
        <v>11</v>
      </c>
      <c r="D47" t="s">
        <v>54</v>
      </c>
      <c r="E47" t="s">
        <v>70</v>
      </c>
      <c r="F47" t="s">
        <v>6386</v>
      </c>
      <c r="G47" t="s">
        <v>6377</v>
      </c>
      <c r="J47">
        <f>AVERAGE(ai_job_market[[#This Row],[min_salary]],ai_job_market[[#This Row],[max_salary]])</f>
        <v>124381.5</v>
      </c>
      <c r="K47"/>
      <c r="L47" t="s">
        <v>27</v>
      </c>
      <c r="M47" t="s">
        <v>51</v>
      </c>
      <c r="N47" t="s">
        <v>4364</v>
      </c>
      <c r="O47" t="s">
        <v>4365</v>
      </c>
      <c r="P47">
        <v>119200</v>
      </c>
      <c r="Q47">
        <v>129563</v>
      </c>
      <c r="R47" s="2">
        <v>45702</v>
      </c>
      <c r="S47" t="s">
        <v>69</v>
      </c>
      <c r="T47" t="s">
        <v>77</v>
      </c>
      <c r="U47" t="s">
        <v>6389</v>
      </c>
      <c r="V47" t="s">
        <v>6384</v>
      </c>
      <c r="W47" t="s">
        <v>70</v>
      </c>
      <c r="X47">
        <v>100</v>
      </c>
      <c r="Y47" t="s">
        <v>77</v>
      </c>
      <c r="Z47">
        <v>251</v>
      </c>
    </row>
    <row r="48" spans="1:26" x14ac:dyDescent="0.3">
      <c r="A48">
        <v>47</v>
      </c>
      <c r="B48" t="s">
        <v>161</v>
      </c>
      <c r="C48" t="s">
        <v>34</v>
      </c>
      <c r="D48" t="s">
        <v>35</v>
      </c>
      <c r="E48" t="s">
        <v>101</v>
      </c>
      <c r="F48" t="s">
        <v>6375</v>
      </c>
      <c r="G48" t="s">
        <v>6392</v>
      </c>
      <c r="H48" t="s">
        <v>6391</v>
      </c>
      <c r="J48">
        <f>AVERAGE(ai_job_market[[#This Row],[min_salary]],ai_job_market[[#This Row],[max_salary]])</f>
        <v>162947.5</v>
      </c>
      <c r="K48"/>
      <c r="L48" t="s">
        <v>14</v>
      </c>
      <c r="M48" t="s">
        <v>37</v>
      </c>
      <c r="N48" t="s">
        <v>4366</v>
      </c>
      <c r="O48" t="s">
        <v>4367</v>
      </c>
      <c r="P48">
        <v>122083</v>
      </c>
      <c r="Q48">
        <v>203812</v>
      </c>
      <c r="R48" s="2">
        <v>45508</v>
      </c>
      <c r="S48" t="s">
        <v>69</v>
      </c>
      <c r="T48" t="s">
        <v>128</v>
      </c>
      <c r="U48" t="s">
        <v>6388</v>
      </c>
      <c r="W48" t="s">
        <v>101</v>
      </c>
      <c r="X48">
        <v>76</v>
      </c>
      <c r="Y48" t="s">
        <v>128</v>
      </c>
      <c r="Z48">
        <v>233</v>
      </c>
    </row>
    <row r="49" spans="1:26" x14ac:dyDescent="0.3">
      <c r="A49">
        <v>48</v>
      </c>
      <c r="B49" t="s">
        <v>164</v>
      </c>
      <c r="C49" t="s">
        <v>45</v>
      </c>
      <c r="D49" t="s">
        <v>20</v>
      </c>
      <c r="E49" t="s">
        <v>6346</v>
      </c>
      <c r="F49" t="s">
        <v>6384</v>
      </c>
      <c r="G49" t="s">
        <v>6395</v>
      </c>
      <c r="J49" s="6">
        <f>AVERAGE(ai_job_market[[#This Row],[min_salary]],ai_job_market[[#This Row],[max_salary]])</f>
        <v>152090.5</v>
      </c>
      <c r="K49"/>
      <c r="L49" t="s">
        <v>27</v>
      </c>
      <c r="M49" t="s">
        <v>37</v>
      </c>
      <c r="N49" t="s">
        <v>4368</v>
      </c>
      <c r="O49" t="s">
        <v>4369</v>
      </c>
      <c r="P49" s="5">
        <v>144773</v>
      </c>
      <c r="Q49" s="5">
        <v>159408</v>
      </c>
      <c r="R49" s="2">
        <v>45709</v>
      </c>
      <c r="S49" t="s">
        <v>14</v>
      </c>
      <c r="T49" t="s">
        <v>90</v>
      </c>
      <c r="U49" t="s">
        <v>6388</v>
      </c>
      <c r="V49" t="s">
        <v>6379</v>
      </c>
      <c r="W49" t="s">
        <v>6346</v>
      </c>
      <c r="X49">
        <v>78</v>
      </c>
      <c r="Y49" t="s">
        <v>90</v>
      </c>
      <c r="Z49">
        <v>259</v>
      </c>
    </row>
    <row r="50" spans="1:26" x14ac:dyDescent="0.3">
      <c r="A50">
        <v>49</v>
      </c>
      <c r="B50" t="s">
        <v>167</v>
      </c>
      <c r="C50" t="s">
        <v>49</v>
      </c>
      <c r="D50" t="s">
        <v>67</v>
      </c>
      <c r="E50" t="s">
        <v>80</v>
      </c>
      <c r="F50" t="s">
        <v>6379</v>
      </c>
      <c r="G50" t="s">
        <v>6375</v>
      </c>
      <c r="H50" t="s">
        <v>6395</v>
      </c>
      <c r="I50" t="s">
        <v>6387</v>
      </c>
      <c r="J50">
        <f>AVERAGE(ai_job_market[[#This Row],[min_salary]],ai_job_market[[#This Row],[max_salary]])</f>
        <v>119857</v>
      </c>
      <c r="K50"/>
      <c r="L50" t="s">
        <v>27</v>
      </c>
      <c r="M50" t="s">
        <v>42</v>
      </c>
      <c r="N50" t="s">
        <v>4370</v>
      </c>
      <c r="O50" t="s">
        <v>4371</v>
      </c>
      <c r="P50">
        <v>78317</v>
      </c>
      <c r="Q50">
        <v>161397</v>
      </c>
      <c r="R50" s="2">
        <v>45370</v>
      </c>
      <c r="S50" t="s">
        <v>14</v>
      </c>
      <c r="T50" t="s">
        <v>157</v>
      </c>
      <c r="U50" t="s">
        <v>6375</v>
      </c>
      <c r="V50" t="s">
        <v>6389</v>
      </c>
      <c r="W50" t="s">
        <v>80</v>
      </c>
      <c r="X50">
        <v>95</v>
      </c>
      <c r="Y50" t="s">
        <v>157</v>
      </c>
      <c r="Z50">
        <v>247</v>
      </c>
    </row>
    <row r="51" spans="1:26" x14ac:dyDescent="0.3">
      <c r="A51">
        <v>50</v>
      </c>
      <c r="B51" t="s">
        <v>170</v>
      </c>
      <c r="C51" t="s">
        <v>34</v>
      </c>
      <c r="D51" t="s">
        <v>67</v>
      </c>
      <c r="E51" t="s">
        <v>6358</v>
      </c>
      <c r="F51" t="s">
        <v>6380</v>
      </c>
      <c r="G51" t="s">
        <v>6385</v>
      </c>
      <c r="H51" t="s">
        <v>6382</v>
      </c>
      <c r="I51" t="s">
        <v>6381</v>
      </c>
      <c r="J51">
        <f>AVERAGE(ai_job_market[[#This Row],[min_salary]],ai_job_market[[#This Row],[max_salary]])</f>
        <v>98026</v>
      </c>
      <c r="K51" t="s">
        <v>6386</v>
      </c>
      <c r="L51" t="s">
        <v>14</v>
      </c>
      <c r="M51" t="s">
        <v>15</v>
      </c>
      <c r="N51" t="s">
        <v>4372</v>
      </c>
      <c r="O51" t="s">
        <v>4333</v>
      </c>
      <c r="P51">
        <v>75575</v>
      </c>
      <c r="Q51">
        <v>120477</v>
      </c>
      <c r="R51" s="2">
        <v>45419</v>
      </c>
      <c r="S51" t="s">
        <v>16</v>
      </c>
      <c r="T51" t="s">
        <v>77</v>
      </c>
      <c r="U51" t="s">
        <v>6383</v>
      </c>
      <c r="V51" t="s">
        <v>6376</v>
      </c>
      <c r="W51" t="s">
        <v>6358</v>
      </c>
      <c r="X51">
        <v>96</v>
      </c>
      <c r="Y51" t="s">
        <v>77</v>
      </c>
      <c r="Z51">
        <v>251</v>
      </c>
    </row>
    <row r="52" spans="1:26" x14ac:dyDescent="0.3">
      <c r="A52">
        <v>51</v>
      </c>
      <c r="B52" t="s">
        <v>173</v>
      </c>
      <c r="C52" t="s">
        <v>40</v>
      </c>
      <c r="D52" t="s">
        <v>30</v>
      </c>
      <c r="E52" t="s">
        <v>80</v>
      </c>
      <c r="F52" t="s">
        <v>6390</v>
      </c>
      <c r="G52" t="s">
        <v>6375</v>
      </c>
      <c r="H52" t="s">
        <v>6386</v>
      </c>
      <c r="I52" t="s">
        <v>6376</v>
      </c>
      <c r="J52">
        <f>AVERAGE(ai_job_market[[#This Row],[min_salary]],ai_job_market[[#This Row],[max_salary]])</f>
        <v>182411.5</v>
      </c>
      <c r="K52"/>
      <c r="L52" t="s">
        <v>27</v>
      </c>
      <c r="M52" t="s">
        <v>15</v>
      </c>
      <c r="N52" t="s">
        <v>4373</v>
      </c>
      <c r="O52" t="s">
        <v>4365</v>
      </c>
      <c r="P52">
        <v>133185</v>
      </c>
      <c r="Q52">
        <v>231638</v>
      </c>
      <c r="R52" s="2">
        <v>45196</v>
      </c>
      <c r="S52" t="s">
        <v>16</v>
      </c>
      <c r="T52" t="s">
        <v>52</v>
      </c>
      <c r="W52" t="s">
        <v>80</v>
      </c>
      <c r="X52">
        <v>95</v>
      </c>
      <c r="Y52" t="s">
        <v>52</v>
      </c>
      <c r="Z52">
        <v>238</v>
      </c>
    </row>
    <row r="53" spans="1:26" x14ac:dyDescent="0.3">
      <c r="A53">
        <v>52</v>
      </c>
      <c r="B53" t="s">
        <v>175</v>
      </c>
      <c r="C53" t="s">
        <v>40</v>
      </c>
      <c r="D53" t="s">
        <v>20</v>
      </c>
      <c r="E53" t="s">
        <v>6355</v>
      </c>
      <c r="F53" t="s">
        <v>6390</v>
      </c>
      <c r="G53" t="s">
        <v>6376</v>
      </c>
      <c r="H53" t="s">
        <v>6393</v>
      </c>
      <c r="I53" t="s">
        <v>6396</v>
      </c>
      <c r="J53">
        <f>AVERAGE(ai_job_market[[#This Row],[min_salary]],ai_job_market[[#This Row],[max_salary]])</f>
        <v>118823</v>
      </c>
      <c r="K53" t="s">
        <v>6387</v>
      </c>
      <c r="L53" t="s">
        <v>27</v>
      </c>
      <c r="M53" t="s">
        <v>37</v>
      </c>
      <c r="N53" t="s">
        <v>4374</v>
      </c>
      <c r="O53" t="s">
        <v>4375</v>
      </c>
      <c r="P53">
        <v>73140</v>
      </c>
      <c r="Q53">
        <v>164506</v>
      </c>
      <c r="R53" s="2">
        <v>45807</v>
      </c>
      <c r="S53" t="s">
        <v>14</v>
      </c>
      <c r="T53" t="s">
        <v>70</v>
      </c>
      <c r="U53" t="s">
        <v>6383</v>
      </c>
      <c r="V53" t="s">
        <v>6378</v>
      </c>
      <c r="W53" t="s">
        <v>6355</v>
      </c>
      <c r="X53">
        <v>90</v>
      </c>
      <c r="Y53" t="s">
        <v>70</v>
      </c>
      <c r="Z53">
        <v>268</v>
      </c>
    </row>
    <row r="54" spans="1:26" x14ac:dyDescent="0.3">
      <c r="A54">
        <v>53</v>
      </c>
      <c r="B54" t="s">
        <v>178</v>
      </c>
      <c r="C54" t="s">
        <v>34</v>
      </c>
      <c r="D54" t="s">
        <v>35</v>
      </c>
      <c r="E54" t="s">
        <v>6349</v>
      </c>
      <c r="F54" t="s">
        <v>6382</v>
      </c>
      <c r="G54" t="s">
        <v>6397</v>
      </c>
      <c r="H54" t="s">
        <v>6378</v>
      </c>
      <c r="I54" t="s">
        <v>6380</v>
      </c>
      <c r="J54">
        <f>AVERAGE(ai_job_market[[#This Row],[min_salary]],ai_job_market[[#This Row],[max_salary]])</f>
        <v>92090.5</v>
      </c>
      <c r="K54" t="s">
        <v>6376</v>
      </c>
      <c r="L54" t="s">
        <v>14</v>
      </c>
      <c r="M54" t="s">
        <v>37</v>
      </c>
      <c r="N54" t="s">
        <v>4376</v>
      </c>
      <c r="O54" t="s">
        <v>4377</v>
      </c>
      <c r="P54">
        <v>69031</v>
      </c>
      <c r="Q54">
        <v>115150</v>
      </c>
      <c r="R54" s="2">
        <v>45794</v>
      </c>
      <c r="S54" t="s">
        <v>16</v>
      </c>
      <c r="T54" t="s">
        <v>90</v>
      </c>
      <c r="W54" t="s">
        <v>6349</v>
      </c>
      <c r="X54">
        <v>96</v>
      </c>
      <c r="Y54" t="s">
        <v>90</v>
      </c>
      <c r="Z54">
        <v>259</v>
      </c>
    </row>
    <row r="55" spans="1:26" x14ac:dyDescent="0.3">
      <c r="A55">
        <v>54</v>
      </c>
      <c r="B55" t="s">
        <v>180</v>
      </c>
      <c r="C55" t="s">
        <v>19</v>
      </c>
      <c r="D55" t="s">
        <v>25</v>
      </c>
      <c r="E55" t="s">
        <v>6353</v>
      </c>
      <c r="F55" t="s">
        <v>6381</v>
      </c>
      <c r="G55" t="s">
        <v>6397</v>
      </c>
      <c r="H55" t="s">
        <v>6375</v>
      </c>
      <c r="J55">
        <f>AVERAGE(ai_job_market[[#This Row],[min_salary]],ai_job_market[[#This Row],[max_salary]])</f>
        <v>95554.5</v>
      </c>
      <c r="K55"/>
      <c r="L55" t="s">
        <v>14</v>
      </c>
      <c r="M55" t="s">
        <v>15</v>
      </c>
      <c r="N55" t="s">
        <v>4378</v>
      </c>
      <c r="O55" t="s">
        <v>4339</v>
      </c>
      <c r="P55">
        <v>49382</v>
      </c>
      <c r="Q55">
        <v>141727</v>
      </c>
      <c r="R55" s="2">
        <v>45605</v>
      </c>
      <c r="S55" t="s">
        <v>16</v>
      </c>
      <c r="T55" t="s">
        <v>70</v>
      </c>
      <c r="U55" t="s">
        <v>6388</v>
      </c>
      <c r="V55" t="s">
        <v>6389</v>
      </c>
      <c r="W55" t="s">
        <v>6353</v>
      </c>
      <c r="X55">
        <v>86</v>
      </c>
      <c r="Y55" t="s">
        <v>70</v>
      </c>
      <c r="Z55">
        <v>268</v>
      </c>
    </row>
    <row r="56" spans="1:26" x14ac:dyDescent="0.3">
      <c r="A56">
        <v>55</v>
      </c>
      <c r="B56" t="s">
        <v>183</v>
      </c>
      <c r="C56" t="s">
        <v>11</v>
      </c>
      <c r="D56" t="s">
        <v>25</v>
      </c>
      <c r="E56" t="s">
        <v>6349</v>
      </c>
      <c r="F56" t="s">
        <v>6396</v>
      </c>
      <c r="G56" t="s">
        <v>6378</v>
      </c>
      <c r="H56" t="s">
        <v>6391</v>
      </c>
      <c r="I56" t="s">
        <v>6387</v>
      </c>
      <c r="J56">
        <f>AVERAGE(ai_job_market[[#This Row],[min_salary]],ai_job_market[[#This Row],[max_salary]])</f>
        <v>184756</v>
      </c>
      <c r="K56" t="s">
        <v>6375</v>
      </c>
      <c r="L56" t="s">
        <v>22</v>
      </c>
      <c r="M56" t="s">
        <v>15</v>
      </c>
      <c r="N56" t="s">
        <v>4379</v>
      </c>
      <c r="O56" t="s">
        <v>4380</v>
      </c>
      <c r="P56">
        <v>135916</v>
      </c>
      <c r="Q56">
        <v>233596</v>
      </c>
      <c r="R56" s="2">
        <v>45606</v>
      </c>
      <c r="S56" t="s">
        <v>69</v>
      </c>
      <c r="T56" t="s">
        <v>77</v>
      </c>
      <c r="U56" t="s">
        <v>6384</v>
      </c>
      <c r="V56" t="s">
        <v>6388</v>
      </c>
      <c r="W56" t="s">
        <v>6349</v>
      </c>
      <c r="X56">
        <v>96</v>
      </c>
      <c r="Y56" t="s">
        <v>77</v>
      </c>
      <c r="Z56">
        <v>251</v>
      </c>
    </row>
    <row r="57" spans="1:26" x14ac:dyDescent="0.3">
      <c r="A57">
        <v>56</v>
      </c>
      <c r="B57" t="s">
        <v>186</v>
      </c>
      <c r="C57" t="s">
        <v>19</v>
      </c>
      <c r="D57" t="s">
        <v>54</v>
      </c>
      <c r="E57" t="s">
        <v>6358</v>
      </c>
      <c r="F57" t="s">
        <v>6379</v>
      </c>
      <c r="G57" t="s">
        <v>6392</v>
      </c>
      <c r="H57" t="s">
        <v>6396</v>
      </c>
      <c r="I57" t="s">
        <v>6381</v>
      </c>
      <c r="J57">
        <f>AVERAGE(ai_job_market[[#This Row],[min_salary]],ai_job_market[[#This Row],[max_salary]])</f>
        <v>182426.5</v>
      </c>
      <c r="K57" t="s">
        <v>6380</v>
      </c>
      <c r="L57" t="s">
        <v>22</v>
      </c>
      <c r="M57" t="s">
        <v>42</v>
      </c>
      <c r="N57" t="s">
        <v>4381</v>
      </c>
      <c r="O57" t="s">
        <v>4382</v>
      </c>
      <c r="P57">
        <v>149271</v>
      </c>
      <c r="Q57">
        <v>215582</v>
      </c>
      <c r="R57" s="2">
        <v>45770</v>
      </c>
      <c r="S57" t="s">
        <v>69</v>
      </c>
      <c r="T57" t="s">
        <v>52</v>
      </c>
      <c r="U57" t="s">
        <v>6375</v>
      </c>
      <c r="V57" t="s">
        <v>6384</v>
      </c>
      <c r="W57" t="s">
        <v>6358</v>
      </c>
      <c r="X57">
        <v>96</v>
      </c>
      <c r="Y57" t="s">
        <v>52</v>
      </c>
      <c r="Z57">
        <v>238</v>
      </c>
    </row>
    <row r="58" spans="1:26" x14ac:dyDescent="0.3">
      <c r="A58">
        <v>57</v>
      </c>
      <c r="B58" t="s">
        <v>189</v>
      </c>
      <c r="C58" t="s">
        <v>49</v>
      </c>
      <c r="D58" t="s">
        <v>12</v>
      </c>
      <c r="E58" t="s">
        <v>6352</v>
      </c>
      <c r="F58" t="s">
        <v>6396</v>
      </c>
      <c r="G58" t="s">
        <v>6391</v>
      </c>
      <c r="J58">
        <f>AVERAGE(ai_job_market[[#This Row],[min_salary]],ai_job_market[[#This Row],[max_salary]])</f>
        <v>89922.5</v>
      </c>
      <c r="K58"/>
      <c r="L58" t="s">
        <v>27</v>
      </c>
      <c r="M58" t="s">
        <v>51</v>
      </c>
      <c r="N58" t="s">
        <v>4383</v>
      </c>
      <c r="O58" t="s">
        <v>4375</v>
      </c>
      <c r="P58">
        <v>56348</v>
      </c>
      <c r="Q58">
        <v>123497</v>
      </c>
      <c r="R58" s="2">
        <v>45246</v>
      </c>
      <c r="S58" t="s">
        <v>14</v>
      </c>
      <c r="T58" t="s">
        <v>70</v>
      </c>
      <c r="U58" t="s">
        <v>6376</v>
      </c>
      <c r="V58" t="s">
        <v>6375</v>
      </c>
      <c r="W58" t="s">
        <v>6352</v>
      </c>
      <c r="X58">
        <v>97</v>
      </c>
      <c r="Y58" t="s">
        <v>70</v>
      </c>
      <c r="Z58">
        <v>268</v>
      </c>
    </row>
    <row r="59" spans="1:26" x14ac:dyDescent="0.3">
      <c r="A59">
        <v>58</v>
      </c>
      <c r="B59" t="s">
        <v>192</v>
      </c>
      <c r="C59" t="s">
        <v>72</v>
      </c>
      <c r="D59" t="s">
        <v>54</v>
      </c>
      <c r="E59" t="s">
        <v>6345</v>
      </c>
      <c r="F59" t="s">
        <v>6386</v>
      </c>
      <c r="G59" t="s">
        <v>6390</v>
      </c>
      <c r="H59" t="s">
        <v>6391</v>
      </c>
      <c r="I59" t="s">
        <v>6378</v>
      </c>
      <c r="J59">
        <f>AVERAGE(ai_job_market[[#This Row],[min_salary]],ai_job_market[[#This Row],[max_salary]])</f>
        <v>104503</v>
      </c>
      <c r="K59" t="s">
        <v>6387</v>
      </c>
      <c r="L59" t="s">
        <v>22</v>
      </c>
      <c r="M59" t="s">
        <v>15</v>
      </c>
      <c r="N59" t="s">
        <v>4384</v>
      </c>
      <c r="O59" t="s">
        <v>4385</v>
      </c>
      <c r="P59">
        <v>69159</v>
      </c>
      <c r="Q59">
        <v>139847</v>
      </c>
      <c r="R59" s="2">
        <v>45699</v>
      </c>
      <c r="S59" t="s">
        <v>16</v>
      </c>
      <c r="T59" t="s">
        <v>90</v>
      </c>
      <c r="U59" t="s">
        <v>6379</v>
      </c>
      <c r="W59" t="s">
        <v>6345</v>
      </c>
      <c r="X59">
        <v>101</v>
      </c>
      <c r="Y59" t="s">
        <v>90</v>
      </c>
      <c r="Z59">
        <v>259</v>
      </c>
    </row>
    <row r="60" spans="1:26" x14ac:dyDescent="0.3">
      <c r="A60">
        <v>59</v>
      </c>
      <c r="B60" t="s">
        <v>195</v>
      </c>
      <c r="C60" t="s">
        <v>19</v>
      </c>
      <c r="D60" t="s">
        <v>135</v>
      </c>
      <c r="E60" t="s">
        <v>77</v>
      </c>
      <c r="F60" t="s">
        <v>6385</v>
      </c>
      <c r="G60" t="s">
        <v>6396</v>
      </c>
      <c r="H60" t="s">
        <v>6392</v>
      </c>
      <c r="I60" t="s">
        <v>6382</v>
      </c>
      <c r="J60">
        <f>AVERAGE(ai_job_market[[#This Row],[min_salary]],ai_job_market[[#This Row],[max_salary]])</f>
        <v>120415</v>
      </c>
      <c r="K60"/>
      <c r="L60" t="s">
        <v>22</v>
      </c>
      <c r="M60" t="s">
        <v>42</v>
      </c>
      <c r="N60" t="s">
        <v>4386</v>
      </c>
      <c r="O60" t="s">
        <v>4387</v>
      </c>
      <c r="P60">
        <v>78305</v>
      </c>
      <c r="Q60">
        <v>162525</v>
      </c>
      <c r="R60" s="2">
        <v>45829</v>
      </c>
      <c r="S60" t="s">
        <v>16</v>
      </c>
      <c r="T60" t="s">
        <v>77</v>
      </c>
      <c r="U60" t="s">
        <v>6375</v>
      </c>
      <c r="V60" t="s">
        <v>6379</v>
      </c>
      <c r="W60" t="s">
        <v>77</v>
      </c>
      <c r="X60">
        <v>111</v>
      </c>
      <c r="Y60" t="s">
        <v>77</v>
      </c>
      <c r="Z60">
        <v>251</v>
      </c>
    </row>
    <row r="61" spans="1:26" x14ac:dyDescent="0.3">
      <c r="A61">
        <v>60</v>
      </c>
      <c r="B61" t="s">
        <v>198</v>
      </c>
      <c r="C61" t="s">
        <v>34</v>
      </c>
      <c r="D61" t="s">
        <v>30</v>
      </c>
      <c r="E61" t="s">
        <v>80</v>
      </c>
      <c r="F61" t="s">
        <v>6385</v>
      </c>
      <c r="G61" t="s">
        <v>6381</v>
      </c>
      <c r="H61" t="s">
        <v>6393</v>
      </c>
      <c r="I61" t="s">
        <v>6392</v>
      </c>
      <c r="J61">
        <f>AVERAGE(ai_job_market[[#This Row],[min_salary]],ai_job_market[[#This Row],[max_salary]])</f>
        <v>89857.5</v>
      </c>
      <c r="K61" t="s">
        <v>6395</v>
      </c>
      <c r="L61" t="s">
        <v>14</v>
      </c>
      <c r="M61" t="s">
        <v>51</v>
      </c>
      <c r="N61" t="s">
        <v>4388</v>
      </c>
      <c r="O61" t="s">
        <v>4367</v>
      </c>
      <c r="P61">
        <v>64238</v>
      </c>
      <c r="Q61">
        <v>115477</v>
      </c>
      <c r="R61" s="2">
        <v>45194</v>
      </c>
      <c r="S61" t="s">
        <v>69</v>
      </c>
      <c r="T61" t="s">
        <v>52</v>
      </c>
      <c r="W61" t="s">
        <v>80</v>
      </c>
      <c r="X61">
        <v>95</v>
      </c>
      <c r="Y61" t="s">
        <v>52</v>
      </c>
      <c r="Z61">
        <v>238</v>
      </c>
    </row>
    <row r="62" spans="1:26" x14ac:dyDescent="0.3">
      <c r="A62">
        <v>61</v>
      </c>
      <c r="B62" t="s">
        <v>200</v>
      </c>
      <c r="C62" t="s">
        <v>34</v>
      </c>
      <c r="D62" t="s">
        <v>12</v>
      </c>
      <c r="E62" t="s">
        <v>6358</v>
      </c>
      <c r="F62" t="s">
        <v>6396</v>
      </c>
      <c r="G62" t="s">
        <v>6377</v>
      </c>
      <c r="J62">
        <f>AVERAGE(ai_job_market[[#This Row],[min_salary]],ai_job_market[[#This Row],[max_salary]])</f>
        <v>101113.5</v>
      </c>
      <c r="K62"/>
      <c r="L62" t="s">
        <v>22</v>
      </c>
      <c r="M62" t="s">
        <v>42</v>
      </c>
      <c r="N62" t="s">
        <v>4389</v>
      </c>
      <c r="O62" t="s">
        <v>4353</v>
      </c>
      <c r="P62">
        <v>53583</v>
      </c>
      <c r="Q62">
        <v>148644</v>
      </c>
      <c r="R62" s="2">
        <v>45470</v>
      </c>
      <c r="S62" t="s">
        <v>14</v>
      </c>
      <c r="T62" t="s">
        <v>90</v>
      </c>
      <c r="W62" t="s">
        <v>6358</v>
      </c>
      <c r="X62">
        <v>96</v>
      </c>
      <c r="Y62" t="s">
        <v>90</v>
      </c>
      <c r="Z62">
        <v>259</v>
      </c>
    </row>
    <row r="63" spans="1:26" x14ac:dyDescent="0.3">
      <c r="A63">
        <v>62</v>
      </c>
      <c r="B63" t="s">
        <v>202</v>
      </c>
      <c r="C63" t="s">
        <v>72</v>
      </c>
      <c r="D63" t="s">
        <v>30</v>
      </c>
      <c r="E63" t="s">
        <v>6347</v>
      </c>
      <c r="F63" t="s">
        <v>6378</v>
      </c>
      <c r="G63" t="s">
        <v>6376</v>
      </c>
      <c r="H63" t="s">
        <v>6393</v>
      </c>
      <c r="I63" t="s">
        <v>6395</v>
      </c>
      <c r="J63">
        <f>AVERAGE(ai_job_market[[#This Row],[min_salary]],ai_job_market[[#This Row],[max_salary]])</f>
        <v>88546</v>
      </c>
      <c r="K63" t="s">
        <v>6392</v>
      </c>
      <c r="L63" t="s">
        <v>27</v>
      </c>
      <c r="M63" t="s">
        <v>42</v>
      </c>
      <c r="N63" t="s">
        <v>4390</v>
      </c>
      <c r="O63" t="s">
        <v>4391</v>
      </c>
      <c r="P63">
        <v>50457</v>
      </c>
      <c r="Q63">
        <v>126635</v>
      </c>
      <c r="R63" s="2">
        <v>45420</v>
      </c>
      <c r="S63" t="s">
        <v>69</v>
      </c>
      <c r="T63" t="s">
        <v>70</v>
      </c>
      <c r="W63" t="s">
        <v>6347</v>
      </c>
      <c r="X63">
        <v>94</v>
      </c>
      <c r="Y63" t="s">
        <v>70</v>
      </c>
      <c r="Z63">
        <v>268</v>
      </c>
    </row>
    <row r="64" spans="1:26" x14ac:dyDescent="0.3">
      <c r="A64">
        <v>63</v>
      </c>
      <c r="B64" t="s">
        <v>204</v>
      </c>
      <c r="C64" t="s">
        <v>72</v>
      </c>
      <c r="D64" t="s">
        <v>20</v>
      </c>
      <c r="E64" t="s">
        <v>6351</v>
      </c>
      <c r="F64" t="s">
        <v>6390</v>
      </c>
      <c r="G64" t="s">
        <v>6376</v>
      </c>
      <c r="J64">
        <f>AVERAGE(ai_job_market[[#This Row],[min_salary]],ai_job_market[[#This Row],[max_salary]])</f>
        <v>135166</v>
      </c>
      <c r="K64"/>
      <c r="L64" t="s">
        <v>14</v>
      </c>
      <c r="M64" t="s">
        <v>51</v>
      </c>
      <c r="N64" t="s">
        <v>4392</v>
      </c>
      <c r="O64" t="s">
        <v>4393</v>
      </c>
      <c r="P64">
        <v>97883</v>
      </c>
      <c r="Q64">
        <v>172449</v>
      </c>
      <c r="R64" s="2">
        <v>45591</v>
      </c>
      <c r="S64" t="s">
        <v>16</v>
      </c>
      <c r="T64" t="s">
        <v>80</v>
      </c>
      <c r="U64" t="s">
        <v>6379</v>
      </c>
      <c r="W64" t="s">
        <v>6351</v>
      </c>
      <c r="X64">
        <v>89</v>
      </c>
      <c r="Y64" t="s">
        <v>80</v>
      </c>
      <c r="Z64">
        <v>249</v>
      </c>
    </row>
    <row r="65" spans="1:26" x14ac:dyDescent="0.3">
      <c r="A65">
        <v>64</v>
      </c>
      <c r="B65" t="s">
        <v>207</v>
      </c>
      <c r="C65" t="s">
        <v>40</v>
      </c>
      <c r="D65" t="s">
        <v>30</v>
      </c>
      <c r="E65" t="s">
        <v>6359</v>
      </c>
      <c r="F65" t="s">
        <v>6379</v>
      </c>
      <c r="G65" t="s">
        <v>6397</v>
      </c>
      <c r="J65">
        <f>AVERAGE(ai_job_market[[#This Row],[min_salary]],ai_job_market[[#This Row],[max_salary]])</f>
        <v>118081.5</v>
      </c>
      <c r="K65"/>
      <c r="L65" t="s">
        <v>27</v>
      </c>
      <c r="M65" t="s">
        <v>42</v>
      </c>
      <c r="N65" t="s">
        <v>4394</v>
      </c>
      <c r="O65" t="s">
        <v>4395</v>
      </c>
      <c r="P65">
        <v>94965</v>
      </c>
      <c r="Q65">
        <v>141198</v>
      </c>
      <c r="R65" s="2">
        <v>45705</v>
      </c>
      <c r="S65" t="s">
        <v>69</v>
      </c>
      <c r="T65" t="s">
        <v>77</v>
      </c>
      <c r="W65" t="s">
        <v>6359</v>
      </c>
      <c r="X65">
        <v>104</v>
      </c>
      <c r="Y65" t="s">
        <v>77</v>
      </c>
      <c r="Z65">
        <v>251</v>
      </c>
    </row>
    <row r="66" spans="1:26" x14ac:dyDescent="0.3">
      <c r="A66">
        <v>65</v>
      </c>
      <c r="B66" t="s">
        <v>209</v>
      </c>
      <c r="C66" t="s">
        <v>40</v>
      </c>
      <c r="D66" t="s">
        <v>135</v>
      </c>
      <c r="E66" t="s">
        <v>6355</v>
      </c>
      <c r="F66" t="s">
        <v>6382</v>
      </c>
      <c r="G66" t="s">
        <v>6395</v>
      </c>
      <c r="H66" t="s">
        <v>6389</v>
      </c>
      <c r="J66">
        <f>AVERAGE(ai_job_market[[#This Row],[min_salary]],ai_job_market[[#This Row],[max_salary]])</f>
        <v>117659.5</v>
      </c>
      <c r="K66"/>
      <c r="L66" t="s">
        <v>27</v>
      </c>
      <c r="M66" t="s">
        <v>51</v>
      </c>
      <c r="N66" t="s">
        <v>4396</v>
      </c>
      <c r="O66" t="s">
        <v>4397</v>
      </c>
      <c r="P66">
        <v>81202</v>
      </c>
      <c r="Q66">
        <v>154117</v>
      </c>
      <c r="R66" s="2">
        <v>45663</v>
      </c>
      <c r="S66" t="s">
        <v>69</v>
      </c>
      <c r="T66" t="s">
        <v>128</v>
      </c>
      <c r="U66" t="s">
        <v>6384</v>
      </c>
      <c r="V66" t="s">
        <v>6378</v>
      </c>
      <c r="W66" t="s">
        <v>6355</v>
      </c>
      <c r="X66">
        <v>90</v>
      </c>
      <c r="Y66" t="s">
        <v>128</v>
      </c>
      <c r="Z66">
        <v>233</v>
      </c>
    </row>
    <row r="67" spans="1:26" x14ac:dyDescent="0.3">
      <c r="A67">
        <v>66</v>
      </c>
      <c r="B67" t="s">
        <v>211</v>
      </c>
      <c r="C67" t="s">
        <v>72</v>
      </c>
      <c r="D67" t="s">
        <v>135</v>
      </c>
      <c r="E67" t="s">
        <v>6350</v>
      </c>
      <c r="F67" t="s">
        <v>6374</v>
      </c>
      <c r="G67" t="s">
        <v>6394</v>
      </c>
      <c r="H67" t="s">
        <v>6391</v>
      </c>
      <c r="I67" t="s">
        <v>6389</v>
      </c>
      <c r="J67">
        <f>AVERAGE(ai_job_market[[#This Row],[min_salary]],ai_job_market[[#This Row],[max_salary]])</f>
        <v>152621</v>
      </c>
      <c r="K67" t="s">
        <v>6392</v>
      </c>
      <c r="L67" t="s">
        <v>14</v>
      </c>
      <c r="M67" t="s">
        <v>37</v>
      </c>
      <c r="N67" t="s">
        <v>4398</v>
      </c>
      <c r="O67" t="s">
        <v>4399</v>
      </c>
      <c r="P67">
        <v>106117</v>
      </c>
      <c r="Q67">
        <v>199125</v>
      </c>
      <c r="R67" s="2">
        <v>45279</v>
      </c>
      <c r="S67" t="s">
        <v>16</v>
      </c>
      <c r="T67" t="s">
        <v>77</v>
      </c>
      <c r="U67" t="s">
        <v>6383</v>
      </c>
      <c r="W67" t="s">
        <v>6350</v>
      </c>
      <c r="X67">
        <v>84</v>
      </c>
      <c r="Y67" t="s">
        <v>77</v>
      </c>
      <c r="Z67">
        <v>251</v>
      </c>
    </row>
    <row r="68" spans="1:26" x14ac:dyDescent="0.3">
      <c r="A68">
        <v>67</v>
      </c>
      <c r="B68" t="s">
        <v>214</v>
      </c>
      <c r="C68" t="s">
        <v>45</v>
      </c>
      <c r="D68" t="s">
        <v>30</v>
      </c>
      <c r="E68" t="s">
        <v>70</v>
      </c>
      <c r="F68" t="s">
        <v>6378</v>
      </c>
      <c r="G68" t="s">
        <v>6381</v>
      </c>
      <c r="J68">
        <f>AVERAGE(ai_job_market[[#This Row],[min_salary]],ai_job_market[[#This Row],[max_salary]])</f>
        <v>165377</v>
      </c>
      <c r="K68"/>
      <c r="L68" t="s">
        <v>22</v>
      </c>
      <c r="M68" t="s">
        <v>51</v>
      </c>
      <c r="N68" t="s">
        <v>4400</v>
      </c>
      <c r="O68" t="s">
        <v>4401</v>
      </c>
      <c r="P68">
        <v>137229</v>
      </c>
      <c r="Q68">
        <v>193525</v>
      </c>
      <c r="R68" s="2">
        <v>45390</v>
      </c>
      <c r="S68" t="s">
        <v>16</v>
      </c>
      <c r="T68" t="s">
        <v>52</v>
      </c>
      <c r="U68" t="s">
        <v>6383</v>
      </c>
      <c r="W68" t="s">
        <v>70</v>
      </c>
      <c r="X68">
        <v>100</v>
      </c>
      <c r="Y68" t="s">
        <v>52</v>
      </c>
      <c r="Z68">
        <v>238</v>
      </c>
    </row>
    <row r="69" spans="1:26" x14ac:dyDescent="0.3">
      <c r="A69">
        <v>68</v>
      </c>
      <c r="B69" t="s">
        <v>217</v>
      </c>
      <c r="C69" t="s">
        <v>72</v>
      </c>
      <c r="D69" t="s">
        <v>12</v>
      </c>
      <c r="E69" t="s">
        <v>6344</v>
      </c>
      <c r="F69" t="s">
        <v>6397</v>
      </c>
      <c r="G69" t="s">
        <v>6391</v>
      </c>
      <c r="H69" t="s">
        <v>6377</v>
      </c>
      <c r="I69" t="s">
        <v>6385</v>
      </c>
      <c r="J69">
        <f>AVERAGE(ai_job_market[[#This Row],[min_salary]],ai_job_market[[#This Row],[max_salary]])</f>
        <v>47578.5</v>
      </c>
      <c r="K69" t="s">
        <v>6376</v>
      </c>
      <c r="L69" t="s">
        <v>22</v>
      </c>
      <c r="M69" t="s">
        <v>42</v>
      </c>
      <c r="N69" t="s">
        <v>4402</v>
      </c>
      <c r="O69" t="s">
        <v>4403</v>
      </c>
      <c r="P69">
        <v>40995</v>
      </c>
      <c r="Q69">
        <v>54162</v>
      </c>
      <c r="R69" s="2">
        <v>45647</v>
      </c>
      <c r="S69" t="s">
        <v>69</v>
      </c>
      <c r="T69" t="s">
        <v>128</v>
      </c>
      <c r="W69" t="s">
        <v>6344</v>
      </c>
      <c r="X69">
        <v>104</v>
      </c>
      <c r="Y69" t="s">
        <v>128</v>
      </c>
      <c r="Z69">
        <v>233</v>
      </c>
    </row>
    <row r="70" spans="1:26" x14ac:dyDescent="0.3">
      <c r="A70">
        <v>69</v>
      </c>
      <c r="B70" t="s">
        <v>219</v>
      </c>
      <c r="C70" t="s">
        <v>11</v>
      </c>
      <c r="D70" t="s">
        <v>12</v>
      </c>
      <c r="E70" t="s">
        <v>6358</v>
      </c>
      <c r="F70" t="s">
        <v>6386</v>
      </c>
      <c r="G70" t="s">
        <v>6394</v>
      </c>
      <c r="H70" t="s">
        <v>6380</v>
      </c>
      <c r="I70" t="s">
        <v>6389</v>
      </c>
      <c r="J70">
        <f>AVERAGE(ai_job_market[[#This Row],[min_salary]],ai_job_market[[#This Row],[max_salary]])</f>
        <v>161300</v>
      </c>
      <c r="K70"/>
      <c r="L70" t="s">
        <v>14</v>
      </c>
      <c r="M70" t="s">
        <v>15</v>
      </c>
      <c r="N70" t="s">
        <v>4404</v>
      </c>
      <c r="O70" t="s">
        <v>4405</v>
      </c>
      <c r="P70">
        <v>129140</v>
      </c>
      <c r="Q70">
        <v>193460</v>
      </c>
      <c r="R70" s="2">
        <v>45269</v>
      </c>
      <c r="S70" t="s">
        <v>14</v>
      </c>
      <c r="T70" t="s">
        <v>70</v>
      </c>
      <c r="U70" t="s">
        <v>6375</v>
      </c>
      <c r="V70" t="s">
        <v>6389</v>
      </c>
      <c r="W70" t="s">
        <v>6358</v>
      </c>
      <c r="X70">
        <v>96</v>
      </c>
      <c r="Y70" t="s">
        <v>70</v>
      </c>
      <c r="Z70">
        <v>268</v>
      </c>
    </row>
    <row r="71" spans="1:26" x14ac:dyDescent="0.3">
      <c r="A71">
        <v>70</v>
      </c>
      <c r="B71" t="s">
        <v>222</v>
      </c>
      <c r="C71" t="s">
        <v>49</v>
      </c>
      <c r="D71" t="s">
        <v>12</v>
      </c>
      <c r="E71" t="s">
        <v>70</v>
      </c>
      <c r="F71" t="s">
        <v>6375</v>
      </c>
      <c r="G71" t="s">
        <v>6392</v>
      </c>
      <c r="J71">
        <f>AVERAGE(ai_job_market[[#This Row],[min_salary]],ai_job_market[[#This Row],[max_salary]])</f>
        <v>103727.5</v>
      </c>
      <c r="K71"/>
      <c r="L71" t="s">
        <v>14</v>
      </c>
      <c r="M71" t="s">
        <v>15</v>
      </c>
      <c r="N71" t="s">
        <v>4406</v>
      </c>
      <c r="O71" t="s">
        <v>4329</v>
      </c>
      <c r="P71">
        <v>86690</v>
      </c>
      <c r="Q71">
        <v>120765</v>
      </c>
      <c r="R71" s="2">
        <v>45823</v>
      </c>
      <c r="S71" t="s">
        <v>14</v>
      </c>
      <c r="T71" t="s">
        <v>52</v>
      </c>
      <c r="W71" t="s">
        <v>70</v>
      </c>
      <c r="X71">
        <v>100</v>
      </c>
      <c r="Y71" t="s">
        <v>52</v>
      </c>
      <c r="Z71">
        <v>238</v>
      </c>
    </row>
    <row r="72" spans="1:26" x14ac:dyDescent="0.3">
      <c r="A72">
        <v>71</v>
      </c>
      <c r="B72" t="s">
        <v>224</v>
      </c>
      <c r="C72" t="s">
        <v>72</v>
      </c>
      <c r="D72" t="s">
        <v>54</v>
      </c>
      <c r="E72" t="s">
        <v>6356</v>
      </c>
      <c r="F72" t="s">
        <v>6376</v>
      </c>
      <c r="G72" t="s">
        <v>6394</v>
      </c>
      <c r="J72" s="6">
        <f>AVERAGE(ai_job_market[[#This Row],[min_salary]],ai_job_market[[#This Row],[max_salary]])</f>
        <v>117899.5</v>
      </c>
      <c r="K72"/>
      <c r="L72" t="s">
        <v>27</v>
      </c>
      <c r="M72" t="s">
        <v>51</v>
      </c>
      <c r="N72" t="s">
        <v>4407</v>
      </c>
      <c r="O72" t="s">
        <v>4371</v>
      </c>
      <c r="P72" s="5">
        <v>85816</v>
      </c>
      <c r="Q72" s="5">
        <v>149983</v>
      </c>
      <c r="R72" s="2">
        <v>45728</v>
      </c>
      <c r="S72" t="s">
        <v>14</v>
      </c>
      <c r="T72" t="s">
        <v>77</v>
      </c>
      <c r="U72" t="s">
        <v>6375</v>
      </c>
      <c r="W72" t="s">
        <v>6356</v>
      </c>
      <c r="X72">
        <v>86</v>
      </c>
      <c r="Y72" t="s">
        <v>77</v>
      </c>
      <c r="Z72">
        <v>251</v>
      </c>
    </row>
    <row r="73" spans="1:26" x14ac:dyDescent="0.3">
      <c r="A73">
        <v>72</v>
      </c>
      <c r="B73" t="s">
        <v>227</v>
      </c>
      <c r="C73" t="s">
        <v>11</v>
      </c>
      <c r="D73" t="s">
        <v>25</v>
      </c>
      <c r="E73" t="s">
        <v>6357</v>
      </c>
      <c r="F73" t="s">
        <v>6378</v>
      </c>
      <c r="G73" t="s">
        <v>6379</v>
      </c>
      <c r="H73" t="s">
        <v>6376</v>
      </c>
      <c r="I73" t="s">
        <v>6394</v>
      </c>
      <c r="J73" s="6">
        <f>AVERAGE(ai_job_market[[#This Row],[min_salary]],ai_job_market[[#This Row],[max_salary]])</f>
        <v>80347.5</v>
      </c>
      <c r="K73" t="s">
        <v>6384</v>
      </c>
      <c r="L73" t="s">
        <v>22</v>
      </c>
      <c r="M73" t="s">
        <v>42</v>
      </c>
      <c r="N73" t="s">
        <v>4408</v>
      </c>
      <c r="O73" t="s">
        <v>4339</v>
      </c>
      <c r="P73" s="5">
        <v>60805</v>
      </c>
      <c r="Q73" s="5">
        <v>99890</v>
      </c>
      <c r="R73" s="2">
        <v>45334</v>
      </c>
      <c r="S73" t="s">
        <v>69</v>
      </c>
      <c r="T73" t="s">
        <v>77</v>
      </c>
      <c r="U73" t="s">
        <v>6379</v>
      </c>
      <c r="W73" t="s">
        <v>6357</v>
      </c>
      <c r="X73">
        <v>88</v>
      </c>
      <c r="Y73" t="s">
        <v>77</v>
      </c>
      <c r="Z73">
        <v>251</v>
      </c>
    </row>
    <row r="74" spans="1:26" x14ac:dyDescent="0.3">
      <c r="A74">
        <v>73</v>
      </c>
      <c r="B74" t="s">
        <v>230</v>
      </c>
      <c r="C74" t="s">
        <v>49</v>
      </c>
      <c r="D74" t="s">
        <v>12</v>
      </c>
      <c r="E74" t="s">
        <v>6355</v>
      </c>
      <c r="F74" t="s">
        <v>6396</v>
      </c>
      <c r="G74" t="s">
        <v>6384</v>
      </c>
      <c r="J74">
        <f>AVERAGE(ai_job_market[[#This Row],[min_salary]],ai_job_market[[#This Row],[max_salary]])</f>
        <v>128014</v>
      </c>
      <c r="K74"/>
      <c r="L74" t="s">
        <v>22</v>
      </c>
      <c r="M74" t="s">
        <v>42</v>
      </c>
      <c r="N74" t="s">
        <v>4409</v>
      </c>
      <c r="O74" t="s">
        <v>4410</v>
      </c>
      <c r="P74">
        <v>118377</v>
      </c>
      <c r="Q74">
        <v>137651</v>
      </c>
      <c r="R74" s="2">
        <v>45779</v>
      </c>
      <c r="S74" t="s">
        <v>16</v>
      </c>
      <c r="T74" t="s">
        <v>128</v>
      </c>
      <c r="U74" t="s">
        <v>6388</v>
      </c>
      <c r="V74" t="s">
        <v>6376</v>
      </c>
      <c r="W74" t="s">
        <v>6355</v>
      </c>
      <c r="X74">
        <v>90</v>
      </c>
      <c r="Y74" t="s">
        <v>128</v>
      </c>
      <c r="Z74">
        <v>233</v>
      </c>
    </row>
    <row r="75" spans="1:26" x14ac:dyDescent="0.3">
      <c r="A75">
        <v>74</v>
      </c>
      <c r="B75" t="s">
        <v>233</v>
      </c>
      <c r="C75" t="s">
        <v>45</v>
      </c>
      <c r="D75" t="s">
        <v>67</v>
      </c>
      <c r="E75" t="s">
        <v>6350</v>
      </c>
      <c r="F75" t="s">
        <v>6389</v>
      </c>
      <c r="G75" t="s">
        <v>6380</v>
      </c>
      <c r="H75" t="s">
        <v>6393</v>
      </c>
      <c r="J75">
        <f>AVERAGE(ai_job_market[[#This Row],[min_salary]],ai_job_market[[#This Row],[max_salary]])</f>
        <v>128355</v>
      </c>
      <c r="K75"/>
      <c r="L75" t="s">
        <v>14</v>
      </c>
      <c r="M75" t="s">
        <v>51</v>
      </c>
      <c r="N75" t="s">
        <v>4411</v>
      </c>
      <c r="O75" t="s">
        <v>4380</v>
      </c>
      <c r="P75">
        <v>81382</v>
      </c>
      <c r="Q75">
        <v>175328</v>
      </c>
      <c r="R75" s="2">
        <v>45258</v>
      </c>
      <c r="S75" t="s">
        <v>16</v>
      </c>
      <c r="T75" t="s">
        <v>90</v>
      </c>
      <c r="U75" t="s">
        <v>6375</v>
      </c>
      <c r="W75" t="s">
        <v>6350</v>
      </c>
      <c r="X75">
        <v>84</v>
      </c>
      <c r="Y75" t="s">
        <v>90</v>
      </c>
      <c r="Z75">
        <v>259</v>
      </c>
    </row>
    <row r="76" spans="1:26" x14ac:dyDescent="0.3">
      <c r="A76">
        <v>75</v>
      </c>
      <c r="B76" t="s">
        <v>236</v>
      </c>
      <c r="C76" t="s">
        <v>45</v>
      </c>
      <c r="D76" t="s">
        <v>54</v>
      </c>
      <c r="E76" t="s">
        <v>90</v>
      </c>
      <c r="F76" t="s">
        <v>6394</v>
      </c>
      <c r="G76" t="s">
        <v>6387</v>
      </c>
      <c r="H76" t="s">
        <v>6385</v>
      </c>
      <c r="I76" t="s">
        <v>6375</v>
      </c>
      <c r="J76">
        <f>AVERAGE(ai_job_market[[#This Row],[min_salary]],ai_job_market[[#This Row],[max_salary]])</f>
        <v>171045.5</v>
      </c>
      <c r="K76"/>
      <c r="L76" t="s">
        <v>22</v>
      </c>
      <c r="M76" t="s">
        <v>42</v>
      </c>
      <c r="N76" t="s">
        <v>4412</v>
      </c>
      <c r="O76" t="s">
        <v>4293</v>
      </c>
      <c r="P76">
        <v>132555</v>
      </c>
      <c r="Q76">
        <v>209536</v>
      </c>
      <c r="R76" s="2">
        <v>45909</v>
      </c>
      <c r="S76" t="s">
        <v>69</v>
      </c>
      <c r="T76" t="s">
        <v>157</v>
      </c>
      <c r="W76" t="s">
        <v>90</v>
      </c>
      <c r="X76">
        <v>80</v>
      </c>
      <c r="Y76" t="s">
        <v>157</v>
      </c>
      <c r="Z76">
        <v>247</v>
      </c>
    </row>
    <row r="77" spans="1:26" x14ac:dyDescent="0.3">
      <c r="A77">
        <v>76</v>
      </c>
      <c r="B77" t="s">
        <v>238</v>
      </c>
      <c r="C77" t="s">
        <v>45</v>
      </c>
      <c r="D77" t="s">
        <v>135</v>
      </c>
      <c r="E77" t="s">
        <v>6353</v>
      </c>
      <c r="F77" t="s">
        <v>6397</v>
      </c>
      <c r="G77" t="s">
        <v>6392</v>
      </c>
      <c r="J77">
        <f>AVERAGE(ai_job_market[[#This Row],[min_salary]],ai_job_market[[#This Row],[max_salary]])</f>
        <v>70476.5</v>
      </c>
      <c r="K77"/>
      <c r="L77" t="s">
        <v>14</v>
      </c>
      <c r="M77" t="s">
        <v>37</v>
      </c>
      <c r="N77" t="s">
        <v>4413</v>
      </c>
      <c r="O77" t="s">
        <v>4414</v>
      </c>
      <c r="P77">
        <v>54185</v>
      </c>
      <c r="Q77">
        <v>86768</v>
      </c>
      <c r="R77" s="2">
        <v>45266</v>
      </c>
      <c r="S77" t="s">
        <v>14</v>
      </c>
      <c r="T77" t="s">
        <v>77</v>
      </c>
      <c r="U77" t="s">
        <v>6384</v>
      </c>
      <c r="V77" t="s">
        <v>6375</v>
      </c>
      <c r="W77" t="s">
        <v>6353</v>
      </c>
      <c r="X77">
        <v>86</v>
      </c>
      <c r="Y77" t="s">
        <v>77</v>
      </c>
      <c r="Z77">
        <v>251</v>
      </c>
    </row>
    <row r="78" spans="1:26" x14ac:dyDescent="0.3">
      <c r="A78">
        <v>77</v>
      </c>
      <c r="B78" t="s">
        <v>241</v>
      </c>
      <c r="C78" t="s">
        <v>40</v>
      </c>
      <c r="D78" t="s">
        <v>135</v>
      </c>
      <c r="E78" t="s">
        <v>77</v>
      </c>
      <c r="F78" t="s">
        <v>6393</v>
      </c>
      <c r="G78" t="s">
        <v>6375</v>
      </c>
      <c r="J78" s="6">
        <f>AVERAGE(ai_job_market[[#This Row],[min_salary]],ai_job_market[[#This Row],[max_salary]])</f>
        <v>141625</v>
      </c>
      <c r="K78"/>
      <c r="L78" t="s">
        <v>14</v>
      </c>
      <c r="M78" t="s">
        <v>51</v>
      </c>
      <c r="N78" t="s">
        <v>4415</v>
      </c>
      <c r="O78" t="s">
        <v>4416</v>
      </c>
      <c r="P78" s="5">
        <v>101020</v>
      </c>
      <c r="Q78" s="5">
        <v>182230</v>
      </c>
      <c r="R78" s="2">
        <v>45841</v>
      </c>
      <c r="S78" t="s">
        <v>69</v>
      </c>
      <c r="T78" t="s">
        <v>128</v>
      </c>
      <c r="W78" t="s">
        <v>77</v>
      </c>
      <c r="X78">
        <v>111</v>
      </c>
      <c r="Y78" t="s">
        <v>128</v>
      </c>
      <c r="Z78">
        <v>233</v>
      </c>
    </row>
    <row r="79" spans="1:26" x14ac:dyDescent="0.3">
      <c r="A79">
        <v>78</v>
      </c>
      <c r="B79" t="s">
        <v>243</v>
      </c>
      <c r="C79" t="s">
        <v>40</v>
      </c>
      <c r="D79" t="s">
        <v>67</v>
      </c>
      <c r="E79" t="s">
        <v>6348</v>
      </c>
      <c r="F79" t="s">
        <v>6392</v>
      </c>
      <c r="G79" t="s">
        <v>6378</v>
      </c>
      <c r="H79" t="s">
        <v>6374</v>
      </c>
      <c r="J79" s="6">
        <f>AVERAGE(ai_job_market[[#This Row],[min_salary]],ai_job_market[[#This Row],[max_salary]])</f>
        <v>59075</v>
      </c>
      <c r="K79"/>
      <c r="L79" t="s">
        <v>14</v>
      </c>
      <c r="M79" t="s">
        <v>51</v>
      </c>
      <c r="N79" t="s">
        <v>4417</v>
      </c>
      <c r="O79" t="s">
        <v>4418</v>
      </c>
      <c r="P79" s="5">
        <v>49529</v>
      </c>
      <c r="Q79" s="5">
        <v>68621</v>
      </c>
      <c r="R79" s="2">
        <v>45343</v>
      </c>
      <c r="S79" t="s">
        <v>69</v>
      </c>
      <c r="T79" t="s">
        <v>70</v>
      </c>
      <c r="U79" t="s">
        <v>6375</v>
      </c>
      <c r="V79" t="s">
        <v>6376</v>
      </c>
      <c r="W79" t="s">
        <v>6348</v>
      </c>
      <c r="X79">
        <v>78</v>
      </c>
      <c r="Y79" t="s">
        <v>70</v>
      </c>
      <c r="Z79">
        <v>268</v>
      </c>
    </row>
    <row r="80" spans="1:26" x14ac:dyDescent="0.3">
      <c r="A80">
        <v>79</v>
      </c>
      <c r="B80" t="s">
        <v>246</v>
      </c>
      <c r="C80" t="s">
        <v>19</v>
      </c>
      <c r="D80" t="s">
        <v>25</v>
      </c>
      <c r="E80" t="s">
        <v>6359</v>
      </c>
      <c r="F80" t="s">
        <v>6392</v>
      </c>
      <c r="G80" t="s">
        <v>6394</v>
      </c>
      <c r="H80" t="s">
        <v>6379</v>
      </c>
      <c r="J80">
        <f>AVERAGE(ai_job_market[[#This Row],[min_salary]],ai_job_market[[#This Row],[max_salary]])</f>
        <v>96143</v>
      </c>
      <c r="K80"/>
      <c r="L80" t="s">
        <v>27</v>
      </c>
      <c r="M80" t="s">
        <v>37</v>
      </c>
      <c r="N80" t="s">
        <v>4419</v>
      </c>
      <c r="O80" t="s">
        <v>4420</v>
      </c>
      <c r="P80">
        <v>88756</v>
      </c>
      <c r="Q80">
        <v>103530</v>
      </c>
      <c r="R80" s="2">
        <v>45577</v>
      </c>
      <c r="S80" t="s">
        <v>69</v>
      </c>
      <c r="T80" t="s">
        <v>70</v>
      </c>
      <c r="W80" t="s">
        <v>6359</v>
      </c>
      <c r="X80">
        <v>104</v>
      </c>
      <c r="Y80" t="s">
        <v>70</v>
      </c>
      <c r="Z80">
        <v>268</v>
      </c>
    </row>
    <row r="81" spans="1:26" x14ac:dyDescent="0.3">
      <c r="A81">
        <v>80</v>
      </c>
      <c r="B81" t="s">
        <v>248</v>
      </c>
      <c r="C81" t="s">
        <v>11</v>
      </c>
      <c r="D81" t="s">
        <v>54</v>
      </c>
      <c r="E81" t="s">
        <v>6352</v>
      </c>
      <c r="F81" t="s">
        <v>6384</v>
      </c>
      <c r="G81" t="s">
        <v>6392</v>
      </c>
      <c r="H81" t="s">
        <v>6395</v>
      </c>
      <c r="J81">
        <f>AVERAGE(ai_job_market[[#This Row],[min_salary]],ai_job_market[[#This Row],[max_salary]])</f>
        <v>151712</v>
      </c>
      <c r="K81"/>
      <c r="L81" t="s">
        <v>22</v>
      </c>
      <c r="M81" t="s">
        <v>51</v>
      </c>
      <c r="N81" t="s">
        <v>4421</v>
      </c>
      <c r="O81" t="s">
        <v>4422</v>
      </c>
      <c r="P81">
        <v>108574</v>
      </c>
      <c r="Q81">
        <v>194850</v>
      </c>
      <c r="R81" s="2">
        <v>45677</v>
      </c>
      <c r="S81" t="s">
        <v>16</v>
      </c>
      <c r="T81" t="s">
        <v>157</v>
      </c>
      <c r="W81" t="s">
        <v>6352</v>
      </c>
      <c r="X81">
        <v>97</v>
      </c>
      <c r="Y81" t="s">
        <v>157</v>
      </c>
      <c r="Z81">
        <v>247</v>
      </c>
    </row>
    <row r="82" spans="1:26" x14ac:dyDescent="0.3">
      <c r="A82">
        <v>81</v>
      </c>
      <c r="B82" t="s">
        <v>250</v>
      </c>
      <c r="C82" t="s">
        <v>49</v>
      </c>
      <c r="D82" t="s">
        <v>135</v>
      </c>
      <c r="E82" t="s">
        <v>6359</v>
      </c>
      <c r="F82" t="s">
        <v>6397</v>
      </c>
      <c r="G82" t="s">
        <v>6382</v>
      </c>
      <c r="H82" t="s">
        <v>6384</v>
      </c>
      <c r="J82">
        <f>AVERAGE(ai_job_market[[#This Row],[min_salary]],ai_job_market[[#This Row],[max_salary]])</f>
        <v>138886</v>
      </c>
      <c r="K82"/>
      <c r="L82" t="s">
        <v>14</v>
      </c>
      <c r="M82" t="s">
        <v>51</v>
      </c>
      <c r="N82" t="s">
        <v>4423</v>
      </c>
      <c r="O82" t="s">
        <v>4424</v>
      </c>
      <c r="P82">
        <v>111184</v>
      </c>
      <c r="Q82">
        <v>166588</v>
      </c>
      <c r="R82" s="2">
        <v>45872</v>
      </c>
      <c r="S82" t="s">
        <v>16</v>
      </c>
      <c r="T82" t="s">
        <v>101</v>
      </c>
      <c r="U82" t="s">
        <v>6389</v>
      </c>
      <c r="V82" t="s">
        <v>6375</v>
      </c>
      <c r="W82" t="s">
        <v>6359</v>
      </c>
      <c r="X82">
        <v>104</v>
      </c>
      <c r="Y82" t="s">
        <v>101</v>
      </c>
      <c r="Z82">
        <v>255</v>
      </c>
    </row>
    <row r="83" spans="1:26" x14ac:dyDescent="0.3">
      <c r="A83">
        <v>82</v>
      </c>
      <c r="B83" t="s">
        <v>253</v>
      </c>
      <c r="C83" t="s">
        <v>34</v>
      </c>
      <c r="D83" t="s">
        <v>12</v>
      </c>
      <c r="E83" t="s">
        <v>6353</v>
      </c>
      <c r="F83" t="s">
        <v>6385</v>
      </c>
      <c r="G83" t="s">
        <v>6377</v>
      </c>
      <c r="H83" t="s">
        <v>6393</v>
      </c>
      <c r="I83" t="s">
        <v>6379</v>
      </c>
      <c r="J83">
        <f>AVERAGE(ai_job_market[[#This Row],[min_salary]],ai_job_market[[#This Row],[max_salary]])</f>
        <v>165480.5</v>
      </c>
      <c r="K83" t="s">
        <v>6384</v>
      </c>
      <c r="L83" t="s">
        <v>27</v>
      </c>
      <c r="M83" t="s">
        <v>15</v>
      </c>
      <c r="N83" t="s">
        <v>4425</v>
      </c>
      <c r="O83" t="s">
        <v>4307</v>
      </c>
      <c r="P83">
        <v>120456</v>
      </c>
      <c r="Q83">
        <v>210505</v>
      </c>
      <c r="R83" s="2">
        <v>45305</v>
      </c>
      <c r="S83" t="s">
        <v>16</v>
      </c>
      <c r="T83" t="s">
        <v>128</v>
      </c>
      <c r="U83" t="s">
        <v>6376</v>
      </c>
      <c r="V83" t="s">
        <v>6388</v>
      </c>
      <c r="W83" t="s">
        <v>6353</v>
      </c>
      <c r="X83">
        <v>86</v>
      </c>
      <c r="Y83" t="s">
        <v>128</v>
      </c>
      <c r="Z83">
        <v>233</v>
      </c>
    </row>
    <row r="84" spans="1:26" x14ac:dyDescent="0.3">
      <c r="A84">
        <v>83</v>
      </c>
      <c r="B84" t="s">
        <v>256</v>
      </c>
      <c r="C84" t="s">
        <v>34</v>
      </c>
      <c r="D84" t="s">
        <v>30</v>
      </c>
      <c r="E84" t="s">
        <v>6356</v>
      </c>
      <c r="F84" t="s">
        <v>6391</v>
      </c>
      <c r="G84" t="s">
        <v>6385</v>
      </c>
      <c r="H84" t="s">
        <v>6396</v>
      </c>
      <c r="J84">
        <f>AVERAGE(ai_job_market[[#This Row],[min_salary]],ai_job_market[[#This Row],[max_salary]])</f>
        <v>105674</v>
      </c>
      <c r="K84"/>
      <c r="L84" t="s">
        <v>27</v>
      </c>
      <c r="M84" t="s">
        <v>51</v>
      </c>
      <c r="N84" t="s">
        <v>4426</v>
      </c>
      <c r="O84" t="s">
        <v>4427</v>
      </c>
      <c r="P84">
        <v>86740</v>
      </c>
      <c r="Q84">
        <v>124608</v>
      </c>
      <c r="R84" s="2">
        <v>45917</v>
      </c>
      <c r="S84" t="s">
        <v>14</v>
      </c>
      <c r="T84" t="s">
        <v>90</v>
      </c>
      <c r="W84" t="s">
        <v>6356</v>
      </c>
      <c r="X84">
        <v>86</v>
      </c>
      <c r="Y84" t="s">
        <v>90</v>
      </c>
      <c r="Z84">
        <v>259</v>
      </c>
    </row>
    <row r="85" spans="1:26" x14ac:dyDescent="0.3">
      <c r="A85">
        <v>84</v>
      </c>
      <c r="B85" t="s">
        <v>258</v>
      </c>
      <c r="C85" t="s">
        <v>49</v>
      </c>
      <c r="D85" t="s">
        <v>12</v>
      </c>
      <c r="E85" t="s">
        <v>90</v>
      </c>
      <c r="F85" t="s">
        <v>6393</v>
      </c>
      <c r="G85" t="s">
        <v>6397</v>
      </c>
      <c r="H85" t="s">
        <v>6376</v>
      </c>
      <c r="J85">
        <f>AVERAGE(ai_job_market[[#This Row],[min_salary]],ai_job_market[[#This Row],[max_salary]])</f>
        <v>100062</v>
      </c>
      <c r="K85"/>
      <c r="L85" t="s">
        <v>27</v>
      </c>
      <c r="M85" t="s">
        <v>15</v>
      </c>
      <c r="N85" t="s">
        <v>4428</v>
      </c>
      <c r="O85" t="s">
        <v>4429</v>
      </c>
      <c r="P85">
        <v>78116</v>
      </c>
      <c r="Q85">
        <v>122008</v>
      </c>
      <c r="R85" s="2">
        <v>45772</v>
      </c>
      <c r="S85" t="s">
        <v>14</v>
      </c>
      <c r="T85" t="s">
        <v>90</v>
      </c>
      <c r="U85" t="s">
        <v>6379</v>
      </c>
      <c r="V85" t="s">
        <v>6383</v>
      </c>
      <c r="W85" t="s">
        <v>90</v>
      </c>
      <c r="X85">
        <v>80</v>
      </c>
      <c r="Y85" t="s">
        <v>90</v>
      </c>
      <c r="Z85">
        <v>259</v>
      </c>
    </row>
    <row r="86" spans="1:26" x14ac:dyDescent="0.3">
      <c r="A86">
        <v>85</v>
      </c>
      <c r="B86" t="s">
        <v>261</v>
      </c>
      <c r="C86" t="s">
        <v>40</v>
      </c>
      <c r="D86" t="s">
        <v>20</v>
      </c>
      <c r="E86" t="s">
        <v>77</v>
      </c>
      <c r="F86" t="s">
        <v>6381</v>
      </c>
      <c r="G86" t="s">
        <v>6392</v>
      </c>
      <c r="H86" t="s">
        <v>6380</v>
      </c>
      <c r="I86" t="s">
        <v>6385</v>
      </c>
      <c r="J86">
        <f>AVERAGE(ai_job_market[[#This Row],[min_salary]],ai_job_market[[#This Row],[max_salary]])</f>
        <v>59119.5</v>
      </c>
      <c r="K86" t="s">
        <v>6376</v>
      </c>
      <c r="L86" t="s">
        <v>14</v>
      </c>
      <c r="M86" t="s">
        <v>37</v>
      </c>
      <c r="N86" t="s">
        <v>4430</v>
      </c>
      <c r="O86" t="s">
        <v>4295</v>
      </c>
      <c r="P86">
        <v>42962</v>
      </c>
      <c r="Q86">
        <v>75277</v>
      </c>
      <c r="R86" s="2">
        <v>45597</v>
      </c>
      <c r="S86" t="s">
        <v>69</v>
      </c>
      <c r="T86" t="s">
        <v>77</v>
      </c>
      <c r="U86" t="s">
        <v>6379</v>
      </c>
      <c r="W86" t="s">
        <v>77</v>
      </c>
      <c r="X86">
        <v>111</v>
      </c>
      <c r="Y86" t="s">
        <v>77</v>
      </c>
      <c r="Z86">
        <v>251</v>
      </c>
    </row>
    <row r="87" spans="1:26" x14ac:dyDescent="0.3">
      <c r="A87">
        <v>86</v>
      </c>
      <c r="B87" t="s">
        <v>263</v>
      </c>
      <c r="C87" t="s">
        <v>19</v>
      </c>
      <c r="D87" t="s">
        <v>12</v>
      </c>
      <c r="E87" t="s">
        <v>70</v>
      </c>
      <c r="F87" t="s">
        <v>6378</v>
      </c>
      <c r="G87" t="s">
        <v>6375</v>
      </c>
      <c r="H87" t="s">
        <v>6380</v>
      </c>
      <c r="I87" t="s">
        <v>6386</v>
      </c>
      <c r="J87">
        <f>AVERAGE(ai_job_market[[#This Row],[min_salary]],ai_job_market[[#This Row],[max_salary]])</f>
        <v>58237</v>
      </c>
      <c r="K87"/>
      <c r="L87" t="s">
        <v>22</v>
      </c>
      <c r="M87" t="s">
        <v>15</v>
      </c>
      <c r="N87" t="s">
        <v>4431</v>
      </c>
      <c r="O87" t="s">
        <v>4351</v>
      </c>
      <c r="P87">
        <v>51640</v>
      </c>
      <c r="Q87">
        <v>64834</v>
      </c>
      <c r="R87" s="2">
        <v>45372</v>
      </c>
      <c r="S87" t="s">
        <v>16</v>
      </c>
      <c r="T87" t="s">
        <v>52</v>
      </c>
      <c r="U87" t="s">
        <v>6376</v>
      </c>
      <c r="V87" t="s">
        <v>6389</v>
      </c>
      <c r="W87" t="s">
        <v>70</v>
      </c>
      <c r="X87">
        <v>100</v>
      </c>
      <c r="Y87" t="s">
        <v>52</v>
      </c>
      <c r="Z87">
        <v>238</v>
      </c>
    </row>
    <row r="88" spans="1:26" x14ac:dyDescent="0.3">
      <c r="A88">
        <v>87</v>
      </c>
      <c r="B88" t="s">
        <v>266</v>
      </c>
      <c r="C88" t="s">
        <v>49</v>
      </c>
      <c r="D88" t="s">
        <v>25</v>
      </c>
      <c r="E88" t="s">
        <v>6350</v>
      </c>
      <c r="F88" t="s">
        <v>6395</v>
      </c>
      <c r="G88" t="s">
        <v>6394</v>
      </c>
      <c r="J88" s="6">
        <f>AVERAGE(ai_job_market[[#This Row],[min_salary]],ai_job_market[[#This Row],[max_salary]])</f>
        <v>132595.5</v>
      </c>
      <c r="K88"/>
      <c r="L88" t="s">
        <v>14</v>
      </c>
      <c r="M88" t="s">
        <v>37</v>
      </c>
      <c r="N88" t="s">
        <v>4432</v>
      </c>
      <c r="O88" t="s">
        <v>4433</v>
      </c>
      <c r="P88" s="5">
        <v>98118</v>
      </c>
      <c r="Q88" s="5">
        <v>167073</v>
      </c>
      <c r="R88" s="2">
        <v>45545</v>
      </c>
      <c r="S88" t="s">
        <v>16</v>
      </c>
      <c r="T88" t="s">
        <v>70</v>
      </c>
      <c r="U88" t="s">
        <v>6388</v>
      </c>
      <c r="W88" t="s">
        <v>6350</v>
      </c>
      <c r="X88">
        <v>84</v>
      </c>
      <c r="Y88" t="s">
        <v>70</v>
      </c>
      <c r="Z88">
        <v>268</v>
      </c>
    </row>
    <row r="89" spans="1:26" x14ac:dyDescent="0.3">
      <c r="A89">
        <v>88</v>
      </c>
      <c r="B89" t="s">
        <v>269</v>
      </c>
      <c r="C89" t="s">
        <v>34</v>
      </c>
      <c r="D89" t="s">
        <v>25</v>
      </c>
      <c r="E89" t="s">
        <v>77</v>
      </c>
      <c r="F89" t="s">
        <v>6376</v>
      </c>
      <c r="G89" t="s">
        <v>6379</v>
      </c>
      <c r="J89">
        <f>AVERAGE(ai_job_market[[#This Row],[min_salary]],ai_job_market[[#This Row],[max_salary]])</f>
        <v>181715</v>
      </c>
      <c r="K89"/>
      <c r="L89" t="s">
        <v>14</v>
      </c>
      <c r="M89" t="s">
        <v>51</v>
      </c>
      <c r="N89" t="s">
        <v>4434</v>
      </c>
      <c r="O89" t="s">
        <v>4435</v>
      </c>
      <c r="P89">
        <v>140819</v>
      </c>
      <c r="Q89">
        <v>222611</v>
      </c>
      <c r="R89" s="2">
        <v>45246</v>
      </c>
      <c r="S89" t="s">
        <v>14</v>
      </c>
      <c r="T89" t="s">
        <v>70</v>
      </c>
      <c r="U89" t="s">
        <v>6389</v>
      </c>
      <c r="W89" t="s">
        <v>77</v>
      </c>
      <c r="X89">
        <v>111</v>
      </c>
      <c r="Y89" t="s">
        <v>70</v>
      </c>
      <c r="Z89">
        <v>268</v>
      </c>
    </row>
    <row r="90" spans="1:26" x14ac:dyDescent="0.3">
      <c r="A90">
        <v>89</v>
      </c>
      <c r="B90" t="s">
        <v>271</v>
      </c>
      <c r="C90" t="s">
        <v>34</v>
      </c>
      <c r="D90" t="s">
        <v>135</v>
      </c>
      <c r="E90" t="s">
        <v>6356</v>
      </c>
      <c r="F90" t="s">
        <v>6397</v>
      </c>
      <c r="G90" t="s">
        <v>6395</v>
      </c>
      <c r="H90" t="s">
        <v>6380</v>
      </c>
      <c r="J90">
        <f>AVERAGE(ai_job_market[[#This Row],[min_salary]],ai_job_market[[#This Row],[max_salary]])</f>
        <v>105000.5</v>
      </c>
      <c r="K90"/>
      <c r="L90" t="s">
        <v>27</v>
      </c>
      <c r="M90" t="s">
        <v>51</v>
      </c>
      <c r="N90" t="s">
        <v>4436</v>
      </c>
      <c r="O90" t="s">
        <v>4437</v>
      </c>
      <c r="P90">
        <v>82496</v>
      </c>
      <c r="Q90">
        <v>127505</v>
      </c>
      <c r="R90" s="2">
        <v>45739</v>
      </c>
      <c r="S90" t="s">
        <v>69</v>
      </c>
      <c r="T90" t="s">
        <v>77</v>
      </c>
      <c r="U90" t="s">
        <v>6379</v>
      </c>
      <c r="V90" t="s">
        <v>6388</v>
      </c>
      <c r="W90" t="s">
        <v>6356</v>
      </c>
      <c r="X90">
        <v>86</v>
      </c>
      <c r="Y90" t="s">
        <v>77</v>
      </c>
      <c r="Z90">
        <v>251</v>
      </c>
    </row>
    <row r="91" spans="1:26" x14ac:dyDescent="0.3">
      <c r="A91">
        <v>90</v>
      </c>
      <c r="B91" t="s">
        <v>274</v>
      </c>
      <c r="C91" t="s">
        <v>34</v>
      </c>
      <c r="D91" t="s">
        <v>135</v>
      </c>
      <c r="E91" t="s">
        <v>6347</v>
      </c>
      <c r="F91" t="s">
        <v>6381</v>
      </c>
      <c r="G91" t="s">
        <v>6385</v>
      </c>
      <c r="H91" t="s">
        <v>6378</v>
      </c>
      <c r="J91">
        <f>AVERAGE(ai_job_market[[#This Row],[min_salary]],ai_job_market[[#This Row],[max_salary]])</f>
        <v>149552</v>
      </c>
      <c r="K91"/>
      <c r="L91" t="s">
        <v>27</v>
      </c>
      <c r="M91" t="s">
        <v>51</v>
      </c>
      <c r="N91" t="s">
        <v>4438</v>
      </c>
      <c r="O91" t="s">
        <v>4439</v>
      </c>
      <c r="P91">
        <v>124249</v>
      </c>
      <c r="Q91">
        <v>174855</v>
      </c>
      <c r="R91" s="2">
        <v>45216</v>
      </c>
      <c r="S91" t="s">
        <v>69</v>
      </c>
      <c r="T91" t="s">
        <v>157</v>
      </c>
      <c r="U91" t="s">
        <v>6379</v>
      </c>
      <c r="W91" t="s">
        <v>6347</v>
      </c>
      <c r="X91">
        <v>94</v>
      </c>
      <c r="Y91" t="s">
        <v>157</v>
      </c>
      <c r="Z91">
        <v>247</v>
      </c>
    </row>
    <row r="92" spans="1:26" x14ac:dyDescent="0.3">
      <c r="A92">
        <v>91</v>
      </c>
      <c r="B92" t="s">
        <v>276</v>
      </c>
      <c r="C92" t="s">
        <v>45</v>
      </c>
      <c r="D92" t="s">
        <v>67</v>
      </c>
      <c r="E92" t="s">
        <v>80</v>
      </c>
      <c r="F92" t="s">
        <v>6395</v>
      </c>
      <c r="G92" t="s">
        <v>6378</v>
      </c>
      <c r="H92" t="s">
        <v>6379</v>
      </c>
      <c r="I92" t="s">
        <v>6376</v>
      </c>
      <c r="J92" s="6">
        <f>AVERAGE(ai_job_market[[#This Row],[min_salary]],ai_job_market[[#This Row],[max_salary]])</f>
        <v>113658</v>
      </c>
      <c r="K92" t="s">
        <v>6397</v>
      </c>
      <c r="L92" t="s">
        <v>14</v>
      </c>
      <c r="M92" t="s">
        <v>37</v>
      </c>
      <c r="N92" t="s">
        <v>4440</v>
      </c>
      <c r="O92" t="s">
        <v>4353</v>
      </c>
      <c r="P92" s="5">
        <v>81426</v>
      </c>
      <c r="Q92" s="5">
        <v>145890</v>
      </c>
      <c r="R92" s="2">
        <v>45218</v>
      </c>
      <c r="S92" t="s">
        <v>14</v>
      </c>
      <c r="T92" t="s">
        <v>52</v>
      </c>
      <c r="U92" t="s">
        <v>6383</v>
      </c>
      <c r="V92" t="s">
        <v>6379</v>
      </c>
      <c r="W92" t="s">
        <v>80</v>
      </c>
      <c r="X92">
        <v>95</v>
      </c>
      <c r="Y92" t="s">
        <v>52</v>
      </c>
      <c r="Z92">
        <v>238</v>
      </c>
    </row>
    <row r="93" spans="1:26" x14ac:dyDescent="0.3">
      <c r="A93">
        <v>92</v>
      </c>
      <c r="B93" t="s">
        <v>279</v>
      </c>
      <c r="C93" t="s">
        <v>19</v>
      </c>
      <c r="D93" t="s">
        <v>35</v>
      </c>
      <c r="E93" t="s">
        <v>6346</v>
      </c>
      <c r="F93" t="s">
        <v>6379</v>
      </c>
      <c r="G93" t="s">
        <v>6390</v>
      </c>
      <c r="J93" s="6">
        <f>AVERAGE(ai_job_market[[#This Row],[min_salary]],ai_job_market[[#This Row],[max_salary]])</f>
        <v>90754.5</v>
      </c>
      <c r="K93"/>
      <c r="L93" t="s">
        <v>27</v>
      </c>
      <c r="M93" t="s">
        <v>51</v>
      </c>
      <c r="N93" t="s">
        <v>4441</v>
      </c>
      <c r="O93" t="s">
        <v>4442</v>
      </c>
      <c r="P93" s="5">
        <v>51104</v>
      </c>
      <c r="Q93" s="5">
        <v>130405</v>
      </c>
      <c r="R93" s="2">
        <v>45737</v>
      </c>
      <c r="S93" t="s">
        <v>16</v>
      </c>
      <c r="T93" t="s">
        <v>70</v>
      </c>
      <c r="U93" t="s">
        <v>6378</v>
      </c>
      <c r="V93" t="s">
        <v>6376</v>
      </c>
      <c r="W93" t="s">
        <v>6346</v>
      </c>
      <c r="X93">
        <v>78</v>
      </c>
      <c r="Y93" t="s">
        <v>70</v>
      </c>
      <c r="Z93">
        <v>268</v>
      </c>
    </row>
    <row r="94" spans="1:26" x14ac:dyDescent="0.3">
      <c r="A94">
        <v>93</v>
      </c>
      <c r="B94" t="s">
        <v>282</v>
      </c>
      <c r="C94" t="s">
        <v>34</v>
      </c>
      <c r="D94" t="s">
        <v>67</v>
      </c>
      <c r="E94" t="s">
        <v>6345</v>
      </c>
      <c r="F94" t="s">
        <v>6384</v>
      </c>
      <c r="G94" t="s">
        <v>6382</v>
      </c>
      <c r="H94" t="s">
        <v>6380</v>
      </c>
      <c r="J94">
        <f>AVERAGE(ai_job_market[[#This Row],[min_salary]],ai_job_market[[#This Row],[max_salary]])</f>
        <v>149429.5</v>
      </c>
      <c r="K94"/>
      <c r="L94" t="s">
        <v>27</v>
      </c>
      <c r="M94" t="s">
        <v>42</v>
      </c>
      <c r="N94" t="s">
        <v>4443</v>
      </c>
      <c r="O94" t="s">
        <v>4444</v>
      </c>
      <c r="P94">
        <v>143177</v>
      </c>
      <c r="Q94">
        <v>155682</v>
      </c>
      <c r="R94" s="2">
        <v>45895</v>
      </c>
      <c r="S94" t="s">
        <v>69</v>
      </c>
      <c r="T94" t="s">
        <v>90</v>
      </c>
      <c r="U94" t="s">
        <v>6378</v>
      </c>
      <c r="V94" t="s">
        <v>6384</v>
      </c>
      <c r="W94" t="s">
        <v>6345</v>
      </c>
      <c r="X94">
        <v>101</v>
      </c>
      <c r="Y94" t="s">
        <v>90</v>
      </c>
      <c r="Z94">
        <v>259</v>
      </c>
    </row>
    <row r="95" spans="1:26" x14ac:dyDescent="0.3">
      <c r="A95">
        <v>94</v>
      </c>
      <c r="B95" t="s">
        <v>285</v>
      </c>
      <c r="C95" t="s">
        <v>49</v>
      </c>
      <c r="D95" t="s">
        <v>67</v>
      </c>
      <c r="E95" t="s">
        <v>77</v>
      </c>
      <c r="F95" t="s">
        <v>6375</v>
      </c>
      <c r="G95" t="s">
        <v>6380</v>
      </c>
      <c r="H95" t="s">
        <v>6392</v>
      </c>
      <c r="I95" t="s">
        <v>6376</v>
      </c>
      <c r="J95">
        <f>AVERAGE(ai_job_market[[#This Row],[min_salary]],ai_job_market[[#This Row],[max_salary]])</f>
        <v>151115</v>
      </c>
      <c r="K95"/>
      <c r="L95" t="s">
        <v>14</v>
      </c>
      <c r="M95" t="s">
        <v>42</v>
      </c>
      <c r="N95" t="s">
        <v>4445</v>
      </c>
      <c r="O95" t="s">
        <v>4446</v>
      </c>
      <c r="P95">
        <v>139393</v>
      </c>
      <c r="Q95">
        <v>162837</v>
      </c>
      <c r="R95" s="2">
        <v>45851</v>
      </c>
      <c r="S95" t="s">
        <v>16</v>
      </c>
      <c r="T95" t="s">
        <v>70</v>
      </c>
      <c r="U95" t="s">
        <v>6388</v>
      </c>
      <c r="W95" t="s">
        <v>77</v>
      </c>
      <c r="X95">
        <v>111</v>
      </c>
      <c r="Y95" t="s">
        <v>70</v>
      </c>
      <c r="Z95">
        <v>268</v>
      </c>
    </row>
    <row r="96" spans="1:26" x14ac:dyDescent="0.3">
      <c r="A96">
        <v>95</v>
      </c>
      <c r="B96" t="s">
        <v>287</v>
      </c>
      <c r="C96" t="s">
        <v>11</v>
      </c>
      <c r="D96" t="s">
        <v>54</v>
      </c>
      <c r="E96" t="s">
        <v>6351</v>
      </c>
      <c r="F96" t="s">
        <v>6397</v>
      </c>
      <c r="G96" t="s">
        <v>6378</v>
      </c>
      <c r="H96" t="s">
        <v>6380</v>
      </c>
      <c r="I96" t="s">
        <v>6377</v>
      </c>
      <c r="J96" s="6">
        <f>AVERAGE(ai_job_market[[#This Row],[min_salary]],ai_job_market[[#This Row],[max_salary]])</f>
        <v>124819</v>
      </c>
      <c r="K96"/>
      <c r="L96" t="s">
        <v>27</v>
      </c>
      <c r="M96" t="s">
        <v>15</v>
      </c>
      <c r="N96" t="s">
        <v>4447</v>
      </c>
      <c r="O96" t="s">
        <v>4429</v>
      </c>
      <c r="P96" s="5">
        <v>111746</v>
      </c>
      <c r="Q96" s="5">
        <v>137892</v>
      </c>
      <c r="R96" s="2">
        <v>45575</v>
      </c>
      <c r="S96" t="s">
        <v>14</v>
      </c>
      <c r="T96" t="s">
        <v>70</v>
      </c>
      <c r="U96" t="s">
        <v>6388</v>
      </c>
      <c r="W96" t="s">
        <v>6351</v>
      </c>
      <c r="X96">
        <v>89</v>
      </c>
      <c r="Y96" t="s">
        <v>70</v>
      </c>
      <c r="Z96">
        <v>268</v>
      </c>
    </row>
    <row r="97" spans="1:26" x14ac:dyDescent="0.3">
      <c r="A97">
        <v>96</v>
      </c>
      <c r="B97" t="s">
        <v>289</v>
      </c>
      <c r="C97" t="s">
        <v>11</v>
      </c>
      <c r="D97" t="s">
        <v>20</v>
      </c>
      <c r="E97" t="s">
        <v>128</v>
      </c>
      <c r="F97" t="s">
        <v>6389</v>
      </c>
      <c r="G97" t="s">
        <v>6376</v>
      </c>
      <c r="H97" t="s">
        <v>6396</v>
      </c>
      <c r="I97" t="s">
        <v>6382</v>
      </c>
      <c r="J97">
        <f>AVERAGE(ai_job_market[[#This Row],[min_salary]],ai_job_market[[#This Row],[max_salary]])</f>
        <v>115784.5</v>
      </c>
      <c r="K97"/>
      <c r="L97" t="s">
        <v>22</v>
      </c>
      <c r="M97" t="s">
        <v>15</v>
      </c>
      <c r="N97" t="s">
        <v>4448</v>
      </c>
      <c r="O97" t="s">
        <v>4351</v>
      </c>
      <c r="P97">
        <v>107083</v>
      </c>
      <c r="Q97">
        <v>124486</v>
      </c>
      <c r="R97" s="2">
        <v>45878</v>
      </c>
      <c r="S97" t="s">
        <v>69</v>
      </c>
      <c r="T97" t="s">
        <v>70</v>
      </c>
      <c r="W97" t="s">
        <v>128</v>
      </c>
      <c r="X97">
        <v>92</v>
      </c>
      <c r="Y97" t="s">
        <v>70</v>
      </c>
      <c r="Z97">
        <v>268</v>
      </c>
    </row>
    <row r="98" spans="1:26" x14ac:dyDescent="0.3">
      <c r="A98">
        <v>97</v>
      </c>
      <c r="B98" t="s">
        <v>291</v>
      </c>
      <c r="C98" t="s">
        <v>49</v>
      </c>
      <c r="D98" t="s">
        <v>135</v>
      </c>
      <c r="E98" t="s">
        <v>6348</v>
      </c>
      <c r="F98" t="s">
        <v>6387</v>
      </c>
      <c r="G98" t="s">
        <v>6378</v>
      </c>
      <c r="H98" t="s">
        <v>6386</v>
      </c>
      <c r="I98" t="s">
        <v>6389</v>
      </c>
      <c r="J98">
        <f>AVERAGE(ai_job_market[[#This Row],[min_salary]],ai_job_market[[#This Row],[max_salary]])</f>
        <v>158743</v>
      </c>
      <c r="K98" t="s">
        <v>6397</v>
      </c>
      <c r="L98" t="s">
        <v>22</v>
      </c>
      <c r="M98" t="s">
        <v>15</v>
      </c>
      <c r="N98" t="s">
        <v>4449</v>
      </c>
      <c r="O98" t="s">
        <v>4450</v>
      </c>
      <c r="P98">
        <v>126865</v>
      </c>
      <c r="Q98">
        <v>190621</v>
      </c>
      <c r="R98" s="2">
        <v>45611</v>
      </c>
      <c r="S98" t="s">
        <v>69</v>
      </c>
      <c r="T98" t="s">
        <v>70</v>
      </c>
      <c r="U98" t="s">
        <v>6378</v>
      </c>
      <c r="W98" t="s">
        <v>6348</v>
      </c>
      <c r="X98">
        <v>78</v>
      </c>
      <c r="Y98" t="s">
        <v>70</v>
      </c>
      <c r="Z98">
        <v>268</v>
      </c>
    </row>
    <row r="99" spans="1:26" x14ac:dyDescent="0.3">
      <c r="A99">
        <v>98</v>
      </c>
      <c r="B99" t="s">
        <v>294</v>
      </c>
      <c r="C99" t="s">
        <v>34</v>
      </c>
      <c r="D99" t="s">
        <v>20</v>
      </c>
      <c r="E99" t="s">
        <v>6347</v>
      </c>
      <c r="F99" t="s">
        <v>6381</v>
      </c>
      <c r="G99" t="s">
        <v>6395</v>
      </c>
      <c r="H99" t="s">
        <v>6376</v>
      </c>
      <c r="I99" t="s">
        <v>6378</v>
      </c>
      <c r="J99">
        <f>AVERAGE(ai_job_market[[#This Row],[min_salary]],ai_job_market[[#This Row],[max_salary]])</f>
        <v>177820</v>
      </c>
      <c r="K99"/>
      <c r="L99" t="s">
        <v>14</v>
      </c>
      <c r="M99" t="s">
        <v>37</v>
      </c>
      <c r="N99" t="s">
        <v>4451</v>
      </c>
      <c r="O99" t="s">
        <v>4452</v>
      </c>
      <c r="P99">
        <v>127896</v>
      </c>
      <c r="Q99">
        <v>227744</v>
      </c>
      <c r="R99" s="2">
        <v>45278</v>
      </c>
      <c r="S99" t="s">
        <v>16</v>
      </c>
      <c r="T99" t="s">
        <v>77</v>
      </c>
      <c r="U99" t="s">
        <v>6383</v>
      </c>
      <c r="V99" t="s">
        <v>6379</v>
      </c>
      <c r="W99" t="s">
        <v>6347</v>
      </c>
      <c r="X99">
        <v>94</v>
      </c>
      <c r="Y99" t="s">
        <v>77</v>
      </c>
      <c r="Z99">
        <v>251</v>
      </c>
    </row>
    <row r="100" spans="1:26" x14ac:dyDescent="0.3">
      <c r="A100">
        <v>99</v>
      </c>
      <c r="B100" t="s">
        <v>297</v>
      </c>
      <c r="C100" t="s">
        <v>11</v>
      </c>
      <c r="D100" t="s">
        <v>12</v>
      </c>
      <c r="E100" t="s">
        <v>6349</v>
      </c>
      <c r="F100" t="s">
        <v>6394</v>
      </c>
      <c r="G100" t="s">
        <v>6396</v>
      </c>
      <c r="H100" t="s">
        <v>6385</v>
      </c>
      <c r="I100" t="s">
        <v>6382</v>
      </c>
      <c r="J100">
        <f>AVERAGE(ai_job_market[[#This Row],[min_salary]],ai_job_market[[#This Row],[max_salary]])</f>
        <v>152145</v>
      </c>
      <c r="K100"/>
      <c r="L100" t="s">
        <v>27</v>
      </c>
      <c r="M100" t="s">
        <v>37</v>
      </c>
      <c r="N100" t="s">
        <v>4453</v>
      </c>
      <c r="O100" t="s">
        <v>4454</v>
      </c>
      <c r="P100">
        <v>133789</v>
      </c>
      <c r="Q100">
        <v>170501</v>
      </c>
      <c r="R100" s="2">
        <v>45434</v>
      </c>
      <c r="S100" t="s">
        <v>16</v>
      </c>
      <c r="T100" t="s">
        <v>80</v>
      </c>
      <c r="U100" t="s">
        <v>6388</v>
      </c>
      <c r="W100" t="s">
        <v>6349</v>
      </c>
      <c r="X100">
        <v>96</v>
      </c>
      <c r="Y100" t="s">
        <v>80</v>
      </c>
      <c r="Z100">
        <v>249</v>
      </c>
    </row>
    <row r="101" spans="1:26" x14ac:dyDescent="0.3">
      <c r="A101">
        <v>100</v>
      </c>
      <c r="B101" t="s">
        <v>300</v>
      </c>
      <c r="C101" t="s">
        <v>72</v>
      </c>
      <c r="D101" t="s">
        <v>20</v>
      </c>
      <c r="E101" t="s">
        <v>6349</v>
      </c>
      <c r="F101" t="s">
        <v>6395</v>
      </c>
      <c r="G101" t="s">
        <v>6389</v>
      </c>
      <c r="H101" t="s">
        <v>6386</v>
      </c>
      <c r="J101">
        <f>AVERAGE(ai_job_market[[#This Row],[min_salary]],ai_job_market[[#This Row],[max_salary]])</f>
        <v>153026</v>
      </c>
      <c r="K101"/>
      <c r="L101" t="s">
        <v>14</v>
      </c>
      <c r="M101" t="s">
        <v>37</v>
      </c>
      <c r="N101" t="s">
        <v>4455</v>
      </c>
      <c r="O101" t="s">
        <v>4456</v>
      </c>
      <c r="P101">
        <v>126422</v>
      </c>
      <c r="Q101">
        <v>179630</v>
      </c>
      <c r="R101" s="2">
        <v>45903</v>
      </c>
      <c r="S101" t="s">
        <v>14</v>
      </c>
      <c r="T101" t="s">
        <v>80</v>
      </c>
      <c r="W101" t="s">
        <v>6349</v>
      </c>
      <c r="X101">
        <v>96</v>
      </c>
      <c r="Y101" t="s">
        <v>80</v>
      </c>
      <c r="Z101">
        <v>249</v>
      </c>
    </row>
    <row r="102" spans="1:26" x14ac:dyDescent="0.3">
      <c r="A102">
        <v>101</v>
      </c>
      <c r="B102" t="s">
        <v>302</v>
      </c>
      <c r="C102" t="s">
        <v>11</v>
      </c>
      <c r="D102" t="s">
        <v>54</v>
      </c>
      <c r="E102" t="s">
        <v>6348</v>
      </c>
      <c r="F102" t="s">
        <v>6389</v>
      </c>
      <c r="G102" t="s">
        <v>6393</v>
      </c>
      <c r="H102" t="s">
        <v>6381</v>
      </c>
      <c r="J102">
        <f>AVERAGE(ai_job_market[[#This Row],[min_salary]],ai_job_market[[#This Row],[max_salary]])</f>
        <v>92458.5</v>
      </c>
      <c r="K102"/>
      <c r="L102" t="s">
        <v>27</v>
      </c>
      <c r="M102" t="s">
        <v>37</v>
      </c>
      <c r="N102" t="s">
        <v>4457</v>
      </c>
      <c r="O102" t="s">
        <v>4351</v>
      </c>
      <c r="P102">
        <v>53156</v>
      </c>
      <c r="Q102">
        <v>131761</v>
      </c>
      <c r="R102" s="2">
        <v>45860</v>
      </c>
      <c r="S102" t="s">
        <v>69</v>
      </c>
      <c r="T102" t="s">
        <v>80</v>
      </c>
      <c r="W102" t="s">
        <v>6348</v>
      </c>
      <c r="X102">
        <v>78</v>
      </c>
      <c r="Y102" t="s">
        <v>80</v>
      </c>
      <c r="Z102">
        <v>249</v>
      </c>
    </row>
    <row r="103" spans="1:26" x14ac:dyDescent="0.3">
      <c r="A103">
        <v>102</v>
      </c>
      <c r="B103" t="s">
        <v>304</v>
      </c>
      <c r="C103" t="s">
        <v>72</v>
      </c>
      <c r="D103" t="s">
        <v>35</v>
      </c>
      <c r="E103" t="s">
        <v>6351</v>
      </c>
      <c r="F103" t="s">
        <v>6379</v>
      </c>
      <c r="G103" t="s">
        <v>6391</v>
      </c>
      <c r="H103" t="s">
        <v>6376</v>
      </c>
      <c r="I103" t="s">
        <v>6392</v>
      </c>
      <c r="J103" s="6">
        <f>AVERAGE(ai_job_market[[#This Row],[min_salary]],ai_job_market[[#This Row],[max_salary]])</f>
        <v>123145.5</v>
      </c>
      <c r="K103"/>
      <c r="L103" t="s">
        <v>22</v>
      </c>
      <c r="M103" t="s">
        <v>51</v>
      </c>
      <c r="N103" t="s">
        <v>4458</v>
      </c>
      <c r="O103" t="s">
        <v>4456</v>
      </c>
      <c r="P103" s="5">
        <v>76985</v>
      </c>
      <c r="Q103" s="5">
        <v>169306</v>
      </c>
      <c r="R103" s="2">
        <v>45878</v>
      </c>
      <c r="S103" t="s">
        <v>16</v>
      </c>
      <c r="T103" t="s">
        <v>157</v>
      </c>
      <c r="U103" t="s">
        <v>6388</v>
      </c>
      <c r="V103" t="s">
        <v>6389</v>
      </c>
      <c r="W103" t="s">
        <v>6351</v>
      </c>
      <c r="X103">
        <v>89</v>
      </c>
      <c r="Y103" t="s">
        <v>157</v>
      </c>
      <c r="Z103">
        <v>247</v>
      </c>
    </row>
    <row r="104" spans="1:26" x14ac:dyDescent="0.3">
      <c r="A104">
        <v>103</v>
      </c>
      <c r="B104" t="s">
        <v>307</v>
      </c>
      <c r="C104" t="s">
        <v>49</v>
      </c>
      <c r="D104" t="s">
        <v>25</v>
      </c>
      <c r="E104" t="s">
        <v>6347</v>
      </c>
      <c r="F104" t="s">
        <v>6382</v>
      </c>
      <c r="G104" t="s">
        <v>6394</v>
      </c>
      <c r="H104" t="s">
        <v>6389</v>
      </c>
      <c r="J104">
        <f>AVERAGE(ai_job_market[[#This Row],[min_salary]],ai_job_market[[#This Row],[max_salary]])</f>
        <v>144737</v>
      </c>
      <c r="K104"/>
      <c r="L104" t="s">
        <v>27</v>
      </c>
      <c r="M104" t="s">
        <v>15</v>
      </c>
      <c r="N104" t="s">
        <v>4459</v>
      </c>
      <c r="O104" t="s">
        <v>4283</v>
      </c>
      <c r="P104">
        <v>129308</v>
      </c>
      <c r="Q104">
        <v>160166</v>
      </c>
      <c r="R104" s="2">
        <v>45714</v>
      </c>
      <c r="S104" t="s">
        <v>14</v>
      </c>
      <c r="T104" t="s">
        <v>157</v>
      </c>
      <c r="W104" t="s">
        <v>6347</v>
      </c>
      <c r="X104">
        <v>94</v>
      </c>
      <c r="Y104" t="s">
        <v>157</v>
      </c>
      <c r="Z104">
        <v>247</v>
      </c>
    </row>
    <row r="105" spans="1:26" x14ac:dyDescent="0.3">
      <c r="A105">
        <v>104</v>
      </c>
      <c r="B105" t="s">
        <v>309</v>
      </c>
      <c r="C105" t="s">
        <v>34</v>
      </c>
      <c r="D105" t="s">
        <v>35</v>
      </c>
      <c r="E105" t="s">
        <v>6358</v>
      </c>
      <c r="F105" t="s">
        <v>6377</v>
      </c>
      <c r="G105" t="s">
        <v>6376</v>
      </c>
      <c r="J105">
        <f>AVERAGE(ai_job_market[[#This Row],[min_salary]],ai_job_market[[#This Row],[max_salary]])</f>
        <v>151408.5</v>
      </c>
      <c r="K105"/>
      <c r="L105" t="s">
        <v>22</v>
      </c>
      <c r="M105" t="s">
        <v>51</v>
      </c>
      <c r="N105" t="s">
        <v>4460</v>
      </c>
      <c r="O105" t="s">
        <v>4461</v>
      </c>
      <c r="P105">
        <v>112263</v>
      </c>
      <c r="Q105">
        <v>190554</v>
      </c>
      <c r="R105" s="2">
        <v>45737</v>
      </c>
      <c r="S105" t="s">
        <v>14</v>
      </c>
      <c r="T105" t="s">
        <v>80</v>
      </c>
      <c r="W105" t="s">
        <v>6358</v>
      </c>
      <c r="X105">
        <v>96</v>
      </c>
      <c r="Y105" t="s">
        <v>80</v>
      </c>
      <c r="Z105">
        <v>249</v>
      </c>
    </row>
    <row r="106" spans="1:26" x14ac:dyDescent="0.3">
      <c r="A106">
        <v>105</v>
      </c>
      <c r="B106" t="s">
        <v>311</v>
      </c>
      <c r="C106" t="s">
        <v>40</v>
      </c>
      <c r="D106" t="s">
        <v>67</v>
      </c>
      <c r="E106" t="s">
        <v>77</v>
      </c>
      <c r="F106" t="s">
        <v>6384</v>
      </c>
      <c r="G106" t="s">
        <v>6394</v>
      </c>
      <c r="H106" t="s">
        <v>6386</v>
      </c>
      <c r="I106" t="s">
        <v>6391</v>
      </c>
      <c r="J106">
        <f>AVERAGE(ai_job_market[[#This Row],[min_salary]],ai_job_market[[#This Row],[max_salary]])</f>
        <v>153109.5</v>
      </c>
      <c r="K106"/>
      <c r="L106" t="s">
        <v>27</v>
      </c>
      <c r="M106" t="s">
        <v>37</v>
      </c>
      <c r="N106" t="s">
        <v>4462</v>
      </c>
      <c r="O106" t="s">
        <v>4463</v>
      </c>
      <c r="P106">
        <v>147332</v>
      </c>
      <c r="Q106">
        <v>158887</v>
      </c>
      <c r="R106" s="2">
        <v>45615</v>
      </c>
      <c r="S106" t="s">
        <v>14</v>
      </c>
      <c r="T106" t="s">
        <v>70</v>
      </c>
      <c r="U106" t="s">
        <v>6376</v>
      </c>
      <c r="W106" t="s">
        <v>77</v>
      </c>
      <c r="X106">
        <v>111</v>
      </c>
      <c r="Y106" t="s">
        <v>70</v>
      </c>
      <c r="Z106">
        <v>268</v>
      </c>
    </row>
    <row r="107" spans="1:26" x14ac:dyDescent="0.3">
      <c r="A107">
        <v>106</v>
      </c>
      <c r="B107" t="s">
        <v>314</v>
      </c>
      <c r="C107" t="s">
        <v>45</v>
      </c>
      <c r="D107" t="s">
        <v>20</v>
      </c>
      <c r="E107" t="s">
        <v>6354</v>
      </c>
      <c r="F107" t="s">
        <v>6382</v>
      </c>
      <c r="G107" t="s">
        <v>6377</v>
      </c>
      <c r="H107" t="s">
        <v>6379</v>
      </c>
      <c r="I107" t="s">
        <v>6391</v>
      </c>
      <c r="J107">
        <f>AVERAGE(ai_job_market[[#This Row],[min_salary]],ai_job_market[[#This Row],[max_salary]])</f>
        <v>88147.5</v>
      </c>
      <c r="K107" t="s">
        <v>6384</v>
      </c>
      <c r="L107" t="s">
        <v>14</v>
      </c>
      <c r="M107" t="s">
        <v>15</v>
      </c>
      <c r="N107" t="s">
        <v>4464</v>
      </c>
      <c r="O107" t="s">
        <v>4327</v>
      </c>
      <c r="P107">
        <v>54559</v>
      </c>
      <c r="Q107">
        <v>121736</v>
      </c>
      <c r="R107" s="2">
        <v>45751</v>
      </c>
      <c r="S107" t="s">
        <v>14</v>
      </c>
      <c r="T107" t="s">
        <v>157</v>
      </c>
      <c r="U107" t="s">
        <v>6389</v>
      </c>
      <c r="W107" t="s">
        <v>6354</v>
      </c>
      <c r="X107">
        <v>75</v>
      </c>
      <c r="Y107" t="s">
        <v>157</v>
      </c>
      <c r="Z107">
        <v>247</v>
      </c>
    </row>
    <row r="108" spans="1:26" x14ac:dyDescent="0.3">
      <c r="A108">
        <v>107</v>
      </c>
      <c r="B108" t="s">
        <v>317</v>
      </c>
      <c r="C108" t="s">
        <v>11</v>
      </c>
      <c r="D108" t="s">
        <v>20</v>
      </c>
      <c r="E108" t="s">
        <v>6349</v>
      </c>
      <c r="F108" t="s">
        <v>6377</v>
      </c>
      <c r="G108" t="s">
        <v>6381</v>
      </c>
      <c r="J108">
        <f>AVERAGE(ai_job_market[[#This Row],[min_salary]],ai_job_market[[#This Row],[max_salary]])</f>
        <v>123076.5</v>
      </c>
      <c r="K108"/>
      <c r="L108" t="s">
        <v>22</v>
      </c>
      <c r="M108" t="s">
        <v>42</v>
      </c>
      <c r="N108" t="s">
        <v>4465</v>
      </c>
      <c r="O108" t="s">
        <v>4466</v>
      </c>
      <c r="P108">
        <v>91427</v>
      </c>
      <c r="Q108">
        <v>154726</v>
      </c>
      <c r="R108" s="2">
        <v>45202</v>
      </c>
      <c r="S108" t="s">
        <v>14</v>
      </c>
      <c r="T108" t="s">
        <v>52</v>
      </c>
      <c r="U108" t="s">
        <v>6378</v>
      </c>
      <c r="W108" t="s">
        <v>6349</v>
      </c>
      <c r="X108">
        <v>96</v>
      </c>
      <c r="Y108" t="s">
        <v>52</v>
      </c>
      <c r="Z108">
        <v>238</v>
      </c>
    </row>
    <row r="109" spans="1:26" x14ac:dyDescent="0.3">
      <c r="A109">
        <v>108</v>
      </c>
      <c r="B109" t="s">
        <v>320</v>
      </c>
      <c r="C109" t="s">
        <v>19</v>
      </c>
      <c r="D109" t="s">
        <v>30</v>
      </c>
      <c r="E109" t="s">
        <v>6358</v>
      </c>
      <c r="F109" t="s">
        <v>6378</v>
      </c>
      <c r="G109" t="s">
        <v>6374</v>
      </c>
      <c r="H109" t="s">
        <v>6381</v>
      </c>
      <c r="I109" t="s">
        <v>6390</v>
      </c>
      <c r="J109">
        <f>AVERAGE(ai_job_market[[#This Row],[min_salary]],ai_job_market[[#This Row],[max_salary]])</f>
        <v>144219</v>
      </c>
      <c r="K109" t="s">
        <v>6386</v>
      </c>
      <c r="L109" t="s">
        <v>22</v>
      </c>
      <c r="M109" t="s">
        <v>37</v>
      </c>
      <c r="N109" t="s">
        <v>4467</v>
      </c>
      <c r="O109" t="s">
        <v>4393</v>
      </c>
      <c r="P109">
        <v>120983</v>
      </c>
      <c r="Q109">
        <v>167455</v>
      </c>
      <c r="R109" s="2">
        <v>45746</v>
      </c>
      <c r="S109" t="s">
        <v>16</v>
      </c>
      <c r="T109" t="s">
        <v>80</v>
      </c>
      <c r="U109" t="s">
        <v>6376</v>
      </c>
      <c r="V109" t="s">
        <v>6389</v>
      </c>
      <c r="W109" t="s">
        <v>6358</v>
      </c>
      <c r="X109">
        <v>96</v>
      </c>
      <c r="Y109" t="s">
        <v>80</v>
      </c>
      <c r="Z109">
        <v>249</v>
      </c>
    </row>
    <row r="110" spans="1:26" x14ac:dyDescent="0.3">
      <c r="A110">
        <v>109</v>
      </c>
      <c r="B110" t="s">
        <v>323</v>
      </c>
      <c r="C110" t="s">
        <v>49</v>
      </c>
      <c r="D110" t="s">
        <v>54</v>
      </c>
      <c r="E110" t="s">
        <v>6352</v>
      </c>
      <c r="F110" t="s">
        <v>6393</v>
      </c>
      <c r="G110" t="s">
        <v>6392</v>
      </c>
      <c r="H110" t="s">
        <v>6380</v>
      </c>
      <c r="J110">
        <f>AVERAGE(ai_job_market[[#This Row],[min_salary]],ai_job_market[[#This Row],[max_salary]])</f>
        <v>138258</v>
      </c>
      <c r="K110"/>
      <c r="L110" t="s">
        <v>14</v>
      </c>
      <c r="M110" t="s">
        <v>37</v>
      </c>
      <c r="N110" t="s">
        <v>4468</v>
      </c>
      <c r="O110" t="s">
        <v>4469</v>
      </c>
      <c r="P110">
        <v>108083</v>
      </c>
      <c r="Q110">
        <v>168433</v>
      </c>
      <c r="R110" s="2">
        <v>45328</v>
      </c>
      <c r="S110" t="s">
        <v>16</v>
      </c>
      <c r="T110" t="s">
        <v>52</v>
      </c>
      <c r="W110" t="s">
        <v>6352</v>
      </c>
      <c r="X110">
        <v>97</v>
      </c>
      <c r="Y110" t="s">
        <v>52</v>
      </c>
      <c r="Z110">
        <v>238</v>
      </c>
    </row>
    <row r="111" spans="1:26" x14ac:dyDescent="0.3">
      <c r="A111">
        <v>110</v>
      </c>
      <c r="B111" t="s">
        <v>325</v>
      </c>
      <c r="C111" t="s">
        <v>11</v>
      </c>
      <c r="D111" t="s">
        <v>25</v>
      </c>
      <c r="E111" t="s">
        <v>6355</v>
      </c>
      <c r="F111" t="s">
        <v>6389</v>
      </c>
      <c r="G111" t="s">
        <v>6396</v>
      </c>
      <c r="H111" t="s">
        <v>6380</v>
      </c>
      <c r="J111">
        <f>AVERAGE(ai_job_market[[#This Row],[min_salary]],ai_job_market[[#This Row],[max_salary]])</f>
        <v>64979.5</v>
      </c>
      <c r="K111"/>
      <c r="L111" t="s">
        <v>14</v>
      </c>
      <c r="M111" t="s">
        <v>37</v>
      </c>
      <c r="N111" t="s">
        <v>4470</v>
      </c>
      <c r="O111" t="s">
        <v>4454</v>
      </c>
      <c r="P111">
        <v>43248</v>
      </c>
      <c r="Q111">
        <v>86711</v>
      </c>
      <c r="R111" s="2">
        <v>45463</v>
      </c>
      <c r="S111" t="s">
        <v>14</v>
      </c>
      <c r="T111" t="s">
        <v>101</v>
      </c>
      <c r="W111" t="s">
        <v>6355</v>
      </c>
      <c r="X111">
        <v>90</v>
      </c>
      <c r="Y111" t="s">
        <v>101</v>
      </c>
      <c r="Z111">
        <v>255</v>
      </c>
    </row>
    <row r="112" spans="1:26" x14ac:dyDescent="0.3">
      <c r="A112">
        <v>111</v>
      </c>
      <c r="B112" t="s">
        <v>327</v>
      </c>
      <c r="C112" t="s">
        <v>49</v>
      </c>
      <c r="D112" t="s">
        <v>135</v>
      </c>
      <c r="E112" t="s">
        <v>6357</v>
      </c>
      <c r="F112" t="s">
        <v>6392</v>
      </c>
      <c r="G112" t="s">
        <v>6394</v>
      </c>
      <c r="H112" t="s">
        <v>6395</v>
      </c>
      <c r="I112" t="s">
        <v>6396</v>
      </c>
      <c r="J112">
        <f>AVERAGE(ai_job_market[[#This Row],[min_salary]],ai_job_market[[#This Row],[max_salary]])</f>
        <v>80322.5</v>
      </c>
      <c r="K112"/>
      <c r="L112" t="s">
        <v>27</v>
      </c>
      <c r="M112" t="s">
        <v>42</v>
      </c>
      <c r="N112" t="s">
        <v>4471</v>
      </c>
      <c r="O112" t="s">
        <v>4301</v>
      </c>
      <c r="P112">
        <v>73459</v>
      </c>
      <c r="Q112">
        <v>87186</v>
      </c>
      <c r="R112" s="2">
        <v>45543</v>
      </c>
      <c r="S112" t="s">
        <v>16</v>
      </c>
      <c r="T112" t="s">
        <v>157</v>
      </c>
      <c r="W112" t="s">
        <v>6357</v>
      </c>
      <c r="X112">
        <v>88</v>
      </c>
      <c r="Y112" t="s">
        <v>157</v>
      </c>
      <c r="Z112">
        <v>247</v>
      </c>
    </row>
    <row r="113" spans="1:26" x14ac:dyDescent="0.3">
      <c r="A113">
        <v>112</v>
      </c>
      <c r="B113" t="s">
        <v>329</v>
      </c>
      <c r="C113" t="s">
        <v>11</v>
      </c>
      <c r="D113" t="s">
        <v>135</v>
      </c>
      <c r="E113" t="s">
        <v>6346</v>
      </c>
      <c r="F113" t="s">
        <v>6391</v>
      </c>
      <c r="G113" t="s">
        <v>6374</v>
      </c>
      <c r="H113" t="s">
        <v>6384</v>
      </c>
      <c r="I113" t="s">
        <v>6380</v>
      </c>
      <c r="J113">
        <f>AVERAGE(ai_job_market[[#This Row],[min_salary]],ai_job_market[[#This Row],[max_salary]])</f>
        <v>125919</v>
      </c>
      <c r="K113" t="s">
        <v>6378</v>
      </c>
      <c r="L113" t="s">
        <v>14</v>
      </c>
      <c r="M113" t="s">
        <v>37</v>
      </c>
      <c r="N113" t="s">
        <v>4472</v>
      </c>
      <c r="O113" t="s">
        <v>4463</v>
      </c>
      <c r="P113">
        <v>94345</v>
      </c>
      <c r="Q113">
        <v>157493</v>
      </c>
      <c r="R113" s="2">
        <v>45497</v>
      </c>
      <c r="S113" t="s">
        <v>16</v>
      </c>
      <c r="T113" t="s">
        <v>101</v>
      </c>
      <c r="W113" t="s">
        <v>6346</v>
      </c>
      <c r="X113">
        <v>78</v>
      </c>
      <c r="Y113" t="s">
        <v>101</v>
      </c>
      <c r="Z113">
        <v>255</v>
      </c>
    </row>
    <row r="114" spans="1:26" x14ac:dyDescent="0.3">
      <c r="A114">
        <v>113</v>
      </c>
      <c r="B114" t="s">
        <v>331</v>
      </c>
      <c r="C114" t="s">
        <v>11</v>
      </c>
      <c r="D114" t="s">
        <v>67</v>
      </c>
      <c r="E114" t="s">
        <v>6347</v>
      </c>
      <c r="F114" t="s">
        <v>6378</v>
      </c>
      <c r="G114" t="s">
        <v>6387</v>
      </c>
      <c r="J114">
        <f>AVERAGE(ai_job_market[[#This Row],[min_salary]],ai_job_market[[#This Row],[max_salary]])</f>
        <v>146611.5</v>
      </c>
      <c r="K114"/>
      <c r="L114" t="s">
        <v>14</v>
      </c>
      <c r="M114" t="s">
        <v>15</v>
      </c>
      <c r="N114" t="s">
        <v>4473</v>
      </c>
      <c r="O114" t="s">
        <v>4474</v>
      </c>
      <c r="P114">
        <v>113621</v>
      </c>
      <c r="Q114">
        <v>179602</v>
      </c>
      <c r="R114" s="2">
        <v>45532</v>
      </c>
      <c r="S114" t="s">
        <v>14</v>
      </c>
      <c r="T114" t="s">
        <v>90</v>
      </c>
      <c r="U114" t="s">
        <v>6376</v>
      </c>
      <c r="V114" t="s">
        <v>6378</v>
      </c>
      <c r="W114" t="s">
        <v>6347</v>
      </c>
      <c r="X114">
        <v>94</v>
      </c>
      <c r="Y114" t="s">
        <v>90</v>
      </c>
      <c r="Z114">
        <v>259</v>
      </c>
    </row>
    <row r="115" spans="1:26" x14ac:dyDescent="0.3">
      <c r="A115">
        <v>114</v>
      </c>
      <c r="B115" t="s">
        <v>334</v>
      </c>
      <c r="C115" t="s">
        <v>34</v>
      </c>
      <c r="D115" t="s">
        <v>35</v>
      </c>
      <c r="E115" t="s">
        <v>101</v>
      </c>
      <c r="F115" t="s">
        <v>6382</v>
      </c>
      <c r="G115" t="s">
        <v>6377</v>
      </c>
      <c r="H115" t="s">
        <v>6397</v>
      </c>
      <c r="I115" t="s">
        <v>6387</v>
      </c>
      <c r="J115">
        <f>AVERAGE(ai_job_market[[#This Row],[min_salary]],ai_job_market[[#This Row],[max_salary]])</f>
        <v>90889</v>
      </c>
      <c r="K115"/>
      <c r="L115" t="s">
        <v>27</v>
      </c>
      <c r="M115" t="s">
        <v>15</v>
      </c>
      <c r="N115" t="s">
        <v>4475</v>
      </c>
      <c r="O115" t="s">
        <v>4476</v>
      </c>
      <c r="P115">
        <v>43828</v>
      </c>
      <c r="Q115">
        <v>137950</v>
      </c>
      <c r="R115" s="2">
        <v>45797</v>
      </c>
      <c r="S115" t="s">
        <v>14</v>
      </c>
      <c r="T115" t="s">
        <v>157</v>
      </c>
      <c r="W115" t="s">
        <v>101</v>
      </c>
      <c r="X115">
        <v>76</v>
      </c>
      <c r="Y115" t="s">
        <v>157</v>
      </c>
      <c r="Z115">
        <v>247</v>
      </c>
    </row>
    <row r="116" spans="1:26" x14ac:dyDescent="0.3">
      <c r="A116">
        <v>115</v>
      </c>
      <c r="B116" t="s">
        <v>336</v>
      </c>
      <c r="C116" t="s">
        <v>19</v>
      </c>
      <c r="D116" t="s">
        <v>25</v>
      </c>
      <c r="E116" t="s">
        <v>6352</v>
      </c>
      <c r="F116" t="s">
        <v>6397</v>
      </c>
      <c r="G116" t="s">
        <v>6377</v>
      </c>
      <c r="H116" t="s">
        <v>6387</v>
      </c>
      <c r="I116" t="s">
        <v>6385</v>
      </c>
      <c r="J116">
        <f>AVERAGE(ai_job_market[[#This Row],[min_salary]],ai_job_market[[#This Row],[max_salary]])</f>
        <v>152503.5</v>
      </c>
      <c r="K116" t="s">
        <v>6378</v>
      </c>
      <c r="L116" t="s">
        <v>22</v>
      </c>
      <c r="M116" t="s">
        <v>42</v>
      </c>
      <c r="N116" t="s">
        <v>4477</v>
      </c>
      <c r="O116" t="s">
        <v>4478</v>
      </c>
      <c r="P116">
        <v>118046</v>
      </c>
      <c r="Q116">
        <v>186961</v>
      </c>
      <c r="R116" s="2">
        <v>45825</v>
      </c>
      <c r="S116" t="s">
        <v>69</v>
      </c>
      <c r="T116" t="s">
        <v>101</v>
      </c>
      <c r="U116" t="s">
        <v>6384</v>
      </c>
      <c r="W116" t="s">
        <v>6352</v>
      </c>
      <c r="X116">
        <v>97</v>
      </c>
      <c r="Y116" t="s">
        <v>101</v>
      </c>
      <c r="Z116">
        <v>255</v>
      </c>
    </row>
    <row r="117" spans="1:26" x14ac:dyDescent="0.3">
      <c r="A117">
        <v>116</v>
      </c>
      <c r="B117" t="s">
        <v>339</v>
      </c>
      <c r="C117" t="s">
        <v>49</v>
      </c>
      <c r="D117" t="s">
        <v>67</v>
      </c>
      <c r="E117" t="s">
        <v>6344</v>
      </c>
      <c r="F117" t="s">
        <v>6379</v>
      </c>
      <c r="G117" t="s">
        <v>6396</v>
      </c>
      <c r="H117" t="s">
        <v>6390</v>
      </c>
      <c r="J117">
        <f>AVERAGE(ai_job_market[[#This Row],[min_salary]],ai_job_market[[#This Row],[max_salary]])</f>
        <v>176787.5</v>
      </c>
      <c r="K117"/>
      <c r="L117" t="s">
        <v>27</v>
      </c>
      <c r="M117" t="s">
        <v>15</v>
      </c>
      <c r="N117" t="s">
        <v>4479</v>
      </c>
      <c r="O117" t="s">
        <v>4480</v>
      </c>
      <c r="P117">
        <v>143236</v>
      </c>
      <c r="Q117">
        <v>210339</v>
      </c>
      <c r="R117" s="2">
        <v>45368</v>
      </c>
      <c r="S117" t="s">
        <v>16</v>
      </c>
      <c r="T117" t="s">
        <v>90</v>
      </c>
      <c r="W117" t="s">
        <v>6344</v>
      </c>
      <c r="X117">
        <v>104</v>
      </c>
      <c r="Y117" t="s">
        <v>90</v>
      </c>
      <c r="Z117">
        <v>259</v>
      </c>
    </row>
    <row r="118" spans="1:26" x14ac:dyDescent="0.3">
      <c r="A118">
        <v>117</v>
      </c>
      <c r="B118" t="s">
        <v>341</v>
      </c>
      <c r="C118" t="s">
        <v>45</v>
      </c>
      <c r="D118" t="s">
        <v>12</v>
      </c>
      <c r="E118" t="s">
        <v>6344</v>
      </c>
      <c r="F118" t="s">
        <v>6376</v>
      </c>
      <c r="G118" t="s">
        <v>6390</v>
      </c>
      <c r="H118" t="s">
        <v>6384</v>
      </c>
      <c r="I118" t="s">
        <v>6393</v>
      </c>
      <c r="J118">
        <f>AVERAGE(ai_job_market[[#This Row],[min_salary]],ai_job_market[[#This Row],[max_salary]])</f>
        <v>112397.5</v>
      </c>
      <c r="K118" t="s">
        <v>6396</v>
      </c>
      <c r="L118" t="s">
        <v>27</v>
      </c>
      <c r="M118" t="s">
        <v>37</v>
      </c>
      <c r="N118" t="s">
        <v>4481</v>
      </c>
      <c r="O118" t="s">
        <v>4482</v>
      </c>
      <c r="P118">
        <v>70478</v>
      </c>
      <c r="Q118">
        <v>154317</v>
      </c>
      <c r="R118" s="2">
        <v>45784</v>
      </c>
      <c r="S118" t="s">
        <v>16</v>
      </c>
      <c r="T118" t="s">
        <v>70</v>
      </c>
      <c r="U118" t="s">
        <v>6383</v>
      </c>
      <c r="W118" t="s">
        <v>6344</v>
      </c>
      <c r="X118">
        <v>104</v>
      </c>
      <c r="Y118" t="s">
        <v>70</v>
      </c>
      <c r="Z118">
        <v>268</v>
      </c>
    </row>
    <row r="119" spans="1:26" x14ac:dyDescent="0.3">
      <c r="A119">
        <v>118</v>
      </c>
      <c r="B119" t="s">
        <v>343</v>
      </c>
      <c r="C119" t="s">
        <v>40</v>
      </c>
      <c r="D119" t="s">
        <v>12</v>
      </c>
      <c r="E119" t="s">
        <v>80</v>
      </c>
      <c r="F119" t="s">
        <v>6387</v>
      </c>
      <c r="G119" t="s">
        <v>6393</v>
      </c>
      <c r="J119">
        <f>AVERAGE(ai_job_market[[#This Row],[min_salary]],ai_job_market[[#This Row],[max_salary]])</f>
        <v>96385.5</v>
      </c>
      <c r="K119"/>
      <c r="L119" t="s">
        <v>14</v>
      </c>
      <c r="M119" t="s">
        <v>51</v>
      </c>
      <c r="N119" t="s">
        <v>4483</v>
      </c>
      <c r="O119" t="s">
        <v>4484</v>
      </c>
      <c r="P119">
        <v>69403</v>
      </c>
      <c r="Q119">
        <v>123368</v>
      </c>
      <c r="R119" s="2">
        <v>45387</v>
      </c>
      <c r="S119" t="s">
        <v>69</v>
      </c>
      <c r="T119" t="s">
        <v>101</v>
      </c>
      <c r="W119" t="s">
        <v>80</v>
      </c>
      <c r="X119">
        <v>95</v>
      </c>
      <c r="Y119" t="s">
        <v>101</v>
      </c>
      <c r="Z119">
        <v>255</v>
      </c>
    </row>
    <row r="120" spans="1:26" x14ac:dyDescent="0.3">
      <c r="A120">
        <v>119</v>
      </c>
      <c r="B120" t="s">
        <v>345</v>
      </c>
      <c r="C120" t="s">
        <v>45</v>
      </c>
      <c r="D120" t="s">
        <v>67</v>
      </c>
      <c r="E120" t="s">
        <v>6347</v>
      </c>
      <c r="F120" t="s">
        <v>6395</v>
      </c>
      <c r="G120" t="s">
        <v>6382</v>
      </c>
      <c r="H120" t="s">
        <v>6389</v>
      </c>
      <c r="I120" t="s">
        <v>6390</v>
      </c>
      <c r="J120">
        <f>AVERAGE(ai_job_market[[#This Row],[min_salary]],ai_job_market[[#This Row],[max_salary]])</f>
        <v>170122</v>
      </c>
      <c r="K120" t="s">
        <v>6376</v>
      </c>
      <c r="L120" t="s">
        <v>14</v>
      </c>
      <c r="M120" t="s">
        <v>37</v>
      </c>
      <c r="N120" t="s">
        <v>4485</v>
      </c>
      <c r="O120" t="s">
        <v>4486</v>
      </c>
      <c r="P120">
        <v>143437</v>
      </c>
      <c r="Q120">
        <v>196807</v>
      </c>
      <c r="R120" s="2">
        <v>45292</v>
      </c>
      <c r="S120" t="s">
        <v>14</v>
      </c>
      <c r="T120" t="s">
        <v>90</v>
      </c>
      <c r="U120" t="s">
        <v>6375</v>
      </c>
      <c r="V120" t="s">
        <v>6378</v>
      </c>
      <c r="W120" t="s">
        <v>6347</v>
      </c>
      <c r="X120">
        <v>94</v>
      </c>
      <c r="Y120" t="s">
        <v>90</v>
      </c>
      <c r="Z120">
        <v>259</v>
      </c>
    </row>
    <row r="121" spans="1:26" x14ac:dyDescent="0.3">
      <c r="A121">
        <v>120</v>
      </c>
      <c r="B121" t="s">
        <v>348</v>
      </c>
      <c r="C121" t="s">
        <v>72</v>
      </c>
      <c r="D121" t="s">
        <v>67</v>
      </c>
      <c r="E121" t="s">
        <v>128</v>
      </c>
      <c r="F121" t="s">
        <v>6377</v>
      </c>
      <c r="G121" t="s">
        <v>6394</v>
      </c>
      <c r="H121" t="s">
        <v>6397</v>
      </c>
      <c r="I121" t="s">
        <v>6382</v>
      </c>
      <c r="J121" s="6">
        <f>AVERAGE(ai_job_market[[#This Row],[min_salary]],ai_job_market[[#This Row],[max_salary]])</f>
        <v>72108</v>
      </c>
      <c r="K121" t="s">
        <v>6390</v>
      </c>
      <c r="L121" t="s">
        <v>27</v>
      </c>
      <c r="M121" t="s">
        <v>37</v>
      </c>
      <c r="N121" t="s">
        <v>4487</v>
      </c>
      <c r="O121" t="s">
        <v>4488</v>
      </c>
      <c r="P121" s="5">
        <v>59290</v>
      </c>
      <c r="Q121" s="5">
        <v>84926</v>
      </c>
      <c r="R121" s="2">
        <v>45879</v>
      </c>
      <c r="S121" t="s">
        <v>14</v>
      </c>
      <c r="T121" t="s">
        <v>80</v>
      </c>
      <c r="U121" t="s">
        <v>6383</v>
      </c>
      <c r="V121" t="s">
        <v>6388</v>
      </c>
      <c r="W121" t="s">
        <v>128</v>
      </c>
      <c r="X121">
        <v>92</v>
      </c>
      <c r="Y121" t="s">
        <v>80</v>
      </c>
      <c r="Z121">
        <v>249</v>
      </c>
    </row>
    <row r="122" spans="1:26" x14ac:dyDescent="0.3">
      <c r="A122">
        <v>121</v>
      </c>
      <c r="B122" t="s">
        <v>351</v>
      </c>
      <c r="C122" t="s">
        <v>72</v>
      </c>
      <c r="D122" t="s">
        <v>135</v>
      </c>
      <c r="E122" t="s">
        <v>6357</v>
      </c>
      <c r="F122" t="s">
        <v>6396</v>
      </c>
      <c r="G122" t="s">
        <v>6397</v>
      </c>
      <c r="J122" s="6">
        <f>AVERAGE(ai_job_market[[#This Row],[min_salary]],ai_job_market[[#This Row],[max_salary]])</f>
        <v>132648</v>
      </c>
      <c r="K122"/>
      <c r="L122" t="s">
        <v>14</v>
      </c>
      <c r="M122" t="s">
        <v>42</v>
      </c>
      <c r="N122" t="s">
        <v>4489</v>
      </c>
      <c r="O122" t="s">
        <v>4490</v>
      </c>
      <c r="P122" s="5">
        <v>124112</v>
      </c>
      <c r="Q122" s="5">
        <v>141184</v>
      </c>
      <c r="R122" s="2">
        <v>45573</v>
      </c>
      <c r="S122" t="s">
        <v>14</v>
      </c>
      <c r="T122" t="s">
        <v>101</v>
      </c>
      <c r="U122" t="s">
        <v>6389</v>
      </c>
      <c r="W122" t="s">
        <v>6357</v>
      </c>
      <c r="X122">
        <v>88</v>
      </c>
      <c r="Y122" t="s">
        <v>101</v>
      </c>
      <c r="Z122">
        <v>255</v>
      </c>
    </row>
    <row r="123" spans="1:26" x14ac:dyDescent="0.3">
      <c r="A123">
        <v>122</v>
      </c>
      <c r="B123" t="s">
        <v>354</v>
      </c>
      <c r="C123" t="s">
        <v>34</v>
      </c>
      <c r="D123" t="s">
        <v>135</v>
      </c>
      <c r="E123" t="s">
        <v>6346</v>
      </c>
      <c r="F123" t="s">
        <v>6390</v>
      </c>
      <c r="G123" t="s">
        <v>6391</v>
      </c>
      <c r="H123" t="s">
        <v>6381</v>
      </c>
      <c r="I123" t="s">
        <v>6376</v>
      </c>
      <c r="J123">
        <f>AVERAGE(ai_job_market[[#This Row],[min_salary]],ai_job_market[[#This Row],[max_salary]])</f>
        <v>115468.5</v>
      </c>
      <c r="K123" t="s">
        <v>6394</v>
      </c>
      <c r="L123" t="s">
        <v>27</v>
      </c>
      <c r="M123" t="s">
        <v>37</v>
      </c>
      <c r="N123" t="s">
        <v>4491</v>
      </c>
      <c r="O123" t="s">
        <v>4367</v>
      </c>
      <c r="P123">
        <v>93411</v>
      </c>
      <c r="Q123">
        <v>137526</v>
      </c>
      <c r="R123" s="2">
        <v>45483</v>
      </c>
      <c r="S123" t="s">
        <v>16</v>
      </c>
      <c r="T123" t="s">
        <v>52</v>
      </c>
      <c r="W123" t="s">
        <v>6346</v>
      </c>
      <c r="X123">
        <v>78</v>
      </c>
      <c r="Y123" t="s">
        <v>52</v>
      </c>
      <c r="Z123">
        <v>238</v>
      </c>
    </row>
    <row r="124" spans="1:26" x14ac:dyDescent="0.3">
      <c r="A124">
        <v>123</v>
      </c>
      <c r="B124" t="s">
        <v>356</v>
      </c>
      <c r="C124" t="s">
        <v>34</v>
      </c>
      <c r="D124" t="s">
        <v>20</v>
      </c>
      <c r="E124" t="s">
        <v>6355</v>
      </c>
      <c r="F124" t="s">
        <v>6384</v>
      </c>
      <c r="G124" t="s">
        <v>6375</v>
      </c>
      <c r="H124" t="s">
        <v>6386</v>
      </c>
      <c r="I124" t="s">
        <v>6392</v>
      </c>
      <c r="J124">
        <f>AVERAGE(ai_job_market[[#This Row],[min_salary]],ai_job_market[[#This Row],[max_salary]])</f>
        <v>115498</v>
      </c>
      <c r="K124"/>
      <c r="L124" t="s">
        <v>22</v>
      </c>
      <c r="M124" t="s">
        <v>37</v>
      </c>
      <c r="N124" t="s">
        <v>4492</v>
      </c>
      <c r="O124" t="s">
        <v>4283</v>
      </c>
      <c r="P124">
        <v>98592</v>
      </c>
      <c r="Q124">
        <v>132404</v>
      </c>
      <c r="R124" s="2">
        <v>45573</v>
      </c>
      <c r="S124" t="s">
        <v>69</v>
      </c>
      <c r="T124" t="s">
        <v>157</v>
      </c>
      <c r="U124" t="s">
        <v>6389</v>
      </c>
      <c r="W124" t="s">
        <v>6355</v>
      </c>
      <c r="X124">
        <v>90</v>
      </c>
      <c r="Y124" t="s">
        <v>157</v>
      </c>
      <c r="Z124">
        <v>247</v>
      </c>
    </row>
    <row r="125" spans="1:26" x14ac:dyDescent="0.3">
      <c r="A125">
        <v>124</v>
      </c>
      <c r="B125" t="s">
        <v>358</v>
      </c>
      <c r="C125" t="s">
        <v>40</v>
      </c>
      <c r="D125" t="s">
        <v>25</v>
      </c>
      <c r="E125" t="s">
        <v>6351</v>
      </c>
      <c r="F125" t="s">
        <v>6395</v>
      </c>
      <c r="G125" t="s">
        <v>6381</v>
      </c>
      <c r="H125" t="s">
        <v>6378</v>
      </c>
      <c r="I125" t="s">
        <v>6385</v>
      </c>
      <c r="J125">
        <f>AVERAGE(ai_job_market[[#This Row],[min_salary]],ai_job_market[[#This Row],[max_salary]])</f>
        <v>123185.5</v>
      </c>
      <c r="K125" t="s">
        <v>6374</v>
      </c>
      <c r="L125" t="s">
        <v>14</v>
      </c>
      <c r="M125" t="s">
        <v>51</v>
      </c>
      <c r="N125" t="s">
        <v>4493</v>
      </c>
      <c r="O125" t="s">
        <v>4435</v>
      </c>
      <c r="P125">
        <v>109693</v>
      </c>
      <c r="Q125">
        <v>136678</v>
      </c>
      <c r="R125" s="2">
        <v>45230</v>
      </c>
      <c r="S125" t="s">
        <v>16</v>
      </c>
      <c r="T125" t="s">
        <v>157</v>
      </c>
      <c r="W125" t="s">
        <v>6351</v>
      </c>
      <c r="X125">
        <v>89</v>
      </c>
      <c r="Y125" t="s">
        <v>157</v>
      </c>
      <c r="Z125">
        <v>247</v>
      </c>
    </row>
    <row r="126" spans="1:26" x14ac:dyDescent="0.3">
      <c r="A126">
        <v>125</v>
      </c>
      <c r="B126" t="s">
        <v>360</v>
      </c>
      <c r="C126" t="s">
        <v>40</v>
      </c>
      <c r="D126" t="s">
        <v>67</v>
      </c>
      <c r="E126" t="s">
        <v>6349</v>
      </c>
      <c r="F126" t="s">
        <v>6380</v>
      </c>
      <c r="G126" t="s">
        <v>6384</v>
      </c>
      <c r="J126">
        <f>AVERAGE(ai_job_market[[#This Row],[min_salary]],ai_job_market[[#This Row],[max_salary]])</f>
        <v>151141.5</v>
      </c>
      <c r="K126"/>
      <c r="L126" t="s">
        <v>14</v>
      </c>
      <c r="M126" t="s">
        <v>15</v>
      </c>
      <c r="N126" t="s">
        <v>4494</v>
      </c>
      <c r="O126" t="s">
        <v>4495</v>
      </c>
      <c r="P126">
        <v>128381</v>
      </c>
      <c r="Q126">
        <v>173902</v>
      </c>
      <c r="R126" s="2">
        <v>45872</v>
      </c>
      <c r="S126" t="s">
        <v>69</v>
      </c>
      <c r="T126" t="s">
        <v>52</v>
      </c>
      <c r="U126" t="s">
        <v>6384</v>
      </c>
      <c r="W126" t="s">
        <v>6349</v>
      </c>
      <c r="X126">
        <v>96</v>
      </c>
      <c r="Y126" t="s">
        <v>52</v>
      </c>
      <c r="Z126">
        <v>238</v>
      </c>
    </row>
    <row r="127" spans="1:26" x14ac:dyDescent="0.3">
      <c r="A127">
        <v>126</v>
      </c>
      <c r="B127" t="s">
        <v>363</v>
      </c>
      <c r="C127" t="s">
        <v>19</v>
      </c>
      <c r="D127" t="s">
        <v>20</v>
      </c>
      <c r="E127" t="s">
        <v>6357</v>
      </c>
      <c r="F127" t="s">
        <v>6386</v>
      </c>
      <c r="G127" t="s">
        <v>6395</v>
      </c>
      <c r="J127">
        <f>AVERAGE(ai_job_market[[#This Row],[min_salary]],ai_job_market[[#This Row],[max_salary]])</f>
        <v>121848.5</v>
      </c>
      <c r="K127"/>
      <c r="L127" t="s">
        <v>14</v>
      </c>
      <c r="M127" t="s">
        <v>42</v>
      </c>
      <c r="N127" t="s">
        <v>4496</v>
      </c>
      <c r="O127" t="s">
        <v>4497</v>
      </c>
      <c r="P127">
        <v>114132</v>
      </c>
      <c r="Q127">
        <v>129565</v>
      </c>
      <c r="R127" s="2">
        <v>45754</v>
      </c>
      <c r="S127" t="s">
        <v>16</v>
      </c>
      <c r="T127" t="s">
        <v>128</v>
      </c>
      <c r="W127" t="s">
        <v>6357</v>
      </c>
      <c r="X127">
        <v>88</v>
      </c>
      <c r="Y127" t="s">
        <v>128</v>
      </c>
      <c r="Z127">
        <v>233</v>
      </c>
    </row>
    <row r="128" spans="1:26" x14ac:dyDescent="0.3">
      <c r="A128">
        <v>127</v>
      </c>
      <c r="B128" t="s">
        <v>365</v>
      </c>
      <c r="C128" t="s">
        <v>34</v>
      </c>
      <c r="D128" t="s">
        <v>25</v>
      </c>
      <c r="E128" t="s">
        <v>6344</v>
      </c>
      <c r="F128" t="s">
        <v>6380</v>
      </c>
      <c r="G128" t="s">
        <v>6376</v>
      </c>
      <c r="H128" t="s">
        <v>6390</v>
      </c>
      <c r="I128" t="s">
        <v>6396</v>
      </c>
      <c r="J128">
        <f>AVERAGE(ai_job_market[[#This Row],[min_salary]],ai_job_market[[#This Row],[max_salary]])</f>
        <v>153136</v>
      </c>
      <c r="K128" t="s">
        <v>6382</v>
      </c>
      <c r="L128" t="s">
        <v>14</v>
      </c>
      <c r="M128" t="s">
        <v>37</v>
      </c>
      <c r="N128" t="s">
        <v>4498</v>
      </c>
      <c r="O128" t="s">
        <v>4499</v>
      </c>
      <c r="P128">
        <v>117985</v>
      </c>
      <c r="Q128">
        <v>188287</v>
      </c>
      <c r="R128" s="2">
        <v>45361</v>
      </c>
      <c r="S128" t="s">
        <v>16</v>
      </c>
      <c r="T128" t="s">
        <v>101</v>
      </c>
      <c r="W128" t="s">
        <v>6344</v>
      </c>
      <c r="X128">
        <v>104</v>
      </c>
      <c r="Y128" t="s">
        <v>101</v>
      </c>
      <c r="Z128">
        <v>255</v>
      </c>
    </row>
    <row r="129" spans="1:26" x14ac:dyDescent="0.3">
      <c r="A129">
        <v>128</v>
      </c>
      <c r="B129" t="s">
        <v>367</v>
      </c>
      <c r="C129" t="s">
        <v>34</v>
      </c>
      <c r="D129" t="s">
        <v>30</v>
      </c>
      <c r="E129" t="s">
        <v>6344</v>
      </c>
      <c r="F129" t="s">
        <v>6375</v>
      </c>
      <c r="G129" t="s">
        <v>6378</v>
      </c>
      <c r="H129" t="s">
        <v>6380</v>
      </c>
      <c r="I129" t="s">
        <v>6391</v>
      </c>
      <c r="J129">
        <f>AVERAGE(ai_job_market[[#This Row],[min_salary]],ai_job_market[[#This Row],[max_salary]])</f>
        <v>135744.5</v>
      </c>
      <c r="K129"/>
      <c r="L129" t="s">
        <v>27</v>
      </c>
      <c r="M129" t="s">
        <v>42</v>
      </c>
      <c r="N129" t="s">
        <v>4500</v>
      </c>
      <c r="O129" t="s">
        <v>4435</v>
      </c>
      <c r="P129">
        <v>98649</v>
      </c>
      <c r="Q129">
        <v>172840</v>
      </c>
      <c r="R129" s="2">
        <v>45618</v>
      </c>
      <c r="S129" t="s">
        <v>16</v>
      </c>
      <c r="T129" t="s">
        <v>70</v>
      </c>
      <c r="U129" t="s">
        <v>6383</v>
      </c>
      <c r="W129" t="s">
        <v>6344</v>
      </c>
      <c r="X129">
        <v>104</v>
      </c>
      <c r="Y129" t="s">
        <v>70</v>
      </c>
      <c r="Z129">
        <v>268</v>
      </c>
    </row>
    <row r="130" spans="1:26" x14ac:dyDescent="0.3">
      <c r="A130">
        <v>129</v>
      </c>
      <c r="B130" t="s">
        <v>369</v>
      </c>
      <c r="C130" t="s">
        <v>72</v>
      </c>
      <c r="D130" t="s">
        <v>67</v>
      </c>
      <c r="E130" t="s">
        <v>6349</v>
      </c>
      <c r="F130" t="s">
        <v>6382</v>
      </c>
      <c r="G130" t="s">
        <v>6389</v>
      </c>
      <c r="H130" t="s">
        <v>6376</v>
      </c>
      <c r="J130">
        <f>AVERAGE(ai_job_market[[#This Row],[min_salary]],ai_job_market[[#This Row],[max_salary]])</f>
        <v>177945</v>
      </c>
      <c r="K130"/>
      <c r="L130" t="s">
        <v>14</v>
      </c>
      <c r="M130" t="s">
        <v>42</v>
      </c>
      <c r="N130" t="s">
        <v>4501</v>
      </c>
      <c r="O130" t="s">
        <v>4293</v>
      </c>
      <c r="P130">
        <v>132259</v>
      </c>
      <c r="Q130">
        <v>223631</v>
      </c>
      <c r="R130" s="2">
        <v>45657</v>
      </c>
      <c r="S130" t="s">
        <v>14</v>
      </c>
      <c r="T130" t="s">
        <v>128</v>
      </c>
      <c r="U130" t="s">
        <v>6383</v>
      </c>
      <c r="V130" t="s">
        <v>6379</v>
      </c>
      <c r="W130" t="s">
        <v>6349</v>
      </c>
      <c r="X130">
        <v>96</v>
      </c>
      <c r="Y130" t="s">
        <v>128</v>
      </c>
      <c r="Z130">
        <v>233</v>
      </c>
    </row>
    <row r="131" spans="1:26" x14ac:dyDescent="0.3">
      <c r="A131">
        <v>130</v>
      </c>
      <c r="B131" t="s">
        <v>372</v>
      </c>
      <c r="C131" t="s">
        <v>49</v>
      </c>
      <c r="D131" t="s">
        <v>12</v>
      </c>
      <c r="E131" t="s">
        <v>90</v>
      </c>
      <c r="F131" t="s">
        <v>6394</v>
      </c>
      <c r="G131" t="s">
        <v>6376</v>
      </c>
      <c r="H131" t="s">
        <v>6391</v>
      </c>
      <c r="I131" t="s">
        <v>6390</v>
      </c>
      <c r="J131">
        <f>AVERAGE(ai_job_market[[#This Row],[min_salary]],ai_job_market[[#This Row],[max_salary]])</f>
        <v>107496</v>
      </c>
      <c r="K131"/>
      <c r="L131" t="s">
        <v>22</v>
      </c>
      <c r="M131" t="s">
        <v>51</v>
      </c>
      <c r="N131" t="s">
        <v>4502</v>
      </c>
      <c r="O131" t="s">
        <v>4503</v>
      </c>
      <c r="P131">
        <v>92116</v>
      </c>
      <c r="Q131">
        <v>122876</v>
      </c>
      <c r="R131" s="2">
        <v>45727</v>
      </c>
      <c r="S131" t="s">
        <v>69</v>
      </c>
      <c r="T131" t="s">
        <v>101</v>
      </c>
      <c r="W131" t="s">
        <v>90</v>
      </c>
      <c r="X131">
        <v>80</v>
      </c>
      <c r="Y131" t="s">
        <v>101</v>
      </c>
      <c r="Z131">
        <v>255</v>
      </c>
    </row>
    <row r="132" spans="1:26" x14ac:dyDescent="0.3">
      <c r="A132">
        <v>131</v>
      </c>
      <c r="B132" t="s">
        <v>374</v>
      </c>
      <c r="C132" t="s">
        <v>40</v>
      </c>
      <c r="D132" t="s">
        <v>67</v>
      </c>
      <c r="E132" t="s">
        <v>6352</v>
      </c>
      <c r="F132" t="s">
        <v>6393</v>
      </c>
      <c r="G132" t="s">
        <v>6397</v>
      </c>
      <c r="H132" t="s">
        <v>6374</v>
      </c>
      <c r="I132" t="s">
        <v>6376</v>
      </c>
      <c r="J132">
        <f>AVERAGE(ai_job_market[[#This Row],[min_salary]],ai_job_market[[#This Row],[max_salary]])</f>
        <v>123539.5</v>
      </c>
      <c r="K132" t="s">
        <v>6379</v>
      </c>
      <c r="L132" t="s">
        <v>27</v>
      </c>
      <c r="M132" t="s">
        <v>51</v>
      </c>
      <c r="N132" t="s">
        <v>4504</v>
      </c>
      <c r="O132" t="s">
        <v>4395</v>
      </c>
      <c r="P132">
        <v>111421</v>
      </c>
      <c r="Q132">
        <v>135658</v>
      </c>
      <c r="R132" s="2">
        <v>45558</v>
      </c>
      <c r="S132" t="s">
        <v>16</v>
      </c>
      <c r="T132" t="s">
        <v>52</v>
      </c>
      <c r="W132" t="s">
        <v>6352</v>
      </c>
      <c r="X132">
        <v>97</v>
      </c>
      <c r="Y132" t="s">
        <v>52</v>
      </c>
      <c r="Z132">
        <v>238</v>
      </c>
    </row>
    <row r="133" spans="1:26" x14ac:dyDescent="0.3">
      <c r="A133">
        <v>132</v>
      </c>
      <c r="B133" t="s">
        <v>376</v>
      </c>
      <c r="C133" t="s">
        <v>11</v>
      </c>
      <c r="D133" t="s">
        <v>67</v>
      </c>
      <c r="E133" t="s">
        <v>6349</v>
      </c>
      <c r="F133" t="s">
        <v>6382</v>
      </c>
      <c r="G133" t="s">
        <v>6384</v>
      </c>
      <c r="H133" t="s">
        <v>6380</v>
      </c>
      <c r="J133">
        <f>AVERAGE(ai_job_market[[#This Row],[min_salary]],ai_job_market[[#This Row],[max_salary]])</f>
        <v>71013</v>
      </c>
      <c r="K133"/>
      <c r="L133" t="s">
        <v>14</v>
      </c>
      <c r="M133" t="s">
        <v>42</v>
      </c>
      <c r="N133" t="s">
        <v>4505</v>
      </c>
      <c r="O133" t="s">
        <v>4506</v>
      </c>
      <c r="P133">
        <v>64185</v>
      </c>
      <c r="Q133">
        <v>77841</v>
      </c>
      <c r="R133" s="2">
        <v>45697</v>
      </c>
      <c r="S133" t="s">
        <v>16</v>
      </c>
      <c r="T133" t="s">
        <v>157</v>
      </c>
      <c r="U133" t="s">
        <v>6378</v>
      </c>
      <c r="W133" t="s">
        <v>6349</v>
      </c>
      <c r="X133">
        <v>96</v>
      </c>
      <c r="Y133" t="s">
        <v>157</v>
      </c>
      <c r="Z133">
        <v>247</v>
      </c>
    </row>
    <row r="134" spans="1:26" x14ac:dyDescent="0.3">
      <c r="A134">
        <v>133</v>
      </c>
      <c r="B134" t="s">
        <v>379</v>
      </c>
      <c r="C134" t="s">
        <v>45</v>
      </c>
      <c r="D134" t="s">
        <v>135</v>
      </c>
      <c r="E134" t="s">
        <v>6358</v>
      </c>
      <c r="F134" t="s">
        <v>6380</v>
      </c>
      <c r="G134" t="s">
        <v>6376</v>
      </c>
      <c r="J134">
        <f>AVERAGE(ai_job_market[[#This Row],[min_salary]],ai_job_market[[#This Row],[max_salary]])</f>
        <v>163805.5</v>
      </c>
      <c r="K134"/>
      <c r="L134" t="s">
        <v>22</v>
      </c>
      <c r="M134" t="s">
        <v>37</v>
      </c>
      <c r="N134" t="s">
        <v>4507</v>
      </c>
      <c r="O134" t="s">
        <v>4297</v>
      </c>
      <c r="P134">
        <v>114287</v>
      </c>
      <c r="Q134">
        <v>213324</v>
      </c>
      <c r="R134" s="2">
        <v>45770</v>
      </c>
      <c r="S134" t="s">
        <v>14</v>
      </c>
      <c r="T134" t="s">
        <v>52</v>
      </c>
      <c r="U134" t="s">
        <v>6379</v>
      </c>
      <c r="V134" t="s">
        <v>6378</v>
      </c>
      <c r="W134" t="s">
        <v>6358</v>
      </c>
      <c r="X134">
        <v>96</v>
      </c>
      <c r="Y134" t="s">
        <v>52</v>
      </c>
      <c r="Z134">
        <v>238</v>
      </c>
    </row>
    <row r="135" spans="1:26" x14ac:dyDescent="0.3">
      <c r="A135">
        <v>134</v>
      </c>
      <c r="B135" t="s">
        <v>382</v>
      </c>
      <c r="C135" t="s">
        <v>45</v>
      </c>
      <c r="D135" t="s">
        <v>135</v>
      </c>
      <c r="E135" t="s">
        <v>6354</v>
      </c>
      <c r="F135" t="s">
        <v>6374</v>
      </c>
      <c r="G135" t="s">
        <v>6384</v>
      </c>
      <c r="H135" t="s">
        <v>6395</v>
      </c>
      <c r="I135" t="s">
        <v>6378</v>
      </c>
      <c r="J135">
        <f>AVERAGE(ai_job_market[[#This Row],[min_salary]],ai_job_market[[#This Row],[max_salary]])</f>
        <v>102040.5</v>
      </c>
      <c r="K135" t="s">
        <v>6379</v>
      </c>
      <c r="L135" t="s">
        <v>22</v>
      </c>
      <c r="M135" t="s">
        <v>51</v>
      </c>
      <c r="N135" t="s">
        <v>4508</v>
      </c>
      <c r="O135" t="s">
        <v>4509</v>
      </c>
      <c r="P135">
        <v>67967</v>
      </c>
      <c r="Q135">
        <v>136114</v>
      </c>
      <c r="R135" s="2">
        <v>45901</v>
      </c>
      <c r="S135" t="s">
        <v>14</v>
      </c>
      <c r="T135" t="s">
        <v>80</v>
      </c>
      <c r="W135" t="s">
        <v>6354</v>
      </c>
      <c r="X135">
        <v>75</v>
      </c>
      <c r="Y135" t="s">
        <v>80</v>
      </c>
      <c r="Z135">
        <v>249</v>
      </c>
    </row>
    <row r="136" spans="1:26" x14ac:dyDescent="0.3">
      <c r="A136">
        <v>135</v>
      </c>
      <c r="B136" t="s">
        <v>384</v>
      </c>
      <c r="C136" t="s">
        <v>11</v>
      </c>
      <c r="D136" t="s">
        <v>12</v>
      </c>
      <c r="E136" t="s">
        <v>6350</v>
      </c>
      <c r="F136" t="s">
        <v>6389</v>
      </c>
      <c r="G136" t="s">
        <v>6384</v>
      </c>
      <c r="H136" t="s">
        <v>6394</v>
      </c>
      <c r="I136" t="s">
        <v>6396</v>
      </c>
      <c r="J136">
        <f>AVERAGE(ai_job_market[[#This Row],[min_salary]],ai_job_market[[#This Row],[max_salary]])</f>
        <v>157674</v>
      </c>
      <c r="K136" t="s">
        <v>6387</v>
      </c>
      <c r="L136" t="s">
        <v>27</v>
      </c>
      <c r="M136" t="s">
        <v>15</v>
      </c>
      <c r="N136" t="s">
        <v>4510</v>
      </c>
      <c r="O136" t="s">
        <v>4511</v>
      </c>
      <c r="P136">
        <v>119699</v>
      </c>
      <c r="Q136">
        <v>195649</v>
      </c>
      <c r="R136" s="2">
        <v>45351</v>
      </c>
      <c r="S136" t="s">
        <v>14</v>
      </c>
      <c r="T136" t="s">
        <v>128</v>
      </c>
      <c r="U136" t="s">
        <v>6378</v>
      </c>
      <c r="W136" t="s">
        <v>6350</v>
      </c>
      <c r="X136">
        <v>84</v>
      </c>
      <c r="Y136" t="s">
        <v>128</v>
      </c>
      <c r="Z136">
        <v>233</v>
      </c>
    </row>
    <row r="137" spans="1:26" x14ac:dyDescent="0.3">
      <c r="A137">
        <v>136</v>
      </c>
      <c r="B137" t="s">
        <v>387</v>
      </c>
      <c r="C137" t="s">
        <v>34</v>
      </c>
      <c r="D137" t="s">
        <v>67</v>
      </c>
      <c r="E137" t="s">
        <v>6345</v>
      </c>
      <c r="F137" t="s">
        <v>6380</v>
      </c>
      <c r="G137" t="s">
        <v>6377</v>
      </c>
      <c r="H137" t="s">
        <v>6376</v>
      </c>
      <c r="I137" t="s">
        <v>6397</v>
      </c>
      <c r="J137">
        <f>AVERAGE(ai_job_market[[#This Row],[min_salary]],ai_job_market[[#This Row],[max_salary]])</f>
        <v>151506</v>
      </c>
      <c r="K137"/>
      <c r="L137" t="s">
        <v>22</v>
      </c>
      <c r="M137" t="s">
        <v>42</v>
      </c>
      <c r="N137" t="s">
        <v>4512</v>
      </c>
      <c r="O137" t="s">
        <v>4397</v>
      </c>
      <c r="P137">
        <v>105893</v>
      </c>
      <c r="Q137">
        <v>197119</v>
      </c>
      <c r="R137" s="2">
        <v>45656</v>
      </c>
      <c r="S137" t="s">
        <v>14</v>
      </c>
      <c r="T137" t="s">
        <v>128</v>
      </c>
      <c r="W137" t="s">
        <v>6345</v>
      </c>
      <c r="X137">
        <v>101</v>
      </c>
      <c r="Y137" t="s">
        <v>128</v>
      </c>
      <c r="Z137">
        <v>233</v>
      </c>
    </row>
    <row r="138" spans="1:26" x14ac:dyDescent="0.3">
      <c r="A138">
        <v>137</v>
      </c>
      <c r="B138" t="s">
        <v>389</v>
      </c>
      <c r="C138" t="s">
        <v>49</v>
      </c>
      <c r="D138" t="s">
        <v>20</v>
      </c>
      <c r="E138" t="s">
        <v>6344</v>
      </c>
      <c r="F138" t="s">
        <v>6389</v>
      </c>
      <c r="G138" t="s">
        <v>6387</v>
      </c>
      <c r="H138" t="s">
        <v>6385</v>
      </c>
      <c r="J138">
        <f>AVERAGE(ai_job_market[[#This Row],[min_salary]],ai_job_market[[#This Row],[max_salary]])</f>
        <v>165074</v>
      </c>
      <c r="K138"/>
      <c r="L138" t="s">
        <v>14</v>
      </c>
      <c r="M138" t="s">
        <v>15</v>
      </c>
      <c r="N138" t="s">
        <v>4513</v>
      </c>
      <c r="O138" t="s">
        <v>4514</v>
      </c>
      <c r="P138">
        <v>144509</v>
      </c>
      <c r="Q138">
        <v>185639</v>
      </c>
      <c r="R138" s="2">
        <v>45537</v>
      </c>
      <c r="S138" t="s">
        <v>14</v>
      </c>
      <c r="T138" t="s">
        <v>77</v>
      </c>
      <c r="U138" t="s">
        <v>6375</v>
      </c>
      <c r="V138" t="s">
        <v>6384</v>
      </c>
      <c r="W138" t="s">
        <v>6344</v>
      </c>
      <c r="X138">
        <v>104</v>
      </c>
      <c r="Y138" t="s">
        <v>77</v>
      </c>
      <c r="Z138">
        <v>251</v>
      </c>
    </row>
    <row r="139" spans="1:26" x14ac:dyDescent="0.3">
      <c r="A139">
        <v>138</v>
      </c>
      <c r="B139" t="s">
        <v>392</v>
      </c>
      <c r="C139" t="s">
        <v>34</v>
      </c>
      <c r="D139" t="s">
        <v>30</v>
      </c>
      <c r="E139" t="s">
        <v>6352</v>
      </c>
      <c r="F139" t="s">
        <v>6377</v>
      </c>
      <c r="G139" t="s">
        <v>6387</v>
      </c>
      <c r="H139" t="s">
        <v>6395</v>
      </c>
      <c r="J139">
        <f>AVERAGE(ai_job_market[[#This Row],[min_salary]],ai_job_market[[#This Row],[max_salary]])</f>
        <v>161282</v>
      </c>
      <c r="K139"/>
      <c r="L139" t="s">
        <v>22</v>
      </c>
      <c r="M139" t="s">
        <v>37</v>
      </c>
      <c r="N139" t="s">
        <v>4515</v>
      </c>
      <c r="O139" t="s">
        <v>4312</v>
      </c>
      <c r="P139">
        <v>125979</v>
      </c>
      <c r="Q139">
        <v>196585</v>
      </c>
      <c r="R139" s="2">
        <v>45356</v>
      </c>
      <c r="S139" t="s">
        <v>69</v>
      </c>
      <c r="T139" t="s">
        <v>52</v>
      </c>
      <c r="U139" t="s">
        <v>6376</v>
      </c>
      <c r="W139" t="s">
        <v>6352</v>
      </c>
      <c r="X139">
        <v>97</v>
      </c>
      <c r="Y139" t="s">
        <v>52</v>
      </c>
      <c r="Z139">
        <v>238</v>
      </c>
    </row>
    <row r="140" spans="1:26" x14ac:dyDescent="0.3">
      <c r="A140">
        <v>139</v>
      </c>
      <c r="B140" t="s">
        <v>395</v>
      </c>
      <c r="C140" t="s">
        <v>11</v>
      </c>
      <c r="D140" t="s">
        <v>30</v>
      </c>
      <c r="E140" t="s">
        <v>6355</v>
      </c>
      <c r="F140" t="s">
        <v>6393</v>
      </c>
      <c r="G140" t="s">
        <v>6385</v>
      </c>
      <c r="H140" t="s">
        <v>6376</v>
      </c>
      <c r="I140" t="s">
        <v>6392</v>
      </c>
      <c r="J140">
        <f>AVERAGE(ai_job_market[[#This Row],[min_salary]],ai_job_market[[#This Row],[max_salary]])</f>
        <v>129108</v>
      </c>
      <c r="K140" t="s">
        <v>6382</v>
      </c>
      <c r="L140" t="s">
        <v>14</v>
      </c>
      <c r="M140" t="s">
        <v>15</v>
      </c>
      <c r="N140" t="s">
        <v>4516</v>
      </c>
      <c r="O140" t="s">
        <v>4469</v>
      </c>
      <c r="P140">
        <v>96804</v>
      </c>
      <c r="Q140">
        <v>161412</v>
      </c>
      <c r="R140" s="2">
        <v>45305</v>
      </c>
      <c r="S140" t="s">
        <v>16</v>
      </c>
      <c r="T140" t="s">
        <v>70</v>
      </c>
      <c r="U140" t="s">
        <v>6375</v>
      </c>
      <c r="V140" t="s">
        <v>6389</v>
      </c>
      <c r="W140" t="s">
        <v>6355</v>
      </c>
      <c r="X140">
        <v>90</v>
      </c>
      <c r="Y140" t="s">
        <v>70</v>
      </c>
      <c r="Z140">
        <v>268</v>
      </c>
    </row>
    <row r="141" spans="1:26" x14ac:dyDescent="0.3">
      <c r="A141">
        <v>140</v>
      </c>
      <c r="B141" t="s">
        <v>397</v>
      </c>
      <c r="C141" t="s">
        <v>72</v>
      </c>
      <c r="D141" t="s">
        <v>12</v>
      </c>
      <c r="E141" t="s">
        <v>6357</v>
      </c>
      <c r="F141" t="s">
        <v>6386</v>
      </c>
      <c r="G141" t="s">
        <v>6382</v>
      </c>
      <c r="H141" t="s">
        <v>6375</v>
      </c>
      <c r="I141" t="s">
        <v>6379</v>
      </c>
      <c r="J141">
        <f>AVERAGE(ai_job_market[[#This Row],[min_salary]],ai_job_market[[#This Row],[max_salary]])</f>
        <v>168770</v>
      </c>
      <c r="K141" t="s">
        <v>6385</v>
      </c>
      <c r="L141" t="s">
        <v>22</v>
      </c>
      <c r="M141" t="s">
        <v>37</v>
      </c>
      <c r="N141" t="s">
        <v>4517</v>
      </c>
      <c r="O141" t="s">
        <v>4518</v>
      </c>
      <c r="P141">
        <v>145387</v>
      </c>
      <c r="Q141">
        <v>192153</v>
      </c>
      <c r="R141" s="2">
        <v>45895</v>
      </c>
      <c r="S141" t="s">
        <v>69</v>
      </c>
      <c r="T141" t="s">
        <v>52</v>
      </c>
      <c r="W141" t="s">
        <v>6357</v>
      </c>
      <c r="X141">
        <v>88</v>
      </c>
      <c r="Y141" t="s">
        <v>52</v>
      </c>
      <c r="Z141">
        <v>238</v>
      </c>
    </row>
    <row r="142" spans="1:26" x14ac:dyDescent="0.3">
      <c r="A142">
        <v>141</v>
      </c>
      <c r="B142" t="s">
        <v>399</v>
      </c>
      <c r="C142" t="s">
        <v>45</v>
      </c>
      <c r="D142" t="s">
        <v>25</v>
      </c>
      <c r="E142" t="s">
        <v>6352</v>
      </c>
      <c r="F142" t="s">
        <v>6382</v>
      </c>
      <c r="G142" t="s">
        <v>6394</v>
      </c>
      <c r="H142" t="s">
        <v>6379</v>
      </c>
      <c r="I142" t="s">
        <v>6377</v>
      </c>
      <c r="J142">
        <f>AVERAGE(ai_job_market[[#This Row],[min_salary]],ai_job_market[[#This Row],[max_salary]])</f>
        <v>85621.5</v>
      </c>
      <c r="K142" t="s">
        <v>6392</v>
      </c>
      <c r="L142" t="s">
        <v>27</v>
      </c>
      <c r="M142" t="s">
        <v>37</v>
      </c>
      <c r="N142" t="s">
        <v>4519</v>
      </c>
      <c r="O142" t="s">
        <v>4323</v>
      </c>
      <c r="P142">
        <v>44646</v>
      </c>
      <c r="Q142">
        <v>126597</v>
      </c>
      <c r="R142" s="2">
        <v>45815</v>
      </c>
      <c r="S142" t="s">
        <v>16</v>
      </c>
      <c r="T142" t="s">
        <v>101</v>
      </c>
      <c r="U142" t="s">
        <v>6384</v>
      </c>
      <c r="W142" t="s">
        <v>6352</v>
      </c>
      <c r="X142">
        <v>97</v>
      </c>
      <c r="Y142" t="s">
        <v>101</v>
      </c>
      <c r="Z142">
        <v>255</v>
      </c>
    </row>
    <row r="143" spans="1:26" x14ac:dyDescent="0.3">
      <c r="A143">
        <v>142</v>
      </c>
      <c r="B143" t="s">
        <v>401</v>
      </c>
      <c r="C143" t="s">
        <v>11</v>
      </c>
      <c r="D143" t="s">
        <v>54</v>
      </c>
      <c r="E143" t="s">
        <v>6350</v>
      </c>
      <c r="F143" t="s">
        <v>6375</v>
      </c>
      <c r="G143" t="s">
        <v>6394</v>
      </c>
      <c r="H143" t="s">
        <v>6379</v>
      </c>
      <c r="I143" t="s">
        <v>6386</v>
      </c>
      <c r="J143">
        <f>AVERAGE(ai_job_market[[#This Row],[min_salary]],ai_job_market[[#This Row],[max_salary]])</f>
        <v>93267</v>
      </c>
      <c r="K143" t="s">
        <v>6390</v>
      </c>
      <c r="L143" t="s">
        <v>14</v>
      </c>
      <c r="M143" t="s">
        <v>42</v>
      </c>
      <c r="N143" t="s">
        <v>4520</v>
      </c>
      <c r="O143" t="s">
        <v>4521</v>
      </c>
      <c r="P143">
        <v>61799</v>
      </c>
      <c r="Q143">
        <v>124735</v>
      </c>
      <c r="R143" s="2">
        <v>45426</v>
      </c>
      <c r="S143" t="s">
        <v>69</v>
      </c>
      <c r="T143" t="s">
        <v>80</v>
      </c>
      <c r="W143" t="s">
        <v>6350</v>
      </c>
      <c r="X143">
        <v>84</v>
      </c>
      <c r="Y143" t="s">
        <v>80</v>
      </c>
      <c r="Z143">
        <v>249</v>
      </c>
    </row>
    <row r="144" spans="1:26" x14ac:dyDescent="0.3">
      <c r="A144">
        <v>143</v>
      </c>
      <c r="B144" t="s">
        <v>403</v>
      </c>
      <c r="C144" t="s">
        <v>11</v>
      </c>
      <c r="D144" t="s">
        <v>30</v>
      </c>
      <c r="E144" t="s">
        <v>90</v>
      </c>
      <c r="F144" t="s">
        <v>6379</v>
      </c>
      <c r="G144" t="s">
        <v>6395</v>
      </c>
      <c r="H144" t="s">
        <v>6376</v>
      </c>
      <c r="I144" t="s">
        <v>6382</v>
      </c>
      <c r="J144" s="6">
        <f>AVERAGE(ai_job_market[[#This Row],[min_salary]],ai_job_market[[#This Row],[max_salary]])</f>
        <v>167986.5</v>
      </c>
      <c r="K144"/>
      <c r="L144" t="s">
        <v>27</v>
      </c>
      <c r="M144" t="s">
        <v>42</v>
      </c>
      <c r="N144" t="s">
        <v>4522</v>
      </c>
      <c r="O144" t="s">
        <v>4446</v>
      </c>
      <c r="P144" s="5">
        <v>142495</v>
      </c>
      <c r="Q144" s="5">
        <v>193478</v>
      </c>
      <c r="R144" s="2">
        <v>45751</v>
      </c>
      <c r="S144" t="s">
        <v>16</v>
      </c>
      <c r="T144" t="s">
        <v>77</v>
      </c>
      <c r="U144" t="s">
        <v>6383</v>
      </c>
      <c r="W144" t="s">
        <v>90</v>
      </c>
      <c r="X144">
        <v>80</v>
      </c>
      <c r="Y144" t="s">
        <v>77</v>
      </c>
      <c r="Z144">
        <v>251</v>
      </c>
    </row>
    <row r="145" spans="1:26" x14ac:dyDescent="0.3">
      <c r="A145">
        <v>144</v>
      </c>
      <c r="B145" t="s">
        <v>405</v>
      </c>
      <c r="C145" t="s">
        <v>49</v>
      </c>
      <c r="D145" t="s">
        <v>35</v>
      </c>
      <c r="E145" t="s">
        <v>6344</v>
      </c>
      <c r="F145" t="s">
        <v>6384</v>
      </c>
      <c r="G145" t="s">
        <v>6377</v>
      </c>
      <c r="H145" t="s">
        <v>6379</v>
      </c>
      <c r="J145" s="6">
        <f>AVERAGE(ai_job_market[[#This Row],[min_salary]],ai_job_market[[#This Row],[max_salary]])</f>
        <v>87613.5</v>
      </c>
      <c r="K145"/>
      <c r="L145" t="s">
        <v>14</v>
      </c>
      <c r="M145" t="s">
        <v>37</v>
      </c>
      <c r="N145" t="s">
        <v>4523</v>
      </c>
      <c r="O145" t="s">
        <v>4524</v>
      </c>
      <c r="P145" s="5">
        <v>52111</v>
      </c>
      <c r="Q145" s="5">
        <v>123116</v>
      </c>
      <c r="R145" s="2">
        <v>45296</v>
      </c>
      <c r="S145" t="s">
        <v>69</v>
      </c>
      <c r="T145" t="s">
        <v>101</v>
      </c>
      <c r="U145" t="s">
        <v>6383</v>
      </c>
      <c r="W145" t="s">
        <v>6344</v>
      </c>
      <c r="X145">
        <v>104</v>
      </c>
      <c r="Y145" t="s">
        <v>101</v>
      </c>
      <c r="Z145">
        <v>255</v>
      </c>
    </row>
    <row r="146" spans="1:26" x14ac:dyDescent="0.3">
      <c r="A146">
        <v>145</v>
      </c>
      <c r="B146" t="s">
        <v>408</v>
      </c>
      <c r="C146" t="s">
        <v>72</v>
      </c>
      <c r="D146" t="s">
        <v>12</v>
      </c>
      <c r="E146" t="s">
        <v>101</v>
      </c>
      <c r="F146" t="s">
        <v>6375</v>
      </c>
      <c r="G146" t="s">
        <v>6397</v>
      </c>
      <c r="H146" t="s">
        <v>6377</v>
      </c>
      <c r="J146">
        <f>AVERAGE(ai_job_market[[#This Row],[min_salary]],ai_job_market[[#This Row],[max_salary]])</f>
        <v>80851</v>
      </c>
      <c r="K146"/>
      <c r="L146" t="s">
        <v>27</v>
      </c>
      <c r="M146" t="s">
        <v>37</v>
      </c>
      <c r="N146" t="s">
        <v>4525</v>
      </c>
      <c r="O146" t="s">
        <v>4526</v>
      </c>
      <c r="P146">
        <v>68548</v>
      </c>
      <c r="Q146">
        <v>93154</v>
      </c>
      <c r="R146" s="2">
        <v>45503</v>
      </c>
      <c r="S146" t="s">
        <v>14</v>
      </c>
      <c r="T146" t="s">
        <v>90</v>
      </c>
      <c r="U146" t="s">
        <v>6383</v>
      </c>
      <c r="W146" t="s">
        <v>101</v>
      </c>
      <c r="X146">
        <v>76</v>
      </c>
      <c r="Y146" t="s">
        <v>90</v>
      </c>
      <c r="Z146">
        <v>259</v>
      </c>
    </row>
    <row r="147" spans="1:26" x14ac:dyDescent="0.3">
      <c r="A147">
        <v>146</v>
      </c>
      <c r="B147" t="s">
        <v>411</v>
      </c>
      <c r="C147" t="s">
        <v>49</v>
      </c>
      <c r="D147" t="s">
        <v>54</v>
      </c>
      <c r="E147" t="s">
        <v>70</v>
      </c>
      <c r="F147" t="s">
        <v>6390</v>
      </c>
      <c r="G147" t="s">
        <v>6393</v>
      </c>
      <c r="H147" t="s">
        <v>6376</v>
      </c>
      <c r="I147" t="s">
        <v>6374</v>
      </c>
      <c r="J147">
        <f>AVERAGE(ai_job_market[[#This Row],[min_salary]],ai_job_market[[#This Row],[max_salary]])</f>
        <v>103028.5</v>
      </c>
      <c r="K147"/>
      <c r="L147" t="s">
        <v>27</v>
      </c>
      <c r="M147" t="s">
        <v>37</v>
      </c>
      <c r="N147" t="s">
        <v>4527</v>
      </c>
      <c r="O147" t="s">
        <v>4528</v>
      </c>
      <c r="P147">
        <v>82795</v>
      </c>
      <c r="Q147">
        <v>123262</v>
      </c>
      <c r="R147" s="2">
        <v>45726</v>
      </c>
      <c r="S147" t="s">
        <v>16</v>
      </c>
      <c r="T147" t="s">
        <v>52</v>
      </c>
      <c r="U147" t="s">
        <v>6389</v>
      </c>
      <c r="V147" t="s">
        <v>6376</v>
      </c>
      <c r="W147" t="s">
        <v>70</v>
      </c>
      <c r="X147">
        <v>100</v>
      </c>
      <c r="Y147" t="s">
        <v>52</v>
      </c>
      <c r="Z147">
        <v>238</v>
      </c>
    </row>
    <row r="148" spans="1:26" x14ac:dyDescent="0.3">
      <c r="A148">
        <v>147</v>
      </c>
      <c r="B148" t="s">
        <v>414</v>
      </c>
      <c r="C148" t="s">
        <v>40</v>
      </c>
      <c r="D148" t="s">
        <v>135</v>
      </c>
      <c r="E148" t="s">
        <v>77</v>
      </c>
      <c r="F148" t="s">
        <v>6397</v>
      </c>
      <c r="G148" t="s">
        <v>6382</v>
      </c>
      <c r="H148" t="s">
        <v>6391</v>
      </c>
      <c r="J148" s="6">
        <f>AVERAGE(ai_job_market[[#This Row],[min_salary]],ai_job_market[[#This Row],[max_salary]])</f>
        <v>108436.5</v>
      </c>
      <c r="K148"/>
      <c r="L148" t="s">
        <v>27</v>
      </c>
      <c r="M148" t="s">
        <v>51</v>
      </c>
      <c r="N148" t="s">
        <v>4529</v>
      </c>
      <c r="O148" t="s">
        <v>4343</v>
      </c>
      <c r="P148" s="5">
        <v>94239</v>
      </c>
      <c r="Q148" s="5">
        <v>122634</v>
      </c>
      <c r="R148" s="2">
        <v>45886</v>
      </c>
      <c r="S148" t="s">
        <v>14</v>
      </c>
      <c r="T148" t="s">
        <v>52</v>
      </c>
      <c r="W148" t="s">
        <v>77</v>
      </c>
      <c r="X148">
        <v>111</v>
      </c>
      <c r="Y148" t="s">
        <v>52</v>
      </c>
      <c r="Z148">
        <v>238</v>
      </c>
    </row>
    <row r="149" spans="1:26" x14ac:dyDescent="0.3">
      <c r="A149">
        <v>148</v>
      </c>
      <c r="B149" t="s">
        <v>416</v>
      </c>
      <c r="C149" t="s">
        <v>72</v>
      </c>
      <c r="D149" t="s">
        <v>67</v>
      </c>
      <c r="E149" t="s">
        <v>6358</v>
      </c>
      <c r="F149" t="s">
        <v>6392</v>
      </c>
      <c r="G149" t="s">
        <v>6377</v>
      </c>
      <c r="H149" t="s">
        <v>6380</v>
      </c>
      <c r="J149">
        <f>AVERAGE(ai_job_market[[#This Row],[min_salary]],ai_job_market[[#This Row],[max_salary]])</f>
        <v>80304</v>
      </c>
      <c r="K149"/>
      <c r="L149" t="s">
        <v>14</v>
      </c>
      <c r="M149" t="s">
        <v>42</v>
      </c>
      <c r="N149" t="s">
        <v>4530</v>
      </c>
      <c r="O149" t="s">
        <v>4357</v>
      </c>
      <c r="P149">
        <v>64790</v>
      </c>
      <c r="Q149">
        <v>95818</v>
      </c>
      <c r="R149" s="2">
        <v>45279</v>
      </c>
      <c r="S149" t="s">
        <v>16</v>
      </c>
      <c r="T149" t="s">
        <v>77</v>
      </c>
      <c r="W149" t="s">
        <v>6358</v>
      </c>
      <c r="X149">
        <v>96</v>
      </c>
      <c r="Y149" t="s">
        <v>77</v>
      </c>
      <c r="Z149">
        <v>251</v>
      </c>
    </row>
    <row r="150" spans="1:26" x14ac:dyDescent="0.3">
      <c r="A150">
        <v>149</v>
      </c>
      <c r="B150" t="s">
        <v>418</v>
      </c>
      <c r="C150" t="s">
        <v>40</v>
      </c>
      <c r="D150" t="s">
        <v>12</v>
      </c>
      <c r="E150" t="s">
        <v>128</v>
      </c>
      <c r="F150" t="s">
        <v>6386</v>
      </c>
      <c r="G150" t="s">
        <v>6381</v>
      </c>
      <c r="J150">
        <f>AVERAGE(ai_job_market[[#This Row],[min_salary]],ai_job_market[[#This Row],[max_salary]])</f>
        <v>139380.5</v>
      </c>
      <c r="K150"/>
      <c r="L150" t="s">
        <v>22</v>
      </c>
      <c r="M150" t="s">
        <v>42</v>
      </c>
      <c r="N150" t="s">
        <v>4531</v>
      </c>
      <c r="O150" t="s">
        <v>4353</v>
      </c>
      <c r="P150">
        <v>133389</v>
      </c>
      <c r="Q150">
        <v>145372</v>
      </c>
      <c r="R150" s="2">
        <v>45917</v>
      </c>
      <c r="S150" t="s">
        <v>69</v>
      </c>
      <c r="T150" t="s">
        <v>128</v>
      </c>
      <c r="U150" t="s">
        <v>6376</v>
      </c>
      <c r="W150" t="s">
        <v>128</v>
      </c>
      <c r="X150">
        <v>92</v>
      </c>
      <c r="Y150" t="s">
        <v>128</v>
      </c>
      <c r="Z150">
        <v>233</v>
      </c>
    </row>
    <row r="151" spans="1:26" x14ac:dyDescent="0.3">
      <c r="A151">
        <v>150</v>
      </c>
      <c r="B151" t="s">
        <v>421</v>
      </c>
      <c r="C151" t="s">
        <v>45</v>
      </c>
      <c r="D151" t="s">
        <v>20</v>
      </c>
      <c r="E151" t="s">
        <v>6354</v>
      </c>
      <c r="F151" t="s">
        <v>6397</v>
      </c>
      <c r="G151" t="s">
        <v>6390</v>
      </c>
      <c r="H151" t="s">
        <v>6381</v>
      </c>
      <c r="J151">
        <f>AVERAGE(ai_job_market[[#This Row],[min_salary]],ai_job_market[[#This Row],[max_salary]])</f>
        <v>119376</v>
      </c>
      <c r="K151"/>
      <c r="L151" t="s">
        <v>22</v>
      </c>
      <c r="M151" t="s">
        <v>51</v>
      </c>
      <c r="N151" t="s">
        <v>4532</v>
      </c>
      <c r="O151" t="s">
        <v>4461</v>
      </c>
      <c r="P151">
        <v>112241</v>
      </c>
      <c r="Q151">
        <v>126511</v>
      </c>
      <c r="R151" s="2">
        <v>45654</v>
      </c>
      <c r="S151" t="s">
        <v>14</v>
      </c>
      <c r="T151" t="s">
        <v>157</v>
      </c>
      <c r="W151" t="s">
        <v>6354</v>
      </c>
      <c r="X151">
        <v>75</v>
      </c>
      <c r="Y151" t="s">
        <v>157</v>
      </c>
      <c r="Z151">
        <v>247</v>
      </c>
    </row>
    <row r="152" spans="1:26" x14ac:dyDescent="0.3">
      <c r="A152">
        <v>151</v>
      </c>
      <c r="B152" t="s">
        <v>423</v>
      </c>
      <c r="C152" t="s">
        <v>49</v>
      </c>
      <c r="D152" t="s">
        <v>135</v>
      </c>
      <c r="E152" t="s">
        <v>6344</v>
      </c>
      <c r="F152" t="s">
        <v>6386</v>
      </c>
      <c r="G152" t="s">
        <v>6391</v>
      </c>
      <c r="H152" t="s">
        <v>6384</v>
      </c>
      <c r="I152" t="s">
        <v>6380</v>
      </c>
      <c r="J152">
        <f>AVERAGE(ai_job_market[[#This Row],[min_salary]],ai_job_market[[#This Row],[max_salary]])</f>
        <v>87502.5</v>
      </c>
      <c r="K152"/>
      <c r="L152" t="s">
        <v>14</v>
      </c>
      <c r="M152" t="s">
        <v>42</v>
      </c>
      <c r="N152" t="s">
        <v>4533</v>
      </c>
      <c r="O152" t="s">
        <v>4433</v>
      </c>
      <c r="P152">
        <v>66955</v>
      </c>
      <c r="Q152">
        <v>108050</v>
      </c>
      <c r="R152" s="2">
        <v>45359</v>
      </c>
      <c r="S152" t="s">
        <v>69</v>
      </c>
      <c r="T152" t="s">
        <v>77</v>
      </c>
      <c r="U152" t="s">
        <v>6384</v>
      </c>
      <c r="V152" t="s">
        <v>6379</v>
      </c>
      <c r="W152" t="s">
        <v>6344</v>
      </c>
      <c r="X152">
        <v>104</v>
      </c>
      <c r="Y152" t="s">
        <v>77</v>
      </c>
      <c r="Z152">
        <v>251</v>
      </c>
    </row>
    <row r="153" spans="1:26" x14ac:dyDescent="0.3">
      <c r="A153">
        <v>152</v>
      </c>
      <c r="B153" t="s">
        <v>426</v>
      </c>
      <c r="C153" t="s">
        <v>40</v>
      </c>
      <c r="D153" t="s">
        <v>54</v>
      </c>
      <c r="E153" t="s">
        <v>6347</v>
      </c>
      <c r="F153" t="s">
        <v>6390</v>
      </c>
      <c r="G153" t="s">
        <v>6375</v>
      </c>
      <c r="J153">
        <f>AVERAGE(ai_job_market[[#This Row],[min_salary]],ai_job_market[[#This Row],[max_salary]])</f>
        <v>126039.5</v>
      </c>
      <c r="K153"/>
      <c r="L153" t="s">
        <v>14</v>
      </c>
      <c r="M153" t="s">
        <v>51</v>
      </c>
      <c r="N153" t="s">
        <v>4534</v>
      </c>
      <c r="O153" t="s">
        <v>4377</v>
      </c>
      <c r="P153">
        <v>84480</v>
      </c>
      <c r="Q153">
        <v>167599</v>
      </c>
      <c r="R153" s="2">
        <v>45372</v>
      </c>
      <c r="S153" t="s">
        <v>14</v>
      </c>
      <c r="T153" t="s">
        <v>101</v>
      </c>
      <c r="W153" t="s">
        <v>6347</v>
      </c>
      <c r="X153">
        <v>94</v>
      </c>
      <c r="Y153" t="s">
        <v>101</v>
      </c>
      <c r="Z153">
        <v>255</v>
      </c>
    </row>
    <row r="154" spans="1:26" x14ac:dyDescent="0.3">
      <c r="A154">
        <v>153</v>
      </c>
      <c r="B154" t="s">
        <v>428</v>
      </c>
      <c r="C154" t="s">
        <v>34</v>
      </c>
      <c r="D154" t="s">
        <v>30</v>
      </c>
      <c r="E154" t="s">
        <v>80</v>
      </c>
      <c r="F154" t="s">
        <v>6378</v>
      </c>
      <c r="G154" t="s">
        <v>6386</v>
      </c>
      <c r="J154">
        <f>AVERAGE(ai_job_market[[#This Row],[min_salary]],ai_job_market[[#This Row],[max_salary]])</f>
        <v>117190</v>
      </c>
      <c r="K154"/>
      <c r="L154" t="s">
        <v>14</v>
      </c>
      <c r="M154" t="s">
        <v>37</v>
      </c>
      <c r="N154" t="s">
        <v>4535</v>
      </c>
      <c r="O154" t="s">
        <v>4536</v>
      </c>
      <c r="P154">
        <v>74795</v>
      </c>
      <c r="Q154">
        <v>159585</v>
      </c>
      <c r="R154" s="2">
        <v>45274</v>
      </c>
      <c r="S154" t="s">
        <v>14</v>
      </c>
      <c r="T154" t="s">
        <v>101</v>
      </c>
      <c r="W154" t="s">
        <v>80</v>
      </c>
      <c r="X154">
        <v>95</v>
      </c>
      <c r="Y154" t="s">
        <v>101</v>
      </c>
      <c r="Z154">
        <v>255</v>
      </c>
    </row>
    <row r="155" spans="1:26" x14ac:dyDescent="0.3">
      <c r="A155">
        <v>154</v>
      </c>
      <c r="B155" t="s">
        <v>430</v>
      </c>
      <c r="C155" t="s">
        <v>49</v>
      </c>
      <c r="D155" t="s">
        <v>135</v>
      </c>
      <c r="E155" t="s">
        <v>6354</v>
      </c>
      <c r="F155" t="s">
        <v>6389</v>
      </c>
      <c r="G155" t="s">
        <v>6379</v>
      </c>
      <c r="J155">
        <f>AVERAGE(ai_job_market[[#This Row],[min_salary]],ai_job_market[[#This Row],[max_salary]])</f>
        <v>177701.5</v>
      </c>
      <c r="K155"/>
      <c r="L155" t="s">
        <v>14</v>
      </c>
      <c r="M155" t="s">
        <v>51</v>
      </c>
      <c r="N155" t="s">
        <v>4537</v>
      </c>
      <c r="O155" t="s">
        <v>4538</v>
      </c>
      <c r="P155">
        <v>128089</v>
      </c>
      <c r="Q155">
        <v>227314</v>
      </c>
      <c r="R155" s="2">
        <v>45500</v>
      </c>
      <c r="S155" t="s">
        <v>69</v>
      </c>
      <c r="T155" t="s">
        <v>80</v>
      </c>
      <c r="U155" t="s">
        <v>6378</v>
      </c>
      <c r="V155" t="s">
        <v>6375</v>
      </c>
      <c r="W155" t="s">
        <v>6354</v>
      </c>
      <c r="X155">
        <v>75</v>
      </c>
      <c r="Y155" t="s">
        <v>80</v>
      </c>
      <c r="Z155">
        <v>249</v>
      </c>
    </row>
    <row r="156" spans="1:26" x14ac:dyDescent="0.3">
      <c r="A156">
        <v>155</v>
      </c>
      <c r="B156" t="s">
        <v>389</v>
      </c>
      <c r="C156" t="s">
        <v>11</v>
      </c>
      <c r="D156" t="s">
        <v>67</v>
      </c>
      <c r="E156" t="s">
        <v>6356</v>
      </c>
      <c r="F156" t="s">
        <v>6377</v>
      </c>
      <c r="G156" t="s">
        <v>6391</v>
      </c>
      <c r="H156" t="s">
        <v>6374</v>
      </c>
      <c r="I156" t="s">
        <v>6375</v>
      </c>
      <c r="J156">
        <f>AVERAGE(ai_job_market[[#This Row],[min_salary]],ai_job_market[[#This Row],[max_salary]])</f>
        <v>88306</v>
      </c>
      <c r="K156"/>
      <c r="L156" t="s">
        <v>14</v>
      </c>
      <c r="M156" t="s">
        <v>37</v>
      </c>
      <c r="N156" t="s">
        <v>4539</v>
      </c>
      <c r="O156" t="s">
        <v>4540</v>
      </c>
      <c r="P156">
        <v>59563</v>
      </c>
      <c r="Q156">
        <v>117049</v>
      </c>
      <c r="R156" s="2">
        <v>45447</v>
      </c>
      <c r="S156" t="s">
        <v>14</v>
      </c>
      <c r="T156" t="s">
        <v>90</v>
      </c>
      <c r="U156" t="s">
        <v>6375</v>
      </c>
      <c r="V156" t="s">
        <v>6383</v>
      </c>
      <c r="W156" t="s">
        <v>6356</v>
      </c>
      <c r="X156">
        <v>86</v>
      </c>
      <c r="Y156" t="s">
        <v>90</v>
      </c>
      <c r="Z156">
        <v>259</v>
      </c>
    </row>
    <row r="157" spans="1:26" x14ac:dyDescent="0.3">
      <c r="A157">
        <v>156</v>
      </c>
      <c r="B157" t="s">
        <v>435</v>
      </c>
      <c r="C157" t="s">
        <v>45</v>
      </c>
      <c r="D157" t="s">
        <v>12</v>
      </c>
      <c r="E157" t="s">
        <v>128</v>
      </c>
      <c r="F157" t="s">
        <v>6395</v>
      </c>
      <c r="G157" t="s">
        <v>6384</v>
      </c>
      <c r="H157" t="s">
        <v>6390</v>
      </c>
      <c r="J157">
        <f>AVERAGE(ai_job_market[[#This Row],[min_salary]],ai_job_market[[#This Row],[max_salary]])</f>
        <v>169835.5</v>
      </c>
      <c r="K157"/>
      <c r="L157" t="s">
        <v>22</v>
      </c>
      <c r="M157" t="s">
        <v>42</v>
      </c>
      <c r="N157" t="s">
        <v>4541</v>
      </c>
      <c r="O157" t="s">
        <v>4474</v>
      </c>
      <c r="P157">
        <v>124014</v>
      </c>
      <c r="Q157">
        <v>215657</v>
      </c>
      <c r="R157" s="2">
        <v>45619</v>
      </c>
      <c r="S157" t="s">
        <v>69</v>
      </c>
      <c r="T157" t="s">
        <v>52</v>
      </c>
      <c r="U157" t="s">
        <v>6383</v>
      </c>
      <c r="W157" t="s">
        <v>128</v>
      </c>
      <c r="X157">
        <v>92</v>
      </c>
      <c r="Y157" t="s">
        <v>52</v>
      </c>
      <c r="Z157">
        <v>238</v>
      </c>
    </row>
    <row r="158" spans="1:26" x14ac:dyDescent="0.3">
      <c r="A158">
        <v>157</v>
      </c>
      <c r="B158" t="s">
        <v>437</v>
      </c>
      <c r="C158" t="s">
        <v>49</v>
      </c>
      <c r="D158" t="s">
        <v>20</v>
      </c>
      <c r="E158" t="s">
        <v>6347</v>
      </c>
      <c r="F158" t="s">
        <v>6379</v>
      </c>
      <c r="G158" t="s">
        <v>6393</v>
      </c>
      <c r="H158" t="s">
        <v>6396</v>
      </c>
      <c r="I158" t="s">
        <v>6392</v>
      </c>
      <c r="J158">
        <f>AVERAGE(ai_job_market[[#This Row],[min_salary]],ai_job_market[[#This Row],[max_salary]])</f>
        <v>97376.5</v>
      </c>
      <c r="K158" t="s">
        <v>6374</v>
      </c>
      <c r="L158" t="s">
        <v>22</v>
      </c>
      <c r="M158" t="s">
        <v>51</v>
      </c>
      <c r="N158" t="s">
        <v>4542</v>
      </c>
      <c r="O158" t="s">
        <v>4521</v>
      </c>
      <c r="P158">
        <v>82670</v>
      </c>
      <c r="Q158">
        <v>112083</v>
      </c>
      <c r="R158" s="2">
        <v>45831</v>
      </c>
      <c r="S158" t="s">
        <v>69</v>
      </c>
      <c r="T158" t="s">
        <v>80</v>
      </c>
      <c r="U158" t="s">
        <v>6389</v>
      </c>
      <c r="W158" t="s">
        <v>6347</v>
      </c>
      <c r="X158">
        <v>94</v>
      </c>
      <c r="Y158" t="s">
        <v>80</v>
      </c>
      <c r="Z158">
        <v>249</v>
      </c>
    </row>
    <row r="159" spans="1:26" x14ac:dyDescent="0.3">
      <c r="A159">
        <v>158</v>
      </c>
      <c r="B159" t="s">
        <v>440</v>
      </c>
      <c r="C159" t="s">
        <v>49</v>
      </c>
      <c r="D159" t="s">
        <v>67</v>
      </c>
      <c r="E159" t="s">
        <v>6356</v>
      </c>
      <c r="F159" t="s">
        <v>6390</v>
      </c>
      <c r="G159" t="s">
        <v>6393</v>
      </c>
      <c r="H159" t="s">
        <v>6391</v>
      </c>
      <c r="I159" t="s">
        <v>6385</v>
      </c>
      <c r="J159">
        <f>AVERAGE(ai_job_market[[#This Row],[min_salary]],ai_job_market[[#This Row],[max_salary]])</f>
        <v>144875</v>
      </c>
      <c r="K159" t="s">
        <v>6381</v>
      </c>
      <c r="L159" t="s">
        <v>22</v>
      </c>
      <c r="M159" t="s">
        <v>42</v>
      </c>
      <c r="N159" t="s">
        <v>4543</v>
      </c>
      <c r="O159" t="s">
        <v>4544</v>
      </c>
      <c r="P159">
        <v>99523</v>
      </c>
      <c r="Q159">
        <v>190227</v>
      </c>
      <c r="R159" s="2">
        <v>45659</v>
      </c>
      <c r="S159" t="s">
        <v>14</v>
      </c>
      <c r="T159" t="s">
        <v>90</v>
      </c>
      <c r="U159" t="s">
        <v>6376</v>
      </c>
      <c r="V159" t="s">
        <v>6378</v>
      </c>
      <c r="W159" t="s">
        <v>6356</v>
      </c>
      <c r="X159">
        <v>86</v>
      </c>
      <c r="Y159" t="s">
        <v>90</v>
      </c>
      <c r="Z159">
        <v>259</v>
      </c>
    </row>
    <row r="160" spans="1:26" x14ac:dyDescent="0.3">
      <c r="A160">
        <v>159</v>
      </c>
      <c r="B160" t="s">
        <v>442</v>
      </c>
      <c r="C160" t="s">
        <v>34</v>
      </c>
      <c r="D160" t="s">
        <v>25</v>
      </c>
      <c r="E160" t="s">
        <v>6353</v>
      </c>
      <c r="F160" t="s">
        <v>6394</v>
      </c>
      <c r="G160" t="s">
        <v>6390</v>
      </c>
      <c r="H160" t="s">
        <v>6384</v>
      </c>
      <c r="I160" t="s">
        <v>6397</v>
      </c>
      <c r="J160">
        <f>AVERAGE(ai_job_market[[#This Row],[min_salary]],ai_job_market[[#This Row],[max_salary]])</f>
        <v>89652.5</v>
      </c>
      <c r="K160" t="s">
        <v>6377</v>
      </c>
      <c r="L160" t="s">
        <v>14</v>
      </c>
      <c r="M160" t="s">
        <v>37</v>
      </c>
      <c r="N160" t="s">
        <v>4545</v>
      </c>
      <c r="O160" t="s">
        <v>4518</v>
      </c>
      <c r="P160">
        <v>63560</v>
      </c>
      <c r="Q160">
        <v>115745</v>
      </c>
      <c r="R160" s="2">
        <v>45914</v>
      </c>
      <c r="S160" t="s">
        <v>16</v>
      </c>
      <c r="T160" t="s">
        <v>101</v>
      </c>
      <c r="U160" t="s">
        <v>6383</v>
      </c>
      <c r="V160" t="s">
        <v>6388</v>
      </c>
      <c r="W160" t="s">
        <v>6353</v>
      </c>
      <c r="X160">
        <v>86</v>
      </c>
      <c r="Y160" t="s">
        <v>101</v>
      </c>
      <c r="Z160">
        <v>255</v>
      </c>
    </row>
    <row r="161" spans="1:26" x14ac:dyDescent="0.3">
      <c r="A161">
        <v>160</v>
      </c>
      <c r="B161" t="s">
        <v>445</v>
      </c>
      <c r="C161" t="s">
        <v>49</v>
      </c>
      <c r="D161" t="s">
        <v>12</v>
      </c>
      <c r="E161" t="s">
        <v>6358</v>
      </c>
      <c r="F161" t="s">
        <v>6392</v>
      </c>
      <c r="G161" t="s">
        <v>6379</v>
      </c>
      <c r="H161" t="s">
        <v>6396</v>
      </c>
      <c r="I161" t="s">
        <v>6389</v>
      </c>
      <c r="J161">
        <f>AVERAGE(ai_job_market[[#This Row],[min_salary]],ai_job_market[[#This Row],[max_salary]])</f>
        <v>111709</v>
      </c>
      <c r="K161"/>
      <c r="L161" t="s">
        <v>14</v>
      </c>
      <c r="M161" t="s">
        <v>37</v>
      </c>
      <c r="N161" t="s">
        <v>4546</v>
      </c>
      <c r="O161" t="s">
        <v>4547</v>
      </c>
      <c r="P161">
        <v>96246</v>
      </c>
      <c r="Q161">
        <v>127172</v>
      </c>
      <c r="R161" s="2">
        <v>45732</v>
      </c>
      <c r="S161" t="s">
        <v>16</v>
      </c>
      <c r="T161" t="s">
        <v>101</v>
      </c>
      <c r="U161" t="s">
        <v>6388</v>
      </c>
      <c r="V161" t="s">
        <v>6383</v>
      </c>
      <c r="W161" t="s">
        <v>6358</v>
      </c>
      <c r="X161">
        <v>96</v>
      </c>
      <c r="Y161" t="s">
        <v>101</v>
      </c>
      <c r="Z161">
        <v>255</v>
      </c>
    </row>
    <row r="162" spans="1:26" x14ac:dyDescent="0.3">
      <c r="A162">
        <v>161</v>
      </c>
      <c r="B162" t="s">
        <v>448</v>
      </c>
      <c r="C162" t="s">
        <v>49</v>
      </c>
      <c r="D162" t="s">
        <v>25</v>
      </c>
      <c r="E162" t="s">
        <v>77</v>
      </c>
      <c r="F162" t="s">
        <v>6391</v>
      </c>
      <c r="G162" t="s">
        <v>6395</v>
      </c>
      <c r="H162" t="s">
        <v>6380</v>
      </c>
      <c r="I162" t="s">
        <v>6392</v>
      </c>
      <c r="J162" s="6">
        <f>AVERAGE(ai_job_market[[#This Row],[min_salary]],ai_job_market[[#This Row],[max_salary]])</f>
        <v>181709.5</v>
      </c>
      <c r="K162"/>
      <c r="L162" t="s">
        <v>14</v>
      </c>
      <c r="M162" t="s">
        <v>51</v>
      </c>
      <c r="N162" t="s">
        <v>4548</v>
      </c>
      <c r="O162" t="s">
        <v>4361</v>
      </c>
      <c r="P162" s="5">
        <v>133411</v>
      </c>
      <c r="Q162" s="5">
        <v>230008</v>
      </c>
      <c r="R162" s="2">
        <v>45327</v>
      </c>
      <c r="S162" t="s">
        <v>14</v>
      </c>
      <c r="T162" t="s">
        <v>157</v>
      </c>
      <c r="U162" t="s">
        <v>6388</v>
      </c>
      <c r="W162" t="s">
        <v>77</v>
      </c>
      <c r="X162">
        <v>111</v>
      </c>
      <c r="Y162" t="s">
        <v>157</v>
      </c>
      <c r="Z162">
        <v>247</v>
      </c>
    </row>
    <row r="163" spans="1:26" x14ac:dyDescent="0.3">
      <c r="A163">
        <v>162</v>
      </c>
      <c r="B163" t="s">
        <v>451</v>
      </c>
      <c r="C163" t="s">
        <v>11</v>
      </c>
      <c r="D163" t="s">
        <v>67</v>
      </c>
      <c r="E163" t="s">
        <v>90</v>
      </c>
      <c r="F163" t="s">
        <v>6396</v>
      </c>
      <c r="G163" t="s">
        <v>6379</v>
      </c>
      <c r="J163">
        <f>AVERAGE(ai_job_market[[#This Row],[min_salary]],ai_job_market[[#This Row],[max_salary]])</f>
        <v>55813.5</v>
      </c>
      <c r="K163"/>
      <c r="L163" t="s">
        <v>22</v>
      </c>
      <c r="M163" t="s">
        <v>37</v>
      </c>
      <c r="N163" t="s">
        <v>4381</v>
      </c>
      <c r="O163" t="s">
        <v>4549</v>
      </c>
      <c r="P163">
        <v>44241</v>
      </c>
      <c r="Q163">
        <v>67386</v>
      </c>
      <c r="R163" s="2">
        <v>45264</v>
      </c>
      <c r="S163" t="s">
        <v>16</v>
      </c>
      <c r="T163" t="s">
        <v>77</v>
      </c>
      <c r="U163" t="s">
        <v>6375</v>
      </c>
      <c r="W163" t="s">
        <v>90</v>
      </c>
      <c r="X163">
        <v>80</v>
      </c>
      <c r="Y163" t="s">
        <v>77</v>
      </c>
      <c r="Z163">
        <v>251</v>
      </c>
    </row>
    <row r="164" spans="1:26" x14ac:dyDescent="0.3">
      <c r="A164">
        <v>163</v>
      </c>
      <c r="B164" t="s">
        <v>453</v>
      </c>
      <c r="C164" t="s">
        <v>49</v>
      </c>
      <c r="D164" t="s">
        <v>54</v>
      </c>
      <c r="E164" t="s">
        <v>6344</v>
      </c>
      <c r="F164" t="s">
        <v>6376</v>
      </c>
      <c r="G164" t="s">
        <v>6386</v>
      </c>
      <c r="H164" t="s">
        <v>6395</v>
      </c>
      <c r="I164" t="s">
        <v>6381</v>
      </c>
      <c r="J164">
        <f>AVERAGE(ai_job_market[[#This Row],[min_salary]],ai_job_market[[#This Row],[max_salary]])</f>
        <v>68090</v>
      </c>
      <c r="K164"/>
      <c r="L164" t="s">
        <v>14</v>
      </c>
      <c r="M164" t="s">
        <v>51</v>
      </c>
      <c r="N164" t="s">
        <v>4550</v>
      </c>
      <c r="O164" t="s">
        <v>4405</v>
      </c>
      <c r="P164">
        <v>42621</v>
      </c>
      <c r="Q164">
        <v>93559</v>
      </c>
      <c r="R164" s="2">
        <v>45732</v>
      </c>
      <c r="S164" t="s">
        <v>69</v>
      </c>
      <c r="T164" t="s">
        <v>101</v>
      </c>
      <c r="U164" t="s">
        <v>6389</v>
      </c>
      <c r="V164" t="s">
        <v>6388</v>
      </c>
      <c r="W164" t="s">
        <v>6344</v>
      </c>
      <c r="X164">
        <v>104</v>
      </c>
      <c r="Y164" t="s">
        <v>101</v>
      </c>
      <c r="Z164">
        <v>255</v>
      </c>
    </row>
    <row r="165" spans="1:26" x14ac:dyDescent="0.3">
      <c r="A165">
        <v>164</v>
      </c>
      <c r="B165" t="s">
        <v>456</v>
      </c>
      <c r="C165" t="s">
        <v>34</v>
      </c>
      <c r="D165" t="s">
        <v>67</v>
      </c>
      <c r="E165" t="s">
        <v>6353</v>
      </c>
      <c r="F165" t="s">
        <v>6390</v>
      </c>
      <c r="G165" t="s">
        <v>6394</v>
      </c>
      <c r="H165" t="s">
        <v>6378</v>
      </c>
      <c r="J165">
        <f>AVERAGE(ai_job_market[[#This Row],[min_salary]],ai_job_market[[#This Row],[max_salary]])</f>
        <v>123737</v>
      </c>
      <c r="K165"/>
      <c r="L165" t="s">
        <v>27</v>
      </c>
      <c r="M165" t="s">
        <v>42</v>
      </c>
      <c r="N165" t="s">
        <v>4551</v>
      </c>
      <c r="O165" t="s">
        <v>4429</v>
      </c>
      <c r="P165">
        <v>75069</v>
      </c>
      <c r="Q165">
        <v>172405</v>
      </c>
      <c r="R165" s="2">
        <v>45875</v>
      </c>
      <c r="S165" t="s">
        <v>14</v>
      </c>
      <c r="T165" t="s">
        <v>80</v>
      </c>
      <c r="U165" t="s">
        <v>6389</v>
      </c>
      <c r="W165" t="s">
        <v>6353</v>
      </c>
      <c r="X165">
        <v>86</v>
      </c>
      <c r="Y165" t="s">
        <v>80</v>
      </c>
      <c r="Z165">
        <v>249</v>
      </c>
    </row>
    <row r="166" spans="1:26" x14ac:dyDescent="0.3">
      <c r="A166">
        <v>165</v>
      </c>
      <c r="B166" t="s">
        <v>458</v>
      </c>
      <c r="C166" t="s">
        <v>11</v>
      </c>
      <c r="D166" t="s">
        <v>30</v>
      </c>
      <c r="E166" t="s">
        <v>6349</v>
      </c>
      <c r="F166" t="s">
        <v>6377</v>
      </c>
      <c r="G166" t="s">
        <v>6394</v>
      </c>
      <c r="H166" t="s">
        <v>6386</v>
      </c>
      <c r="J166">
        <f>AVERAGE(ai_job_market[[#This Row],[min_salary]],ai_job_market[[#This Row],[max_salary]])</f>
        <v>133328.5</v>
      </c>
      <c r="K166"/>
      <c r="L166" t="s">
        <v>14</v>
      </c>
      <c r="M166" t="s">
        <v>15</v>
      </c>
      <c r="N166" t="s">
        <v>4552</v>
      </c>
      <c r="O166" t="s">
        <v>4291</v>
      </c>
      <c r="P166">
        <v>110005</v>
      </c>
      <c r="Q166">
        <v>156652</v>
      </c>
      <c r="R166" s="2">
        <v>45761</v>
      </c>
      <c r="S166" t="s">
        <v>16</v>
      </c>
      <c r="T166" t="s">
        <v>70</v>
      </c>
      <c r="W166" t="s">
        <v>6349</v>
      </c>
      <c r="X166">
        <v>96</v>
      </c>
      <c r="Y166" t="s">
        <v>70</v>
      </c>
      <c r="Z166">
        <v>268</v>
      </c>
    </row>
    <row r="167" spans="1:26" x14ac:dyDescent="0.3">
      <c r="A167">
        <v>166</v>
      </c>
      <c r="B167" t="s">
        <v>460</v>
      </c>
      <c r="C167" t="s">
        <v>11</v>
      </c>
      <c r="D167" t="s">
        <v>20</v>
      </c>
      <c r="E167" t="s">
        <v>6351</v>
      </c>
      <c r="F167" t="s">
        <v>6374</v>
      </c>
      <c r="G167" t="s">
        <v>6379</v>
      </c>
      <c r="J167">
        <f>AVERAGE(ai_job_market[[#This Row],[min_salary]],ai_job_market[[#This Row],[max_salary]])</f>
        <v>142264.5</v>
      </c>
      <c r="K167"/>
      <c r="L167" t="s">
        <v>22</v>
      </c>
      <c r="M167" t="s">
        <v>51</v>
      </c>
      <c r="N167" t="s">
        <v>4553</v>
      </c>
      <c r="O167" t="s">
        <v>4554</v>
      </c>
      <c r="P167">
        <v>127733</v>
      </c>
      <c r="Q167">
        <v>156796</v>
      </c>
      <c r="R167" s="2">
        <v>45916</v>
      </c>
      <c r="S167" t="s">
        <v>16</v>
      </c>
      <c r="T167" t="s">
        <v>52</v>
      </c>
      <c r="U167" t="s">
        <v>6389</v>
      </c>
      <c r="V167" t="s">
        <v>6378</v>
      </c>
      <c r="W167" t="s">
        <v>6351</v>
      </c>
      <c r="X167">
        <v>89</v>
      </c>
      <c r="Y167" t="s">
        <v>52</v>
      </c>
      <c r="Z167">
        <v>238</v>
      </c>
    </row>
    <row r="168" spans="1:26" x14ac:dyDescent="0.3">
      <c r="A168">
        <v>167</v>
      </c>
      <c r="B168" t="s">
        <v>463</v>
      </c>
      <c r="C168" t="s">
        <v>19</v>
      </c>
      <c r="D168" t="s">
        <v>20</v>
      </c>
      <c r="E168" t="s">
        <v>70</v>
      </c>
      <c r="F168" t="s">
        <v>6384</v>
      </c>
      <c r="G168" t="s">
        <v>6386</v>
      </c>
      <c r="H168" t="s">
        <v>6374</v>
      </c>
      <c r="J168">
        <f>AVERAGE(ai_job_market[[#This Row],[min_salary]],ai_job_market[[#This Row],[max_salary]])</f>
        <v>107123.5</v>
      </c>
      <c r="K168"/>
      <c r="L168" t="s">
        <v>22</v>
      </c>
      <c r="M168" t="s">
        <v>51</v>
      </c>
      <c r="N168" t="s">
        <v>4555</v>
      </c>
      <c r="O168" t="s">
        <v>4556</v>
      </c>
      <c r="P168">
        <v>81580</v>
      </c>
      <c r="Q168">
        <v>132667</v>
      </c>
      <c r="R168" s="2">
        <v>45398</v>
      </c>
      <c r="S168" t="s">
        <v>69</v>
      </c>
      <c r="T168" t="s">
        <v>80</v>
      </c>
      <c r="U168" t="s">
        <v>6388</v>
      </c>
      <c r="W168" t="s">
        <v>70</v>
      </c>
      <c r="X168">
        <v>100</v>
      </c>
      <c r="Y168" t="s">
        <v>80</v>
      </c>
      <c r="Z168">
        <v>249</v>
      </c>
    </row>
    <row r="169" spans="1:26" x14ac:dyDescent="0.3">
      <c r="A169">
        <v>168</v>
      </c>
      <c r="B169" t="s">
        <v>465</v>
      </c>
      <c r="C169" t="s">
        <v>45</v>
      </c>
      <c r="D169" t="s">
        <v>12</v>
      </c>
      <c r="E169" t="s">
        <v>77</v>
      </c>
      <c r="F169" t="s">
        <v>6374</v>
      </c>
      <c r="G169" t="s">
        <v>6393</v>
      </c>
      <c r="H169" t="s">
        <v>6377</v>
      </c>
      <c r="I169" t="s">
        <v>6387</v>
      </c>
      <c r="J169">
        <f>AVERAGE(ai_job_market[[#This Row],[min_salary]],ai_job_market[[#This Row],[max_salary]])</f>
        <v>60126.5</v>
      </c>
      <c r="K169"/>
      <c r="L169" t="s">
        <v>27</v>
      </c>
      <c r="M169" t="s">
        <v>51</v>
      </c>
      <c r="N169" t="s">
        <v>4557</v>
      </c>
      <c r="O169" t="s">
        <v>4444</v>
      </c>
      <c r="P169">
        <v>46318</v>
      </c>
      <c r="Q169">
        <v>73935</v>
      </c>
      <c r="R169" s="2">
        <v>45583</v>
      </c>
      <c r="S169" t="s">
        <v>14</v>
      </c>
      <c r="T169" t="s">
        <v>80</v>
      </c>
      <c r="W169" t="s">
        <v>77</v>
      </c>
      <c r="X169">
        <v>111</v>
      </c>
      <c r="Y169" t="s">
        <v>80</v>
      </c>
      <c r="Z169">
        <v>249</v>
      </c>
    </row>
    <row r="170" spans="1:26" x14ac:dyDescent="0.3">
      <c r="A170">
        <v>169</v>
      </c>
      <c r="B170" t="s">
        <v>467</v>
      </c>
      <c r="C170" t="s">
        <v>34</v>
      </c>
      <c r="D170" t="s">
        <v>12</v>
      </c>
      <c r="E170" t="s">
        <v>6358</v>
      </c>
      <c r="F170" t="s">
        <v>6396</v>
      </c>
      <c r="G170" t="s">
        <v>6381</v>
      </c>
      <c r="H170" t="s">
        <v>6386</v>
      </c>
      <c r="I170" t="s">
        <v>6391</v>
      </c>
      <c r="J170">
        <f>AVERAGE(ai_job_market[[#This Row],[min_salary]],ai_job_market[[#This Row],[max_salary]])</f>
        <v>128378</v>
      </c>
      <c r="K170"/>
      <c r="L170" t="s">
        <v>27</v>
      </c>
      <c r="M170" t="s">
        <v>15</v>
      </c>
      <c r="N170" t="s">
        <v>4558</v>
      </c>
      <c r="O170" t="s">
        <v>4559</v>
      </c>
      <c r="P170">
        <v>83360</v>
      </c>
      <c r="Q170">
        <v>173396</v>
      </c>
      <c r="R170" s="2">
        <v>45637</v>
      </c>
      <c r="S170" t="s">
        <v>69</v>
      </c>
      <c r="T170" t="s">
        <v>77</v>
      </c>
      <c r="U170" t="s">
        <v>6389</v>
      </c>
      <c r="V170" t="s">
        <v>6383</v>
      </c>
      <c r="W170" t="s">
        <v>6358</v>
      </c>
      <c r="X170">
        <v>96</v>
      </c>
      <c r="Y170" t="s">
        <v>77</v>
      </c>
      <c r="Z170">
        <v>251</v>
      </c>
    </row>
    <row r="171" spans="1:26" x14ac:dyDescent="0.3">
      <c r="A171">
        <v>170</v>
      </c>
      <c r="B171" t="s">
        <v>470</v>
      </c>
      <c r="C171" t="s">
        <v>40</v>
      </c>
      <c r="D171" t="s">
        <v>54</v>
      </c>
      <c r="E171" t="s">
        <v>77</v>
      </c>
      <c r="F171" t="s">
        <v>6386</v>
      </c>
      <c r="G171" t="s">
        <v>6375</v>
      </c>
      <c r="J171">
        <f>AVERAGE(ai_job_market[[#This Row],[min_salary]],ai_job_market[[#This Row],[max_salary]])</f>
        <v>99926</v>
      </c>
      <c r="K171"/>
      <c r="L171" t="s">
        <v>14</v>
      </c>
      <c r="M171" t="s">
        <v>42</v>
      </c>
      <c r="N171" t="s">
        <v>4560</v>
      </c>
      <c r="O171" t="s">
        <v>4454</v>
      </c>
      <c r="P171">
        <v>50841</v>
      </c>
      <c r="Q171">
        <v>149011</v>
      </c>
      <c r="R171" s="2">
        <v>45779</v>
      </c>
      <c r="S171" t="s">
        <v>14</v>
      </c>
      <c r="T171" t="s">
        <v>70</v>
      </c>
      <c r="W171" t="s">
        <v>77</v>
      </c>
      <c r="X171">
        <v>111</v>
      </c>
      <c r="Y171" t="s">
        <v>70</v>
      </c>
      <c r="Z171">
        <v>268</v>
      </c>
    </row>
    <row r="172" spans="1:26" x14ac:dyDescent="0.3">
      <c r="A172">
        <v>171</v>
      </c>
      <c r="B172" t="s">
        <v>472</v>
      </c>
      <c r="C172" t="s">
        <v>40</v>
      </c>
      <c r="D172" t="s">
        <v>30</v>
      </c>
      <c r="E172" t="s">
        <v>6354</v>
      </c>
      <c r="F172" t="s">
        <v>6397</v>
      </c>
      <c r="G172" t="s">
        <v>6390</v>
      </c>
      <c r="J172">
        <f>AVERAGE(ai_job_market[[#This Row],[min_salary]],ai_job_market[[#This Row],[max_salary]])</f>
        <v>133959.5</v>
      </c>
      <c r="K172"/>
      <c r="L172" t="s">
        <v>22</v>
      </c>
      <c r="M172" t="s">
        <v>51</v>
      </c>
      <c r="N172" t="s">
        <v>4561</v>
      </c>
      <c r="O172" t="s">
        <v>4562</v>
      </c>
      <c r="P172">
        <v>84196</v>
      </c>
      <c r="Q172">
        <v>183723</v>
      </c>
      <c r="R172" s="2">
        <v>45731</v>
      </c>
      <c r="S172" t="s">
        <v>69</v>
      </c>
      <c r="T172" t="s">
        <v>77</v>
      </c>
      <c r="U172" t="s">
        <v>6375</v>
      </c>
      <c r="V172" t="s">
        <v>6384</v>
      </c>
      <c r="W172" t="s">
        <v>6354</v>
      </c>
      <c r="X172">
        <v>75</v>
      </c>
      <c r="Y172" t="s">
        <v>77</v>
      </c>
      <c r="Z172">
        <v>251</v>
      </c>
    </row>
    <row r="173" spans="1:26" x14ac:dyDescent="0.3">
      <c r="A173">
        <v>172</v>
      </c>
      <c r="B173" t="s">
        <v>474</v>
      </c>
      <c r="C173" t="s">
        <v>19</v>
      </c>
      <c r="D173" t="s">
        <v>135</v>
      </c>
      <c r="E173" t="s">
        <v>6356</v>
      </c>
      <c r="F173" t="s">
        <v>6391</v>
      </c>
      <c r="G173" t="s">
        <v>6393</v>
      </c>
      <c r="H173" t="s">
        <v>6378</v>
      </c>
      <c r="I173" t="s">
        <v>6396</v>
      </c>
      <c r="J173">
        <f>AVERAGE(ai_job_market[[#This Row],[min_salary]],ai_job_market[[#This Row],[max_salary]])</f>
        <v>137107.5</v>
      </c>
      <c r="K173"/>
      <c r="L173" t="s">
        <v>14</v>
      </c>
      <c r="M173" t="s">
        <v>37</v>
      </c>
      <c r="N173" t="s">
        <v>4563</v>
      </c>
      <c r="O173" t="s">
        <v>4564</v>
      </c>
      <c r="P173">
        <v>92704</v>
      </c>
      <c r="Q173">
        <v>181511</v>
      </c>
      <c r="R173" s="2">
        <v>45437</v>
      </c>
      <c r="S173" t="s">
        <v>14</v>
      </c>
      <c r="T173" t="s">
        <v>128</v>
      </c>
      <c r="U173" t="s">
        <v>6388</v>
      </c>
      <c r="W173" t="s">
        <v>6356</v>
      </c>
      <c r="X173">
        <v>86</v>
      </c>
      <c r="Y173" t="s">
        <v>128</v>
      </c>
      <c r="Z173">
        <v>233</v>
      </c>
    </row>
    <row r="174" spans="1:26" x14ac:dyDescent="0.3">
      <c r="A174">
        <v>173</v>
      </c>
      <c r="B174" t="s">
        <v>476</v>
      </c>
      <c r="C174" t="s">
        <v>19</v>
      </c>
      <c r="D174" t="s">
        <v>35</v>
      </c>
      <c r="E174" t="s">
        <v>80</v>
      </c>
      <c r="F174" t="s">
        <v>6380</v>
      </c>
      <c r="G174" t="s">
        <v>6374</v>
      </c>
      <c r="H174" t="s">
        <v>6392</v>
      </c>
      <c r="I174" t="s">
        <v>6387</v>
      </c>
      <c r="J174">
        <f>AVERAGE(ai_job_market[[#This Row],[min_salary]],ai_job_market[[#This Row],[max_salary]])</f>
        <v>97428.5</v>
      </c>
      <c r="K174"/>
      <c r="L174" t="s">
        <v>27</v>
      </c>
      <c r="M174" t="s">
        <v>51</v>
      </c>
      <c r="N174" t="s">
        <v>4565</v>
      </c>
      <c r="O174" t="s">
        <v>4566</v>
      </c>
      <c r="P174">
        <v>61245</v>
      </c>
      <c r="Q174">
        <v>133612</v>
      </c>
      <c r="R174" s="2">
        <v>45322</v>
      </c>
      <c r="S174" t="s">
        <v>14</v>
      </c>
      <c r="T174" t="s">
        <v>77</v>
      </c>
      <c r="U174" t="s">
        <v>6375</v>
      </c>
      <c r="W174" t="s">
        <v>80</v>
      </c>
      <c r="X174">
        <v>95</v>
      </c>
      <c r="Y174" t="s">
        <v>77</v>
      </c>
      <c r="Z174">
        <v>251</v>
      </c>
    </row>
    <row r="175" spans="1:26" x14ac:dyDescent="0.3">
      <c r="A175">
        <v>174</v>
      </c>
      <c r="B175" t="s">
        <v>478</v>
      </c>
      <c r="C175" t="s">
        <v>72</v>
      </c>
      <c r="D175" t="s">
        <v>30</v>
      </c>
      <c r="E175" t="s">
        <v>6344</v>
      </c>
      <c r="F175" t="s">
        <v>6389</v>
      </c>
      <c r="G175" t="s">
        <v>6397</v>
      </c>
      <c r="H175" t="s">
        <v>6385</v>
      </c>
      <c r="I175" t="s">
        <v>6391</v>
      </c>
      <c r="J175">
        <f>AVERAGE(ai_job_market[[#This Row],[min_salary]],ai_job_market[[#This Row],[max_salary]])</f>
        <v>122493</v>
      </c>
      <c r="K175"/>
      <c r="L175" t="s">
        <v>14</v>
      </c>
      <c r="M175" t="s">
        <v>51</v>
      </c>
      <c r="N175" t="s">
        <v>4336</v>
      </c>
      <c r="O175" t="s">
        <v>4283</v>
      </c>
      <c r="P175">
        <v>91839</v>
      </c>
      <c r="Q175">
        <v>153147</v>
      </c>
      <c r="R175" s="2">
        <v>45505</v>
      </c>
      <c r="S175" t="s">
        <v>16</v>
      </c>
      <c r="T175" t="s">
        <v>77</v>
      </c>
      <c r="U175" t="s">
        <v>6389</v>
      </c>
      <c r="W175" t="s">
        <v>6344</v>
      </c>
      <c r="X175">
        <v>104</v>
      </c>
      <c r="Y175" t="s">
        <v>77</v>
      </c>
      <c r="Z175">
        <v>251</v>
      </c>
    </row>
    <row r="176" spans="1:26" x14ac:dyDescent="0.3">
      <c r="A176">
        <v>175</v>
      </c>
      <c r="B176" t="s">
        <v>481</v>
      </c>
      <c r="C176" t="s">
        <v>19</v>
      </c>
      <c r="D176" t="s">
        <v>30</v>
      </c>
      <c r="E176" t="s">
        <v>6344</v>
      </c>
      <c r="F176" t="s">
        <v>6375</v>
      </c>
      <c r="G176" t="s">
        <v>6385</v>
      </c>
      <c r="H176" t="s">
        <v>6389</v>
      </c>
      <c r="I176" t="s">
        <v>6384</v>
      </c>
      <c r="J176" s="6">
        <f>AVERAGE(ai_job_market[[#This Row],[min_salary]],ai_job_market[[#This Row],[max_salary]])</f>
        <v>107572</v>
      </c>
      <c r="K176"/>
      <c r="L176" t="s">
        <v>27</v>
      </c>
      <c r="M176" t="s">
        <v>37</v>
      </c>
      <c r="N176" t="s">
        <v>4567</v>
      </c>
      <c r="O176" t="s">
        <v>4414</v>
      </c>
      <c r="P176" s="5">
        <v>65330</v>
      </c>
      <c r="Q176" s="5">
        <v>149814</v>
      </c>
      <c r="R176" s="2">
        <v>45681</v>
      </c>
      <c r="S176" t="s">
        <v>14</v>
      </c>
      <c r="T176" t="s">
        <v>80</v>
      </c>
      <c r="U176" t="s">
        <v>6383</v>
      </c>
      <c r="V176" t="s">
        <v>6389</v>
      </c>
      <c r="W176" t="s">
        <v>6344</v>
      </c>
      <c r="X176">
        <v>104</v>
      </c>
      <c r="Y176" t="s">
        <v>80</v>
      </c>
      <c r="Z176">
        <v>249</v>
      </c>
    </row>
    <row r="177" spans="1:26" x14ac:dyDescent="0.3">
      <c r="A177">
        <v>176</v>
      </c>
      <c r="B177" t="s">
        <v>484</v>
      </c>
      <c r="C177" t="s">
        <v>45</v>
      </c>
      <c r="D177" t="s">
        <v>67</v>
      </c>
      <c r="E177" t="s">
        <v>6358</v>
      </c>
      <c r="F177" t="s">
        <v>6391</v>
      </c>
      <c r="G177" t="s">
        <v>6378</v>
      </c>
      <c r="H177" t="s">
        <v>6379</v>
      </c>
      <c r="I177" t="s">
        <v>6394</v>
      </c>
      <c r="J177">
        <f>AVERAGE(ai_job_market[[#This Row],[min_salary]],ai_job_market[[#This Row],[max_salary]])</f>
        <v>176327.5</v>
      </c>
      <c r="K177"/>
      <c r="L177" t="s">
        <v>14</v>
      </c>
      <c r="M177" t="s">
        <v>37</v>
      </c>
      <c r="N177" t="s">
        <v>4568</v>
      </c>
      <c r="O177" t="s">
        <v>4367</v>
      </c>
      <c r="P177">
        <v>142316</v>
      </c>
      <c r="Q177">
        <v>210339</v>
      </c>
      <c r="R177" s="2">
        <v>45678</v>
      </c>
      <c r="S177" t="s">
        <v>14</v>
      </c>
      <c r="T177" t="s">
        <v>157</v>
      </c>
      <c r="U177" t="s">
        <v>6388</v>
      </c>
      <c r="W177" t="s">
        <v>6358</v>
      </c>
      <c r="X177">
        <v>96</v>
      </c>
      <c r="Y177" t="s">
        <v>157</v>
      </c>
      <c r="Z177">
        <v>247</v>
      </c>
    </row>
    <row r="178" spans="1:26" x14ac:dyDescent="0.3">
      <c r="A178">
        <v>177</v>
      </c>
      <c r="B178" t="s">
        <v>486</v>
      </c>
      <c r="C178" t="s">
        <v>34</v>
      </c>
      <c r="D178" t="s">
        <v>25</v>
      </c>
      <c r="E178" t="s">
        <v>6345</v>
      </c>
      <c r="F178" t="s">
        <v>6391</v>
      </c>
      <c r="G178" t="s">
        <v>6397</v>
      </c>
      <c r="H178" t="s">
        <v>6387</v>
      </c>
      <c r="I178" t="s">
        <v>6393</v>
      </c>
      <c r="J178">
        <f>AVERAGE(ai_job_market[[#This Row],[min_salary]],ai_job_market[[#This Row],[max_salary]])</f>
        <v>120114.5</v>
      </c>
      <c r="K178"/>
      <c r="L178" t="s">
        <v>14</v>
      </c>
      <c r="M178" t="s">
        <v>51</v>
      </c>
      <c r="N178" t="s">
        <v>4569</v>
      </c>
      <c r="O178" t="s">
        <v>4355</v>
      </c>
      <c r="P178">
        <v>86369</v>
      </c>
      <c r="Q178">
        <v>153860</v>
      </c>
      <c r="R178" s="2">
        <v>45776</v>
      </c>
      <c r="S178" t="s">
        <v>14</v>
      </c>
      <c r="T178" t="s">
        <v>128</v>
      </c>
      <c r="U178" t="s">
        <v>6379</v>
      </c>
      <c r="V178" t="s">
        <v>6389</v>
      </c>
      <c r="W178" t="s">
        <v>6345</v>
      </c>
      <c r="X178">
        <v>101</v>
      </c>
      <c r="Y178" t="s">
        <v>128</v>
      </c>
      <c r="Z178">
        <v>233</v>
      </c>
    </row>
    <row r="179" spans="1:26" x14ac:dyDescent="0.3">
      <c r="A179">
        <v>178</v>
      </c>
      <c r="B179" t="s">
        <v>489</v>
      </c>
      <c r="C179" t="s">
        <v>11</v>
      </c>
      <c r="D179" t="s">
        <v>30</v>
      </c>
      <c r="E179" t="s">
        <v>6358</v>
      </c>
      <c r="F179" t="s">
        <v>6389</v>
      </c>
      <c r="G179" t="s">
        <v>6394</v>
      </c>
      <c r="H179" t="s">
        <v>6382</v>
      </c>
      <c r="J179">
        <f>AVERAGE(ai_job_market[[#This Row],[min_salary]],ai_job_market[[#This Row],[max_salary]])</f>
        <v>163893.5</v>
      </c>
      <c r="K179"/>
      <c r="L179" t="s">
        <v>22</v>
      </c>
      <c r="M179" t="s">
        <v>15</v>
      </c>
      <c r="N179" t="s">
        <v>4570</v>
      </c>
      <c r="O179" t="s">
        <v>4571</v>
      </c>
      <c r="P179">
        <v>123834</v>
      </c>
      <c r="Q179">
        <v>203953</v>
      </c>
      <c r="R179" s="2">
        <v>45870</v>
      </c>
      <c r="S179" t="s">
        <v>69</v>
      </c>
      <c r="T179" t="s">
        <v>101</v>
      </c>
      <c r="U179" t="s">
        <v>6375</v>
      </c>
      <c r="V179" t="s">
        <v>6379</v>
      </c>
      <c r="W179" t="s">
        <v>6358</v>
      </c>
      <c r="X179">
        <v>96</v>
      </c>
      <c r="Y179" t="s">
        <v>101</v>
      </c>
      <c r="Z179">
        <v>255</v>
      </c>
    </row>
    <row r="180" spans="1:26" x14ac:dyDescent="0.3">
      <c r="A180">
        <v>179</v>
      </c>
      <c r="B180" t="s">
        <v>492</v>
      </c>
      <c r="C180" t="s">
        <v>45</v>
      </c>
      <c r="D180" t="s">
        <v>30</v>
      </c>
      <c r="E180" t="s">
        <v>70</v>
      </c>
      <c r="F180" t="s">
        <v>6387</v>
      </c>
      <c r="G180" t="s">
        <v>6393</v>
      </c>
      <c r="H180" t="s">
        <v>6376</v>
      </c>
      <c r="J180">
        <f>AVERAGE(ai_job_market[[#This Row],[min_salary]],ai_job_market[[#This Row],[max_salary]])</f>
        <v>107416.5</v>
      </c>
      <c r="K180"/>
      <c r="L180" t="s">
        <v>14</v>
      </c>
      <c r="M180" t="s">
        <v>42</v>
      </c>
      <c r="N180" t="s">
        <v>4572</v>
      </c>
      <c r="O180" t="s">
        <v>4387</v>
      </c>
      <c r="P180">
        <v>86874</v>
      </c>
      <c r="Q180">
        <v>127959</v>
      </c>
      <c r="R180" s="2">
        <v>45572</v>
      </c>
      <c r="S180" t="s">
        <v>14</v>
      </c>
      <c r="T180" t="s">
        <v>80</v>
      </c>
      <c r="U180" t="s">
        <v>6388</v>
      </c>
      <c r="V180" t="s">
        <v>6383</v>
      </c>
      <c r="W180" t="s">
        <v>70</v>
      </c>
      <c r="X180">
        <v>100</v>
      </c>
      <c r="Y180" t="s">
        <v>80</v>
      </c>
      <c r="Z180">
        <v>249</v>
      </c>
    </row>
    <row r="181" spans="1:26" x14ac:dyDescent="0.3">
      <c r="A181">
        <v>180</v>
      </c>
      <c r="B181" t="s">
        <v>495</v>
      </c>
      <c r="C181" t="s">
        <v>72</v>
      </c>
      <c r="D181" t="s">
        <v>135</v>
      </c>
      <c r="E181" t="s">
        <v>6358</v>
      </c>
      <c r="F181" t="s">
        <v>6384</v>
      </c>
      <c r="G181" t="s">
        <v>6391</v>
      </c>
      <c r="H181" t="s">
        <v>6380</v>
      </c>
      <c r="I181" t="s">
        <v>6377</v>
      </c>
      <c r="J181" s="6">
        <f>AVERAGE(ai_job_market[[#This Row],[min_salary]],ai_job_market[[#This Row],[max_salary]])</f>
        <v>117453.5</v>
      </c>
      <c r="K181" t="s">
        <v>6382</v>
      </c>
      <c r="L181" t="s">
        <v>27</v>
      </c>
      <c r="M181" t="s">
        <v>51</v>
      </c>
      <c r="N181" t="s">
        <v>4573</v>
      </c>
      <c r="O181" t="s">
        <v>4349</v>
      </c>
      <c r="P181" s="5">
        <v>91853</v>
      </c>
      <c r="Q181" s="5">
        <v>143054</v>
      </c>
      <c r="R181" s="2">
        <v>45344</v>
      </c>
      <c r="S181" t="s">
        <v>69</v>
      </c>
      <c r="T181" t="s">
        <v>80</v>
      </c>
      <c r="U181" t="s">
        <v>6378</v>
      </c>
      <c r="W181" t="s">
        <v>6358</v>
      </c>
      <c r="X181">
        <v>96</v>
      </c>
      <c r="Y181" t="s">
        <v>80</v>
      </c>
      <c r="Z181">
        <v>249</v>
      </c>
    </row>
    <row r="182" spans="1:26" x14ac:dyDescent="0.3">
      <c r="A182">
        <v>181</v>
      </c>
      <c r="B182" t="s">
        <v>498</v>
      </c>
      <c r="C182" t="s">
        <v>40</v>
      </c>
      <c r="D182" t="s">
        <v>12</v>
      </c>
      <c r="E182" t="s">
        <v>6359</v>
      </c>
      <c r="F182" t="s">
        <v>6381</v>
      </c>
      <c r="G182" t="s">
        <v>6376</v>
      </c>
      <c r="H182" t="s">
        <v>6386</v>
      </c>
      <c r="J182">
        <f>AVERAGE(ai_job_market[[#This Row],[min_salary]],ai_job_market[[#This Row],[max_salary]])</f>
        <v>149154</v>
      </c>
      <c r="K182"/>
      <c r="L182" t="s">
        <v>22</v>
      </c>
      <c r="M182" t="s">
        <v>42</v>
      </c>
      <c r="N182" t="s">
        <v>4574</v>
      </c>
      <c r="O182" t="s">
        <v>4526</v>
      </c>
      <c r="P182">
        <v>115282</v>
      </c>
      <c r="Q182">
        <v>183026</v>
      </c>
      <c r="R182" s="2">
        <v>45800</v>
      </c>
      <c r="S182" t="s">
        <v>16</v>
      </c>
      <c r="T182" t="s">
        <v>157</v>
      </c>
      <c r="U182" t="s">
        <v>6376</v>
      </c>
      <c r="V182" t="s">
        <v>6375</v>
      </c>
      <c r="W182" t="s">
        <v>6359</v>
      </c>
      <c r="X182">
        <v>104</v>
      </c>
      <c r="Y182" t="s">
        <v>157</v>
      </c>
      <c r="Z182">
        <v>247</v>
      </c>
    </row>
    <row r="183" spans="1:26" x14ac:dyDescent="0.3">
      <c r="A183">
        <v>182</v>
      </c>
      <c r="B183" t="s">
        <v>501</v>
      </c>
      <c r="C183" t="s">
        <v>34</v>
      </c>
      <c r="D183" t="s">
        <v>67</v>
      </c>
      <c r="E183" t="s">
        <v>101</v>
      </c>
      <c r="F183" t="s">
        <v>6379</v>
      </c>
      <c r="G183" t="s">
        <v>6393</v>
      </c>
      <c r="H183" t="s">
        <v>6397</v>
      </c>
      <c r="J183">
        <f>AVERAGE(ai_job_market[[#This Row],[min_salary]],ai_job_market[[#This Row],[max_salary]])</f>
        <v>140725</v>
      </c>
      <c r="K183"/>
      <c r="L183" t="s">
        <v>14</v>
      </c>
      <c r="M183" t="s">
        <v>51</v>
      </c>
      <c r="N183" t="s">
        <v>4575</v>
      </c>
      <c r="O183" t="s">
        <v>4576</v>
      </c>
      <c r="P183">
        <v>100075</v>
      </c>
      <c r="Q183">
        <v>181375</v>
      </c>
      <c r="R183" s="2">
        <v>45451</v>
      </c>
      <c r="S183" t="s">
        <v>69</v>
      </c>
      <c r="T183" t="s">
        <v>128</v>
      </c>
      <c r="W183" t="s">
        <v>101</v>
      </c>
      <c r="X183">
        <v>76</v>
      </c>
      <c r="Y183" t="s">
        <v>128</v>
      </c>
      <c r="Z183">
        <v>233</v>
      </c>
    </row>
    <row r="184" spans="1:26" x14ac:dyDescent="0.3">
      <c r="A184">
        <v>183</v>
      </c>
      <c r="B184" t="s">
        <v>503</v>
      </c>
      <c r="C184" t="s">
        <v>11</v>
      </c>
      <c r="D184" t="s">
        <v>135</v>
      </c>
      <c r="E184" t="s">
        <v>6347</v>
      </c>
      <c r="F184" t="s">
        <v>6394</v>
      </c>
      <c r="G184" t="s">
        <v>6392</v>
      </c>
      <c r="H184" t="s">
        <v>6379</v>
      </c>
      <c r="I184" t="s">
        <v>6387</v>
      </c>
      <c r="J184">
        <f>AVERAGE(ai_job_market[[#This Row],[min_salary]],ai_job_market[[#This Row],[max_salary]])</f>
        <v>119939</v>
      </c>
      <c r="K184"/>
      <c r="L184" t="s">
        <v>27</v>
      </c>
      <c r="M184" t="s">
        <v>51</v>
      </c>
      <c r="N184" t="s">
        <v>4577</v>
      </c>
      <c r="O184" t="s">
        <v>4578</v>
      </c>
      <c r="P184">
        <v>84286</v>
      </c>
      <c r="Q184">
        <v>155592</v>
      </c>
      <c r="R184" s="2">
        <v>45526</v>
      </c>
      <c r="S184" t="s">
        <v>69</v>
      </c>
      <c r="T184" t="s">
        <v>52</v>
      </c>
      <c r="U184" t="s">
        <v>6384</v>
      </c>
      <c r="W184" t="s">
        <v>6347</v>
      </c>
      <c r="X184">
        <v>94</v>
      </c>
      <c r="Y184" t="s">
        <v>52</v>
      </c>
      <c r="Z184">
        <v>238</v>
      </c>
    </row>
    <row r="185" spans="1:26" x14ac:dyDescent="0.3">
      <c r="A185">
        <v>184</v>
      </c>
      <c r="B185" t="s">
        <v>505</v>
      </c>
      <c r="C185" t="s">
        <v>45</v>
      </c>
      <c r="D185" t="s">
        <v>25</v>
      </c>
      <c r="E185" t="s">
        <v>128</v>
      </c>
      <c r="F185" t="s">
        <v>6397</v>
      </c>
      <c r="G185" t="s">
        <v>6377</v>
      </c>
      <c r="H185" t="s">
        <v>6389</v>
      </c>
      <c r="J185">
        <f>AVERAGE(ai_job_market[[#This Row],[min_salary]],ai_job_market[[#This Row],[max_salary]])</f>
        <v>114837.5</v>
      </c>
      <c r="K185"/>
      <c r="L185" t="s">
        <v>22</v>
      </c>
      <c r="M185" t="s">
        <v>15</v>
      </c>
      <c r="N185" t="s">
        <v>4579</v>
      </c>
      <c r="O185" t="s">
        <v>4314</v>
      </c>
      <c r="P185">
        <v>81464</v>
      </c>
      <c r="Q185">
        <v>148211</v>
      </c>
      <c r="R185" s="2">
        <v>45377</v>
      </c>
      <c r="S185" t="s">
        <v>16</v>
      </c>
      <c r="T185" t="s">
        <v>101</v>
      </c>
      <c r="U185" t="s">
        <v>6388</v>
      </c>
      <c r="W185" t="s">
        <v>128</v>
      </c>
      <c r="X185">
        <v>92</v>
      </c>
      <c r="Y185" t="s">
        <v>101</v>
      </c>
      <c r="Z185">
        <v>255</v>
      </c>
    </row>
    <row r="186" spans="1:26" x14ac:dyDescent="0.3">
      <c r="A186">
        <v>185</v>
      </c>
      <c r="B186" t="s">
        <v>508</v>
      </c>
      <c r="C186" t="s">
        <v>49</v>
      </c>
      <c r="D186" t="s">
        <v>20</v>
      </c>
      <c r="E186" t="s">
        <v>6347</v>
      </c>
      <c r="F186" t="s">
        <v>6389</v>
      </c>
      <c r="G186" t="s">
        <v>6391</v>
      </c>
      <c r="H186" t="s">
        <v>6384</v>
      </c>
      <c r="I186" t="s">
        <v>6395</v>
      </c>
      <c r="J186">
        <f>AVERAGE(ai_job_market[[#This Row],[min_salary]],ai_job_market[[#This Row],[max_salary]])</f>
        <v>164636</v>
      </c>
      <c r="K186"/>
      <c r="L186" t="s">
        <v>27</v>
      </c>
      <c r="M186" t="s">
        <v>42</v>
      </c>
      <c r="N186" t="s">
        <v>4580</v>
      </c>
      <c r="O186" t="s">
        <v>4571</v>
      </c>
      <c r="P186">
        <v>142464</v>
      </c>
      <c r="Q186">
        <v>186808</v>
      </c>
      <c r="R186" s="2">
        <v>45686</v>
      </c>
      <c r="S186" t="s">
        <v>14</v>
      </c>
      <c r="T186" t="s">
        <v>80</v>
      </c>
      <c r="W186" t="s">
        <v>6347</v>
      </c>
      <c r="X186">
        <v>94</v>
      </c>
      <c r="Y186" t="s">
        <v>80</v>
      </c>
      <c r="Z186">
        <v>249</v>
      </c>
    </row>
    <row r="187" spans="1:26" x14ac:dyDescent="0.3">
      <c r="A187">
        <v>186</v>
      </c>
      <c r="B187" t="s">
        <v>510</v>
      </c>
      <c r="C187" t="s">
        <v>40</v>
      </c>
      <c r="D187" t="s">
        <v>12</v>
      </c>
      <c r="E187" t="s">
        <v>6344</v>
      </c>
      <c r="F187" t="s">
        <v>6387</v>
      </c>
      <c r="G187" t="s">
        <v>6389</v>
      </c>
      <c r="H187" t="s">
        <v>6385</v>
      </c>
      <c r="I187" t="s">
        <v>6378</v>
      </c>
      <c r="J187" s="6">
        <f>AVERAGE(ai_job_market[[#This Row],[min_salary]],ai_job_market[[#This Row],[max_salary]])</f>
        <v>141388.5</v>
      </c>
      <c r="K187"/>
      <c r="L187" t="s">
        <v>27</v>
      </c>
      <c r="M187" t="s">
        <v>37</v>
      </c>
      <c r="N187" t="s">
        <v>4581</v>
      </c>
      <c r="O187" t="s">
        <v>4582</v>
      </c>
      <c r="P187" s="5">
        <v>121357</v>
      </c>
      <c r="Q187" s="5">
        <v>161420</v>
      </c>
      <c r="R187" s="2">
        <v>45586</v>
      </c>
      <c r="S187" t="s">
        <v>16</v>
      </c>
      <c r="T187" t="s">
        <v>52</v>
      </c>
      <c r="W187" t="s">
        <v>6344</v>
      </c>
      <c r="X187">
        <v>104</v>
      </c>
      <c r="Y187" t="s">
        <v>52</v>
      </c>
      <c r="Z187">
        <v>238</v>
      </c>
    </row>
    <row r="188" spans="1:26" x14ac:dyDescent="0.3">
      <c r="A188">
        <v>187</v>
      </c>
      <c r="B188" t="s">
        <v>512</v>
      </c>
      <c r="C188" t="s">
        <v>11</v>
      </c>
      <c r="D188" t="s">
        <v>135</v>
      </c>
      <c r="E188" t="s">
        <v>6345</v>
      </c>
      <c r="F188" t="s">
        <v>6380</v>
      </c>
      <c r="G188" t="s">
        <v>6382</v>
      </c>
      <c r="J188">
        <f>AVERAGE(ai_job_market[[#This Row],[min_salary]],ai_job_market[[#This Row],[max_salary]])</f>
        <v>138735.5</v>
      </c>
      <c r="K188"/>
      <c r="L188" t="s">
        <v>14</v>
      </c>
      <c r="M188" t="s">
        <v>15</v>
      </c>
      <c r="N188" t="s">
        <v>4583</v>
      </c>
      <c r="O188" t="s">
        <v>4584</v>
      </c>
      <c r="P188">
        <v>126266</v>
      </c>
      <c r="Q188">
        <v>151205</v>
      </c>
      <c r="R188" s="2">
        <v>45311</v>
      </c>
      <c r="S188" t="s">
        <v>16</v>
      </c>
      <c r="T188" t="s">
        <v>70</v>
      </c>
      <c r="U188" t="s">
        <v>6389</v>
      </c>
      <c r="W188" t="s">
        <v>6345</v>
      </c>
      <c r="X188">
        <v>101</v>
      </c>
      <c r="Y188" t="s">
        <v>70</v>
      </c>
      <c r="Z188">
        <v>268</v>
      </c>
    </row>
    <row r="189" spans="1:26" x14ac:dyDescent="0.3">
      <c r="A189">
        <v>188</v>
      </c>
      <c r="B189" t="s">
        <v>514</v>
      </c>
      <c r="C189" t="s">
        <v>72</v>
      </c>
      <c r="D189" t="s">
        <v>20</v>
      </c>
      <c r="E189" t="s">
        <v>101</v>
      </c>
      <c r="F189" t="s">
        <v>6381</v>
      </c>
      <c r="G189" t="s">
        <v>6390</v>
      </c>
      <c r="H189" t="s">
        <v>6377</v>
      </c>
      <c r="I189" t="s">
        <v>6386</v>
      </c>
      <c r="J189">
        <f>AVERAGE(ai_job_market[[#This Row],[min_salary]],ai_job_market[[#This Row],[max_salary]])</f>
        <v>79599.5</v>
      </c>
      <c r="K189" t="s">
        <v>6394</v>
      </c>
      <c r="L189" t="s">
        <v>14</v>
      </c>
      <c r="M189" t="s">
        <v>42</v>
      </c>
      <c r="N189" t="s">
        <v>4585</v>
      </c>
      <c r="O189" t="s">
        <v>4283</v>
      </c>
      <c r="P189">
        <v>43986</v>
      </c>
      <c r="Q189">
        <v>115213</v>
      </c>
      <c r="R189" s="2">
        <v>45549</v>
      </c>
      <c r="S189" t="s">
        <v>16</v>
      </c>
      <c r="T189" t="s">
        <v>157</v>
      </c>
      <c r="W189" t="s">
        <v>101</v>
      </c>
      <c r="X189">
        <v>76</v>
      </c>
      <c r="Y189" t="s">
        <v>157</v>
      </c>
      <c r="Z189">
        <v>247</v>
      </c>
    </row>
    <row r="190" spans="1:26" x14ac:dyDescent="0.3">
      <c r="A190">
        <v>189</v>
      </c>
      <c r="B190" t="s">
        <v>516</v>
      </c>
      <c r="C190" t="s">
        <v>45</v>
      </c>
      <c r="D190" t="s">
        <v>35</v>
      </c>
      <c r="E190" t="s">
        <v>128</v>
      </c>
      <c r="F190" t="s">
        <v>6381</v>
      </c>
      <c r="G190" t="s">
        <v>6374</v>
      </c>
      <c r="H190" t="s">
        <v>6389</v>
      </c>
      <c r="I190" t="s">
        <v>6386</v>
      </c>
      <c r="J190">
        <f>AVERAGE(ai_job_market[[#This Row],[min_salary]],ai_job_market[[#This Row],[max_salary]])</f>
        <v>79193.5</v>
      </c>
      <c r="K190"/>
      <c r="L190" t="s">
        <v>27</v>
      </c>
      <c r="M190" t="s">
        <v>51</v>
      </c>
      <c r="N190" t="s">
        <v>4586</v>
      </c>
      <c r="O190" t="s">
        <v>4587</v>
      </c>
      <c r="P190">
        <v>62157</v>
      </c>
      <c r="Q190">
        <v>96230</v>
      </c>
      <c r="R190" s="2">
        <v>45564</v>
      </c>
      <c r="S190" t="s">
        <v>16</v>
      </c>
      <c r="T190" t="s">
        <v>52</v>
      </c>
      <c r="W190" t="s">
        <v>128</v>
      </c>
      <c r="X190">
        <v>92</v>
      </c>
      <c r="Y190" t="s">
        <v>52</v>
      </c>
      <c r="Z190">
        <v>238</v>
      </c>
    </row>
    <row r="191" spans="1:26" x14ac:dyDescent="0.3">
      <c r="A191">
        <v>190</v>
      </c>
      <c r="B191" t="s">
        <v>518</v>
      </c>
      <c r="C191" t="s">
        <v>72</v>
      </c>
      <c r="D191" t="s">
        <v>30</v>
      </c>
      <c r="E191" t="s">
        <v>77</v>
      </c>
      <c r="F191" t="s">
        <v>6377</v>
      </c>
      <c r="G191" t="s">
        <v>6379</v>
      </c>
      <c r="H191" t="s">
        <v>6389</v>
      </c>
      <c r="J191">
        <f>AVERAGE(ai_job_market[[#This Row],[min_salary]],ai_job_market[[#This Row],[max_salary]])</f>
        <v>111749.5</v>
      </c>
      <c r="K191"/>
      <c r="L191" t="s">
        <v>27</v>
      </c>
      <c r="M191" t="s">
        <v>15</v>
      </c>
      <c r="N191" t="s">
        <v>4588</v>
      </c>
      <c r="O191" t="s">
        <v>4511</v>
      </c>
      <c r="P191">
        <v>102546</v>
      </c>
      <c r="Q191">
        <v>120953</v>
      </c>
      <c r="R191" s="2">
        <v>45442</v>
      </c>
      <c r="S191" t="s">
        <v>16</v>
      </c>
      <c r="T191" t="s">
        <v>128</v>
      </c>
      <c r="U191" t="s">
        <v>6383</v>
      </c>
      <c r="W191" t="s">
        <v>77</v>
      </c>
      <c r="X191">
        <v>111</v>
      </c>
      <c r="Y191" t="s">
        <v>128</v>
      </c>
      <c r="Z191">
        <v>233</v>
      </c>
    </row>
    <row r="192" spans="1:26" x14ac:dyDescent="0.3">
      <c r="A192">
        <v>191</v>
      </c>
      <c r="B192" t="s">
        <v>521</v>
      </c>
      <c r="C192" t="s">
        <v>19</v>
      </c>
      <c r="D192" t="s">
        <v>12</v>
      </c>
      <c r="E192" t="s">
        <v>6344</v>
      </c>
      <c r="F192" t="s">
        <v>6387</v>
      </c>
      <c r="G192" t="s">
        <v>6395</v>
      </c>
      <c r="H192" t="s">
        <v>6380</v>
      </c>
      <c r="J192">
        <f>AVERAGE(ai_job_market[[#This Row],[min_salary]],ai_job_market[[#This Row],[max_salary]])</f>
        <v>121696</v>
      </c>
      <c r="K192"/>
      <c r="L192" t="s">
        <v>14</v>
      </c>
      <c r="M192" t="s">
        <v>51</v>
      </c>
      <c r="N192" t="s">
        <v>4589</v>
      </c>
      <c r="O192" t="s">
        <v>4547</v>
      </c>
      <c r="P192">
        <v>79611</v>
      </c>
      <c r="Q192">
        <v>163781</v>
      </c>
      <c r="R192" s="2">
        <v>45593</v>
      </c>
      <c r="S192" t="s">
        <v>14</v>
      </c>
      <c r="T192" t="s">
        <v>90</v>
      </c>
      <c r="U192" t="s">
        <v>6379</v>
      </c>
      <c r="V192" t="s">
        <v>6378</v>
      </c>
      <c r="W192" t="s">
        <v>6344</v>
      </c>
      <c r="X192">
        <v>104</v>
      </c>
      <c r="Y192" t="s">
        <v>90</v>
      </c>
      <c r="Z192">
        <v>259</v>
      </c>
    </row>
    <row r="193" spans="1:26" x14ac:dyDescent="0.3">
      <c r="A193">
        <v>192</v>
      </c>
      <c r="B193" t="s">
        <v>524</v>
      </c>
      <c r="C193" t="s">
        <v>49</v>
      </c>
      <c r="D193" t="s">
        <v>135</v>
      </c>
      <c r="E193" t="s">
        <v>6348</v>
      </c>
      <c r="F193" t="s">
        <v>6380</v>
      </c>
      <c r="G193" t="s">
        <v>6375</v>
      </c>
      <c r="J193">
        <f>AVERAGE(ai_job_market[[#This Row],[min_salary]],ai_job_market[[#This Row],[max_salary]])</f>
        <v>155486</v>
      </c>
      <c r="K193"/>
      <c r="L193" t="s">
        <v>22</v>
      </c>
      <c r="M193" t="s">
        <v>15</v>
      </c>
      <c r="N193" t="s">
        <v>4590</v>
      </c>
      <c r="O193" t="s">
        <v>4591</v>
      </c>
      <c r="P193">
        <v>142867</v>
      </c>
      <c r="Q193">
        <v>168105</v>
      </c>
      <c r="R193" s="2">
        <v>45316</v>
      </c>
      <c r="S193" t="s">
        <v>14</v>
      </c>
      <c r="T193" t="s">
        <v>77</v>
      </c>
      <c r="U193" t="s">
        <v>6388</v>
      </c>
      <c r="W193" t="s">
        <v>6348</v>
      </c>
      <c r="X193">
        <v>78</v>
      </c>
      <c r="Y193" t="s">
        <v>77</v>
      </c>
      <c r="Z193">
        <v>251</v>
      </c>
    </row>
    <row r="194" spans="1:26" x14ac:dyDescent="0.3">
      <c r="A194">
        <v>193</v>
      </c>
      <c r="B194" t="s">
        <v>527</v>
      </c>
      <c r="C194" t="s">
        <v>72</v>
      </c>
      <c r="D194" t="s">
        <v>54</v>
      </c>
      <c r="E194" t="s">
        <v>6355</v>
      </c>
      <c r="F194" t="s">
        <v>6397</v>
      </c>
      <c r="G194" t="s">
        <v>6393</v>
      </c>
      <c r="H194" t="s">
        <v>6381</v>
      </c>
      <c r="J194">
        <f>AVERAGE(ai_job_market[[#This Row],[min_salary]],ai_job_market[[#This Row],[max_salary]])</f>
        <v>82727</v>
      </c>
      <c r="K194"/>
      <c r="L194" t="s">
        <v>14</v>
      </c>
      <c r="M194" t="s">
        <v>37</v>
      </c>
      <c r="N194" t="s">
        <v>4592</v>
      </c>
      <c r="O194" t="s">
        <v>4593</v>
      </c>
      <c r="P194">
        <v>63520</v>
      </c>
      <c r="Q194">
        <v>101934</v>
      </c>
      <c r="R194" s="2">
        <v>45333</v>
      </c>
      <c r="S194" t="s">
        <v>14</v>
      </c>
      <c r="T194" t="s">
        <v>90</v>
      </c>
      <c r="U194" t="s">
        <v>6383</v>
      </c>
      <c r="W194" t="s">
        <v>6355</v>
      </c>
      <c r="X194">
        <v>90</v>
      </c>
      <c r="Y194" t="s">
        <v>90</v>
      </c>
      <c r="Z194">
        <v>259</v>
      </c>
    </row>
    <row r="195" spans="1:26" x14ac:dyDescent="0.3">
      <c r="A195">
        <v>194</v>
      </c>
      <c r="B195" t="s">
        <v>529</v>
      </c>
      <c r="C195" t="s">
        <v>72</v>
      </c>
      <c r="D195" t="s">
        <v>35</v>
      </c>
      <c r="E195" t="s">
        <v>90</v>
      </c>
      <c r="F195" t="s">
        <v>6375</v>
      </c>
      <c r="G195" t="s">
        <v>6376</v>
      </c>
      <c r="J195">
        <f>AVERAGE(ai_job_market[[#This Row],[min_salary]],ai_job_market[[#This Row],[max_salary]])</f>
        <v>147706</v>
      </c>
      <c r="K195"/>
      <c r="L195" t="s">
        <v>22</v>
      </c>
      <c r="M195" t="s">
        <v>51</v>
      </c>
      <c r="N195" t="s">
        <v>4594</v>
      </c>
      <c r="O195" t="s">
        <v>4591</v>
      </c>
      <c r="P195">
        <v>116202</v>
      </c>
      <c r="Q195">
        <v>179210</v>
      </c>
      <c r="R195" s="2">
        <v>45431</v>
      </c>
      <c r="S195" t="s">
        <v>16</v>
      </c>
      <c r="T195" t="s">
        <v>70</v>
      </c>
      <c r="U195" t="s">
        <v>6383</v>
      </c>
      <c r="W195" t="s">
        <v>90</v>
      </c>
      <c r="X195">
        <v>80</v>
      </c>
      <c r="Y195" t="s">
        <v>70</v>
      </c>
      <c r="Z195">
        <v>268</v>
      </c>
    </row>
    <row r="196" spans="1:26" x14ac:dyDescent="0.3">
      <c r="A196">
        <v>195</v>
      </c>
      <c r="B196" t="s">
        <v>531</v>
      </c>
      <c r="C196" t="s">
        <v>11</v>
      </c>
      <c r="D196" t="s">
        <v>25</v>
      </c>
      <c r="E196" t="s">
        <v>6348</v>
      </c>
      <c r="F196" t="s">
        <v>6374</v>
      </c>
      <c r="G196" t="s">
        <v>6378</v>
      </c>
      <c r="J196">
        <f>AVERAGE(ai_job_market[[#This Row],[min_salary]],ai_job_market[[#This Row],[max_salary]])</f>
        <v>155547</v>
      </c>
      <c r="K196"/>
      <c r="L196" t="s">
        <v>14</v>
      </c>
      <c r="M196" t="s">
        <v>51</v>
      </c>
      <c r="N196" t="s">
        <v>4595</v>
      </c>
      <c r="O196" t="s">
        <v>4596</v>
      </c>
      <c r="P196">
        <v>137620</v>
      </c>
      <c r="Q196">
        <v>173474</v>
      </c>
      <c r="R196" s="2">
        <v>45234</v>
      </c>
      <c r="S196" t="s">
        <v>14</v>
      </c>
      <c r="T196" t="s">
        <v>101</v>
      </c>
      <c r="W196" t="s">
        <v>6348</v>
      </c>
      <c r="X196">
        <v>78</v>
      </c>
      <c r="Y196" t="s">
        <v>101</v>
      </c>
      <c r="Z196">
        <v>255</v>
      </c>
    </row>
    <row r="197" spans="1:26" x14ac:dyDescent="0.3">
      <c r="A197">
        <v>196</v>
      </c>
      <c r="B197" t="s">
        <v>533</v>
      </c>
      <c r="C197" t="s">
        <v>72</v>
      </c>
      <c r="D197" t="s">
        <v>67</v>
      </c>
      <c r="E197" t="s">
        <v>80</v>
      </c>
      <c r="F197" t="s">
        <v>6381</v>
      </c>
      <c r="G197" t="s">
        <v>6394</v>
      </c>
      <c r="J197">
        <f>AVERAGE(ai_job_market[[#This Row],[min_salary]],ai_job_market[[#This Row],[max_salary]])</f>
        <v>174884</v>
      </c>
      <c r="K197"/>
      <c r="L197" t="s">
        <v>27</v>
      </c>
      <c r="M197" t="s">
        <v>51</v>
      </c>
      <c r="N197" t="s">
        <v>4597</v>
      </c>
      <c r="O197" t="s">
        <v>4478</v>
      </c>
      <c r="P197">
        <v>131485</v>
      </c>
      <c r="Q197">
        <v>218283</v>
      </c>
      <c r="R197" s="2">
        <v>45634</v>
      </c>
      <c r="S197" t="s">
        <v>14</v>
      </c>
      <c r="T197" t="s">
        <v>52</v>
      </c>
      <c r="U197" t="s">
        <v>6378</v>
      </c>
      <c r="W197" t="s">
        <v>80</v>
      </c>
      <c r="X197">
        <v>95</v>
      </c>
      <c r="Y197" t="s">
        <v>52</v>
      </c>
      <c r="Z197">
        <v>238</v>
      </c>
    </row>
    <row r="198" spans="1:26" x14ac:dyDescent="0.3">
      <c r="A198">
        <v>197</v>
      </c>
      <c r="B198" t="s">
        <v>535</v>
      </c>
      <c r="C198" t="s">
        <v>19</v>
      </c>
      <c r="D198" t="s">
        <v>30</v>
      </c>
      <c r="E198" t="s">
        <v>6356</v>
      </c>
      <c r="F198" t="s">
        <v>6385</v>
      </c>
      <c r="G198" t="s">
        <v>6384</v>
      </c>
      <c r="H198" t="s">
        <v>6374</v>
      </c>
      <c r="I198" t="s">
        <v>6387</v>
      </c>
      <c r="J198" s="6">
        <f>AVERAGE(ai_job_market[[#This Row],[min_salary]],ai_job_market[[#This Row],[max_salary]])</f>
        <v>138069</v>
      </c>
      <c r="K198"/>
      <c r="L198" t="s">
        <v>27</v>
      </c>
      <c r="M198" t="s">
        <v>51</v>
      </c>
      <c r="N198" t="s">
        <v>4598</v>
      </c>
      <c r="O198" t="s">
        <v>4599</v>
      </c>
      <c r="P198" s="5">
        <v>117341</v>
      </c>
      <c r="Q198" s="5">
        <v>158797</v>
      </c>
      <c r="R198" s="2">
        <v>45531</v>
      </c>
      <c r="S198" t="s">
        <v>69</v>
      </c>
      <c r="T198" t="s">
        <v>101</v>
      </c>
      <c r="U198" t="s">
        <v>6384</v>
      </c>
      <c r="V198" t="s">
        <v>6378</v>
      </c>
      <c r="W198" t="s">
        <v>6356</v>
      </c>
      <c r="X198">
        <v>86</v>
      </c>
      <c r="Y198" t="s">
        <v>101</v>
      </c>
      <c r="Z198">
        <v>255</v>
      </c>
    </row>
    <row r="199" spans="1:26" x14ac:dyDescent="0.3">
      <c r="A199">
        <v>198</v>
      </c>
      <c r="B199" t="s">
        <v>538</v>
      </c>
      <c r="C199" t="s">
        <v>45</v>
      </c>
      <c r="D199" t="s">
        <v>12</v>
      </c>
      <c r="E199" t="s">
        <v>70</v>
      </c>
      <c r="F199" t="s">
        <v>6397</v>
      </c>
      <c r="G199" t="s">
        <v>6381</v>
      </c>
      <c r="J199" s="6">
        <f>AVERAGE(ai_job_market[[#This Row],[min_salary]],ai_job_market[[#This Row],[max_salary]])</f>
        <v>145668.5</v>
      </c>
      <c r="K199"/>
      <c r="L199" t="s">
        <v>27</v>
      </c>
      <c r="M199" t="s">
        <v>51</v>
      </c>
      <c r="N199" t="s">
        <v>4600</v>
      </c>
      <c r="O199" t="s">
        <v>4601</v>
      </c>
      <c r="P199" s="5">
        <v>123706</v>
      </c>
      <c r="Q199" s="5">
        <v>167631</v>
      </c>
      <c r="R199" s="2">
        <v>45519</v>
      </c>
      <c r="S199" t="s">
        <v>14</v>
      </c>
      <c r="T199" t="s">
        <v>52</v>
      </c>
      <c r="W199" t="s">
        <v>70</v>
      </c>
      <c r="X199">
        <v>100</v>
      </c>
      <c r="Y199" t="s">
        <v>52</v>
      </c>
      <c r="Z199">
        <v>238</v>
      </c>
    </row>
    <row r="200" spans="1:26" x14ac:dyDescent="0.3">
      <c r="A200">
        <v>199</v>
      </c>
      <c r="B200" t="s">
        <v>540</v>
      </c>
      <c r="C200" t="s">
        <v>19</v>
      </c>
      <c r="D200" t="s">
        <v>25</v>
      </c>
      <c r="E200" t="s">
        <v>6355</v>
      </c>
      <c r="F200" t="s">
        <v>6376</v>
      </c>
      <c r="G200" t="s">
        <v>6390</v>
      </c>
      <c r="H200" t="s">
        <v>6387</v>
      </c>
      <c r="I200" t="s">
        <v>6393</v>
      </c>
      <c r="J200">
        <f>AVERAGE(ai_job_market[[#This Row],[min_salary]],ai_job_market[[#This Row],[max_salary]])</f>
        <v>70078.5</v>
      </c>
      <c r="K200"/>
      <c r="L200" t="s">
        <v>14</v>
      </c>
      <c r="M200" t="s">
        <v>37</v>
      </c>
      <c r="N200" t="s">
        <v>4602</v>
      </c>
      <c r="O200" t="s">
        <v>4603</v>
      </c>
      <c r="P200">
        <v>43828</v>
      </c>
      <c r="Q200">
        <v>96329</v>
      </c>
      <c r="R200" s="2">
        <v>45383</v>
      </c>
      <c r="S200" t="s">
        <v>14</v>
      </c>
      <c r="T200" t="s">
        <v>52</v>
      </c>
      <c r="U200" t="s">
        <v>6383</v>
      </c>
      <c r="W200" t="s">
        <v>6355</v>
      </c>
      <c r="X200">
        <v>90</v>
      </c>
      <c r="Y200" t="s">
        <v>52</v>
      </c>
      <c r="Z200">
        <v>238</v>
      </c>
    </row>
    <row r="201" spans="1:26" x14ac:dyDescent="0.3">
      <c r="A201">
        <v>200</v>
      </c>
      <c r="B201" t="s">
        <v>542</v>
      </c>
      <c r="C201" t="s">
        <v>49</v>
      </c>
      <c r="D201" t="s">
        <v>30</v>
      </c>
      <c r="E201" t="s">
        <v>6344</v>
      </c>
      <c r="F201" t="s">
        <v>6386</v>
      </c>
      <c r="G201" t="s">
        <v>6379</v>
      </c>
      <c r="J201">
        <f>AVERAGE(ai_job_market[[#This Row],[min_salary]],ai_job_market[[#This Row],[max_salary]])</f>
        <v>150517.5</v>
      </c>
      <c r="K201"/>
      <c r="L201" t="s">
        <v>27</v>
      </c>
      <c r="M201" t="s">
        <v>15</v>
      </c>
      <c r="N201" t="s">
        <v>4604</v>
      </c>
      <c r="O201" t="s">
        <v>4518</v>
      </c>
      <c r="P201">
        <v>130984</v>
      </c>
      <c r="Q201">
        <v>170051</v>
      </c>
      <c r="R201" s="2">
        <v>45825</v>
      </c>
      <c r="S201" t="s">
        <v>69</v>
      </c>
      <c r="T201" t="s">
        <v>128</v>
      </c>
      <c r="W201" t="s">
        <v>6344</v>
      </c>
      <c r="X201">
        <v>104</v>
      </c>
      <c r="Y201" t="s">
        <v>128</v>
      </c>
      <c r="Z201">
        <v>233</v>
      </c>
    </row>
    <row r="202" spans="1:26" x14ac:dyDescent="0.3">
      <c r="A202">
        <v>201</v>
      </c>
      <c r="B202" t="s">
        <v>544</v>
      </c>
      <c r="C202" t="s">
        <v>40</v>
      </c>
      <c r="D202" t="s">
        <v>35</v>
      </c>
      <c r="E202" t="s">
        <v>6350</v>
      </c>
      <c r="F202" t="s">
        <v>6376</v>
      </c>
      <c r="G202" t="s">
        <v>6380</v>
      </c>
      <c r="H202" t="s">
        <v>6379</v>
      </c>
      <c r="J202">
        <f>AVERAGE(ai_job_market[[#This Row],[min_salary]],ai_job_market[[#This Row],[max_salary]])</f>
        <v>160398</v>
      </c>
      <c r="K202"/>
      <c r="L202" t="s">
        <v>27</v>
      </c>
      <c r="M202" t="s">
        <v>51</v>
      </c>
      <c r="N202" t="s">
        <v>4605</v>
      </c>
      <c r="O202" t="s">
        <v>4444</v>
      </c>
      <c r="P202">
        <v>125831</v>
      </c>
      <c r="Q202">
        <v>194965</v>
      </c>
      <c r="R202" s="2">
        <v>45657</v>
      </c>
      <c r="S202" t="s">
        <v>16</v>
      </c>
      <c r="T202" t="s">
        <v>52</v>
      </c>
      <c r="U202" t="s">
        <v>6375</v>
      </c>
      <c r="W202" t="s">
        <v>6350</v>
      </c>
      <c r="X202">
        <v>84</v>
      </c>
      <c r="Y202" t="s">
        <v>52</v>
      </c>
      <c r="Z202">
        <v>238</v>
      </c>
    </row>
    <row r="203" spans="1:26" x14ac:dyDescent="0.3">
      <c r="A203">
        <v>202</v>
      </c>
      <c r="B203" t="s">
        <v>478</v>
      </c>
      <c r="C203" t="s">
        <v>34</v>
      </c>
      <c r="D203" t="s">
        <v>30</v>
      </c>
      <c r="E203" t="s">
        <v>6344</v>
      </c>
      <c r="F203" t="s">
        <v>6396</v>
      </c>
      <c r="G203" t="s">
        <v>6391</v>
      </c>
      <c r="H203" t="s">
        <v>6386</v>
      </c>
      <c r="J203">
        <f>AVERAGE(ai_job_market[[#This Row],[min_salary]],ai_job_market[[#This Row],[max_salary]])</f>
        <v>108857</v>
      </c>
      <c r="K203"/>
      <c r="L203" t="s">
        <v>27</v>
      </c>
      <c r="M203" t="s">
        <v>37</v>
      </c>
      <c r="N203" t="s">
        <v>4606</v>
      </c>
      <c r="O203" t="s">
        <v>4397</v>
      </c>
      <c r="P203">
        <v>96628</v>
      </c>
      <c r="Q203">
        <v>121086</v>
      </c>
      <c r="R203" s="2">
        <v>45603</v>
      </c>
      <c r="S203" t="s">
        <v>14</v>
      </c>
      <c r="T203" t="s">
        <v>128</v>
      </c>
      <c r="U203" t="s">
        <v>6384</v>
      </c>
      <c r="V203" t="s">
        <v>6378</v>
      </c>
      <c r="W203" t="s">
        <v>6344</v>
      </c>
      <c r="X203">
        <v>104</v>
      </c>
      <c r="Y203" t="s">
        <v>128</v>
      </c>
      <c r="Z203">
        <v>233</v>
      </c>
    </row>
    <row r="204" spans="1:26" x14ac:dyDescent="0.3">
      <c r="A204">
        <v>203</v>
      </c>
      <c r="B204" t="s">
        <v>548</v>
      </c>
      <c r="C204" t="s">
        <v>34</v>
      </c>
      <c r="D204" t="s">
        <v>67</v>
      </c>
      <c r="E204" t="s">
        <v>6358</v>
      </c>
      <c r="F204" t="s">
        <v>6377</v>
      </c>
      <c r="G204" t="s">
        <v>6378</v>
      </c>
      <c r="H204" t="s">
        <v>6385</v>
      </c>
      <c r="I204" t="s">
        <v>6382</v>
      </c>
      <c r="J204">
        <f>AVERAGE(ai_job_market[[#This Row],[min_salary]],ai_job_market[[#This Row],[max_salary]])</f>
        <v>109295</v>
      </c>
      <c r="K204" t="s">
        <v>6381</v>
      </c>
      <c r="L204" t="s">
        <v>27</v>
      </c>
      <c r="M204" t="s">
        <v>42</v>
      </c>
      <c r="N204" t="s">
        <v>4607</v>
      </c>
      <c r="O204" t="s">
        <v>4608</v>
      </c>
      <c r="P204">
        <v>85788</v>
      </c>
      <c r="Q204">
        <v>132802</v>
      </c>
      <c r="R204" s="2">
        <v>45338</v>
      </c>
      <c r="S204" t="s">
        <v>16</v>
      </c>
      <c r="T204" t="s">
        <v>70</v>
      </c>
      <c r="U204" t="s">
        <v>6383</v>
      </c>
      <c r="V204" t="s">
        <v>6378</v>
      </c>
      <c r="W204" t="s">
        <v>6358</v>
      </c>
      <c r="X204">
        <v>96</v>
      </c>
      <c r="Y204" t="s">
        <v>70</v>
      </c>
      <c r="Z204">
        <v>268</v>
      </c>
    </row>
    <row r="205" spans="1:26" x14ac:dyDescent="0.3">
      <c r="A205">
        <v>204</v>
      </c>
      <c r="B205" t="s">
        <v>550</v>
      </c>
      <c r="C205" t="s">
        <v>45</v>
      </c>
      <c r="D205" t="s">
        <v>25</v>
      </c>
      <c r="E205" t="s">
        <v>90</v>
      </c>
      <c r="F205" t="s">
        <v>6392</v>
      </c>
      <c r="G205" t="s">
        <v>6391</v>
      </c>
      <c r="H205" t="s">
        <v>6380</v>
      </c>
      <c r="I205" t="s">
        <v>6378</v>
      </c>
      <c r="J205">
        <f>AVERAGE(ai_job_market[[#This Row],[min_salary]],ai_job_market[[#This Row],[max_salary]])</f>
        <v>197776.5</v>
      </c>
      <c r="K205"/>
      <c r="L205" t="s">
        <v>14</v>
      </c>
      <c r="M205" t="s">
        <v>51</v>
      </c>
      <c r="N205" t="s">
        <v>4609</v>
      </c>
      <c r="O205" t="s">
        <v>4610</v>
      </c>
      <c r="P205">
        <v>147975</v>
      </c>
      <c r="Q205">
        <v>247578</v>
      </c>
      <c r="R205" s="2">
        <v>45789</v>
      </c>
      <c r="S205" t="s">
        <v>69</v>
      </c>
      <c r="T205" t="s">
        <v>80</v>
      </c>
      <c r="W205" t="s">
        <v>90</v>
      </c>
      <c r="X205">
        <v>80</v>
      </c>
      <c r="Y205" t="s">
        <v>80</v>
      </c>
      <c r="Z205">
        <v>249</v>
      </c>
    </row>
    <row r="206" spans="1:26" x14ac:dyDescent="0.3">
      <c r="A206">
        <v>205</v>
      </c>
      <c r="B206" t="s">
        <v>552</v>
      </c>
      <c r="C206" t="s">
        <v>45</v>
      </c>
      <c r="D206" t="s">
        <v>12</v>
      </c>
      <c r="E206" t="s">
        <v>6348</v>
      </c>
      <c r="F206" t="s">
        <v>6386</v>
      </c>
      <c r="G206" t="s">
        <v>6387</v>
      </c>
      <c r="H206" t="s">
        <v>6384</v>
      </c>
      <c r="I206" t="s">
        <v>6378</v>
      </c>
      <c r="J206">
        <f>AVERAGE(ai_job_market[[#This Row],[min_salary]],ai_job_market[[#This Row],[max_salary]])</f>
        <v>69148.5</v>
      </c>
      <c r="K206" t="s">
        <v>6389</v>
      </c>
      <c r="L206" t="s">
        <v>27</v>
      </c>
      <c r="M206" t="s">
        <v>37</v>
      </c>
      <c r="N206" t="s">
        <v>4611</v>
      </c>
      <c r="O206" t="s">
        <v>4439</v>
      </c>
      <c r="P206">
        <v>48226</v>
      </c>
      <c r="Q206">
        <v>90071</v>
      </c>
      <c r="R206" s="2">
        <v>45650</v>
      </c>
      <c r="S206" t="s">
        <v>14</v>
      </c>
      <c r="T206" t="s">
        <v>52</v>
      </c>
      <c r="W206" t="s">
        <v>6348</v>
      </c>
      <c r="X206">
        <v>78</v>
      </c>
      <c r="Y206" t="s">
        <v>52</v>
      </c>
      <c r="Z206">
        <v>238</v>
      </c>
    </row>
    <row r="207" spans="1:26" x14ac:dyDescent="0.3">
      <c r="A207">
        <v>206</v>
      </c>
      <c r="B207" t="s">
        <v>484</v>
      </c>
      <c r="C207" t="s">
        <v>11</v>
      </c>
      <c r="D207" t="s">
        <v>35</v>
      </c>
      <c r="E207" t="s">
        <v>6347</v>
      </c>
      <c r="F207" t="s">
        <v>6395</v>
      </c>
      <c r="G207" t="s">
        <v>6375</v>
      </c>
      <c r="J207">
        <f>AVERAGE(ai_job_market[[#This Row],[min_salary]],ai_job_market[[#This Row],[max_salary]])</f>
        <v>95757.5</v>
      </c>
      <c r="K207"/>
      <c r="L207" t="s">
        <v>22</v>
      </c>
      <c r="M207" t="s">
        <v>15</v>
      </c>
      <c r="N207" t="s">
        <v>4612</v>
      </c>
      <c r="O207" t="s">
        <v>4603</v>
      </c>
      <c r="P207">
        <v>62447</v>
      </c>
      <c r="Q207">
        <v>129068</v>
      </c>
      <c r="R207" s="2">
        <v>45679</v>
      </c>
      <c r="S207" t="s">
        <v>69</v>
      </c>
      <c r="T207" t="s">
        <v>90</v>
      </c>
      <c r="W207" t="s">
        <v>6347</v>
      </c>
      <c r="X207">
        <v>94</v>
      </c>
      <c r="Y207" t="s">
        <v>90</v>
      </c>
      <c r="Z207">
        <v>259</v>
      </c>
    </row>
    <row r="208" spans="1:26" x14ac:dyDescent="0.3">
      <c r="A208">
        <v>207</v>
      </c>
      <c r="B208" t="s">
        <v>555</v>
      </c>
      <c r="C208" t="s">
        <v>72</v>
      </c>
      <c r="D208" t="s">
        <v>20</v>
      </c>
      <c r="E208" t="s">
        <v>80</v>
      </c>
      <c r="F208" t="s">
        <v>6397</v>
      </c>
      <c r="G208" t="s">
        <v>6386</v>
      </c>
      <c r="H208" t="s">
        <v>6374</v>
      </c>
      <c r="I208" t="s">
        <v>6394</v>
      </c>
      <c r="J208">
        <f>AVERAGE(ai_job_market[[#This Row],[min_salary]],ai_job_market[[#This Row],[max_salary]])</f>
        <v>119144.5</v>
      </c>
      <c r="K208" t="s">
        <v>6380</v>
      </c>
      <c r="L208" t="s">
        <v>22</v>
      </c>
      <c r="M208" t="s">
        <v>51</v>
      </c>
      <c r="N208" t="s">
        <v>4613</v>
      </c>
      <c r="O208" t="s">
        <v>4385</v>
      </c>
      <c r="P208">
        <v>110876</v>
      </c>
      <c r="Q208">
        <v>127413</v>
      </c>
      <c r="R208" s="2">
        <v>45430</v>
      </c>
      <c r="S208" t="s">
        <v>16</v>
      </c>
      <c r="T208" t="s">
        <v>80</v>
      </c>
      <c r="W208" t="s">
        <v>80</v>
      </c>
      <c r="X208">
        <v>95</v>
      </c>
      <c r="Y208" t="s">
        <v>80</v>
      </c>
      <c r="Z208">
        <v>249</v>
      </c>
    </row>
    <row r="209" spans="1:26" x14ac:dyDescent="0.3">
      <c r="A209">
        <v>208</v>
      </c>
      <c r="B209" t="s">
        <v>557</v>
      </c>
      <c r="C209" t="s">
        <v>49</v>
      </c>
      <c r="D209" t="s">
        <v>30</v>
      </c>
      <c r="E209" t="s">
        <v>6357</v>
      </c>
      <c r="F209" t="s">
        <v>6389</v>
      </c>
      <c r="G209" t="s">
        <v>6387</v>
      </c>
      <c r="J209">
        <f>AVERAGE(ai_job_market[[#This Row],[min_salary]],ai_job_market[[#This Row],[max_salary]])</f>
        <v>97635.5</v>
      </c>
      <c r="K209"/>
      <c r="L209" t="s">
        <v>22</v>
      </c>
      <c r="M209" t="s">
        <v>42</v>
      </c>
      <c r="N209" t="s">
        <v>4614</v>
      </c>
      <c r="O209" t="s">
        <v>4615</v>
      </c>
      <c r="P209">
        <v>85915</v>
      </c>
      <c r="Q209">
        <v>109356</v>
      </c>
      <c r="R209" s="2">
        <v>45212</v>
      </c>
      <c r="S209" t="s">
        <v>69</v>
      </c>
      <c r="T209" t="s">
        <v>101</v>
      </c>
      <c r="W209" t="s">
        <v>6357</v>
      </c>
      <c r="X209">
        <v>88</v>
      </c>
      <c r="Y209" t="s">
        <v>101</v>
      </c>
      <c r="Z209">
        <v>255</v>
      </c>
    </row>
    <row r="210" spans="1:26" x14ac:dyDescent="0.3">
      <c r="A210">
        <v>209</v>
      </c>
      <c r="B210" t="s">
        <v>559</v>
      </c>
      <c r="C210" t="s">
        <v>34</v>
      </c>
      <c r="D210" t="s">
        <v>30</v>
      </c>
      <c r="E210" t="s">
        <v>6344</v>
      </c>
      <c r="F210" t="s">
        <v>6374</v>
      </c>
      <c r="G210" t="s">
        <v>6391</v>
      </c>
      <c r="H210" t="s">
        <v>6385</v>
      </c>
      <c r="I210" t="s">
        <v>6387</v>
      </c>
      <c r="J210">
        <f>AVERAGE(ai_job_market[[#This Row],[min_salary]],ai_job_market[[#This Row],[max_salary]])</f>
        <v>152580</v>
      </c>
      <c r="K210"/>
      <c r="L210" t="s">
        <v>27</v>
      </c>
      <c r="M210" t="s">
        <v>15</v>
      </c>
      <c r="N210" t="s">
        <v>4616</v>
      </c>
      <c r="O210" t="s">
        <v>4617</v>
      </c>
      <c r="P210">
        <v>143326</v>
      </c>
      <c r="Q210">
        <v>161834</v>
      </c>
      <c r="R210" s="2">
        <v>45300</v>
      </c>
      <c r="S210" t="s">
        <v>16</v>
      </c>
      <c r="T210" t="s">
        <v>101</v>
      </c>
      <c r="U210" t="s">
        <v>6388</v>
      </c>
      <c r="V210" t="s">
        <v>6378</v>
      </c>
      <c r="W210" t="s">
        <v>6344</v>
      </c>
      <c r="X210">
        <v>104</v>
      </c>
      <c r="Y210" t="s">
        <v>101</v>
      </c>
      <c r="Z210">
        <v>255</v>
      </c>
    </row>
    <row r="211" spans="1:26" x14ac:dyDescent="0.3">
      <c r="A211">
        <v>210</v>
      </c>
      <c r="B211" t="s">
        <v>562</v>
      </c>
      <c r="C211" t="s">
        <v>11</v>
      </c>
      <c r="D211" t="s">
        <v>35</v>
      </c>
      <c r="E211" t="s">
        <v>6358</v>
      </c>
      <c r="F211" t="s">
        <v>6391</v>
      </c>
      <c r="G211" t="s">
        <v>6381</v>
      </c>
      <c r="H211" t="s">
        <v>6385</v>
      </c>
      <c r="I211" t="s">
        <v>6393</v>
      </c>
      <c r="J211">
        <f>AVERAGE(ai_job_market[[#This Row],[min_salary]],ai_job_market[[#This Row],[max_salary]])</f>
        <v>134504</v>
      </c>
      <c r="K211"/>
      <c r="L211" t="s">
        <v>22</v>
      </c>
      <c r="M211" t="s">
        <v>15</v>
      </c>
      <c r="N211" t="s">
        <v>4618</v>
      </c>
      <c r="O211" t="s">
        <v>4619</v>
      </c>
      <c r="P211">
        <v>89991</v>
      </c>
      <c r="Q211">
        <v>179017</v>
      </c>
      <c r="R211" s="2">
        <v>45292</v>
      </c>
      <c r="S211" t="s">
        <v>14</v>
      </c>
      <c r="T211" t="s">
        <v>157</v>
      </c>
      <c r="U211" t="s">
        <v>6378</v>
      </c>
      <c r="V211" t="s">
        <v>6375</v>
      </c>
      <c r="W211" t="s">
        <v>6358</v>
      </c>
      <c r="X211">
        <v>96</v>
      </c>
      <c r="Y211" t="s">
        <v>157</v>
      </c>
      <c r="Z211">
        <v>247</v>
      </c>
    </row>
    <row r="212" spans="1:26" x14ac:dyDescent="0.3">
      <c r="A212">
        <v>211</v>
      </c>
      <c r="B212" t="s">
        <v>565</v>
      </c>
      <c r="C212" t="s">
        <v>40</v>
      </c>
      <c r="D212" t="s">
        <v>20</v>
      </c>
      <c r="E212" t="s">
        <v>6347</v>
      </c>
      <c r="F212" t="s">
        <v>6382</v>
      </c>
      <c r="G212" t="s">
        <v>6386</v>
      </c>
      <c r="H212" t="s">
        <v>6384</v>
      </c>
      <c r="I212" t="s">
        <v>6381</v>
      </c>
      <c r="J212">
        <f>AVERAGE(ai_job_market[[#This Row],[min_salary]],ai_job_market[[#This Row],[max_salary]])</f>
        <v>112227</v>
      </c>
      <c r="K212"/>
      <c r="L212" t="s">
        <v>22</v>
      </c>
      <c r="M212" t="s">
        <v>42</v>
      </c>
      <c r="N212" t="s">
        <v>4620</v>
      </c>
      <c r="O212" t="s">
        <v>4301</v>
      </c>
      <c r="P212">
        <v>67897</v>
      </c>
      <c r="Q212">
        <v>156557</v>
      </c>
      <c r="R212" s="2">
        <v>45238</v>
      </c>
      <c r="S212" t="s">
        <v>14</v>
      </c>
      <c r="T212" t="s">
        <v>157</v>
      </c>
      <c r="U212" t="s">
        <v>6378</v>
      </c>
      <c r="W212" t="s">
        <v>6347</v>
      </c>
      <c r="X212">
        <v>94</v>
      </c>
      <c r="Y212" t="s">
        <v>157</v>
      </c>
      <c r="Z212">
        <v>247</v>
      </c>
    </row>
    <row r="213" spans="1:26" x14ac:dyDescent="0.3">
      <c r="A213">
        <v>212</v>
      </c>
      <c r="B213" t="s">
        <v>567</v>
      </c>
      <c r="C213" t="s">
        <v>34</v>
      </c>
      <c r="D213" t="s">
        <v>30</v>
      </c>
      <c r="E213" t="s">
        <v>70</v>
      </c>
      <c r="F213" t="s">
        <v>6392</v>
      </c>
      <c r="G213" t="s">
        <v>6375</v>
      </c>
      <c r="H213" t="s">
        <v>6397</v>
      </c>
      <c r="J213">
        <f>AVERAGE(ai_job_market[[#This Row],[min_salary]],ai_job_market[[#This Row],[max_salary]])</f>
        <v>72949.5</v>
      </c>
      <c r="K213"/>
      <c r="L213" t="s">
        <v>27</v>
      </c>
      <c r="M213" t="s">
        <v>42</v>
      </c>
      <c r="N213" t="s">
        <v>4621</v>
      </c>
      <c r="O213" t="s">
        <v>4603</v>
      </c>
      <c r="P213">
        <v>44318</v>
      </c>
      <c r="Q213">
        <v>101581</v>
      </c>
      <c r="R213" s="2">
        <v>45307</v>
      </c>
      <c r="S213" t="s">
        <v>14</v>
      </c>
      <c r="T213" t="s">
        <v>77</v>
      </c>
      <c r="W213" t="s">
        <v>70</v>
      </c>
      <c r="X213">
        <v>100</v>
      </c>
      <c r="Y213" t="s">
        <v>77</v>
      </c>
      <c r="Z213">
        <v>251</v>
      </c>
    </row>
    <row r="214" spans="1:26" x14ac:dyDescent="0.3">
      <c r="A214">
        <v>213</v>
      </c>
      <c r="B214" t="s">
        <v>569</v>
      </c>
      <c r="C214" t="s">
        <v>19</v>
      </c>
      <c r="D214" t="s">
        <v>12</v>
      </c>
      <c r="E214" t="s">
        <v>6349</v>
      </c>
      <c r="F214" t="s">
        <v>6391</v>
      </c>
      <c r="G214" t="s">
        <v>6396</v>
      </c>
      <c r="H214" t="s">
        <v>6384</v>
      </c>
      <c r="J214">
        <f>AVERAGE(ai_job_market[[#This Row],[min_salary]],ai_job_market[[#This Row],[max_salary]])</f>
        <v>90295</v>
      </c>
      <c r="K214"/>
      <c r="L214" t="s">
        <v>14</v>
      </c>
      <c r="M214" t="s">
        <v>51</v>
      </c>
      <c r="N214" t="s">
        <v>4622</v>
      </c>
      <c r="O214" t="s">
        <v>4385</v>
      </c>
      <c r="P214">
        <v>67657</v>
      </c>
      <c r="Q214">
        <v>112933</v>
      </c>
      <c r="R214" s="2">
        <v>45657</v>
      </c>
      <c r="S214" t="s">
        <v>14</v>
      </c>
      <c r="T214" t="s">
        <v>101</v>
      </c>
      <c r="U214" t="s">
        <v>6389</v>
      </c>
      <c r="W214" t="s">
        <v>6349</v>
      </c>
      <c r="X214">
        <v>96</v>
      </c>
      <c r="Y214" t="s">
        <v>101</v>
      </c>
      <c r="Z214">
        <v>255</v>
      </c>
    </row>
    <row r="215" spans="1:26" x14ac:dyDescent="0.3">
      <c r="A215">
        <v>214</v>
      </c>
      <c r="B215" t="s">
        <v>571</v>
      </c>
      <c r="C215" t="s">
        <v>34</v>
      </c>
      <c r="D215" t="s">
        <v>25</v>
      </c>
      <c r="E215" t="s">
        <v>6349</v>
      </c>
      <c r="F215" t="s">
        <v>6380</v>
      </c>
      <c r="G215" t="s">
        <v>6375</v>
      </c>
      <c r="H215" t="s">
        <v>6395</v>
      </c>
      <c r="J215">
        <f>AVERAGE(ai_job_market[[#This Row],[min_salary]],ai_job_market[[#This Row],[max_salary]])</f>
        <v>125136.5</v>
      </c>
      <c r="K215"/>
      <c r="L215" t="s">
        <v>27</v>
      </c>
      <c r="M215" t="s">
        <v>37</v>
      </c>
      <c r="N215" t="s">
        <v>4623</v>
      </c>
      <c r="O215" t="s">
        <v>4624</v>
      </c>
      <c r="P215">
        <v>97752</v>
      </c>
      <c r="Q215">
        <v>152521</v>
      </c>
      <c r="R215" s="2">
        <v>45686</v>
      </c>
      <c r="S215" t="s">
        <v>16</v>
      </c>
      <c r="T215" t="s">
        <v>52</v>
      </c>
      <c r="W215" t="s">
        <v>6349</v>
      </c>
      <c r="X215">
        <v>96</v>
      </c>
      <c r="Y215" t="s">
        <v>52</v>
      </c>
      <c r="Z215">
        <v>238</v>
      </c>
    </row>
    <row r="216" spans="1:26" x14ac:dyDescent="0.3">
      <c r="A216">
        <v>215</v>
      </c>
      <c r="B216" t="s">
        <v>573</v>
      </c>
      <c r="C216" t="s">
        <v>45</v>
      </c>
      <c r="D216" t="s">
        <v>35</v>
      </c>
      <c r="E216" t="s">
        <v>101</v>
      </c>
      <c r="F216" t="s">
        <v>6395</v>
      </c>
      <c r="G216" t="s">
        <v>6375</v>
      </c>
      <c r="H216" t="s">
        <v>6381</v>
      </c>
      <c r="I216" t="s">
        <v>6396</v>
      </c>
      <c r="J216" s="6">
        <f>AVERAGE(ai_job_market[[#This Row],[min_salary]],ai_job_market[[#This Row],[max_salary]])</f>
        <v>131594</v>
      </c>
      <c r="K216" t="s">
        <v>6386</v>
      </c>
      <c r="L216" t="s">
        <v>27</v>
      </c>
      <c r="M216" t="s">
        <v>51</v>
      </c>
      <c r="N216" t="s">
        <v>4625</v>
      </c>
      <c r="O216" t="s">
        <v>4626</v>
      </c>
      <c r="P216" s="5">
        <v>93403</v>
      </c>
      <c r="Q216" s="5">
        <v>169785</v>
      </c>
      <c r="R216" s="2">
        <v>45304</v>
      </c>
      <c r="S216" t="s">
        <v>14</v>
      </c>
      <c r="T216" t="s">
        <v>70</v>
      </c>
      <c r="W216" t="s">
        <v>101</v>
      </c>
      <c r="X216">
        <v>76</v>
      </c>
      <c r="Y216" t="s">
        <v>70</v>
      </c>
      <c r="Z216">
        <v>268</v>
      </c>
    </row>
    <row r="217" spans="1:26" x14ac:dyDescent="0.3">
      <c r="A217">
        <v>216</v>
      </c>
      <c r="B217" t="s">
        <v>575</v>
      </c>
      <c r="C217" t="s">
        <v>45</v>
      </c>
      <c r="D217" t="s">
        <v>67</v>
      </c>
      <c r="E217" t="s">
        <v>6355</v>
      </c>
      <c r="F217" t="s">
        <v>6394</v>
      </c>
      <c r="G217" t="s">
        <v>6379</v>
      </c>
      <c r="H217" t="s">
        <v>6378</v>
      </c>
      <c r="I217" t="s">
        <v>6393</v>
      </c>
      <c r="J217">
        <f>AVERAGE(ai_job_market[[#This Row],[min_salary]],ai_job_market[[#This Row],[max_salary]])</f>
        <v>163002</v>
      </c>
      <c r="K217" t="s">
        <v>6390</v>
      </c>
      <c r="L217" t="s">
        <v>22</v>
      </c>
      <c r="M217" t="s">
        <v>42</v>
      </c>
      <c r="N217" t="s">
        <v>4627</v>
      </c>
      <c r="O217" t="s">
        <v>4628</v>
      </c>
      <c r="P217">
        <v>143054</v>
      </c>
      <c r="Q217">
        <v>182950</v>
      </c>
      <c r="R217" s="2">
        <v>45299</v>
      </c>
      <c r="S217" t="s">
        <v>14</v>
      </c>
      <c r="T217" t="s">
        <v>77</v>
      </c>
      <c r="U217" t="s">
        <v>6375</v>
      </c>
      <c r="V217" t="s">
        <v>6384</v>
      </c>
      <c r="W217" t="s">
        <v>6355</v>
      </c>
      <c r="X217">
        <v>90</v>
      </c>
      <c r="Y217" t="s">
        <v>77</v>
      </c>
      <c r="Z217">
        <v>251</v>
      </c>
    </row>
    <row r="218" spans="1:26" x14ac:dyDescent="0.3">
      <c r="A218">
        <v>217</v>
      </c>
      <c r="B218" t="s">
        <v>577</v>
      </c>
      <c r="C218" t="s">
        <v>40</v>
      </c>
      <c r="D218" t="s">
        <v>20</v>
      </c>
      <c r="E218" t="s">
        <v>6352</v>
      </c>
      <c r="F218" t="s">
        <v>6397</v>
      </c>
      <c r="G218" t="s">
        <v>6392</v>
      </c>
      <c r="H218" t="s">
        <v>6382</v>
      </c>
      <c r="I218" t="s">
        <v>6391</v>
      </c>
      <c r="J218">
        <f>AVERAGE(ai_job_market[[#This Row],[min_salary]],ai_job_market[[#This Row],[max_salary]])</f>
        <v>153083.5</v>
      </c>
      <c r="K218" t="s">
        <v>6379</v>
      </c>
      <c r="L218" t="s">
        <v>27</v>
      </c>
      <c r="M218" t="s">
        <v>51</v>
      </c>
      <c r="N218" t="s">
        <v>4629</v>
      </c>
      <c r="O218" t="s">
        <v>4630</v>
      </c>
      <c r="P218">
        <v>123977</v>
      </c>
      <c r="Q218">
        <v>182190</v>
      </c>
      <c r="R218" s="2">
        <v>45223</v>
      </c>
      <c r="S218" t="s">
        <v>69</v>
      </c>
      <c r="T218" t="s">
        <v>101</v>
      </c>
      <c r="W218" t="s">
        <v>6352</v>
      </c>
      <c r="X218">
        <v>97</v>
      </c>
      <c r="Y218" t="s">
        <v>101</v>
      </c>
      <c r="Z218">
        <v>255</v>
      </c>
    </row>
    <row r="219" spans="1:26" x14ac:dyDescent="0.3">
      <c r="A219">
        <v>218</v>
      </c>
      <c r="B219" t="s">
        <v>579</v>
      </c>
      <c r="C219" t="s">
        <v>34</v>
      </c>
      <c r="D219" t="s">
        <v>135</v>
      </c>
      <c r="E219" t="s">
        <v>6351</v>
      </c>
      <c r="F219" t="s">
        <v>6387</v>
      </c>
      <c r="G219" t="s">
        <v>6385</v>
      </c>
      <c r="J219">
        <f>AVERAGE(ai_job_market[[#This Row],[min_salary]],ai_job_market[[#This Row],[max_salary]])</f>
        <v>146332.5</v>
      </c>
      <c r="K219"/>
      <c r="L219" t="s">
        <v>14</v>
      </c>
      <c r="M219" t="s">
        <v>42</v>
      </c>
      <c r="N219" t="s">
        <v>4631</v>
      </c>
      <c r="O219" t="s">
        <v>4576</v>
      </c>
      <c r="P219">
        <v>108708</v>
      </c>
      <c r="Q219">
        <v>183957</v>
      </c>
      <c r="R219" s="2">
        <v>45482</v>
      </c>
      <c r="S219" t="s">
        <v>16</v>
      </c>
      <c r="T219" t="s">
        <v>80</v>
      </c>
      <c r="U219" t="s">
        <v>6379</v>
      </c>
      <c r="V219" t="s">
        <v>6378</v>
      </c>
      <c r="W219" t="s">
        <v>6351</v>
      </c>
      <c r="X219">
        <v>89</v>
      </c>
      <c r="Y219" t="s">
        <v>80</v>
      </c>
      <c r="Z219">
        <v>249</v>
      </c>
    </row>
    <row r="220" spans="1:26" x14ac:dyDescent="0.3">
      <c r="A220">
        <v>219</v>
      </c>
      <c r="B220" t="s">
        <v>582</v>
      </c>
      <c r="C220" t="s">
        <v>19</v>
      </c>
      <c r="D220" t="s">
        <v>25</v>
      </c>
      <c r="E220" t="s">
        <v>6347</v>
      </c>
      <c r="F220" t="s">
        <v>6394</v>
      </c>
      <c r="G220" t="s">
        <v>6396</v>
      </c>
      <c r="H220" t="s">
        <v>6391</v>
      </c>
      <c r="I220" t="s">
        <v>6376</v>
      </c>
      <c r="J220">
        <f>AVERAGE(ai_job_market[[#This Row],[min_salary]],ai_job_market[[#This Row],[max_salary]])</f>
        <v>82120</v>
      </c>
      <c r="K220"/>
      <c r="L220" t="s">
        <v>27</v>
      </c>
      <c r="M220" t="s">
        <v>37</v>
      </c>
      <c r="N220" t="s">
        <v>4632</v>
      </c>
      <c r="O220" t="s">
        <v>4318</v>
      </c>
      <c r="P220">
        <v>42431</v>
      </c>
      <c r="Q220">
        <v>121809</v>
      </c>
      <c r="R220" s="2">
        <v>45544</v>
      </c>
      <c r="S220" t="s">
        <v>14</v>
      </c>
      <c r="T220" t="s">
        <v>52</v>
      </c>
      <c r="U220" t="s">
        <v>6375</v>
      </c>
      <c r="W220" t="s">
        <v>6347</v>
      </c>
      <c r="X220">
        <v>94</v>
      </c>
      <c r="Y220" t="s">
        <v>52</v>
      </c>
      <c r="Z220">
        <v>238</v>
      </c>
    </row>
    <row r="221" spans="1:26" x14ac:dyDescent="0.3">
      <c r="A221">
        <v>220</v>
      </c>
      <c r="B221" t="s">
        <v>584</v>
      </c>
      <c r="C221" t="s">
        <v>45</v>
      </c>
      <c r="D221" t="s">
        <v>135</v>
      </c>
      <c r="E221" t="s">
        <v>6358</v>
      </c>
      <c r="F221" t="s">
        <v>6377</v>
      </c>
      <c r="G221" t="s">
        <v>6389</v>
      </c>
      <c r="H221" t="s">
        <v>6380</v>
      </c>
      <c r="I221" t="s">
        <v>6392</v>
      </c>
      <c r="J221">
        <f>AVERAGE(ai_job_market[[#This Row],[min_salary]],ai_job_market[[#This Row],[max_salary]])</f>
        <v>149394.5</v>
      </c>
      <c r="K221"/>
      <c r="L221" t="s">
        <v>27</v>
      </c>
      <c r="M221" t="s">
        <v>15</v>
      </c>
      <c r="N221" t="s">
        <v>4633</v>
      </c>
      <c r="O221" t="s">
        <v>4634</v>
      </c>
      <c r="P221">
        <v>129721</v>
      </c>
      <c r="Q221">
        <v>169068</v>
      </c>
      <c r="R221" s="2">
        <v>45732</v>
      </c>
      <c r="S221" t="s">
        <v>69</v>
      </c>
      <c r="T221" t="s">
        <v>157</v>
      </c>
      <c r="U221" t="s">
        <v>6375</v>
      </c>
      <c r="W221" t="s">
        <v>6358</v>
      </c>
      <c r="X221">
        <v>96</v>
      </c>
      <c r="Y221" t="s">
        <v>157</v>
      </c>
      <c r="Z221">
        <v>247</v>
      </c>
    </row>
    <row r="222" spans="1:26" x14ac:dyDescent="0.3">
      <c r="A222">
        <v>221</v>
      </c>
      <c r="B222" t="s">
        <v>586</v>
      </c>
      <c r="C222" t="s">
        <v>45</v>
      </c>
      <c r="D222" t="s">
        <v>54</v>
      </c>
      <c r="E222" t="s">
        <v>128</v>
      </c>
      <c r="F222" t="s">
        <v>6374</v>
      </c>
      <c r="G222" t="s">
        <v>6391</v>
      </c>
      <c r="H222" t="s">
        <v>6397</v>
      </c>
      <c r="I222" t="s">
        <v>6386</v>
      </c>
      <c r="J222">
        <f>AVERAGE(ai_job_market[[#This Row],[min_salary]],ai_job_market[[#This Row],[max_salary]])</f>
        <v>83216</v>
      </c>
      <c r="K222" t="s">
        <v>6393</v>
      </c>
      <c r="L222" t="s">
        <v>14</v>
      </c>
      <c r="M222" t="s">
        <v>37</v>
      </c>
      <c r="N222" t="s">
        <v>4635</v>
      </c>
      <c r="O222" t="s">
        <v>4634</v>
      </c>
      <c r="P222">
        <v>51999</v>
      </c>
      <c r="Q222">
        <v>114433</v>
      </c>
      <c r="R222" s="2">
        <v>45602</v>
      </c>
      <c r="S222" t="s">
        <v>14</v>
      </c>
      <c r="T222" t="s">
        <v>77</v>
      </c>
      <c r="U222" t="s">
        <v>6379</v>
      </c>
      <c r="V222" t="s">
        <v>6384</v>
      </c>
      <c r="W222" t="s">
        <v>128</v>
      </c>
      <c r="X222">
        <v>92</v>
      </c>
      <c r="Y222" t="s">
        <v>77</v>
      </c>
      <c r="Z222">
        <v>251</v>
      </c>
    </row>
    <row r="223" spans="1:26" x14ac:dyDescent="0.3">
      <c r="A223">
        <v>222</v>
      </c>
      <c r="B223" t="s">
        <v>589</v>
      </c>
      <c r="C223" t="s">
        <v>40</v>
      </c>
      <c r="D223" t="s">
        <v>35</v>
      </c>
      <c r="E223" t="s">
        <v>6348</v>
      </c>
      <c r="F223" t="s">
        <v>6389</v>
      </c>
      <c r="G223" t="s">
        <v>6391</v>
      </c>
      <c r="H223" t="s">
        <v>6374</v>
      </c>
      <c r="I223" t="s">
        <v>6378</v>
      </c>
      <c r="J223">
        <f>AVERAGE(ai_job_market[[#This Row],[min_salary]],ai_job_market[[#This Row],[max_salary]])</f>
        <v>181922</v>
      </c>
      <c r="K223" t="s">
        <v>6387</v>
      </c>
      <c r="L223" t="s">
        <v>22</v>
      </c>
      <c r="M223" t="s">
        <v>15</v>
      </c>
      <c r="N223" t="s">
        <v>4636</v>
      </c>
      <c r="O223" t="s">
        <v>4637</v>
      </c>
      <c r="P223">
        <v>133703</v>
      </c>
      <c r="Q223">
        <v>230141</v>
      </c>
      <c r="R223" s="2">
        <v>45463</v>
      </c>
      <c r="S223" t="s">
        <v>16</v>
      </c>
      <c r="T223" t="s">
        <v>90</v>
      </c>
      <c r="U223" t="s">
        <v>6375</v>
      </c>
      <c r="V223" t="s">
        <v>6384</v>
      </c>
      <c r="W223" t="s">
        <v>6348</v>
      </c>
      <c r="X223">
        <v>78</v>
      </c>
      <c r="Y223" t="s">
        <v>90</v>
      </c>
      <c r="Z223">
        <v>259</v>
      </c>
    </row>
    <row r="224" spans="1:26" x14ac:dyDescent="0.3">
      <c r="A224">
        <v>223</v>
      </c>
      <c r="B224" t="s">
        <v>592</v>
      </c>
      <c r="C224" t="s">
        <v>49</v>
      </c>
      <c r="D224" t="s">
        <v>25</v>
      </c>
      <c r="E224" t="s">
        <v>6348</v>
      </c>
      <c r="F224" t="s">
        <v>6386</v>
      </c>
      <c r="G224" t="s">
        <v>6387</v>
      </c>
      <c r="H224" t="s">
        <v>6375</v>
      </c>
      <c r="I224" t="s">
        <v>6395</v>
      </c>
      <c r="J224">
        <f>AVERAGE(ai_job_market[[#This Row],[min_salary]],ai_job_market[[#This Row],[max_salary]])</f>
        <v>100901</v>
      </c>
      <c r="K224" t="s">
        <v>6394</v>
      </c>
      <c r="L224" t="s">
        <v>22</v>
      </c>
      <c r="M224" t="s">
        <v>42</v>
      </c>
      <c r="N224" t="s">
        <v>4638</v>
      </c>
      <c r="O224" t="s">
        <v>4578</v>
      </c>
      <c r="P224">
        <v>75109</v>
      </c>
      <c r="Q224">
        <v>126693</v>
      </c>
      <c r="R224" s="2">
        <v>45825</v>
      </c>
      <c r="S224" t="s">
        <v>16</v>
      </c>
      <c r="T224" t="s">
        <v>90</v>
      </c>
      <c r="W224" t="s">
        <v>6348</v>
      </c>
      <c r="X224">
        <v>78</v>
      </c>
      <c r="Y224" t="s">
        <v>90</v>
      </c>
      <c r="Z224">
        <v>259</v>
      </c>
    </row>
    <row r="225" spans="1:26" x14ac:dyDescent="0.3">
      <c r="A225">
        <v>224</v>
      </c>
      <c r="B225" t="s">
        <v>594</v>
      </c>
      <c r="C225" t="s">
        <v>45</v>
      </c>
      <c r="D225" t="s">
        <v>12</v>
      </c>
      <c r="E225" t="s">
        <v>6350</v>
      </c>
      <c r="F225" t="s">
        <v>6394</v>
      </c>
      <c r="G225" t="s">
        <v>6395</v>
      </c>
      <c r="H225" t="s">
        <v>6389</v>
      </c>
      <c r="I225" t="s">
        <v>6380</v>
      </c>
      <c r="J225">
        <f>AVERAGE(ai_job_market[[#This Row],[min_salary]],ai_job_market[[#This Row],[max_salary]])</f>
        <v>113216</v>
      </c>
      <c r="K225"/>
      <c r="L225" t="s">
        <v>22</v>
      </c>
      <c r="M225" t="s">
        <v>37</v>
      </c>
      <c r="N225" t="s">
        <v>4639</v>
      </c>
      <c r="O225" t="s">
        <v>4640</v>
      </c>
      <c r="P225">
        <v>102227</v>
      </c>
      <c r="Q225">
        <v>124205</v>
      </c>
      <c r="R225" s="2">
        <v>45449</v>
      </c>
      <c r="S225" t="s">
        <v>16</v>
      </c>
      <c r="T225" t="s">
        <v>52</v>
      </c>
      <c r="U225" t="s">
        <v>6384</v>
      </c>
      <c r="W225" t="s">
        <v>6350</v>
      </c>
      <c r="X225">
        <v>84</v>
      </c>
      <c r="Y225" t="s">
        <v>52</v>
      </c>
      <c r="Z225">
        <v>238</v>
      </c>
    </row>
    <row r="226" spans="1:26" x14ac:dyDescent="0.3">
      <c r="A226">
        <v>225</v>
      </c>
      <c r="B226" t="s">
        <v>596</v>
      </c>
      <c r="C226" t="s">
        <v>49</v>
      </c>
      <c r="D226" t="s">
        <v>135</v>
      </c>
      <c r="E226" t="s">
        <v>6358</v>
      </c>
      <c r="F226" t="s">
        <v>6391</v>
      </c>
      <c r="G226" t="s">
        <v>6387</v>
      </c>
      <c r="J226">
        <f>AVERAGE(ai_job_market[[#This Row],[min_salary]],ai_job_market[[#This Row],[max_salary]])</f>
        <v>106855</v>
      </c>
      <c r="K226"/>
      <c r="L226" t="s">
        <v>14</v>
      </c>
      <c r="M226" t="s">
        <v>42</v>
      </c>
      <c r="N226" t="s">
        <v>4641</v>
      </c>
      <c r="O226" t="s">
        <v>4578</v>
      </c>
      <c r="P226">
        <v>77125</v>
      </c>
      <c r="Q226">
        <v>136585</v>
      </c>
      <c r="R226" s="2">
        <v>45543</v>
      </c>
      <c r="S226" t="s">
        <v>14</v>
      </c>
      <c r="T226" t="s">
        <v>70</v>
      </c>
      <c r="U226" t="s">
        <v>6376</v>
      </c>
      <c r="V226" t="s">
        <v>6378</v>
      </c>
      <c r="W226" t="s">
        <v>6358</v>
      </c>
      <c r="X226">
        <v>96</v>
      </c>
      <c r="Y226" t="s">
        <v>70</v>
      </c>
      <c r="Z226">
        <v>268</v>
      </c>
    </row>
    <row r="227" spans="1:26" x14ac:dyDescent="0.3">
      <c r="A227">
        <v>226</v>
      </c>
      <c r="B227" t="s">
        <v>599</v>
      </c>
      <c r="C227" t="s">
        <v>34</v>
      </c>
      <c r="D227" t="s">
        <v>20</v>
      </c>
      <c r="E227" t="s">
        <v>6344</v>
      </c>
      <c r="F227" t="s">
        <v>6385</v>
      </c>
      <c r="G227" t="s">
        <v>6386</v>
      </c>
      <c r="H227" t="s">
        <v>6381</v>
      </c>
      <c r="I227" t="s">
        <v>6389</v>
      </c>
      <c r="J227">
        <f>AVERAGE(ai_job_market[[#This Row],[min_salary]],ai_job_market[[#This Row],[max_salary]])</f>
        <v>132844.5</v>
      </c>
      <c r="K227"/>
      <c r="L227" t="s">
        <v>22</v>
      </c>
      <c r="M227" t="s">
        <v>51</v>
      </c>
      <c r="N227" t="s">
        <v>4642</v>
      </c>
      <c r="O227" t="s">
        <v>4643</v>
      </c>
      <c r="P227">
        <v>114539</v>
      </c>
      <c r="Q227">
        <v>151150</v>
      </c>
      <c r="R227" s="2">
        <v>45567</v>
      </c>
      <c r="S227" t="s">
        <v>14</v>
      </c>
      <c r="T227" t="s">
        <v>128</v>
      </c>
      <c r="U227" t="s">
        <v>6376</v>
      </c>
      <c r="W227" t="s">
        <v>6344</v>
      </c>
      <c r="X227">
        <v>104</v>
      </c>
      <c r="Y227" t="s">
        <v>128</v>
      </c>
      <c r="Z227">
        <v>233</v>
      </c>
    </row>
    <row r="228" spans="1:26" x14ac:dyDescent="0.3">
      <c r="A228">
        <v>227</v>
      </c>
      <c r="B228" t="s">
        <v>601</v>
      </c>
      <c r="C228" t="s">
        <v>72</v>
      </c>
      <c r="D228" t="s">
        <v>25</v>
      </c>
      <c r="E228" t="s">
        <v>6355</v>
      </c>
      <c r="F228" t="s">
        <v>6385</v>
      </c>
      <c r="G228" t="s">
        <v>6374</v>
      </c>
      <c r="J228">
        <f>AVERAGE(ai_job_market[[#This Row],[min_salary]],ai_job_market[[#This Row],[max_salary]])</f>
        <v>73922.5</v>
      </c>
      <c r="K228"/>
      <c r="L228" t="s">
        <v>27</v>
      </c>
      <c r="M228" t="s">
        <v>37</v>
      </c>
      <c r="N228" t="s">
        <v>4644</v>
      </c>
      <c r="O228" t="s">
        <v>4355</v>
      </c>
      <c r="P228">
        <v>42773</v>
      </c>
      <c r="Q228">
        <v>105072</v>
      </c>
      <c r="R228" s="2">
        <v>45200</v>
      </c>
      <c r="S228" t="s">
        <v>14</v>
      </c>
      <c r="T228" t="s">
        <v>52</v>
      </c>
      <c r="U228" t="s">
        <v>6376</v>
      </c>
      <c r="V228" t="s">
        <v>6379</v>
      </c>
      <c r="W228" t="s">
        <v>6355</v>
      </c>
      <c r="X228">
        <v>90</v>
      </c>
      <c r="Y228" t="s">
        <v>52</v>
      </c>
      <c r="Z228">
        <v>238</v>
      </c>
    </row>
    <row r="229" spans="1:26" x14ac:dyDescent="0.3">
      <c r="A229">
        <v>228</v>
      </c>
      <c r="B229" t="s">
        <v>604</v>
      </c>
      <c r="C229" t="s">
        <v>34</v>
      </c>
      <c r="D229" t="s">
        <v>135</v>
      </c>
      <c r="E229" t="s">
        <v>6358</v>
      </c>
      <c r="F229" t="s">
        <v>6393</v>
      </c>
      <c r="G229" t="s">
        <v>6390</v>
      </c>
      <c r="H229" t="s">
        <v>6374</v>
      </c>
      <c r="I229" t="s">
        <v>6384</v>
      </c>
      <c r="J229">
        <f>AVERAGE(ai_job_market[[#This Row],[min_salary]],ai_job_market[[#This Row],[max_salary]])</f>
        <v>165701</v>
      </c>
      <c r="K229" t="s">
        <v>6396</v>
      </c>
      <c r="L229" t="s">
        <v>27</v>
      </c>
      <c r="M229" t="s">
        <v>37</v>
      </c>
      <c r="N229" t="s">
        <v>4645</v>
      </c>
      <c r="O229" t="s">
        <v>4646</v>
      </c>
      <c r="P229">
        <v>122640</v>
      </c>
      <c r="Q229">
        <v>208762</v>
      </c>
      <c r="R229" s="2">
        <v>45425</v>
      </c>
      <c r="S229" t="s">
        <v>14</v>
      </c>
      <c r="T229" t="s">
        <v>70</v>
      </c>
      <c r="W229" t="s">
        <v>6358</v>
      </c>
      <c r="X229">
        <v>96</v>
      </c>
      <c r="Y229" t="s">
        <v>70</v>
      </c>
      <c r="Z229">
        <v>268</v>
      </c>
    </row>
    <row r="230" spans="1:26" x14ac:dyDescent="0.3">
      <c r="A230">
        <v>229</v>
      </c>
      <c r="B230" t="s">
        <v>606</v>
      </c>
      <c r="C230" t="s">
        <v>49</v>
      </c>
      <c r="D230" t="s">
        <v>30</v>
      </c>
      <c r="E230" t="s">
        <v>90</v>
      </c>
      <c r="F230" t="s">
        <v>6379</v>
      </c>
      <c r="G230" t="s">
        <v>6393</v>
      </c>
      <c r="H230" t="s">
        <v>6391</v>
      </c>
      <c r="I230" t="s">
        <v>6392</v>
      </c>
      <c r="J230">
        <f>AVERAGE(ai_job_market[[#This Row],[min_salary]],ai_job_market[[#This Row],[max_salary]])</f>
        <v>121662.5</v>
      </c>
      <c r="K230"/>
      <c r="L230" t="s">
        <v>14</v>
      </c>
      <c r="M230" t="s">
        <v>15</v>
      </c>
      <c r="N230" t="s">
        <v>4647</v>
      </c>
      <c r="O230" t="s">
        <v>4648</v>
      </c>
      <c r="P230">
        <v>90611</v>
      </c>
      <c r="Q230">
        <v>152714</v>
      </c>
      <c r="R230" s="2">
        <v>45405</v>
      </c>
      <c r="S230" t="s">
        <v>14</v>
      </c>
      <c r="T230" t="s">
        <v>80</v>
      </c>
      <c r="W230" t="s">
        <v>90</v>
      </c>
      <c r="X230">
        <v>80</v>
      </c>
      <c r="Y230" t="s">
        <v>80</v>
      </c>
      <c r="Z230">
        <v>249</v>
      </c>
    </row>
    <row r="231" spans="1:26" x14ac:dyDescent="0.3">
      <c r="A231">
        <v>230</v>
      </c>
      <c r="B231" t="s">
        <v>608</v>
      </c>
      <c r="C231" t="s">
        <v>19</v>
      </c>
      <c r="D231" t="s">
        <v>30</v>
      </c>
      <c r="E231" t="s">
        <v>6357</v>
      </c>
      <c r="F231" t="s">
        <v>6390</v>
      </c>
      <c r="G231" t="s">
        <v>6376</v>
      </c>
      <c r="H231" t="s">
        <v>6394</v>
      </c>
      <c r="J231">
        <f>AVERAGE(ai_job_market[[#This Row],[min_salary]],ai_job_market[[#This Row],[max_salary]])</f>
        <v>75202.5</v>
      </c>
      <c r="K231"/>
      <c r="L231" t="s">
        <v>22</v>
      </c>
      <c r="M231" t="s">
        <v>51</v>
      </c>
      <c r="N231" t="s">
        <v>4649</v>
      </c>
      <c r="O231" t="s">
        <v>4582</v>
      </c>
      <c r="P231">
        <v>61529</v>
      </c>
      <c r="Q231">
        <v>88876</v>
      </c>
      <c r="R231" s="2">
        <v>45276</v>
      </c>
      <c r="S231" t="s">
        <v>14</v>
      </c>
      <c r="T231" t="s">
        <v>157</v>
      </c>
      <c r="U231" t="s">
        <v>6378</v>
      </c>
      <c r="W231" t="s">
        <v>6357</v>
      </c>
      <c r="X231">
        <v>88</v>
      </c>
      <c r="Y231" t="s">
        <v>157</v>
      </c>
      <c r="Z231">
        <v>247</v>
      </c>
    </row>
    <row r="232" spans="1:26" x14ac:dyDescent="0.3">
      <c r="A232">
        <v>231</v>
      </c>
      <c r="B232" t="s">
        <v>610</v>
      </c>
      <c r="C232" t="s">
        <v>19</v>
      </c>
      <c r="D232" t="s">
        <v>30</v>
      </c>
      <c r="E232" t="s">
        <v>6344</v>
      </c>
      <c r="F232" t="s">
        <v>6382</v>
      </c>
      <c r="G232" t="s">
        <v>6393</v>
      </c>
      <c r="J232">
        <f>AVERAGE(ai_job_market[[#This Row],[min_salary]],ai_job_market[[#This Row],[max_salary]])</f>
        <v>101783.5</v>
      </c>
      <c r="K232"/>
      <c r="L232" t="s">
        <v>14</v>
      </c>
      <c r="M232" t="s">
        <v>37</v>
      </c>
      <c r="N232" t="s">
        <v>4650</v>
      </c>
      <c r="O232" t="s">
        <v>4624</v>
      </c>
      <c r="P232">
        <v>62907</v>
      </c>
      <c r="Q232">
        <v>140660</v>
      </c>
      <c r="R232" s="2">
        <v>45766</v>
      </c>
      <c r="S232" t="s">
        <v>14</v>
      </c>
      <c r="T232" t="s">
        <v>80</v>
      </c>
      <c r="U232" t="s">
        <v>6389</v>
      </c>
      <c r="V232" t="s">
        <v>6379</v>
      </c>
      <c r="W232" t="s">
        <v>6344</v>
      </c>
      <c r="X232">
        <v>104</v>
      </c>
      <c r="Y232" t="s">
        <v>80</v>
      </c>
      <c r="Z232">
        <v>249</v>
      </c>
    </row>
    <row r="233" spans="1:26" x14ac:dyDescent="0.3">
      <c r="A233">
        <v>232</v>
      </c>
      <c r="B233" t="s">
        <v>613</v>
      </c>
      <c r="C233" t="s">
        <v>34</v>
      </c>
      <c r="D233" t="s">
        <v>30</v>
      </c>
      <c r="E233" t="s">
        <v>101</v>
      </c>
      <c r="F233" t="s">
        <v>6390</v>
      </c>
      <c r="G233" t="s">
        <v>6385</v>
      </c>
      <c r="J233">
        <f>AVERAGE(ai_job_market[[#This Row],[min_salary]],ai_job_market[[#This Row],[max_salary]])</f>
        <v>136174.5</v>
      </c>
      <c r="K233"/>
      <c r="L233" t="s">
        <v>14</v>
      </c>
      <c r="M233" t="s">
        <v>51</v>
      </c>
      <c r="N233" t="s">
        <v>4651</v>
      </c>
      <c r="O233" t="s">
        <v>4652</v>
      </c>
      <c r="P233">
        <v>87618</v>
      </c>
      <c r="Q233">
        <v>184731</v>
      </c>
      <c r="R233" s="2">
        <v>45413</v>
      </c>
      <c r="S233" t="s">
        <v>14</v>
      </c>
      <c r="T233" t="s">
        <v>52</v>
      </c>
      <c r="U233" t="s">
        <v>6389</v>
      </c>
      <c r="V233" t="s">
        <v>6383</v>
      </c>
      <c r="W233" t="s">
        <v>101</v>
      </c>
      <c r="X233">
        <v>76</v>
      </c>
      <c r="Y233" t="s">
        <v>52</v>
      </c>
      <c r="Z233">
        <v>238</v>
      </c>
    </row>
    <row r="234" spans="1:26" x14ac:dyDescent="0.3">
      <c r="A234">
        <v>233</v>
      </c>
      <c r="B234" t="s">
        <v>616</v>
      </c>
      <c r="C234" t="s">
        <v>72</v>
      </c>
      <c r="D234" t="s">
        <v>20</v>
      </c>
      <c r="E234" t="s">
        <v>90</v>
      </c>
      <c r="F234" t="s">
        <v>6377</v>
      </c>
      <c r="G234" t="s">
        <v>6384</v>
      </c>
      <c r="H234" t="s">
        <v>6386</v>
      </c>
      <c r="J234">
        <f>AVERAGE(ai_job_market[[#This Row],[min_salary]],ai_job_market[[#This Row],[max_salary]])</f>
        <v>149302.5</v>
      </c>
      <c r="K234"/>
      <c r="L234" t="s">
        <v>22</v>
      </c>
      <c r="M234" t="s">
        <v>15</v>
      </c>
      <c r="N234" t="s">
        <v>4653</v>
      </c>
      <c r="O234" t="s">
        <v>4499</v>
      </c>
      <c r="P234">
        <v>129185</v>
      </c>
      <c r="Q234">
        <v>169420</v>
      </c>
      <c r="R234" s="2">
        <v>45758</v>
      </c>
      <c r="S234" t="s">
        <v>69</v>
      </c>
      <c r="T234" t="s">
        <v>80</v>
      </c>
      <c r="U234" t="s">
        <v>6379</v>
      </c>
      <c r="V234" t="s">
        <v>6388</v>
      </c>
      <c r="W234" t="s">
        <v>90</v>
      </c>
      <c r="X234">
        <v>80</v>
      </c>
      <c r="Y234" t="s">
        <v>80</v>
      </c>
      <c r="Z234">
        <v>249</v>
      </c>
    </row>
    <row r="235" spans="1:26" x14ac:dyDescent="0.3">
      <c r="A235">
        <v>234</v>
      </c>
      <c r="B235" t="s">
        <v>619</v>
      </c>
      <c r="C235" t="s">
        <v>49</v>
      </c>
      <c r="D235" t="s">
        <v>12</v>
      </c>
      <c r="E235" t="s">
        <v>6356</v>
      </c>
      <c r="F235" t="s">
        <v>6396</v>
      </c>
      <c r="G235" t="s">
        <v>6390</v>
      </c>
      <c r="H235" t="s">
        <v>6375</v>
      </c>
      <c r="I235" t="s">
        <v>6397</v>
      </c>
      <c r="J235">
        <f>AVERAGE(ai_job_market[[#This Row],[min_salary]],ai_job_market[[#This Row],[max_salary]])</f>
        <v>157460</v>
      </c>
      <c r="K235"/>
      <c r="L235" t="s">
        <v>27</v>
      </c>
      <c r="M235" t="s">
        <v>51</v>
      </c>
      <c r="N235" t="s">
        <v>4654</v>
      </c>
      <c r="O235" t="s">
        <v>4655</v>
      </c>
      <c r="P235">
        <v>127161</v>
      </c>
      <c r="Q235">
        <v>187759</v>
      </c>
      <c r="R235" s="2">
        <v>45647</v>
      </c>
      <c r="S235" t="s">
        <v>69</v>
      </c>
      <c r="T235" t="s">
        <v>101</v>
      </c>
      <c r="W235" t="s">
        <v>6356</v>
      </c>
      <c r="X235">
        <v>86</v>
      </c>
      <c r="Y235" t="s">
        <v>101</v>
      </c>
      <c r="Z235">
        <v>255</v>
      </c>
    </row>
    <row r="236" spans="1:26" x14ac:dyDescent="0.3">
      <c r="A236">
        <v>235</v>
      </c>
      <c r="B236" t="s">
        <v>621</v>
      </c>
      <c r="C236" t="s">
        <v>49</v>
      </c>
      <c r="D236" t="s">
        <v>67</v>
      </c>
      <c r="E236" t="s">
        <v>6357</v>
      </c>
      <c r="F236" t="s">
        <v>6397</v>
      </c>
      <c r="G236" t="s">
        <v>6389</v>
      </c>
      <c r="J236">
        <f>AVERAGE(ai_job_market[[#This Row],[min_salary]],ai_job_market[[#This Row],[max_salary]])</f>
        <v>100537.5</v>
      </c>
      <c r="K236"/>
      <c r="L236" t="s">
        <v>22</v>
      </c>
      <c r="M236" t="s">
        <v>42</v>
      </c>
      <c r="N236" t="s">
        <v>4656</v>
      </c>
      <c r="O236" t="s">
        <v>4599</v>
      </c>
      <c r="P236">
        <v>91557</v>
      </c>
      <c r="Q236">
        <v>109518</v>
      </c>
      <c r="R236" s="2">
        <v>45270</v>
      </c>
      <c r="S236" t="s">
        <v>14</v>
      </c>
      <c r="T236" t="s">
        <v>90</v>
      </c>
      <c r="W236" t="s">
        <v>6357</v>
      </c>
      <c r="X236">
        <v>88</v>
      </c>
      <c r="Y236" t="s">
        <v>90</v>
      </c>
      <c r="Z236">
        <v>259</v>
      </c>
    </row>
    <row r="237" spans="1:26" x14ac:dyDescent="0.3">
      <c r="A237">
        <v>236</v>
      </c>
      <c r="B237" t="s">
        <v>623</v>
      </c>
      <c r="C237" t="s">
        <v>19</v>
      </c>
      <c r="D237" t="s">
        <v>30</v>
      </c>
      <c r="E237" t="s">
        <v>128</v>
      </c>
      <c r="F237" t="s">
        <v>6396</v>
      </c>
      <c r="G237" t="s">
        <v>6374</v>
      </c>
      <c r="H237" t="s">
        <v>6376</v>
      </c>
      <c r="I237" t="s">
        <v>6391</v>
      </c>
      <c r="J237">
        <f>AVERAGE(ai_job_market[[#This Row],[min_salary]],ai_job_market[[#This Row],[max_salary]])</f>
        <v>129693</v>
      </c>
      <c r="K237"/>
      <c r="L237" t="s">
        <v>27</v>
      </c>
      <c r="M237" t="s">
        <v>42</v>
      </c>
      <c r="N237" t="s">
        <v>4657</v>
      </c>
      <c r="O237" t="s">
        <v>4289</v>
      </c>
      <c r="P237">
        <v>85776</v>
      </c>
      <c r="Q237">
        <v>173610</v>
      </c>
      <c r="R237" s="2">
        <v>45546</v>
      </c>
      <c r="S237" t="s">
        <v>14</v>
      </c>
      <c r="T237" t="s">
        <v>52</v>
      </c>
      <c r="U237" t="s">
        <v>6383</v>
      </c>
      <c r="W237" t="s">
        <v>128</v>
      </c>
      <c r="X237">
        <v>92</v>
      </c>
      <c r="Y237" t="s">
        <v>52</v>
      </c>
      <c r="Z237">
        <v>238</v>
      </c>
    </row>
    <row r="238" spans="1:26" x14ac:dyDescent="0.3">
      <c r="A238">
        <v>237</v>
      </c>
      <c r="B238" t="s">
        <v>625</v>
      </c>
      <c r="C238" t="s">
        <v>45</v>
      </c>
      <c r="D238" t="s">
        <v>135</v>
      </c>
      <c r="E238" t="s">
        <v>6345</v>
      </c>
      <c r="F238" t="s">
        <v>6393</v>
      </c>
      <c r="G238" t="s">
        <v>6375</v>
      </c>
      <c r="H238" t="s">
        <v>6387</v>
      </c>
      <c r="I238" t="s">
        <v>6381</v>
      </c>
      <c r="J238">
        <f>AVERAGE(ai_job_market[[#This Row],[min_salary]],ai_job_market[[#This Row],[max_salary]])</f>
        <v>127773.5</v>
      </c>
      <c r="K238" t="s">
        <v>6392</v>
      </c>
      <c r="L238" t="s">
        <v>22</v>
      </c>
      <c r="M238" t="s">
        <v>51</v>
      </c>
      <c r="N238" t="s">
        <v>4658</v>
      </c>
      <c r="O238" t="s">
        <v>4482</v>
      </c>
      <c r="P238">
        <v>95255</v>
      </c>
      <c r="Q238">
        <v>160292</v>
      </c>
      <c r="R238" s="2">
        <v>45544</v>
      </c>
      <c r="S238" t="s">
        <v>14</v>
      </c>
      <c r="T238" t="s">
        <v>80</v>
      </c>
      <c r="U238" t="s">
        <v>6375</v>
      </c>
      <c r="V238" t="s">
        <v>6379</v>
      </c>
      <c r="W238" t="s">
        <v>6345</v>
      </c>
      <c r="X238">
        <v>101</v>
      </c>
      <c r="Y238" t="s">
        <v>80</v>
      </c>
      <c r="Z238">
        <v>249</v>
      </c>
    </row>
    <row r="239" spans="1:26" x14ac:dyDescent="0.3">
      <c r="A239">
        <v>238</v>
      </c>
      <c r="B239" t="s">
        <v>628</v>
      </c>
      <c r="C239" t="s">
        <v>45</v>
      </c>
      <c r="D239" t="s">
        <v>135</v>
      </c>
      <c r="E239" t="s">
        <v>101</v>
      </c>
      <c r="F239" t="s">
        <v>6393</v>
      </c>
      <c r="G239" t="s">
        <v>6382</v>
      </c>
      <c r="H239" t="s">
        <v>6390</v>
      </c>
      <c r="I239" t="s">
        <v>6384</v>
      </c>
      <c r="J239">
        <f>AVERAGE(ai_job_market[[#This Row],[min_salary]],ai_job_market[[#This Row],[max_salary]])</f>
        <v>104121.5</v>
      </c>
      <c r="K239"/>
      <c r="L239" t="s">
        <v>22</v>
      </c>
      <c r="M239" t="s">
        <v>42</v>
      </c>
      <c r="N239" t="s">
        <v>4659</v>
      </c>
      <c r="O239" t="s">
        <v>4660</v>
      </c>
      <c r="P239">
        <v>70536</v>
      </c>
      <c r="Q239">
        <v>137707</v>
      </c>
      <c r="R239" s="2">
        <v>45528</v>
      </c>
      <c r="S239" t="s">
        <v>14</v>
      </c>
      <c r="T239" t="s">
        <v>80</v>
      </c>
      <c r="U239" t="s">
        <v>6376</v>
      </c>
      <c r="W239" t="s">
        <v>101</v>
      </c>
      <c r="X239">
        <v>76</v>
      </c>
      <c r="Y239" t="s">
        <v>80</v>
      </c>
      <c r="Z239">
        <v>249</v>
      </c>
    </row>
    <row r="240" spans="1:26" x14ac:dyDescent="0.3">
      <c r="A240">
        <v>239</v>
      </c>
      <c r="B240" t="s">
        <v>630</v>
      </c>
      <c r="C240" t="s">
        <v>34</v>
      </c>
      <c r="D240" t="s">
        <v>30</v>
      </c>
      <c r="E240" t="s">
        <v>77</v>
      </c>
      <c r="F240" t="s">
        <v>6389</v>
      </c>
      <c r="G240" t="s">
        <v>6379</v>
      </c>
      <c r="H240" t="s">
        <v>6393</v>
      </c>
      <c r="I240" t="s">
        <v>6395</v>
      </c>
      <c r="J240" s="6">
        <f>AVERAGE(ai_job_market[[#This Row],[min_salary]],ai_job_market[[#This Row],[max_salary]])</f>
        <v>102831</v>
      </c>
      <c r="K240"/>
      <c r="L240" t="s">
        <v>27</v>
      </c>
      <c r="M240" t="s">
        <v>42</v>
      </c>
      <c r="N240" t="s">
        <v>4661</v>
      </c>
      <c r="O240" t="s">
        <v>4524</v>
      </c>
      <c r="P240" s="5">
        <v>56526</v>
      </c>
      <c r="Q240" s="5">
        <v>149136</v>
      </c>
      <c r="R240" s="2">
        <v>45228</v>
      </c>
      <c r="S240" t="s">
        <v>69</v>
      </c>
      <c r="T240" t="s">
        <v>80</v>
      </c>
      <c r="U240" t="s">
        <v>6383</v>
      </c>
      <c r="V240" t="s">
        <v>6388</v>
      </c>
      <c r="W240" t="s">
        <v>77</v>
      </c>
      <c r="X240">
        <v>111</v>
      </c>
      <c r="Y240" t="s">
        <v>80</v>
      </c>
      <c r="Z240">
        <v>249</v>
      </c>
    </row>
    <row r="241" spans="1:26" x14ac:dyDescent="0.3">
      <c r="A241">
        <v>240</v>
      </c>
      <c r="B241" t="s">
        <v>632</v>
      </c>
      <c r="C241" t="s">
        <v>34</v>
      </c>
      <c r="D241" t="s">
        <v>25</v>
      </c>
      <c r="E241" t="s">
        <v>6348</v>
      </c>
      <c r="F241" t="s">
        <v>6390</v>
      </c>
      <c r="G241" t="s">
        <v>6397</v>
      </c>
      <c r="H241" t="s">
        <v>6394</v>
      </c>
      <c r="I241" t="s">
        <v>6377</v>
      </c>
      <c r="J241">
        <f>AVERAGE(ai_job_market[[#This Row],[min_salary]],ai_job_market[[#This Row],[max_salary]])</f>
        <v>82491.5</v>
      </c>
      <c r="K241"/>
      <c r="L241" t="s">
        <v>22</v>
      </c>
      <c r="M241" t="s">
        <v>42</v>
      </c>
      <c r="N241" t="s">
        <v>4662</v>
      </c>
      <c r="O241" t="s">
        <v>4634</v>
      </c>
      <c r="P241">
        <v>40077</v>
      </c>
      <c r="Q241">
        <v>124906</v>
      </c>
      <c r="R241" s="2">
        <v>45195</v>
      </c>
      <c r="S241" t="s">
        <v>16</v>
      </c>
      <c r="T241" t="s">
        <v>128</v>
      </c>
      <c r="U241" t="s">
        <v>6389</v>
      </c>
      <c r="W241" t="s">
        <v>6348</v>
      </c>
      <c r="X241">
        <v>78</v>
      </c>
      <c r="Y241" t="s">
        <v>128</v>
      </c>
      <c r="Z241">
        <v>233</v>
      </c>
    </row>
    <row r="242" spans="1:26" x14ac:dyDescent="0.3">
      <c r="A242">
        <v>241</v>
      </c>
      <c r="B242" t="s">
        <v>634</v>
      </c>
      <c r="C242" t="s">
        <v>34</v>
      </c>
      <c r="D242" t="s">
        <v>12</v>
      </c>
      <c r="E242" t="s">
        <v>6358</v>
      </c>
      <c r="F242" t="s">
        <v>6391</v>
      </c>
      <c r="G242" t="s">
        <v>6381</v>
      </c>
      <c r="H242" t="s">
        <v>6392</v>
      </c>
      <c r="I242" t="s">
        <v>6394</v>
      </c>
      <c r="J242" s="6">
        <f>AVERAGE(ai_job_market[[#This Row],[min_salary]],ai_job_market[[#This Row],[max_salary]])</f>
        <v>156088.5</v>
      </c>
      <c r="K242" t="s">
        <v>6380</v>
      </c>
      <c r="L242" t="s">
        <v>27</v>
      </c>
      <c r="M242" t="s">
        <v>42</v>
      </c>
      <c r="N242" t="s">
        <v>4663</v>
      </c>
      <c r="O242" t="s">
        <v>4664</v>
      </c>
      <c r="P242" s="5">
        <v>136304</v>
      </c>
      <c r="Q242" s="5">
        <v>175873</v>
      </c>
      <c r="R242" s="2">
        <v>45888</v>
      </c>
      <c r="S242" t="s">
        <v>16</v>
      </c>
      <c r="T242" t="s">
        <v>52</v>
      </c>
      <c r="U242" t="s">
        <v>6376</v>
      </c>
      <c r="W242" t="s">
        <v>6358</v>
      </c>
      <c r="X242">
        <v>96</v>
      </c>
      <c r="Y242" t="s">
        <v>52</v>
      </c>
      <c r="Z242">
        <v>238</v>
      </c>
    </row>
    <row r="243" spans="1:26" x14ac:dyDescent="0.3">
      <c r="A243">
        <v>242</v>
      </c>
      <c r="B243" t="s">
        <v>636</v>
      </c>
      <c r="C243" t="s">
        <v>45</v>
      </c>
      <c r="D243" t="s">
        <v>20</v>
      </c>
      <c r="E243" t="s">
        <v>6349</v>
      </c>
      <c r="F243" t="s">
        <v>6381</v>
      </c>
      <c r="G243" t="s">
        <v>6378</v>
      </c>
      <c r="H243" t="s">
        <v>6377</v>
      </c>
      <c r="I243" t="s">
        <v>6392</v>
      </c>
      <c r="J243">
        <f>AVERAGE(ai_job_market[[#This Row],[min_salary]],ai_job_market[[#This Row],[max_salary]])</f>
        <v>54386</v>
      </c>
      <c r="K243"/>
      <c r="L243" t="s">
        <v>14</v>
      </c>
      <c r="M243" t="s">
        <v>15</v>
      </c>
      <c r="N243" t="s">
        <v>4665</v>
      </c>
      <c r="O243" t="s">
        <v>4666</v>
      </c>
      <c r="P243">
        <v>45264</v>
      </c>
      <c r="Q243">
        <v>63508</v>
      </c>
      <c r="R243" s="2">
        <v>45886</v>
      </c>
      <c r="S243" t="s">
        <v>14</v>
      </c>
      <c r="T243" t="s">
        <v>70</v>
      </c>
      <c r="U243" t="s">
        <v>6388</v>
      </c>
      <c r="W243" t="s">
        <v>6349</v>
      </c>
      <c r="X243">
        <v>96</v>
      </c>
      <c r="Y243" t="s">
        <v>70</v>
      </c>
      <c r="Z243">
        <v>268</v>
      </c>
    </row>
    <row r="244" spans="1:26" x14ac:dyDescent="0.3">
      <c r="A244">
        <v>243</v>
      </c>
      <c r="B244" t="s">
        <v>638</v>
      </c>
      <c r="C244" t="s">
        <v>40</v>
      </c>
      <c r="D244" t="s">
        <v>20</v>
      </c>
      <c r="E244" t="s">
        <v>6345</v>
      </c>
      <c r="F244" t="s">
        <v>6390</v>
      </c>
      <c r="G244" t="s">
        <v>6382</v>
      </c>
      <c r="H244" t="s">
        <v>6380</v>
      </c>
      <c r="I244" t="s">
        <v>6381</v>
      </c>
      <c r="J244">
        <f>AVERAGE(ai_job_market[[#This Row],[min_salary]],ai_job_market[[#This Row],[max_salary]])</f>
        <v>79343</v>
      </c>
      <c r="K244" t="s">
        <v>6393</v>
      </c>
      <c r="L244" t="s">
        <v>22</v>
      </c>
      <c r="M244" t="s">
        <v>51</v>
      </c>
      <c r="N244" t="s">
        <v>4667</v>
      </c>
      <c r="O244" t="s">
        <v>4668</v>
      </c>
      <c r="P244">
        <v>70448</v>
      </c>
      <c r="Q244">
        <v>88238</v>
      </c>
      <c r="R244" s="2">
        <v>45417</v>
      </c>
      <c r="S244" t="s">
        <v>69</v>
      </c>
      <c r="T244" t="s">
        <v>90</v>
      </c>
      <c r="U244" t="s">
        <v>6383</v>
      </c>
      <c r="V244" t="s">
        <v>6388</v>
      </c>
      <c r="W244" t="s">
        <v>6345</v>
      </c>
      <c r="X244">
        <v>101</v>
      </c>
      <c r="Y244" t="s">
        <v>90</v>
      </c>
      <c r="Z244">
        <v>259</v>
      </c>
    </row>
    <row r="245" spans="1:26" x14ac:dyDescent="0.3">
      <c r="A245">
        <v>244</v>
      </c>
      <c r="B245" t="s">
        <v>641</v>
      </c>
      <c r="C245" t="s">
        <v>72</v>
      </c>
      <c r="D245" t="s">
        <v>12</v>
      </c>
      <c r="E245" t="s">
        <v>6354</v>
      </c>
      <c r="F245" t="s">
        <v>6375</v>
      </c>
      <c r="G245" t="s">
        <v>6396</v>
      </c>
      <c r="J245">
        <f>AVERAGE(ai_job_market[[#This Row],[min_salary]],ai_job_market[[#This Row],[max_salary]])</f>
        <v>157281.5</v>
      </c>
      <c r="K245"/>
      <c r="L245" t="s">
        <v>22</v>
      </c>
      <c r="M245" t="s">
        <v>51</v>
      </c>
      <c r="N245" t="s">
        <v>4669</v>
      </c>
      <c r="O245" t="s">
        <v>4670</v>
      </c>
      <c r="P245">
        <v>132241</v>
      </c>
      <c r="Q245">
        <v>182322</v>
      </c>
      <c r="R245" s="2">
        <v>45533</v>
      </c>
      <c r="S245" t="s">
        <v>14</v>
      </c>
      <c r="T245" t="s">
        <v>70</v>
      </c>
      <c r="W245" t="s">
        <v>6354</v>
      </c>
      <c r="X245">
        <v>75</v>
      </c>
      <c r="Y245" t="s">
        <v>70</v>
      </c>
      <c r="Z245">
        <v>268</v>
      </c>
    </row>
    <row r="246" spans="1:26" x14ac:dyDescent="0.3">
      <c r="A246">
        <v>245</v>
      </c>
      <c r="B246" t="s">
        <v>129</v>
      </c>
      <c r="C246" t="s">
        <v>34</v>
      </c>
      <c r="D246" t="s">
        <v>35</v>
      </c>
      <c r="E246" t="s">
        <v>6356</v>
      </c>
      <c r="F246" t="s">
        <v>6376</v>
      </c>
      <c r="G246" t="s">
        <v>6378</v>
      </c>
      <c r="H246" t="s">
        <v>6395</v>
      </c>
      <c r="J246">
        <f>AVERAGE(ai_job_market[[#This Row],[min_salary]],ai_job_market[[#This Row],[max_salary]])</f>
        <v>120550</v>
      </c>
      <c r="K246"/>
      <c r="L246" t="s">
        <v>22</v>
      </c>
      <c r="M246" t="s">
        <v>37</v>
      </c>
      <c r="N246" t="s">
        <v>4671</v>
      </c>
      <c r="O246" t="s">
        <v>4403</v>
      </c>
      <c r="P246">
        <v>97077</v>
      </c>
      <c r="Q246">
        <v>144023</v>
      </c>
      <c r="R246" s="2">
        <v>45273</v>
      </c>
      <c r="S246" t="s">
        <v>14</v>
      </c>
      <c r="T246" t="s">
        <v>128</v>
      </c>
      <c r="U246" t="s">
        <v>6388</v>
      </c>
      <c r="W246" t="s">
        <v>6356</v>
      </c>
      <c r="X246">
        <v>86</v>
      </c>
      <c r="Y246" t="s">
        <v>128</v>
      </c>
      <c r="Z246">
        <v>233</v>
      </c>
    </row>
    <row r="247" spans="1:26" x14ac:dyDescent="0.3">
      <c r="A247">
        <v>246</v>
      </c>
      <c r="B247" t="s">
        <v>644</v>
      </c>
      <c r="C247" t="s">
        <v>40</v>
      </c>
      <c r="D247" t="s">
        <v>35</v>
      </c>
      <c r="E247" t="s">
        <v>6356</v>
      </c>
      <c r="F247" t="s">
        <v>6385</v>
      </c>
      <c r="G247" t="s">
        <v>6380</v>
      </c>
      <c r="H247" t="s">
        <v>6387</v>
      </c>
      <c r="J247">
        <f>AVERAGE(ai_job_market[[#This Row],[min_salary]],ai_job_market[[#This Row],[max_salary]])</f>
        <v>124290</v>
      </c>
      <c r="K247"/>
      <c r="L247" t="s">
        <v>22</v>
      </c>
      <c r="M247" t="s">
        <v>51</v>
      </c>
      <c r="N247" t="s">
        <v>4672</v>
      </c>
      <c r="O247" t="s">
        <v>4559</v>
      </c>
      <c r="P247">
        <v>93070</v>
      </c>
      <c r="Q247">
        <v>155510</v>
      </c>
      <c r="R247" s="2">
        <v>45392</v>
      </c>
      <c r="S247" t="s">
        <v>69</v>
      </c>
      <c r="T247" t="s">
        <v>70</v>
      </c>
      <c r="U247" t="s">
        <v>6376</v>
      </c>
      <c r="W247" t="s">
        <v>6356</v>
      </c>
      <c r="X247">
        <v>86</v>
      </c>
      <c r="Y247" t="s">
        <v>70</v>
      </c>
      <c r="Z247">
        <v>268</v>
      </c>
    </row>
    <row r="248" spans="1:26" x14ac:dyDescent="0.3">
      <c r="A248">
        <v>247</v>
      </c>
      <c r="B248" t="s">
        <v>646</v>
      </c>
      <c r="C248" t="s">
        <v>49</v>
      </c>
      <c r="D248" t="s">
        <v>25</v>
      </c>
      <c r="E248" t="s">
        <v>6353</v>
      </c>
      <c r="F248" t="s">
        <v>6382</v>
      </c>
      <c r="G248" t="s">
        <v>6384</v>
      </c>
      <c r="J248">
        <f>AVERAGE(ai_job_market[[#This Row],[min_salary]],ai_job_market[[#This Row],[max_salary]])</f>
        <v>153865</v>
      </c>
      <c r="K248"/>
      <c r="L248" t="s">
        <v>22</v>
      </c>
      <c r="M248" t="s">
        <v>51</v>
      </c>
      <c r="N248" t="s">
        <v>4673</v>
      </c>
      <c r="O248" t="s">
        <v>4576</v>
      </c>
      <c r="P248">
        <v>110751</v>
      </c>
      <c r="Q248">
        <v>196979</v>
      </c>
      <c r="R248" s="2">
        <v>45583</v>
      </c>
      <c r="S248" t="s">
        <v>14</v>
      </c>
      <c r="T248" t="s">
        <v>80</v>
      </c>
      <c r="U248" t="s">
        <v>6379</v>
      </c>
      <c r="W248" t="s">
        <v>6353</v>
      </c>
      <c r="X248">
        <v>86</v>
      </c>
      <c r="Y248" t="s">
        <v>80</v>
      </c>
      <c r="Z248">
        <v>249</v>
      </c>
    </row>
    <row r="249" spans="1:26" x14ac:dyDescent="0.3">
      <c r="A249">
        <v>248</v>
      </c>
      <c r="B249" t="s">
        <v>648</v>
      </c>
      <c r="C249" t="s">
        <v>49</v>
      </c>
      <c r="D249" t="s">
        <v>35</v>
      </c>
      <c r="E249" t="s">
        <v>90</v>
      </c>
      <c r="F249" t="s">
        <v>6393</v>
      </c>
      <c r="G249" t="s">
        <v>6378</v>
      </c>
      <c r="H249" t="s">
        <v>6391</v>
      </c>
      <c r="J249">
        <f>AVERAGE(ai_job_market[[#This Row],[min_salary]],ai_job_market[[#This Row],[max_salary]])</f>
        <v>105729.5</v>
      </c>
      <c r="K249"/>
      <c r="L249" t="s">
        <v>27</v>
      </c>
      <c r="M249" t="s">
        <v>51</v>
      </c>
      <c r="N249" t="s">
        <v>4674</v>
      </c>
      <c r="O249" t="s">
        <v>4509</v>
      </c>
      <c r="P249">
        <v>57928</v>
      </c>
      <c r="Q249">
        <v>153531</v>
      </c>
      <c r="R249" s="2">
        <v>45806</v>
      </c>
      <c r="S249" t="s">
        <v>14</v>
      </c>
      <c r="T249" t="s">
        <v>101</v>
      </c>
      <c r="U249" t="s">
        <v>6383</v>
      </c>
      <c r="W249" t="s">
        <v>90</v>
      </c>
      <c r="X249">
        <v>80</v>
      </c>
      <c r="Y249" t="s">
        <v>101</v>
      </c>
      <c r="Z249">
        <v>255</v>
      </c>
    </row>
    <row r="250" spans="1:26" x14ac:dyDescent="0.3">
      <c r="A250">
        <v>249</v>
      </c>
      <c r="B250" t="s">
        <v>650</v>
      </c>
      <c r="C250" t="s">
        <v>49</v>
      </c>
      <c r="D250" t="s">
        <v>30</v>
      </c>
      <c r="E250" t="s">
        <v>6344</v>
      </c>
      <c r="F250" t="s">
        <v>6389</v>
      </c>
      <c r="G250" t="s">
        <v>6375</v>
      </c>
      <c r="H250" t="s">
        <v>6382</v>
      </c>
      <c r="I250" t="s">
        <v>6378</v>
      </c>
      <c r="J250" s="6">
        <f>AVERAGE(ai_job_market[[#This Row],[min_salary]],ai_job_market[[#This Row],[max_salary]])</f>
        <v>187422.5</v>
      </c>
      <c r="K250"/>
      <c r="L250" t="s">
        <v>27</v>
      </c>
      <c r="M250" t="s">
        <v>51</v>
      </c>
      <c r="N250" t="s">
        <v>4675</v>
      </c>
      <c r="O250" t="s">
        <v>4395</v>
      </c>
      <c r="P250" s="5">
        <v>139669</v>
      </c>
      <c r="Q250" s="5">
        <v>235176</v>
      </c>
      <c r="R250" s="2">
        <v>45548</v>
      </c>
      <c r="S250" t="s">
        <v>69</v>
      </c>
      <c r="T250" t="s">
        <v>52</v>
      </c>
      <c r="W250" t="s">
        <v>6344</v>
      </c>
      <c r="X250">
        <v>104</v>
      </c>
      <c r="Y250" t="s">
        <v>52</v>
      </c>
      <c r="Z250">
        <v>238</v>
      </c>
    </row>
    <row r="251" spans="1:26" x14ac:dyDescent="0.3">
      <c r="A251">
        <v>250</v>
      </c>
      <c r="B251" t="s">
        <v>652</v>
      </c>
      <c r="C251" t="s">
        <v>49</v>
      </c>
      <c r="D251" t="s">
        <v>35</v>
      </c>
      <c r="E251" t="s">
        <v>77</v>
      </c>
      <c r="F251" t="s">
        <v>6384</v>
      </c>
      <c r="G251" t="s">
        <v>6390</v>
      </c>
      <c r="H251" t="s">
        <v>6396</v>
      </c>
      <c r="I251" t="s">
        <v>6382</v>
      </c>
      <c r="J251">
        <f>AVERAGE(ai_job_market[[#This Row],[min_salary]],ai_job_market[[#This Row],[max_salary]])</f>
        <v>93502.5</v>
      </c>
      <c r="K251"/>
      <c r="L251" t="s">
        <v>14</v>
      </c>
      <c r="M251" t="s">
        <v>15</v>
      </c>
      <c r="N251" t="s">
        <v>4423</v>
      </c>
      <c r="O251" t="s">
        <v>4610</v>
      </c>
      <c r="P251">
        <v>76192</v>
      </c>
      <c r="Q251">
        <v>110813</v>
      </c>
      <c r="R251" s="2">
        <v>45651</v>
      </c>
      <c r="S251" t="s">
        <v>14</v>
      </c>
      <c r="T251" t="s">
        <v>52</v>
      </c>
      <c r="W251" t="s">
        <v>77</v>
      </c>
      <c r="X251">
        <v>111</v>
      </c>
      <c r="Y251" t="s">
        <v>52</v>
      </c>
      <c r="Z251">
        <v>238</v>
      </c>
    </row>
    <row r="252" spans="1:26" x14ac:dyDescent="0.3">
      <c r="A252">
        <v>251</v>
      </c>
      <c r="B252" t="s">
        <v>654</v>
      </c>
      <c r="C252" t="s">
        <v>11</v>
      </c>
      <c r="D252" t="s">
        <v>135</v>
      </c>
      <c r="E252" t="s">
        <v>6358</v>
      </c>
      <c r="F252" t="s">
        <v>6385</v>
      </c>
      <c r="G252" t="s">
        <v>6392</v>
      </c>
      <c r="H252" t="s">
        <v>6390</v>
      </c>
      <c r="I252" t="s">
        <v>6374</v>
      </c>
      <c r="J252" s="6">
        <f>AVERAGE(ai_job_market[[#This Row],[min_salary]],ai_job_market[[#This Row],[max_salary]])</f>
        <v>115330.5</v>
      </c>
      <c r="K252" t="s">
        <v>6381</v>
      </c>
      <c r="L252" t="s">
        <v>14</v>
      </c>
      <c r="M252" t="s">
        <v>42</v>
      </c>
      <c r="N252" t="s">
        <v>4676</v>
      </c>
      <c r="O252" t="s">
        <v>4547</v>
      </c>
      <c r="P252" s="5">
        <v>86522</v>
      </c>
      <c r="Q252" s="5">
        <v>144139</v>
      </c>
      <c r="R252" s="2">
        <v>45539</v>
      </c>
      <c r="S252" t="s">
        <v>16</v>
      </c>
      <c r="T252" t="s">
        <v>80</v>
      </c>
      <c r="W252" t="s">
        <v>6358</v>
      </c>
      <c r="X252">
        <v>96</v>
      </c>
      <c r="Y252" t="s">
        <v>80</v>
      </c>
      <c r="Z252">
        <v>249</v>
      </c>
    </row>
    <row r="253" spans="1:26" x14ac:dyDescent="0.3">
      <c r="A253">
        <v>252</v>
      </c>
      <c r="B253" t="s">
        <v>656</v>
      </c>
      <c r="C253" t="s">
        <v>34</v>
      </c>
      <c r="D253" t="s">
        <v>67</v>
      </c>
      <c r="E253" t="s">
        <v>77</v>
      </c>
      <c r="F253" t="s">
        <v>6389</v>
      </c>
      <c r="G253" t="s">
        <v>6382</v>
      </c>
      <c r="H253" t="s">
        <v>6387</v>
      </c>
      <c r="I253" t="s">
        <v>6384</v>
      </c>
      <c r="J253">
        <f>AVERAGE(ai_job_market[[#This Row],[min_salary]],ai_job_market[[#This Row],[max_salary]])</f>
        <v>67344.5</v>
      </c>
      <c r="K253"/>
      <c r="L253" t="s">
        <v>14</v>
      </c>
      <c r="M253" t="s">
        <v>15</v>
      </c>
      <c r="N253" t="s">
        <v>4677</v>
      </c>
      <c r="O253" t="s">
        <v>4678</v>
      </c>
      <c r="P253">
        <v>40634</v>
      </c>
      <c r="Q253">
        <v>94055</v>
      </c>
      <c r="R253" s="2">
        <v>45504</v>
      </c>
      <c r="S253" t="s">
        <v>14</v>
      </c>
      <c r="T253" t="s">
        <v>70</v>
      </c>
      <c r="U253" t="s">
        <v>6388</v>
      </c>
      <c r="W253" t="s">
        <v>77</v>
      </c>
      <c r="X253">
        <v>111</v>
      </c>
      <c r="Y253" t="s">
        <v>70</v>
      </c>
      <c r="Z253">
        <v>268</v>
      </c>
    </row>
    <row r="254" spans="1:26" x14ac:dyDescent="0.3">
      <c r="A254">
        <v>253</v>
      </c>
      <c r="B254" t="s">
        <v>658</v>
      </c>
      <c r="C254" t="s">
        <v>49</v>
      </c>
      <c r="D254" t="s">
        <v>20</v>
      </c>
      <c r="E254" t="s">
        <v>6353</v>
      </c>
      <c r="F254" t="s">
        <v>6390</v>
      </c>
      <c r="G254" t="s">
        <v>6375</v>
      </c>
      <c r="J254">
        <f>AVERAGE(ai_job_market[[#This Row],[min_salary]],ai_job_market[[#This Row],[max_salary]])</f>
        <v>56274.5</v>
      </c>
      <c r="K254"/>
      <c r="L254" t="s">
        <v>27</v>
      </c>
      <c r="M254" t="s">
        <v>42</v>
      </c>
      <c r="N254" t="s">
        <v>4679</v>
      </c>
      <c r="O254" t="s">
        <v>4680</v>
      </c>
      <c r="P254">
        <v>50432</v>
      </c>
      <c r="Q254">
        <v>62117</v>
      </c>
      <c r="R254" s="2">
        <v>45792</v>
      </c>
      <c r="S254" t="s">
        <v>69</v>
      </c>
      <c r="T254" t="s">
        <v>157</v>
      </c>
      <c r="W254" t="s">
        <v>6353</v>
      </c>
      <c r="X254">
        <v>86</v>
      </c>
      <c r="Y254" t="s">
        <v>157</v>
      </c>
      <c r="Z254">
        <v>247</v>
      </c>
    </row>
    <row r="255" spans="1:26" x14ac:dyDescent="0.3">
      <c r="A255">
        <v>254</v>
      </c>
      <c r="B255" t="s">
        <v>660</v>
      </c>
      <c r="C255" t="s">
        <v>72</v>
      </c>
      <c r="D255" t="s">
        <v>35</v>
      </c>
      <c r="E255" t="s">
        <v>6348</v>
      </c>
      <c r="F255" t="s">
        <v>6377</v>
      </c>
      <c r="G255" t="s">
        <v>6385</v>
      </c>
      <c r="H255" t="s">
        <v>6374</v>
      </c>
      <c r="J255">
        <f>AVERAGE(ai_job_market[[#This Row],[min_salary]],ai_job_market[[#This Row],[max_salary]])</f>
        <v>117722</v>
      </c>
      <c r="K255"/>
      <c r="L255" t="s">
        <v>22</v>
      </c>
      <c r="M255" t="s">
        <v>51</v>
      </c>
      <c r="N255" t="s">
        <v>4681</v>
      </c>
      <c r="O255" t="s">
        <v>4660</v>
      </c>
      <c r="P255">
        <v>92187</v>
      </c>
      <c r="Q255">
        <v>143257</v>
      </c>
      <c r="R255" s="2">
        <v>45440</v>
      </c>
      <c r="S255" t="s">
        <v>69</v>
      </c>
      <c r="T255" t="s">
        <v>90</v>
      </c>
      <c r="W255" t="s">
        <v>6348</v>
      </c>
      <c r="X255">
        <v>78</v>
      </c>
      <c r="Y255" t="s">
        <v>90</v>
      </c>
      <c r="Z255">
        <v>259</v>
      </c>
    </row>
    <row r="256" spans="1:26" x14ac:dyDescent="0.3">
      <c r="A256">
        <v>255</v>
      </c>
      <c r="B256" t="s">
        <v>662</v>
      </c>
      <c r="C256" t="s">
        <v>49</v>
      </c>
      <c r="D256" t="s">
        <v>30</v>
      </c>
      <c r="E256" t="s">
        <v>6355</v>
      </c>
      <c r="F256" t="s">
        <v>6379</v>
      </c>
      <c r="G256" t="s">
        <v>6374</v>
      </c>
      <c r="J256" s="6">
        <f>AVERAGE(ai_job_market[[#This Row],[min_salary]],ai_job_market[[#This Row],[max_salary]])</f>
        <v>179743.5</v>
      </c>
      <c r="K256"/>
      <c r="L256" t="s">
        <v>14</v>
      </c>
      <c r="M256" t="s">
        <v>15</v>
      </c>
      <c r="N256" t="s">
        <v>4682</v>
      </c>
      <c r="O256" t="s">
        <v>4429</v>
      </c>
      <c r="P256" s="5">
        <v>139231</v>
      </c>
      <c r="Q256" s="5">
        <v>220256</v>
      </c>
      <c r="R256" s="2">
        <v>45737</v>
      </c>
      <c r="S256" t="s">
        <v>69</v>
      </c>
      <c r="T256" t="s">
        <v>128</v>
      </c>
      <c r="U256" t="s">
        <v>6378</v>
      </c>
      <c r="W256" t="s">
        <v>6355</v>
      </c>
      <c r="X256">
        <v>90</v>
      </c>
      <c r="Y256" t="s">
        <v>128</v>
      </c>
      <c r="Z256">
        <v>233</v>
      </c>
    </row>
    <row r="257" spans="1:26" x14ac:dyDescent="0.3">
      <c r="A257">
        <v>256</v>
      </c>
      <c r="B257" t="s">
        <v>664</v>
      </c>
      <c r="C257" t="s">
        <v>49</v>
      </c>
      <c r="D257" t="s">
        <v>30</v>
      </c>
      <c r="E257" t="s">
        <v>6349</v>
      </c>
      <c r="F257" t="s">
        <v>6396</v>
      </c>
      <c r="G257" t="s">
        <v>6381</v>
      </c>
      <c r="H257" t="s">
        <v>6397</v>
      </c>
      <c r="I257" t="s">
        <v>6376</v>
      </c>
      <c r="J257">
        <f>AVERAGE(ai_job_market[[#This Row],[min_salary]],ai_job_market[[#This Row],[max_salary]])</f>
        <v>121384</v>
      </c>
      <c r="K257"/>
      <c r="L257" t="s">
        <v>27</v>
      </c>
      <c r="M257" t="s">
        <v>42</v>
      </c>
      <c r="N257" t="s">
        <v>4683</v>
      </c>
      <c r="O257" t="s">
        <v>4684</v>
      </c>
      <c r="P257">
        <v>116281</v>
      </c>
      <c r="Q257">
        <v>126487</v>
      </c>
      <c r="R257" s="2">
        <v>45462</v>
      </c>
      <c r="S257" t="s">
        <v>14</v>
      </c>
      <c r="T257" t="s">
        <v>77</v>
      </c>
      <c r="U257" t="s">
        <v>6376</v>
      </c>
      <c r="V257" t="s">
        <v>6389</v>
      </c>
      <c r="W257" t="s">
        <v>6349</v>
      </c>
      <c r="X257">
        <v>96</v>
      </c>
      <c r="Y257" t="s">
        <v>77</v>
      </c>
      <c r="Z257">
        <v>251</v>
      </c>
    </row>
    <row r="258" spans="1:26" x14ac:dyDescent="0.3">
      <c r="A258">
        <v>257</v>
      </c>
      <c r="B258" t="s">
        <v>667</v>
      </c>
      <c r="C258" t="s">
        <v>11</v>
      </c>
      <c r="D258" t="s">
        <v>30</v>
      </c>
      <c r="E258" t="s">
        <v>6358</v>
      </c>
      <c r="F258" t="s">
        <v>6385</v>
      </c>
      <c r="G258" t="s">
        <v>6394</v>
      </c>
      <c r="J258">
        <f>AVERAGE(ai_job_market[[#This Row],[min_salary]],ai_job_market[[#This Row],[max_salary]])</f>
        <v>98814</v>
      </c>
      <c r="K258"/>
      <c r="L258" t="s">
        <v>22</v>
      </c>
      <c r="M258" t="s">
        <v>51</v>
      </c>
      <c r="N258" t="s">
        <v>4685</v>
      </c>
      <c r="O258" t="s">
        <v>4385</v>
      </c>
      <c r="P258">
        <v>66964</v>
      </c>
      <c r="Q258">
        <v>130664</v>
      </c>
      <c r="R258" s="2">
        <v>45580</v>
      </c>
      <c r="S258" t="s">
        <v>16</v>
      </c>
      <c r="T258" t="s">
        <v>128</v>
      </c>
      <c r="U258" t="s">
        <v>6388</v>
      </c>
      <c r="W258" t="s">
        <v>6358</v>
      </c>
      <c r="X258">
        <v>96</v>
      </c>
      <c r="Y258" t="s">
        <v>128</v>
      </c>
      <c r="Z258">
        <v>233</v>
      </c>
    </row>
    <row r="259" spans="1:26" x14ac:dyDescent="0.3">
      <c r="A259">
        <v>258</v>
      </c>
      <c r="B259" t="s">
        <v>669</v>
      </c>
      <c r="C259" t="s">
        <v>45</v>
      </c>
      <c r="D259" t="s">
        <v>54</v>
      </c>
      <c r="E259" t="s">
        <v>6345</v>
      </c>
      <c r="F259" t="s">
        <v>6378</v>
      </c>
      <c r="G259" t="s">
        <v>6393</v>
      </c>
      <c r="H259" t="s">
        <v>6385</v>
      </c>
      <c r="I259" t="s">
        <v>6377</v>
      </c>
      <c r="J259">
        <f>AVERAGE(ai_job_market[[#This Row],[min_salary]],ai_job_market[[#This Row],[max_salary]])</f>
        <v>83146</v>
      </c>
      <c r="K259" t="s">
        <v>6387</v>
      </c>
      <c r="L259" t="s">
        <v>22</v>
      </c>
      <c r="M259" t="s">
        <v>42</v>
      </c>
      <c r="N259" t="s">
        <v>4686</v>
      </c>
      <c r="O259" t="s">
        <v>4687</v>
      </c>
      <c r="P259">
        <v>72900</v>
      </c>
      <c r="Q259">
        <v>93392</v>
      </c>
      <c r="R259" s="2">
        <v>45220</v>
      </c>
      <c r="S259" t="s">
        <v>14</v>
      </c>
      <c r="T259" t="s">
        <v>101</v>
      </c>
      <c r="U259" t="s">
        <v>6384</v>
      </c>
      <c r="W259" t="s">
        <v>6345</v>
      </c>
      <c r="X259">
        <v>101</v>
      </c>
      <c r="Y259" t="s">
        <v>101</v>
      </c>
      <c r="Z259">
        <v>255</v>
      </c>
    </row>
    <row r="260" spans="1:26" x14ac:dyDescent="0.3">
      <c r="A260">
        <v>259</v>
      </c>
      <c r="B260" t="s">
        <v>671</v>
      </c>
      <c r="C260" t="s">
        <v>72</v>
      </c>
      <c r="D260" t="s">
        <v>135</v>
      </c>
      <c r="E260" t="s">
        <v>6359</v>
      </c>
      <c r="F260" t="s">
        <v>6389</v>
      </c>
      <c r="G260" t="s">
        <v>6393</v>
      </c>
      <c r="H260" t="s">
        <v>6380</v>
      </c>
      <c r="I260" t="s">
        <v>6392</v>
      </c>
      <c r="J260">
        <f>AVERAGE(ai_job_market[[#This Row],[min_salary]],ai_job_market[[#This Row],[max_salary]])</f>
        <v>170858.5</v>
      </c>
      <c r="K260"/>
      <c r="L260" t="s">
        <v>22</v>
      </c>
      <c r="M260" t="s">
        <v>15</v>
      </c>
      <c r="N260" t="s">
        <v>4688</v>
      </c>
      <c r="O260" t="s">
        <v>4562</v>
      </c>
      <c r="P260">
        <v>122910</v>
      </c>
      <c r="Q260">
        <v>218807</v>
      </c>
      <c r="R260" s="2">
        <v>45391</v>
      </c>
      <c r="S260" t="s">
        <v>69</v>
      </c>
      <c r="T260" t="s">
        <v>90</v>
      </c>
      <c r="U260" t="s">
        <v>6388</v>
      </c>
      <c r="V260" t="s">
        <v>6379</v>
      </c>
      <c r="W260" t="s">
        <v>6359</v>
      </c>
      <c r="X260">
        <v>104</v>
      </c>
      <c r="Y260" t="s">
        <v>90</v>
      </c>
      <c r="Z260">
        <v>259</v>
      </c>
    </row>
    <row r="261" spans="1:26" x14ac:dyDescent="0.3">
      <c r="A261">
        <v>260</v>
      </c>
      <c r="B261" t="s">
        <v>673</v>
      </c>
      <c r="C261" t="s">
        <v>40</v>
      </c>
      <c r="D261" t="s">
        <v>67</v>
      </c>
      <c r="E261" t="s">
        <v>6352</v>
      </c>
      <c r="F261" t="s">
        <v>6395</v>
      </c>
      <c r="G261" t="s">
        <v>6377</v>
      </c>
      <c r="H261" t="s">
        <v>6394</v>
      </c>
      <c r="I261" t="s">
        <v>6392</v>
      </c>
      <c r="J261">
        <f>AVERAGE(ai_job_market[[#This Row],[min_salary]],ai_job_market[[#This Row],[max_salary]])</f>
        <v>98847</v>
      </c>
      <c r="K261"/>
      <c r="L261" t="s">
        <v>22</v>
      </c>
      <c r="M261" t="s">
        <v>42</v>
      </c>
      <c r="N261" t="s">
        <v>4689</v>
      </c>
      <c r="O261" t="s">
        <v>4680</v>
      </c>
      <c r="P261">
        <v>60661</v>
      </c>
      <c r="Q261">
        <v>137033</v>
      </c>
      <c r="R261" s="2">
        <v>45883</v>
      </c>
      <c r="S261" t="s">
        <v>14</v>
      </c>
      <c r="T261" t="s">
        <v>70</v>
      </c>
      <c r="U261" t="s">
        <v>6378</v>
      </c>
      <c r="W261" t="s">
        <v>6352</v>
      </c>
      <c r="X261">
        <v>97</v>
      </c>
      <c r="Y261" t="s">
        <v>70</v>
      </c>
      <c r="Z261">
        <v>268</v>
      </c>
    </row>
    <row r="262" spans="1:26" x14ac:dyDescent="0.3">
      <c r="A262">
        <v>261</v>
      </c>
      <c r="B262" t="s">
        <v>675</v>
      </c>
      <c r="C262" t="s">
        <v>34</v>
      </c>
      <c r="D262" t="s">
        <v>12</v>
      </c>
      <c r="E262" t="s">
        <v>6355</v>
      </c>
      <c r="F262" t="s">
        <v>6392</v>
      </c>
      <c r="G262" t="s">
        <v>6380</v>
      </c>
      <c r="H262" t="s">
        <v>6384</v>
      </c>
      <c r="J262">
        <f>AVERAGE(ai_job_market[[#This Row],[min_salary]],ai_job_market[[#This Row],[max_salary]])</f>
        <v>78700.5</v>
      </c>
      <c r="K262"/>
      <c r="L262" t="s">
        <v>27</v>
      </c>
      <c r="M262" t="s">
        <v>15</v>
      </c>
      <c r="N262" t="s">
        <v>4690</v>
      </c>
      <c r="O262" t="s">
        <v>4351</v>
      </c>
      <c r="P262">
        <v>51191</v>
      </c>
      <c r="Q262">
        <v>106210</v>
      </c>
      <c r="R262" s="2">
        <v>45537</v>
      </c>
      <c r="S262" t="s">
        <v>16</v>
      </c>
      <c r="T262" t="s">
        <v>101</v>
      </c>
      <c r="U262" t="s">
        <v>6379</v>
      </c>
      <c r="W262" t="s">
        <v>6355</v>
      </c>
      <c r="X262">
        <v>90</v>
      </c>
      <c r="Y262" t="s">
        <v>101</v>
      </c>
      <c r="Z262">
        <v>255</v>
      </c>
    </row>
    <row r="263" spans="1:26" x14ac:dyDescent="0.3">
      <c r="A263">
        <v>262</v>
      </c>
      <c r="B263" t="s">
        <v>678</v>
      </c>
      <c r="C263" t="s">
        <v>49</v>
      </c>
      <c r="D263" t="s">
        <v>35</v>
      </c>
      <c r="E263" t="s">
        <v>77</v>
      </c>
      <c r="F263" t="s">
        <v>6382</v>
      </c>
      <c r="G263" t="s">
        <v>6376</v>
      </c>
      <c r="J263" s="6">
        <f>AVERAGE(ai_job_market[[#This Row],[min_salary]],ai_job_market[[#This Row],[max_salary]])</f>
        <v>114860.5</v>
      </c>
      <c r="K263"/>
      <c r="L263" t="s">
        <v>27</v>
      </c>
      <c r="M263" t="s">
        <v>37</v>
      </c>
      <c r="N263" t="s">
        <v>4691</v>
      </c>
      <c r="O263" t="s">
        <v>4692</v>
      </c>
      <c r="P263" s="5">
        <v>67972</v>
      </c>
      <c r="Q263" s="5">
        <v>161749</v>
      </c>
      <c r="R263" s="2">
        <v>45860</v>
      </c>
      <c r="S263" t="s">
        <v>16</v>
      </c>
      <c r="T263" t="s">
        <v>101</v>
      </c>
      <c r="U263" t="s">
        <v>6375</v>
      </c>
      <c r="W263" t="s">
        <v>77</v>
      </c>
      <c r="X263">
        <v>111</v>
      </c>
      <c r="Y263" t="s">
        <v>101</v>
      </c>
      <c r="Z263">
        <v>255</v>
      </c>
    </row>
    <row r="264" spans="1:26" x14ac:dyDescent="0.3">
      <c r="A264">
        <v>263</v>
      </c>
      <c r="B264" t="s">
        <v>681</v>
      </c>
      <c r="C264" t="s">
        <v>11</v>
      </c>
      <c r="D264" t="s">
        <v>20</v>
      </c>
      <c r="E264" t="s">
        <v>77</v>
      </c>
      <c r="F264" t="s">
        <v>6390</v>
      </c>
      <c r="G264" t="s">
        <v>6384</v>
      </c>
      <c r="H264" t="s">
        <v>6381</v>
      </c>
      <c r="I264" t="s">
        <v>6385</v>
      </c>
      <c r="J264">
        <f>AVERAGE(ai_job_market[[#This Row],[min_salary]],ai_job_market[[#This Row],[max_salary]])</f>
        <v>55294.5</v>
      </c>
      <c r="K264" t="s">
        <v>6377</v>
      </c>
      <c r="L264" t="s">
        <v>14</v>
      </c>
      <c r="M264" t="s">
        <v>51</v>
      </c>
      <c r="N264" t="s">
        <v>4693</v>
      </c>
      <c r="O264" t="s">
        <v>4484</v>
      </c>
      <c r="P264">
        <v>43847</v>
      </c>
      <c r="Q264">
        <v>66742</v>
      </c>
      <c r="R264" s="2">
        <v>45746</v>
      </c>
      <c r="S264" t="s">
        <v>69</v>
      </c>
      <c r="T264" t="s">
        <v>70</v>
      </c>
      <c r="U264" t="s">
        <v>6383</v>
      </c>
      <c r="V264" t="s">
        <v>6376</v>
      </c>
      <c r="W264" t="s">
        <v>77</v>
      </c>
      <c r="X264">
        <v>111</v>
      </c>
      <c r="Y264" t="s">
        <v>70</v>
      </c>
      <c r="Z264">
        <v>268</v>
      </c>
    </row>
    <row r="265" spans="1:26" x14ac:dyDescent="0.3">
      <c r="A265">
        <v>264</v>
      </c>
      <c r="B265" t="s">
        <v>684</v>
      </c>
      <c r="C265" t="s">
        <v>45</v>
      </c>
      <c r="D265" t="s">
        <v>35</v>
      </c>
      <c r="E265" t="s">
        <v>6345</v>
      </c>
      <c r="F265" t="s">
        <v>6380</v>
      </c>
      <c r="G265" t="s">
        <v>6374</v>
      </c>
      <c r="H265" t="s">
        <v>6387</v>
      </c>
      <c r="I265" t="s">
        <v>6378</v>
      </c>
      <c r="J265">
        <f>AVERAGE(ai_job_market[[#This Row],[min_salary]],ai_job_market[[#This Row],[max_salary]])</f>
        <v>75352.5</v>
      </c>
      <c r="K265" t="s">
        <v>6390</v>
      </c>
      <c r="L265" t="s">
        <v>14</v>
      </c>
      <c r="M265" t="s">
        <v>42</v>
      </c>
      <c r="N265" t="s">
        <v>4694</v>
      </c>
      <c r="O265" t="s">
        <v>4444</v>
      </c>
      <c r="P265">
        <v>66723</v>
      </c>
      <c r="Q265">
        <v>83982</v>
      </c>
      <c r="R265" s="2">
        <v>45634</v>
      </c>
      <c r="S265" t="s">
        <v>69</v>
      </c>
      <c r="T265" t="s">
        <v>157</v>
      </c>
      <c r="W265" t="s">
        <v>6345</v>
      </c>
      <c r="X265">
        <v>101</v>
      </c>
      <c r="Y265" t="s">
        <v>157</v>
      </c>
      <c r="Z265">
        <v>247</v>
      </c>
    </row>
    <row r="266" spans="1:26" x14ac:dyDescent="0.3">
      <c r="A266">
        <v>265</v>
      </c>
      <c r="B266" t="s">
        <v>686</v>
      </c>
      <c r="C266" t="s">
        <v>40</v>
      </c>
      <c r="D266" t="s">
        <v>12</v>
      </c>
      <c r="E266" t="s">
        <v>6345</v>
      </c>
      <c r="F266" t="s">
        <v>6377</v>
      </c>
      <c r="G266" t="s">
        <v>6380</v>
      </c>
      <c r="H266" t="s">
        <v>6391</v>
      </c>
      <c r="J266">
        <f>AVERAGE(ai_job_market[[#This Row],[min_salary]],ai_job_market[[#This Row],[max_salary]])</f>
        <v>174978</v>
      </c>
      <c r="K266"/>
      <c r="L266" t="s">
        <v>27</v>
      </c>
      <c r="M266" t="s">
        <v>51</v>
      </c>
      <c r="N266" t="s">
        <v>4695</v>
      </c>
      <c r="O266" t="s">
        <v>4538</v>
      </c>
      <c r="P266">
        <v>149030</v>
      </c>
      <c r="Q266">
        <v>200926</v>
      </c>
      <c r="R266" s="2">
        <v>45340</v>
      </c>
      <c r="S266" t="s">
        <v>14</v>
      </c>
      <c r="T266" t="s">
        <v>70</v>
      </c>
      <c r="U266" t="s">
        <v>6388</v>
      </c>
      <c r="V266" t="s">
        <v>6389</v>
      </c>
      <c r="W266" t="s">
        <v>6345</v>
      </c>
      <c r="X266">
        <v>101</v>
      </c>
      <c r="Y266" t="s">
        <v>70</v>
      </c>
      <c r="Z266">
        <v>268</v>
      </c>
    </row>
    <row r="267" spans="1:26" x14ac:dyDescent="0.3">
      <c r="A267">
        <v>266</v>
      </c>
      <c r="B267" t="s">
        <v>688</v>
      </c>
      <c r="C267" t="s">
        <v>72</v>
      </c>
      <c r="D267" t="s">
        <v>25</v>
      </c>
      <c r="E267" t="s">
        <v>6347</v>
      </c>
      <c r="F267" t="s">
        <v>6375</v>
      </c>
      <c r="G267" t="s">
        <v>6379</v>
      </c>
      <c r="H267" t="s">
        <v>6393</v>
      </c>
      <c r="I267" t="s">
        <v>6395</v>
      </c>
      <c r="J267">
        <f>AVERAGE(ai_job_market[[#This Row],[min_salary]],ai_job_market[[#This Row],[max_salary]])</f>
        <v>54613</v>
      </c>
      <c r="K267" t="s">
        <v>6376</v>
      </c>
      <c r="L267" t="s">
        <v>14</v>
      </c>
      <c r="M267" t="s">
        <v>37</v>
      </c>
      <c r="N267" t="s">
        <v>4696</v>
      </c>
      <c r="O267" t="s">
        <v>4664</v>
      </c>
      <c r="P267">
        <v>42247</v>
      </c>
      <c r="Q267">
        <v>66979</v>
      </c>
      <c r="R267" s="2">
        <v>45609</v>
      </c>
      <c r="S267" t="s">
        <v>69</v>
      </c>
      <c r="T267" t="s">
        <v>70</v>
      </c>
      <c r="U267" t="s">
        <v>6375</v>
      </c>
      <c r="V267" t="s">
        <v>6378</v>
      </c>
      <c r="W267" t="s">
        <v>6347</v>
      </c>
      <c r="X267">
        <v>94</v>
      </c>
      <c r="Y267" t="s">
        <v>70</v>
      </c>
      <c r="Z267">
        <v>268</v>
      </c>
    </row>
    <row r="268" spans="1:26" x14ac:dyDescent="0.3">
      <c r="A268">
        <v>267</v>
      </c>
      <c r="B268" t="s">
        <v>691</v>
      </c>
      <c r="C268" t="s">
        <v>49</v>
      </c>
      <c r="D268" t="s">
        <v>12</v>
      </c>
      <c r="E268" t="s">
        <v>101</v>
      </c>
      <c r="F268" t="s">
        <v>6396</v>
      </c>
      <c r="G268" t="s">
        <v>6377</v>
      </c>
      <c r="H268" t="s">
        <v>6397</v>
      </c>
      <c r="J268">
        <f>AVERAGE(ai_job_market[[#This Row],[min_salary]],ai_job_market[[#This Row],[max_salary]])</f>
        <v>95912.5</v>
      </c>
      <c r="K268"/>
      <c r="L268" t="s">
        <v>22</v>
      </c>
      <c r="M268" t="s">
        <v>15</v>
      </c>
      <c r="N268" t="s">
        <v>4697</v>
      </c>
      <c r="O268" t="s">
        <v>4603</v>
      </c>
      <c r="P268">
        <v>57957</v>
      </c>
      <c r="Q268">
        <v>133868</v>
      </c>
      <c r="R268" s="2">
        <v>45765</v>
      </c>
      <c r="S268" t="s">
        <v>14</v>
      </c>
      <c r="T268" t="s">
        <v>90</v>
      </c>
      <c r="U268" t="s">
        <v>6378</v>
      </c>
      <c r="W268" t="s">
        <v>101</v>
      </c>
      <c r="X268">
        <v>76</v>
      </c>
      <c r="Y268" t="s">
        <v>90</v>
      </c>
      <c r="Z268">
        <v>259</v>
      </c>
    </row>
    <row r="269" spans="1:26" x14ac:dyDescent="0.3">
      <c r="A269">
        <v>268</v>
      </c>
      <c r="B269" t="s">
        <v>694</v>
      </c>
      <c r="C269" t="s">
        <v>72</v>
      </c>
      <c r="D269" t="s">
        <v>30</v>
      </c>
      <c r="E269" t="s">
        <v>77</v>
      </c>
      <c r="F269" t="s">
        <v>6389</v>
      </c>
      <c r="G269" t="s">
        <v>6382</v>
      </c>
      <c r="H269" t="s">
        <v>6393</v>
      </c>
      <c r="I269" t="s">
        <v>6377</v>
      </c>
      <c r="J269">
        <f>AVERAGE(ai_job_market[[#This Row],[min_salary]],ai_job_market[[#This Row],[max_salary]])</f>
        <v>124210.5</v>
      </c>
      <c r="K269" t="s">
        <v>6385</v>
      </c>
      <c r="L269" t="s">
        <v>14</v>
      </c>
      <c r="M269" t="s">
        <v>42</v>
      </c>
      <c r="N269" t="s">
        <v>4698</v>
      </c>
      <c r="O269" t="s">
        <v>4699</v>
      </c>
      <c r="P269">
        <v>91662</v>
      </c>
      <c r="Q269">
        <v>156759</v>
      </c>
      <c r="R269" s="2">
        <v>45571</v>
      </c>
      <c r="S269" t="s">
        <v>69</v>
      </c>
      <c r="T269" t="s">
        <v>77</v>
      </c>
      <c r="U269" t="s">
        <v>6389</v>
      </c>
      <c r="V269" t="s">
        <v>6376</v>
      </c>
      <c r="W269" t="s">
        <v>77</v>
      </c>
      <c r="X269">
        <v>111</v>
      </c>
      <c r="Y269" t="s">
        <v>77</v>
      </c>
      <c r="Z269">
        <v>251</v>
      </c>
    </row>
    <row r="270" spans="1:26" x14ac:dyDescent="0.3">
      <c r="A270">
        <v>269</v>
      </c>
      <c r="B270" t="s">
        <v>664</v>
      </c>
      <c r="C270" t="s">
        <v>11</v>
      </c>
      <c r="D270" t="s">
        <v>135</v>
      </c>
      <c r="E270" t="s">
        <v>90</v>
      </c>
      <c r="F270" t="s">
        <v>6376</v>
      </c>
      <c r="G270" t="s">
        <v>6387</v>
      </c>
      <c r="J270">
        <f>AVERAGE(ai_job_market[[#This Row],[min_salary]],ai_job_market[[#This Row],[max_salary]])</f>
        <v>142079</v>
      </c>
      <c r="K270"/>
      <c r="L270" t="s">
        <v>27</v>
      </c>
      <c r="M270" t="s">
        <v>37</v>
      </c>
      <c r="N270" t="s">
        <v>4700</v>
      </c>
      <c r="O270" t="s">
        <v>4701</v>
      </c>
      <c r="P270">
        <v>123795</v>
      </c>
      <c r="Q270">
        <v>160363</v>
      </c>
      <c r="R270" s="2">
        <v>45888</v>
      </c>
      <c r="S270" t="s">
        <v>69</v>
      </c>
      <c r="T270" t="s">
        <v>128</v>
      </c>
      <c r="W270" t="s">
        <v>90</v>
      </c>
      <c r="X270">
        <v>80</v>
      </c>
      <c r="Y270" t="s">
        <v>128</v>
      </c>
      <c r="Z270">
        <v>233</v>
      </c>
    </row>
    <row r="271" spans="1:26" x14ac:dyDescent="0.3">
      <c r="A271">
        <v>270</v>
      </c>
      <c r="B271" t="s">
        <v>698</v>
      </c>
      <c r="C271" t="s">
        <v>34</v>
      </c>
      <c r="D271" t="s">
        <v>30</v>
      </c>
      <c r="E271" t="s">
        <v>6357</v>
      </c>
      <c r="F271" t="s">
        <v>6392</v>
      </c>
      <c r="G271" t="s">
        <v>6374</v>
      </c>
      <c r="H271" t="s">
        <v>6385</v>
      </c>
      <c r="J271">
        <f>AVERAGE(ai_job_market[[#This Row],[min_salary]],ai_job_market[[#This Row],[max_salary]])</f>
        <v>129249</v>
      </c>
      <c r="K271"/>
      <c r="L271" t="s">
        <v>27</v>
      </c>
      <c r="M271" t="s">
        <v>42</v>
      </c>
      <c r="N271" t="s">
        <v>4702</v>
      </c>
      <c r="O271" t="s">
        <v>4670</v>
      </c>
      <c r="P271">
        <v>92753</v>
      </c>
      <c r="Q271">
        <v>165745</v>
      </c>
      <c r="R271" s="2">
        <v>45888</v>
      </c>
      <c r="S271" t="s">
        <v>69</v>
      </c>
      <c r="T271" t="s">
        <v>70</v>
      </c>
      <c r="U271" t="s">
        <v>6388</v>
      </c>
      <c r="W271" t="s">
        <v>6357</v>
      </c>
      <c r="X271">
        <v>88</v>
      </c>
      <c r="Y271" t="s">
        <v>70</v>
      </c>
      <c r="Z271">
        <v>268</v>
      </c>
    </row>
    <row r="272" spans="1:26" x14ac:dyDescent="0.3">
      <c r="A272">
        <v>271</v>
      </c>
      <c r="B272" t="s">
        <v>700</v>
      </c>
      <c r="C272" t="s">
        <v>40</v>
      </c>
      <c r="D272" t="s">
        <v>135</v>
      </c>
      <c r="E272" t="s">
        <v>70</v>
      </c>
      <c r="F272" t="s">
        <v>6396</v>
      </c>
      <c r="G272" t="s">
        <v>6384</v>
      </c>
      <c r="H272" t="s">
        <v>6376</v>
      </c>
      <c r="J272" s="6">
        <f>AVERAGE(ai_job_market[[#This Row],[min_salary]],ai_job_market[[#This Row],[max_salary]])</f>
        <v>112582</v>
      </c>
      <c r="K272"/>
      <c r="L272" t="s">
        <v>14</v>
      </c>
      <c r="M272" t="s">
        <v>51</v>
      </c>
      <c r="N272" t="s">
        <v>4703</v>
      </c>
      <c r="O272" t="s">
        <v>4704</v>
      </c>
      <c r="P272" s="5">
        <v>94406</v>
      </c>
      <c r="Q272" s="5">
        <v>130758</v>
      </c>
      <c r="R272" s="2">
        <v>45816</v>
      </c>
      <c r="S272" t="s">
        <v>69</v>
      </c>
      <c r="T272" t="s">
        <v>70</v>
      </c>
      <c r="U272" t="s">
        <v>6383</v>
      </c>
      <c r="V272" t="s">
        <v>6388</v>
      </c>
      <c r="W272" t="s">
        <v>70</v>
      </c>
      <c r="X272">
        <v>100</v>
      </c>
      <c r="Y272" t="s">
        <v>70</v>
      </c>
      <c r="Z272">
        <v>268</v>
      </c>
    </row>
    <row r="273" spans="1:26" x14ac:dyDescent="0.3">
      <c r="A273">
        <v>272</v>
      </c>
      <c r="B273" t="s">
        <v>703</v>
      </c>
      <c r="C273" t="s">
        <v>40</v>
      </c>
      <c r="D273" t="s">
        <v>20</v>
      </c>
      <c r="E273" t="s">
        <v>6352</v>
      </c>
      <c r="F273" t="s">
        <v>6378</v>
      </c>
      <c r="G273" t="s">
        <v>6389</v>
      </c>
      <c r="J273">
        <f>AVERAGE(ai_job_market[[#This Row],[min_salary]],ai_job_market[[#This Row],[max_salary]])</f>
        <v>149923</v>
      </c>
      <c r="K273"/>
      <c r="L273" t="s">
        <v>14</v>
      </c>
      <c r="M273" t="s">
        <v>42</v>
      </c>
      <c r="N273" t="s">
        <v>4705</v>
      </c>
      <c r="O273" t="s">
        <v>4706</v>
      </c>
      <c r="P273">
        <v>105919</v>
      </c>
      <c r="Q273">
        <v>193927</v>
      </c>
      <c r="R273" s="2">
        <v>45691</v>
      </c>
      <c r="S273" t="s">
        <v>16</v>
      </c>
      <c r="T273" t="s">
        <v>90</v>
      </c>
      <c r="W273" t="s">
        <v>6352</v>
      </c>
      <c r="X273">
        <v>97</v>
      </c>
      <c r="Y273" t="s">
        <v>90</v>
      </c>
      <c r="Z273">
        <v>259</v>
      </c>
    </row>
    <row r="274" spans="1:26" x14ac:dyDescent="0.3">
      <c r="A274">
        <v>273</v>
      </c>
      <c r="B274" t="s">
        <v>705</v>
      </c>
      <c r="C274" t="s">
        <v>49</v>
      </c>
      <c r="D274" t="s">
        <v>35</v>
      </c>
      <c r="E274" t="s">
        <v>6355</v>
      </c>
      <c r="F274" t="s">
        <v>6393</v>
      </c>
      <c r="G274" t="s">
        <v>6397</v>
      </c>
      <c r="J274" s="6">
        <f>AVERAGE(ai_job_market[[#This Row],[min_salary]],ai_job_market[[#This Row],[max_salary]])</f>
        <v>170353</v>
      </c>
      <c r="K274"/>
      <c r="L274" t="s">
        <v>27</v>
      </c>
      <c r="M274" t="s">
        <v>51</v>
      </c>
      <c r="N274" t="s">
        <v>4707</v>
      </c>
      <c r="O274" t="s">
        <v>4684</v>
      </c>
      <c r="P274" s="5">
        <v>129469</v>
      </c>
      <c r="Q274" s="5">
        <v>211237</v>
      </c>
      <c r="R274" s="2">
        <v>45341</v>
      </c>
      <c r="S274" t="s">
        <v>16</v>
      </c>
      <c r="T274" t="s">
        <v>101</v>
      </c>
      <c r="U274" t="s">
        <v>6389</v>
      </c>
      <c r="W274" t="s">
        <v>6355</v>
      </c>
      <c r="X274">
        <v>90</v>
      </c>
      <c r="Y274" t="s">
        <v>101</v>
      </c>
      <c r="Z274">
        <v>255</v>
      </c>
    </row>
    <row r="275" spans="1:26" x14ac:dyDescent="0.3">
      <c r="A275">
        <v>274</v>
      </c>
      <c r="B275" t="s">
        <v>707</v>
      </c>
      <c r="C275" t="s">
        <v>45</v>
      </c>
      <c r="D275" t="s">
        <v>54</v>
      </c>
      <c r="E275" t="s">
        <v>6353</v>
      </c>
      <c r="F275" t="s">
        <v>6386</v>
      </c>
      <c r="G275" t="s">
        <v>6391</v>
      </c>
      <c r="J275">
        <f>AVERAGE(ai_job_market[[#This Row],[min_salary]],ai_job_market[[#This Row],[max_salary]])</f>
        <v>75601.5</v>
      </c>
      <c r="K275"/>
      <c r="L275" t="s">
        <v>27</v>
      </c>
      <c r="M275" t="s">
        <v>42</v>
      </c>
      <c r="N275" t="s">
        <v>4465</v>
      </c>
      <c r="O275" t="s">
        <v>4444</v>
      </c>
      <c r="P275">
        <v>68792</v>
      </c>
      <c r="Q275">
        <v>82411</v>
      </c>
      <c r="R275" s="2">
        <v>45822</v>
      </c>
      <c r="S275" t="s">
        <v>16</v>
      </c>
      <c r="T275" t="s">
        <v>101</v>
      </c>
      <c r="U275" t="s">
        <v>6388</v>
      </c>
      <c r="W275" t="s">
        <v>6353</v>
      </c>
      <c r="X275">
        <v>86</v>
      </c>
      <c r="Y275" t="s">
        <v>101</v>
      </c>
      <c r="Z275">
        <v>255</v>
      </c>
    </row>
    <row r="276" spans="1:26" x14ac:dyDescent="0.3">
      <c r="A276">
        <v>275</v>
      </c>
      <c r="B276" t="s">
        <v>709</v>
      </c>
      <c r="C276" t="s">
        <v>49</v>
      </c>
      <c r="D276" t="s">
        <v>135</v>
      </c>
      <c r="E276" t="s">
        <v>6354</v>
      </c>
      <c r="F276" t="s">
        <v>6395</v>
      </c>
      <c r="G276" t="s">
        <v>6381</v>
      </c>
      <c r="H276" t="s">
        <v>6382</v>
      </c>
      <c r="J276">
        <f>AVERAGE(ai_job_market[[#This Row],[min_salary]],ai_job_market[[#This Row],[max_salary]])</f>
        <v>113281</v>
      </c>
      <c r="K276"/>
      <c r="L276" t="s">
        <v>14</v>
      </c>
      <c r="M276" t="s">
        <v>37</v>
      </c>
      <c r="N276" t="s">
        <v>4708</v>
      </c>
      <c r="O276" t="s">
        <v>4544</v>
      </c>
      <c r="P276">
        <v>92739</v>
      </c>
      <c r="Q276">
        <v>133823</v>
      </c>
      <c r="R276" s="2">
        <v>45757</v>
      </c>
      <c r="S276" t="s">
        <v>14</v>
      </c>
      <c r="T276" t="s">
        <v>101</v>
      </c>
      <c r="U276" t="s">
        <v>6378</v>
      </c>
      <c r="V276" t="s">
        <v>6383</v>
      </c>
      <c r="W276" t="s">
        <v>6354</v>
      </c>
      <c r="X276">
        <v>75</v>
      </c>
      <c r="Y276" t="s">
        <v>101</v>
      </c>
      <c r="Z276">
        <v>255</v>
      </c>
    </row>
    <row r="277" spans="1:26" x14ac:dyDescent="0.3">
      <c r="A277">
        <v>276</v>
      </c>
      <c r="B277" t="s">
        <v>712</v>
      </c>
      <c r="C277" t="s">
        <v>40</v>
      </c>
      <c r="D277" t="s">
        <v>20</v>
      </c>
      <c r="E277" t="s">
        <v>6359</v>
      </c>
      <c r="F277" t="s">
        <v>6376</v>
      </c>
      <c r="G277" t="s">
        <v>6396</v>
      </c>
      <c r="H277" t="s">
        <v>6381</v>
      </c>
      <c r="J277">
        <f>AVERAGE(ai_job_market[[#This Row],[min_salary]],ai_job_market[[#This Row],[max_salary]])</f>
        <v>117429.5</v>
      </c>
      <c r="K277"/>
      <c r="L277" t="s">
        <v>22</v>
      </c>
      <c r="M277" t="s">
        <v>51</v>
      </c>
      <c r="N277" t="s">
        <v>4709</v>
      </c>
      <c r="O277" t="s">
        <v>4710</v>
      </c>
      <c r="P277">
        <v>85651</v>
      </c>
      <c r="Q277">
        <v>149208</v>
      </c>
      <c r="R277" s="2">
        <v>45776</v>
      </c>
      <c r="S277" t="s">
        <v>69</v>
      </c>
      <c r="T277" t="s">
        <v>90</v>
      </c>
      <c r="U277" t="s">
        <v>6388</v>
      </c>
      <c r="W277" t="s">
        <v>6359</v>
      </c>
      <c r="X277">
        <v>104</v>
      </c>
      <c r="Y277" t="s">
        <v>90</v>
      </c>
      <c r="Z277">
        <v>259</v>
      </c>
    </row>
    <row r="278" spans="1:26" x14ac:dyDescent="0.3">
      <c r="A278">
        <v>277</v>
      </c>
      <c r="B278" t="s">
        <v>715</v>
      </c>
      <c r="C278" t="s">
        <v>19</v>
      </c>
      <c r="D278" t="s">
        <v>35</v>
      </c>
      <c r="E278" t="s">
        <v>90</v>
      </c>
      <c r="F278" t="s">
        <v>6390</v>
      </c>
      <c r="G278" t="s">
        <v>6379</v>
      </c>
      <c r="J278">
        <f>AVERAGE(ai_job_market[[#This Row],[min_salary]],ai_job_market[[#This Row],[max_salary]])</f>
        <v>88078</v>
      </c>
      <c r="K278"/>
      <c r="L278" t="s">
        <v>22</v>
      </c>
      <c r="M278" t="s">
        <v>37</v>
      </c>
      <c r="N278" t="s">
        <v>4711</v>
      </c>
      <c r="O278" t="s">
        <v>4615</v>
      </c>
      <c r="P278">
        <v>51635</v>
      </c>
      <c r="Q278">
        <v>124521</v>
      </c>
      <c r="R278" s="2">
        <v>45720</v>
      </c>
      <c r="S278" t="s">
        <v>69</v>
      </c>
      <c r="T278" t="s">
        <v>128</v>
      </c>
      <c r="W278" t="s">
        <v>90</v>
      </c>
      <c r="X278">
        <v>80</v>
      </c>
      <c r="Y278" t="s">
        <v>128</v>
      </c>
      <c r="Z278">
        <v>233</v>
      </c>
    </row>
    <row r="279" spans="1:26" x14ac:dyDescent="0.3">
      <c r="A279">
        <v>278</v>
      </c>
      <c r="B279" t="s">
        <v>717</v>
      </c>
      <c r="C279" t="s">
        <v>19</v>
      </c>
      <c r="D279" t="s">
        <v>30</v>
      </c>
      <c r="E279" t="s">
        <v>6350</v>
      </c>
      <c r="F279" t="s">
        <v>6376</v>
      </c>
      <c r="G279" t="s">
        <v>6375</v>
      </c>
      <c r="H279" t="s">
        <v>6382</v>
      </c>
      <c r="I279" t="s">
        <v>6392</v>
      </c>
      <c r="J279">
        <f>AVERAGE(ai_job_market[[#This Row],[min_salary]],ai_job_market[[#This Row],[max_salary]])</f>
        <v>92363.5</v>
      </c>
      <c r="K279"/>
      <c r="L279" t="s">
        <v>14</v>
      </c>
      <c r="M279" t="s">
        <v>37</v>
      </c>
      <c r="N279" t="s">
        <v>4712</v>
      </c>
      <c r="O279" t="s">
        <v>4634</v>
      </c>
      <c r="P279">
        <v>87231</v>
      </c>
      <c r="Q279">
        <v>97496</v>
      </c>
      <c r="R279" s="2">
        <v>45286</v>
      </c>
      <c r="S279" t="s">
        <v>14</v>
      </c>
      <c r="T279" t="s">
        <v>90</v>
      </c>
      <c r="W279" t="s">
        <v>6350</v>
      </c>
      <c r="X279">
        <v>84</v>
      </c>
      <c r="Y279" t="s">
        <v>90</v>
      </c>
      <c r="Z279">
        <v>259</v>
      </c>
    </row>
    <row r="280" spans="1:26" x14ac:dyDescent="0.3">
      <c r="A280">
        <v>279</v>
      </c>
      <c r="B280" t="s">
        <v>719</v>
      </c>
      <c r="C280" t="s">
        <v>19</v>
      </c>
      <c r="D280" t="s">
        <v>67</v>
      </c>
      <c r="E280" t="s">
        <v>6352</v>
      </c>
      <c r="F280" t="s">
        <v>6381</v>
      </c>
      <c r="G280" t="s">
        <v>6396</v>
      </c>
      <c r="J280">
        <f>AVERAGE(ai_job_market[[#This Row],[min_salary]],ai_job_market[[#This Row],[max_salary]])</f>
        <v>130427.5</v>
      </c>
      <c r="K280"/>
      <c r="L280" t="s">
        <v>27</v>
      </c>
      <c r="M280" t="s">
        <v>37</v>
      </c>
      <c r="N280" t="s">
        <v>4713</v>
      </c>
      <c r="O280" t="s">
        <v>4714</v>
      </c>
      <c r="P280">
        <v>103271</v>
      </c>
      <c r="Q280">
        <v>157584</v>
      </c>
      <c r="R280" s="2">
        <v>45919</v>
      </c>
      <c r="S280" t="s">
        <v>69</v>
      </c>
      <c r="T280" t="s">
        <v>90</v>
      </c>
      <c r="U280" t="s">
        <v>6379</v>
      </c>
      <c r="V280" t="s">
        <v>6378</v>
      </c>
      <c r="W280" t="s">
        <v>6352</v>
      </c>
      <c r="X280">
        <v>97</v>
      </c>
      <c r="Y280" t="s">
        <v>90</v>
      </c>
      <c r="Z280">
        <v>259</v>
      </c>
    </row>
    <row r="281" spans="1:26" x14ac:dyDescent="0.3">
      <c r="A281">
        <v>280</v>
      </c>
      <c r="B281" t="s">
        <v>721</v>
      </c>
      <c r="C281" t="s">
        <v>45</v>
      </c>
      <c r="D281" t="s">
        <v>25</v>
      </c>
      <c r="E281" t="s">
        <v>6359</v>
      </c>
      <c r="F281" t="s">
        <v>6389</v>
      </c>
      <c r="G281" t="s">
        <v>6384</v>
      </c>
      <c r="H281" t="s">
        <v>6375</v>
      </c>
      <c r="I281" t="s">
        <v>6390</v>
      </c>
      <c r="J281" s="6">
        <f>AVERAGE(ai_job_market[[#This Row],[min_salary]],ai_job_market[[#This Row],[max_salary]])</f>
        <v>75276</v>
      </c>
      <c r="K281"/>
      <c r="L281" t="s">
        <v>14</v>
      </c>
      <c r="M281" t="s">
        <v>37</v>
      </c>
      <c r="N281" t="s">
        <v>4715</v>
      </c>
      <c r="O281" t="s">
        <v>4536</v>
      </c>
      <c r="P281" s="5">
        <v>43405</v>
      </c>
      <c r="Q281" s="5">
        <v>107147</v>
      </c>
      <c r="R281" s="2">
        <v>45702</v>
      </c>
      <c r="S281" t="s">
        <v>16</v>
      </c>
      <c r="T281" t="s">
        <v>128</v>
      </c>
      <c r="W281" t="s">
        <v>6359</v>
      </c>
      <c r="X281">
        <v>104</v>
      </c>
      <c r="Y281" t="s">
        <v>128</v>
      </c>
      <c r="Z281">
        <v>233</v>
      </c>
    </row>
    <row r="282" spans="1:26" x14ac:dyDescent="0.3">
      <c r="A282">
        <v>281</v>
      </c>
      <c r="B282" t="s">
        <v>723</v>
      </c>
      <c r="C282" t="s">
        <v>19</v>
      </c>
      <c r="D282" t="s">
        <v>12</v>
      </c>
      <c r="E282" t="s">
        <v>6355</v>
      </c>
      <c r="F282" t="s">
        <v>6384</v>
      </c>
      <c r="G282" t="s">
        <v>6394</v>
      </c>
      <c r="J282">
        <f>AVERAGE(ai_job_market[[#This Row],[min_salary]],ai_job_market[[#This Row],[max_salary]])</f>
        <v>74439</v>
      </c>
      <c r="K282"/>
      <c r="L282" t="s">
        <v>14</v>
      </c>
      <c r="M282" t="s">
        <v>37</v>
      </c>
      <c r="N282" t="s">
        <v>4716</v>
      </c>
      <c r="O282" t="s">
        <v>4664</v>
      </c>
      <c r="P282">
        <v>55825</v>
      </c>
      <c r="Q282">
        <v>93053</v>
      </c>
      <c r="R282" s="2">
        <v>45773</v>
      </c>
      <c r="S282" t="s">
        <v>14</v>
      </c>
      <c r="T282" t="s">
        <v>157</v>
      </c>
      <c r="U282" t="s">
        <v>6388</v>
      </c>
      <c r="V282" t="s">
        <v>6389</v>
      </c>
      <c r="W282" t="s">
        <v>6355</v>
      </c>
      <c r="X282">
        <v>90</v>
      </c>
      <c r="Y282" t="s">
        <v>157</v>
      </c>
      <c r="Z282">
        <v>247</v>
      </c>
    </row>
    <row r="283" spans="1:26" x14ac:dyDescent="0.3">
      <c r="A283">
        <v>282</v>
      </c>
      <c r="B283" t="s">
        <v>725</v>
      </c>
      <c r="C283" t="s">
        <v>45</v>
      </c>
      <c r="D283" t="s">
        <v>12</v>
      </c>
      <c r="E283" t="s">
        <v>77</v>
      </c>
      <c r="F283" t="s">
        <v>6394</v>
      </c>
      <c r="G283" t="s">
        <v>6385</v>
      </c>
      <c r="H283" t="s">
        <v>6379</v>
      </c>
      <c r="J283">
        <f>AVERAGE(ai_job_market[[#This Row],[min_salary]],ai_job_market[[#This Row],[max_salary]])</f>
        <v>145137.5</v>
      </c>
      <c r="K283"/>
      <c r="L283" t="s">
        <v>22</v>
      </c>
      <c r="M283" t="s">
        <v>51</v>
      </c>
      <c r="N283" t="s">
        <v>4717</v>
      </c>
      <c r="O283" t="s">
        <v>4427</v>
      </c>
      <c r="P283">
        <v>96220</v>
      </c>
      <c r="Q283">
        <v>194055</v>
      </c>
      <c r="R283" s="2">
        <v>45639</v>
      </c>
      <c r="S283" t="s">
        <v>14</v>
      </c>
      <c r="T283" t="s">
        <v>70</v>
      </c>
      <c r="W283" t="s">
        <v>77</v>
      </c>
      <c r="X283">
        <v>111</v>
      </c>
      <c r="Y283" t="s">
        <v>70</v>
      </c>
      <c r="Z283">
        <v>268</v>
      </c>
    </row>
    <row r="284" spans="1:26" x14ac:dyDescent="0.3">
      <c r="A284">
        <v>283</v>
      </c>
      <c r="B284" t="s">
        <v>727</v>
      </c>
      <c r="C284" t="s">
        <v>72</v>
      </c>
      <c r="D284" t="s">
        <v>20</v>
      </c>
      <c r="E284" t="s">
        <v>6356</v>
      </c>
      <c r="F284" t="s">
        <v>6396</v>
      </c>
      <c r="G284" t="s">
        <v>6375</v>
      </c>
      <c r="H284" t="s">
        <v>6376</v>
      </c>
      <c r="I284" t="s">
        <v>6378</v>
      </c>
      <c r="J284">
        <f>AVERAGE(ai_job_market[[#This Row],[min_salary]],ai_job_market[[#This Row],[max_salary]])</f>
        <v>145166</v>
      </c>
      <c r="K284" t="s">
        <v>6390</v>
      </c>
      <c r="L284" t="s">
        <v>27</v>
      </c>
      <c r="M284" t="s">
        <v>37</v>
      </c>
      <c r="N284" t="s">
        <v>4718</v>
      </c>
      <c r="O284" t="s">
        <v>4655</v>
      </c>
      <c r="P284">
        <v>123561</v>
      </c>
      <c r="Q284">
        <v>166771</v>
      </c>
      <c r="R284" s="2">
        <v>45310</v>
      </c>
      <c r="S284" t="s">
        <v>14</v>
      </c>
      <c r="T284" t="s">
        <v>128</v>
      </c>
      <c r="U284" t="s">
        <v>6384</v>
      </c>
      <c r="V284" t="s">
        <v>6389</v>
      </c>
      <c r="W284" t="s">
        <v>6356</v>
      </c>
      <c r="X284">
        <v>86</v>
      </c>
      <c r="Y284" t="s">
        <v>128</v>
      </c>
      <c r="Z284">
        <v>233</v>
      </c>
    </row>
    <row r="285" spans="1:26" x14ac:dyDescent="0.3">
      <c r="A285">
        <v>284</v>
      </c>
      <c r="B285" t="s">
        <v>730</v>
      </c>
      <c r="C285" t="s">
        <v>34</v>
      </c>
      <c r="D285" t="s">
        <v>35</v>
      </c>
      <c r="E285" t="s">
        <v>6349</v>
      </c>
      <c r="F285" t="s">
        <v>6389</v>
      </c>
      <c r="G285" t="s">
        <v>6396</v>
      </c>
      <c r="J285">
        <f>AVERAGE(ai_job_market[[#This Row],[min_salary]],ai_job_market[[#This Row],[max_salary]])</f>
        <v>106543</v>
      </c>
      <c r="K285"/>
      <c r="L285" t="s">
        <v>22</v>
      </c>
      <c r="M285" t="s">
        <v>42</v>
      </c>
      <c r="N285" t="s">
        <v>4719</v>
      </c>
      <c r="O285" t="s">
        <v>4687</v>
      </c>
      <c r="P285">
        <v>91175</v>
      </c>
      <c r="Q285">
        <v>121911</v>
      </c>
      <c r="R285" s="2">
        <v>45872</v>
      </c>
      <c r="S285" t="s">
        <v>16</v>
      </c>
      <c r="T285" t="s">
        <v>70</v>
      </c>
      <c r="U285" t="s">
        <v>6383</v>
      </c>
      <c r="W285" t="s">
        <v>6349</v>
      </c>
      <c r="X285">
        <v>96</v>
      </c>
      <c r="Y285" t="s">
        <v>70</v>
      </c>
      <c r="Z285">
        <v>268</v>
      </c>
    </row>
    <row r="286" spans="1:26" x14ac:dyDescent="0.3">
      <c r="A286">
        <v>285</v>
      </c>
      <c r="B286" t="s">
        <v>732</v>
      </c>
      <c r="C286" t="s">
        <v>40</v>
      </c>
      <c r="D286" t="s">
        <v>54</v>
      </c>
      <c r="E286" t="s">
        <v>6355</v>
      </c>
      <c r="F286" t="s">
        <v>6375</v>
      </c>
      <c r="G286" t="s">
        <v>6380</v>
      </c>
      <c r="J286">
        <f>AVERAGE(ai_job_market[[#This Row],[min_salary]],ai_job_market[[#This Row],[max_salary]])</f>
        <v>128946</v>
      </c>
      <c r="K286"/>
      <c r="L286" t="s">
        <v>27</v>
      </c>
      <c r="M286" t="s">
        <v>51</v>
      </c>
      <c r="N286" t="s">
        <v>4720</v>
      </c>
      <c r="O286" t="s">
        <v>4692</v>
      </c>
      <c r="P286">
        <v>84664</v>
      </c>
      <c r="Q286">
        <v>173228</v>
      </c>
      <c r="R286" s="2">
        <v>45547</v>
      </c>
      <c r="S286" t="s">
        <v>69</v>
      </c>
      <c r="T286" t="s">
        <v>157</v>
      </c>
      <c r="U286" t="s">
        <v>6384</v>
      </c>
      <c r="V286" t="s">
        <v>6379</v>
      </c>
      <c r="W286" t="s">
        <v>6355</v>
      </c>
      <c r="X286">
        <v>90</v>
      </c>
      <c r="Y286" t="s">
        <v>157</v>
      </c>
      <c r="Z286">
        <v>247</v>
      </c>
    </row>
    <row r="287" spans="1:26" x14ac:dyDescent="0.3">
      <c r="A287">
        <v>286</v>
      </c>
      <c r="B287" t="s">
        <v>735</v>
      </c>
      <c r="C287" t="s">
        <v>45</v>
      </c>
      <c r="D287" t="s">
        <v>12</v>
      </c>
      <c r="E287" t="s">
        <v>6354</v>
      </c>
      <c r="F287" t="s">
        <v>6387</v>
      </c>
      <c r="G287" t="s">
        <v>6393</v>
      </c>
      <c r="H287" t="s">
        <v>6375</v>
      </c>
      <c r="I287" t="s">
        <v>6386</v>
      </c>
      <c r="J287">
        <f>AVERAGE(ai_job_market[[#This Row],[min_salary]],ai_job_market[[#This Row],[max_salary]])</f>
        <v>140656.5</v>
      </c>
      <c r="K287"/>
      <c r="L287" t="s">
        <v>22</v>
      </c>
      <c r="M287" t="s">
        <v>15</v>
      </c>
      <c r="N287" t="s">
        <v>4721</v>
      </c>
      <c r="O287" t="s">
        <v>4722</v>
      </c>
      <c r="P287">
        <v>109743</v>
      </c>
      <c r="Q287">
        <v>171570</v>
      </c>
      <c r="R287" s="2">
        <v>45813</v>
      </c>
      <c r="S287" t="s">
        <v>14</v>
      </c>
      <c r="T287" t="s">
        <v>52</v>
      </c>
      <c r="W287" t="s">
        <v>6354</v>
      </c>
      <c r="X287">
        <v>75</v>
      </c>
      <c r="Y287" t="s">
        <v>52</v>
      </c>
      <c r="Z287">
        <v>238</v>
      </c>
    </row>
    <row r="288" spans="1:26" x14ac:dyDescent="0.3">
      <c r="A288">
        <v>287</v>
      </c>
      <c r="B288" t="s">
        <v>737</v>
      </c>
      <c r="C288" t="s">
        <v>40</v>
      </c>
      <c r="D288" t="s">
        <v>135</v>
      </c>
      <c r="E288" t="s">
        <v>6348</v>
      </c>
      <c r="F288" t="s">
        <v>6385</v>
      </c>
      <c r="G288" t="s">
        <v>6387</v>
      </c>
      <c r="H288" t="s">
        <v>6389</v>
      </c>
      <c r="J288">
        <f>AVERAGE(ai_job_market[[#This Row],[min_salary]],ai_job_market[[#This Row],[max_salary]])</f>
        <v>84673</v>
      </c>
      <c r="K288"/>
      <c r="L288" t="s">
        <v>22</v>
      </c>
      <c r="M288" t="s">
        <v>51</v>
      </c>
      <c r="N288" t="s">
        <v>4723</v>
      </c>
      <c r="O288" t="s">
        <v>4303</v>
      </c>
      <c r="P288">
        <v>55502</v>
      </c>
      <c r="Q288">
        <v>113844</v>
      </c>
      <c r="R288" s="2">
        <v>45344</v>
      </c>
      <c r="S288" t="s">
        <v>69</v>
      </c>
      <c r="T288" t="s">
        <v>77</v>
      </c>
      <c r="W288" t="s">
        <v>6348</v>
      </c>
      <c r="X288">
        <v>78</v>
      </c>
      <c r="Y288" t="s">
        <v>77</v>
      </c>
      <c r="Z288">
        <v>251</v>
      </c>
    </row>
    <row r="289" spans="1:26" x14ac:dyDescent="0.3">
      <c r="A289">
        <v>288</v>
      </c>
      <c r="B289" t="s">
        <v>739</v>
      </c>
      <c r="C289" t="s">
        <v>11</v>
      </c>
      <c r="D289" t="s">
        <v>12</v>
      </c>
      <c r="E289" t="s">
        <v>6347</v>
      </c>
      <c r="F289" t="s">
        <v>6382</v>
      </c>
      <c r="G289" t="s">
        <v>6387</v>
      </c>
      <c r="H289" t="s">
        <v>6392</v>
      </c>
      <c r="J289">
        <f>AVERAGE(ai_job_market[[#This Row],[min_salary]],ai_job_market[[#This Row],[max_salary]])</f>
        <v>91839</v>
      </c>
      <c r="K289"/>
      <c r="L289" t="s">
        <v>27</v>
      </c>
      <c r="M289" t="s">
        <v>37</v>
      </c>
      <c r="N289" t="s">
        <v>4724</v>
      </c>
      <c r="O289" t="s">
        <v>4704</v>
      </c>
      <c r="P289">
        <v>47355</v>
      </c>
      <c r="Q289">
        <v>136323</v>
      </c>
      <c r="R289" s="2">
        <v>45705</v>
      </c>
      <c r="S289" t="s">
        <v>69</v>
      </c>
      <c r="T289" t="s">
        <v>128</v>
      </c>
      <c r="U289" t="s">
        <v>6389</v>
      </c>
      <c r="W289" t="s">
        <v>6347</v>
      </c>
      <c r="X289">
        <v>94</v>
      </c>
      <c r="Y289" t="s">
        <v>128</v>
      </c>
      <c r="Z289">
        <v>233</v>
      </c>
    </row>
    <row r="290" spans="1:26" x14ac:dyDescent="0.3">
      <c r="A290">
        <v>289</v>
      </c>
      <c r="B290" t="s">
        <v>741</v>
      </c>
      <c r="C290" t="s">
        <v>72</v>
      </c>
      <c r="D290" t="s">
        <v>25</v>
      </c>
      <c r="E290" t="s">
        <v>128</v>
      </c>
      <c r="F290" t="s">
        <v>6384</v>
      </c>
      <c r="G290" t="s">
        <v>6393</v>
      </c>
      <c r="J290" s="6">
        <f>AVERAGE(ai_job_market[[#This Row],[min_salary]],ai_job_market[[#This Row],[max_salary]])</f>
        <v>169983.5</v>
      </c>
      <c r="K290"/>
      <c r="L290" t="s">
        <v>22</v>
      </c>
      <c r="M290" t="s">
        <v>42</v>
      </c>
      <c r="N290" t="s">
        <v>4725</v>
      </c>
      <c r="O290" t="s">
        <v>4309</v>
      </c>
      <c r="P290" s="5">
        <v>143690</v>
      </c>
      <c r="Q290" s="5">
        <v>196277</v>
      </c>
      <c r="R290" s="2">
        <v>45562</v>
      </c>
      <c r="S290" t="s">
        <v>14</v>
      </c>
      <c r="T290" t="s">
        <v>90</v>
      </c>
      <c r="U290" t="s">
        <v>6388</v>
      </c>
      <c r="V290" t="s">
        <v>6383</v>
      </c>
      <c r="W290" t="s">
        <v>128</v>
      </c>
      <c r="X290">
        <v>92</v>
      </c>
      <c r="Y290" t="s">
        <v>90</v>
      </c>
      <c r="Z290">
        <v>259</v>
      </c>
    </row>
    <row r="291" spans="1:26" x14ac:dyDescent="0.3">
      <c r="A291">
        <v>290</v>
      </c>
      <c r="B291" t="s">
        <v>744</v>
      </c>
      <c r="C291" t="s">
        <v>19</v>
      </c>
      <c r="D291" t="s">
        <v>54</v>
      </c>
      <c r="E291" t="s">
        <v>6347</v>
      </c>
      <c r="F291" t="s">
        <v>6386</v>
      </c>
      <c r="G291" t="s">
        <v>6387</v>
      </c>
      <c r="H291" t="s">
        <v>6391</v>
      </c>
      <c r="I291" t="s">
        <v>6376</v>
      </c>
      <c r="J291">
        <f>AVERAGE(ai_job_market[[#This Row],[min_salary]],ai_job_market[[#This Row],[max_salary]])</f>
        <v>77083</v>
      </c>
      <c r="K291"/>
      <c r="L291" t="s">
        <v>14</v>
      </c>
      <c r="M291" t="s">
        <v>15</v>
      </c>
      <c r="N291" t="s">
        <v>4726</v>
      </c>
      <c r="O291" t="s">
        <v>4727</v>
      </c>
      <c r="P291">
        <v>56560</v>
      </c>
      <c r="Q291">
        <v>97606</v>
      </c>
      <c r="R291" s="2">
        <v>45699</v>
      </c>
      <c r="S291" t="s">
        <v>16</v>
      </c>
      <c r="T291" t="s">
        <v>70</v>
      </c>
      <c r="W291" t="s">
        <v>6347</v>
      </c>
      <c r="X291">
        <v>94</v>
      </c>
      <c r="Y291" t="s">
        <v>70</v>
      </c>
      <c r="Z291">
        <v>268</v>
      </c>
    </row>
    <row r="292" spans="1:26" x14ac:dyDescent="0.3">
      <c r="A292">
        <v>291</v>
      </c>
      <c r="B292" t="s">
        <v>746</v>
      </c>
      <c r="C292" t="s">
        <v>19</v>
      </c>
      <c r="D292" t="s">
        <v>135</v>
      </c>
      <c r="E292" t="s">
        <v>6345</v>
      </c>
      <c r="F292" t="s">
        <v>6394</v>
      </c>
      <c r="G292" t="s">
        <v>6386</v>
      </c>
      <c r="H292" t="s">
        <v>6375</v>
      </c>
      <c r="I292" t="s">
        <v>6382</v>
      </c>
      <c r="J292">
        <f>AVERAGE(ai_job_market[[#This Row],[min_salary]],ai_job_market[[#This Row],[max_salary]])</f>
        <v>192467</v>
      </c>
      <c r="K292" t="s">
        <v>6380</v>
      </c>
      <c r="L292" t="s">
        <v>14</v>
      </c>
      <c r="M292" t="s">
        <v>37</v>
      </c>
      <c r="N292" t="s">
        <v>4728</v>
      </c>
      <c r="O292" t="s">
        <v>4307</v>
      </c>
      <c r="P292">
        <v>149782</v>
      </c>
      <c r="Q292">
        <v>235152</v>
      </c>
      <c r="R292" s="2">
        <v>45754</v>
      </c>
      <c r="S292" t="s">
        <v>14</v>
      </c>
      <c r="T292" t="s">
        <v>101</v>
      </c>
      <c r="W292" t="s">
        <v>6345</v>
      </c>
      <c r="X292">
        <v>101</v>
      </c>
      <c r="Y292" t="s">
        <v>101</v>
      </c>
      <c r="Z292">
        <v>255</v>
      </c>
    </row>
    <row r="293" spans="1:26" x14ac:dyDescent="0.3">
      <c r="A293">
        <v>292</v>
      </c>
      <c r="B293" t="s">
        <v>748</v>
      </c>
      <c r="C293" t="s">
        <v>45</v>
      </c>
      <c r="D293" t="s">
        <v>30</v>
      </c>
      <c r="E293" t="s">
        <v>70</v>
      </c>
      <c r="F293" t="s">
        <v>6393</v>
      </c>
      <c r="G293" t="s">
        <v>6394</v>
      </c>
      <c r="H293" t="s">
        <v>6396</v>
      </c>
      <c r="J293">
        <f>AVERAGE(ai_job_market[[#This Row],[min_salary]],ai_job_market[[#This Row],[max_salary]])</f>
        <v>141768.5</v>
      </c>
      <c r="K293"/>
      <c r="L293" t="s">
        <v>27</v>
      </c>
      <c r="M293" t="s">
        <v>37</v>
      </c>
      <c r="N293" t="s">
        <v>4729</v>
      </c>
      <c r="O293" t="s">
        <v>4626</v>
      </c>
      <c r="P293">
        <v>127612</v>
      </c>
      <c r="Q293">
        <v>155925</v>
      </c>
      <c r="R293" s="2">
        <v>45221</v>
      </c>
      <c r="S293" t="s">
        <v>16</v>
      </c>
      <c r="T293" t="s">
        <v>101</v>
      </c>
      <c r="U293" t="s">
        <v>6383</v>
      </c>
      <c r="V293" t="s">
        <v>6388</v>
      </c>
      <c r="W293" t="s">
        <v>70</v>
      </c>
      <c r="X293">
        <v>100</v>
      </c>
      <c r="Y293" t="s">
        <v>101</v>
      </c>
      <c r="Z293">
        <v>255</v>
      </c>
    </row>
    <row r="294" spans="1:26" x14ac:dyDescent="0.3">
      <c r="A294">
        <v>293</v>
      </c>
      <c r="B294" t="s">
        <v>750</v>
      </c>
      <c r="C294" t="s">
        <v>49</v>
      </c>
      <c r="D294" t="s">
        <v>135</v>
      </c>
      <c r="E294" t="s">
        <v>77</v>
      </c>
      <c r="F294" t="s">
        <v>6379</v>
      </c>
      <c r="G294" t="s">
        <v>6382</v>
      </c>
      <c r="H294" t="s">
        <v>6394</v>
      </c>
      <c r="I294" t="s">
        <v>6384</v>
      </c>
      <c r="J294">
        <f>AVERAGE(ai_job_market[[#This Row],[min_salary]],ai_job_market[[#This Row],[max_salary]])</f>
        <v>114875.5</v>
      </c>
      <c r="K294"/>
      <c r="L294" t="s">
        <v>27</v>
      </c>
      <c r="M294" t="s">
        <v>15</v>
      </c>
      <c r="N294" t="s">
        <v>4730</v>
      </c>
      <c r="O294" t="s">
        <v>4416</v>
      </c>
      <c r="P294">
        <v>78409</v>
      </c>
      <c r="Q294">
        <v>151342</v>
      </c>
      <c r="R294" s="2">
        <v>45820</v>
      </c>
      <c r="S294" t="s">
        <v>14</v>
      </c>
      <c r="T294" t="s">
        <v>70</v>
      </c>
      <c r="U294" t="s">
        <v>6378</v>
      </c>
      <c r="W294" t="s">
        <v>77</v>
      </c>
      <c r="X294">
        <v>111</v>
      </c>
      <c r="Y294" t="s">
        <v>70</v>
      </c>
      <c r="Z294">
        <v>268</v>
      </c>
    </row>
    <row r="295" spans="1:26" x14ac:dyDescent="0.3">
      <c r="A295">
        <v>294</v>
      </c>
      <c r="B295" t="s">
        <v>752</v>
      </c>
      <c r="C295" t="s">
        <v>49</v>
      </c>
      <c r="D295" t="s">
        <v>12</v>
      </c>
      <c r="E295" t="s">
        <v>6352</v>
      </c>
      <c r="F295" t="s">
        <v>6389</v>
      </c>
      <c r="G295" t="s">
        <v>6375</v>
      </c>
      <c r="J295">
        <f>AVERAGE(ai_job_market[[#This Row],[min_salary]],ai_job_market[[#This Row],[max_salary]])</f>
        <v>159274.5</v>
      </c>
      <c r="K295"/>
      <c r="L295" t="s">
        <v>14</v>
      </c>
      <c r="M295" t="s">
        <v>51</v>
      </c>
      <c r="N295" t="s">
        <v>4731</v>
      </c>
      <c r="O295" t="s">
        <v>4619</v>
      </c>
      <c r="P295">
        <v>149023</v>
      </c>
      <c r="Q295">
        <v>169526</v>
      </c>
      <c r="R295" s="2">
        <v>45546</v>
      </c>
      <c r="S295" t="s">
        <v>16</v>
      </c>
      <c r="T295" t="s">
        <v>70</v>
      </c>
      <c r="U295" t="s">
        <v>6388</v>
      </c>
      <c r="V295" t="s">
        <v>6384</v>
      </c>
      <c r="W295" t="s">
        <v>6352</v>
      </c>
      <c r="X295">
        <v>97</v>
      </c>
      <c r="Y295" t="s">
        <v>70</v>
      </c>
      <c r="Z295">
        <v>268</v>
      </c>
    </row>
    <row r="296" spans="1:26" x14ac:dyDescent="0.3">
      <c r="A296">
        <v>295</v>
      </c>
      <c r="B296" t="s">
        <v>755</v>
      </c>
      <c r="C296" t="s">
        <v>11</v>
      </c>
      <c r="D296" t="s">
        <v>25</v>
      </c>
      <c r="E296" t="s">
        <v>128</v>
      </c>
      <c r="F296" t="s">
        <v>6392</v>
      </c>
      <c r="G296" t="s">
        <v>6376</v>
      </c>
      <c r="H296" t="s">
        <v>6386</v>
      </c>
      <c r="J296" s="6">
        <f>AVERAGE(ai_job_market[[#This Row],[min_salary]],ai_job_market[[#This Row],[max_salary]])</f>
        <v>105374.5</v>
      </c>
      <c r="K296"/>
      <c r="L296" t="s">
        <v>22</v>
      </c>
      <c r="M296" t="s">
        <v>15</v>
      </c>
      <c r="N296" t="s">
        <v>4732</v>
      </c>
      <c r="O296" t="s">
        <v>4391</v>
      </c>
      <c r="P296" s="5">
        <v>64779</v>
      </c>
      <c r="Q296" s="5">
        <v>145970</v>
      </c>
      <c r="R296" s="2">
        <v>45402</v>
      </c>
      <c r="S296" t="s">
        <v>69</v>
      </c>
      <c r="T296" t="s">
        <v>157</v>
      </c>
      <c r="W296" t="s">
        <v>128</v>
      </c>
      <c r="X296">
        <v>92</v>
      </c>
      <c r="Y296" t="s">
        <v>157</v>
      </c>
      <c r="Z296">
        <v>247</v>
      </c>
    </row>
    <row r="297" spans="1:26" x14ac:dyDescent="0.3">
      <c r="A297">
        <v>296</v>
      </c>
      <c r="B297" t="s">
        <v>757</v>
      </c>
      <c r="C297" t="s">
        <v>49</v>
      </c>
      <c r="D297" t="s">
        <v>12</v>
      </c>
      <c r="E297" t="s">
        <v>6357</v>
      </c>
      <c r="F297" t="s">
        <v>6384</v>
      </c>
      <c r="G297" t="s">
        <v>6386</v>
      </c>
      <c r="H297" t="s">
        <v>6374</v>
      </c>
      <c r="I297" t="s">
        <v>6377</v>
      </c>
      <c r="J297">
        <f>AVERAGE(ai_job_market[[#This Row],[min_salary]],ai_job_market[[#This Row],[max_salary]])</f>
        <v>91205.5</v>
      </c>
      <c r="K297" t="s">
        <v>6394</v>
      </c>
      <c r="L297" t="s">
        <v>22</v>
      </c>
      <c r="M297" t="s">
        <v>42</v>
      </c>
      <c r="N297" t="s">
        <v>4733</v>
      </c>
      <c r="O297" t="s">
        <v>4692</v>
      </c>
      <c r="P297">
        <v>69887</v>
      </c>
      <c r="Q297">
        <v>112524</v>
      </c>
      <c r="R297" s="2">
        <v>45587</v>
      </c>
      <c r="S297" t="s">
        <v>16</v>
      </c>
      <c r="T297" t="s">
        <v>128</v>
      </c>
      <c r="W297" t="s">
        <v>6357</v>
      </c>
      <c r="X297">
        <v>88</v>
      </c>
      <c r="Y297" t="s">
        <v>128</v>
      </c>
      <c r="Z297">
        <v>233</v>
      </c>
    </row>
    <row r="298" spans="1:26" x14ac:dyDescent="0.3">
      <c r="A298">
        <v>297</v>
      </c>
      <c r="B298" t="s">
        <v>759</v>
      </c>
      <c r="C298" t="s">
        <v>72</v>
      </c>
      <c r="D298" t="s">
        <v>35</v>
      </c>
      <c r="E298" t="s">
        <v>6345</v>
      </c>
      <c r="F298" t="s">
        <v>6393</v>
      </c>
      <c r="G298" t="s">
        <v>6378</v>
      </c>
      <c r="H298" t="s">
        <v>6380</v>
      </c>
      <c r="I298" t="s">
        <v>6389</v>
      </c>
      <c r="J298">
        <f>AVERAGE(ai_job_market[[#This Row],[min_salary]],ai_job_market[[#This Row],[max_salary]])</f>
        <v>148675</v>
      </c>
      <c r="K298" t="s">
        <v>6392</v>
      </c>
      <c r="L298" t="s">
        <v>27</v>
      </c>
      <c r="M298" t="s">
        <v>15</v>
      </c>
      <c r="N298" t="s">
        <v>4734</v>
      </c>
      <c r="O298" t="s">
        <v>4418</v>
      </c>
      <c r="P298">
        <v>119337</v>
      </c>
      <c r="Q298">
        <v>178013</v>
      </c>
      <c r="R298" s="2">
        <v>45604</v>
      </c>
      <c r="S298" t="s">
        <v>14</v>
      </c>
      <c r="T298" t="s">
        <v>101</v>
      </c>
      <c r="U298" t="s">
        <v>6378</v>
      </c>
      <c r="V298" t="s">
        <v>6383</v>
      </c>
      <c r="W298" t="s">
        <v>6345</v>
      </c>
      <c r="X298">
        <v>101</v>
      </c>
      <c r="Y298" t="s">
        <v>101</v>
      </c>
      <c r="Z298">
        <v>255</v>
      </c>
    </row>
    <row r="299" spans="1:26" x14ac:dyDescent="0.3">
      <c r="A299">
        <v>298</v>
      </c>
      <c r="B299" t="s">
        <v>761</v>
      </c>
      <c r="C299" t="s">
        <v>19</v>
      </c>
      <c r="D299" t="s">
        <v>12</v>
      </c>
      <c r="E299" t="s">
        <v>77</v>
      </c>
      <c r="F299" t="s">
        <v>6382</v>
      </c>
      <c r="G299" t="s">
        <v>6376</v>
      </c>
      <c r="H299" t="s">
        <v>6375</v>
      </c>
      <c r="J299">
        <f>AVERAGE(ai_job_market[[#This Row],[min_salary]],ai_job_market[[#This Row],[max_salary]])</f>
        <v>166853.5</v>
      </c>
      <c r="K299"/>
      <c r="L299" t="s">
        <v>27</v>
      </c>
      <c r="M299" t="s">
        <v>51</v>
      </c>
      <c r="N299" t="s">
        <v>4735</v>
      </c>
      <c r="O299" t="s">
        <v>4401</v>
      </c>
      <c r="P299">
        <v>139462</v>
      </c>
      <c r="Q299">
        <v>194245</v>
      </c>
      <c r="R299" s="2">
        <v>45671</v>
      </c>
      <c r="S299" t="s">
        <v>16</v>
      </c>
      <c r="T299" t="s">
        <v>70</v>
      </c>
      <c r="U299" t="s">
        <v>6378</v>
      </c>
      <c r="W299" t="s">
        <v>77</v>
      </c>
      <c r="X299">
        <v>111</v>
      </c>
      <c r="Y299" t="s">
        <v>70</v>
      </c>
      <c r="Z299">
        <v>268</v>
      </c>
    </row>
    <row r="300" spans="1:26" x14ac:dyDescent="0.3">
      <c r="A300">
        <v>299</v>
      </c>
      <c r="B300" t="s">
        <v>763</v>
      </c>
      <c r="C300" t="s">
        <v>45</v>
      </c>
      <c r="D300" t="s">
        <v>54</v>
      </c>
      <c r="E300" t="s">
        <v>6344</v>
      </c>
      <c r="F300" t="s">
        <v>6389</v>
      </c>
      <c r="G300" t="s">
        <v>6380</v>
      </c>
      <c r="H300" t="s">
        <v>6391</v>
      </c>
      <c r="I300" t="s">
        <v>6385</v>
      </c>
      <c r="J300">
        <f>AVERAGE(ai_job_market[[#This Row],[min_salary]],ai_job_market[[#This Row],[max_salary]])</f>
        <v>93009</v>
      </c>
      <c r="K300" t="s">
        <v>6377</v>
      </c>
      <c r="L300" t="s">
        <v>27</v>
      </c>
      <c r="M300" t="s">
        <v>51</v>
      </c>
      <c r="N300" t="s">
        <v>4736</v>
      </c>
      <c r="O300" t="s">
        <v>4701</v>
      </c>
      <c r="P300">
        <v>68689</v>
      </c>
      <c r="Q300">
        <v>117329</v>
      </c>
      <c r="R300" s="2">
        <v>45455</v>
      </c>
      <c r="S300" t="s">
        <v>14</v>
      </c>
      <c r="T300" t="s">
        <v>70</v>
      </c>
      <c r="W300" t="s">
        <v>6344</v>
      </c>
      <c r="X300">
        <v>104</v>
      </c>
      <c r="Y300" t="s">
        <v>70</v>
      </c>
      <c r="Z300">
        <v>268</v>
      </c>
    </row>
    <row r="301" spans="1:26" x14ac:dyDescent="0.3">
      <c r="A301">
        <v>300</v>
      </c>
      <c r="B301" t="s">
        <v>765</v>
      </c>
      <c r="C301" t="s">
        <v>45</v>
      </c>
      <c r="D301" t="s">
        <v>135</v>
      </c>
      <c r="E301" t="s">
        <v>6350</v>
      </c>
      <c r="F301" t="s">
        <v>6397</v>
      </c>
      <c r="G301" t="s">
        <v>6384</v>
      </c>
      <c r="H301" t="s">
        <v>6390</v>
      </c>
      <c r="I301" t="s">
        <v>6396</v>
      </c>
      <c r="J301">
        <f>AVERAGE(ai_job_market[[#This Row],[min_salary]],ai_job_market[[#This Row],[max_salary]])</f>
        <v>131419.5</v>
      </c>
      <c r="K301"/>
      <c r="L301" t="s">
        <v>14</v>
      </c>
      <c r="M301" t="s">
        <v>37</v>
      </c>
      <c r="N301" t="s">
        <v>4737</v>
      </c>
      <c r="O301" t="s">
        <v>4704</v>
      </c>
      <c r="P301">
        <v>87545</v>
      </c>
      <c r="Q301">
        <v>175294</v>
      </c>
      <c r="R301" s="2">
        <v>45702</v>
      </c>
      <c r="S301" t="s">
        <v>14</v>
      </c>
      <c r="T301" t="s">
        <v>52</v>
      </c>
      <c r="W301" t="s">
        <v>6350</v>
      </c>
      <c r="X301">
        <v>84</v>
      </c>
      <c r="Y301" t="s">
        <v>52</v>
      </c>
      <c r="Z301">
        <v>238</v>
      </c>
    </row>
    <row r="302" spans="1:26" x14ac:dyDescent="0.3">
      <c r="A302">
        <v>301</v>
      </c>
      <c r="B302" t="s">
        <v>767</v>
      </c>
      <c r="C302" t="s">
        <v>34</v>
      </c>
      <c r="D302" t="s">
        <v>35</v>
      </c>
      <c r="E302" t="s">
        <v>6349</v>
      </c>
      <c r="F302" t="s">
        <v>6378</v>
      </c>
      <c r="G302" t="s">
        <v>6386</v>
      </c>
      <c r="H302" t="s">
        <v>6381</v>
      </c>
      <c r="I302" t="s">
        <v>6396</v>
      </c>
      <c r="J302">
        <f>AVERAGE(ai_job_market[[#This Row],[min_salary]],ai_job_market[[#This Row],[max_salary]])</f>
        <v>105064</v>
      </c>
      <c r="K302" t="s">
        <v>6385</v>
      </c>
      <c r="L302" t="s">
        <v>14</v>
      </c>
      <c r="M302" t="s">
        <v>37</v>
      </c>
      <c r="N302" t="s">
        <v>4738</v>
      </c>
      <c r="O302" t="s">
        <v>4722</v>
      </c>
      <c r="P302">
        <v>96034</v>
      </c>
      <c r="Q302">
        <v>114094</v>
      </c>
      <c r="R302" s="2">
        <v>45203</v>
      </c>
      <c r="S302" t="s">
        <v>14</v>
      </c>
      <c r="T302" t="s">
        <v>70</v>
      </c>
      <c r="U302" t="s">
        <v>6389</v>
      </c>
      <c r="W302" t="s">
        <v>6349</v>
      </c>
      <c r="X302">
        <v>96</v>
      </c>
      <c r="Y302" t="s">
        <v>70</v>
      </c>
      <c r="Z302">
        <v>268</v>
      </c>
    </row>
    <row r="303" spans="1:26" x14ac:dyDescent="0.3">
      <c r="A303">
        <v>302</v>
      </c>
      <c r="B303" t="s">
        <v>769</v>
      </c>
      <c r="C303" t="s">
        <v>72</v>
      </c>
      <c r="D303" t="s">
        <v>25</v>
      </c>
      <c r="E303" t="s">
        <v>6359</v>
      </c>
      <c r="F303" t="s">
        <v>6384</v>
      </c>
      <c r="G303" t="s">
        <v>6391</v>
      </c>
      <c r="H303" t="s">
        <v>6380</v>
      </c>
      <c r="I303" t="s">
        <v>6377</v>
      </c>
      <c r="J303">
        <f>AVERAGE(ai_job_market[[#This Row],[min_salary]],ai_job_market[[#This Row],[max_salary]])</f>
        <v>89846.5</v>
      </c>
      <c r="K303" t="s">
        <v>6393</v>
      </c>
      <c r="L303" t="s">
        <v>14</v>
      </c>
      <c r="M303" t="s">
        <v>15</v>
      </c>
      <c r="N303" t="s">
        <v>4739</v>
      </c>
      <c r="O303" t="s">
        <v>4399</v>
      </c>
      <c r="P303">
        <v>71002</v>
      </c>
      <c r="Q303">
        <v>108691</v>
      </c>
      <c r="R303" s="2">
        <v>45213</v>
      </c>
      <c r="S303" t="s">
        <v>14</v>
      </c>
      <c r="T303" t="s">
        <v>101</v>
      </c>
      <c r="U303" t="s">
        <v>6379</v>
      </c>
      <c r="V303" t="s">
        <v>6388</v>
      </c>
      <c r="W303" t="s">
        <v>6359</v>
      </c>
      <c r="X303">
        <v>104</v>
      </c>
      <c r="Y303" t="s">
        <v>101</v>
      </c>
      <c r="Z303">
        <v>255</v>
      </c>
    </row>
    <row r="304" spans="1:26" x14ac:dyDescent="0.3">
      <c r="A304">
        <v>303</v>
      </c>
      <c r="B304" t="s">
        <v>771</v>
      </c>
      <c r="C304" t="s">
        <v>11</v>
      </c>
      <c r="D304" t="s">
        <v>12</v>
      </c>
      <c r="E304" t="s">
        <v>6348</v>
      </c>
      <c r="F304" t="s">
        <v>6384</v>
      </c>
      <c r="G304" t="s">
        <v>6375</v>
      </c>
      <c r="H304" t="s">
        <v>6395</v>
      </c>
      <c r="I304" t="s">
        <v>6377</v>
      </c>
      <c r="J304">
        <f>AVERAGE(ai_job_market[[#This Row],[min_salary]],ai_job_market[[#This Row],[max_salary]])</f>
        <v>88231</v>
      </c>
      <c r="K304"/>
      <c r="L304" t="s">
        <v>14</v>
      </c>
      <c r="M304" t="s">
        <v>15</v>
      </c>
      <c r="N304" t="s">
        <v>4740</v>
      </c>
      <c r="O304" t="s">
        <v>4599</v>
      </c>
      <c r="P304">
        <v>48576</v>
      </c>
      <c r="Q304">
        <v>127886</v>
      </c>
      <c r="R304" s="2">
        <v>45255</v>
      </c>
      <c r="S304" t="s">
        <v>69</v>
      </c>
      <c r="T304" t="s">
        <v>101</v>
      </c>
      <c r="U304" t="s">
        <v>6384</v>
      </c>
      <c r="V304" t="s">
        <v>6375</v>
      </c>
      <c r="W304" t="s">
        <v>6348</v>
      </c>
      <c r="X304">
        <v>78</v>
      </c>
      <c r="Y304" t="s">
        <v>101</v>
      </c>
      <c r="Z304">
        <v>255</v>
      </c>
    </row>
    <row r="305" spans="1:26" x14ac:dyDescent="0.3">
      <c r="A305">
        <v>304</v>
      </c>
      <c r="B305" t="s">
        <v>774</v>
      </c>
      <c r="C305" t="s">
        <v>72</v>
      </c>
      <c r="D305" t="s">
        <v>67</v>
      </c>
      <c r="E305" t="s">
        <v>6351</v>
      </c>
      <c r="F305" t="s">
        <v>6378</v>
      </c>
      <c r="G305" t="s">
        <v>6397</v>
      </c>
      <c r="H305" t="s">
        <v>6394</v>
      </c>
      <c r="J305">
        <f>AVERAGE(ai_job_market[[#This Row],[min_salary]],ai_job_market[[#This Row],[max_salary]])</f>
        <v>142402</v>
      </c>
      <c r="K305"/>
      <c r="L305" t="s">
        <v>22</v>
      </c>
      <c r="M305" t="s">
        <v>37</v>
      </c>
      <c r="N305" t="s">
        <v>4741</v>
      </c>
      <c r="O305" t="s">
        <v>4450</v>
      </c>
      <c r="P305">
        <v>133128</v>
      </c>
      <c r="Q305">
        <v>151676</v>
      </c>
      <c r="R305" s="2">
        <v>45599</v>
      </c>
      <c r="S305" t="s">
        <v>14</v>
      </c>
      <c r="T305" t="s">
        <v>101</v>
      </c>
      <c r="U305" t="s">
        <v>6384</v>
      </c>
      <c r="V305" t="s">
        <v>6389</v>
      </c>
      <c r="W305" t="s">
        <v>6351</v>
      </c>
      <c r="X305">
        <v>89</v>
      </c>
      <c r="Y305" t="s">
        <v>101</v>
      </c>
      <c r="Z305">
        <v>255</v>
      </c>
    </row>
    <row r="306" spans="1:26" x14ac:dyDescent="0.3">
      <c r="A306">
        <v>305</v>
      </c>
      <c r="B306" t="s">
        <v>777</v>
      </c>
      <c r="C306" t="s">
        <v>72</v>
      </c>
      <c r="D306" t="s">
        <v>30</v>
      </c>
      <c r="E306" t="s">
        <v>6355</v>
      </c>
      <c r="F306" t="s">
        <v>6381</v>
      </c>
      <c r="G306" t="s">
        <v>6393</v>
      </c>
      <c r="H306" t="s">
        <v>6387</v>
      </c>
      <c r="I306" t="s">
        <v>6379</v>
      </c>
      <c r="J306">
        <f>AVERAGE(ai_job_market[[#This Row],[min_salary]],ai_job_market[[#This Row],[max_salary]])</f>
        <v>113454.5</v>
      </c>
      <c r="K306"/>
      <c r="L306" t="s">
        <v>14</v>
      </c>
      <c r="M306" t="s">
        <v>42</v>
      </c>
      <c r="N306" t="s">
        <v>4742</v>
      </c>
      <c r="O306" t="s">
        <v>4743</v>
      </c>
      <c r="P306">
        <v>72195</v>
      </c>
      <c r="Q306">
        <v>154714</v>
      </c>
      <c r="R306" s="2">
        <v>45881</v>
      </c>
      <c r="S306" t="s">
        <v>16</v>
      </c>
      <c r="T306" t="s">
        <v>128</v>
      </c>
      <c r="U306" t="s">
        <v>6384</v>
      </c>
      <c r="W306" t="s">
        <v>6355</v>
      </c>
      <c r="X306">
        <v>90</v>
      </c>
      <c r="Y306" t="s">
        <v>128</v>
      </c>
      <c r="Z306">
        <v>233</v>
      </c>
    </row>
    <row r="307" spans="1:26" x14ac:dyDescent="0.3">
      <c r="A307">
        <v>306</v>
      </c>
      <c r="B307" t="s">
        <v>780</v>
      </c>
      <c r="C307" t="s">
        <v>40</v>
      </c>
      <c r="D307" t="s">
        <v>135</v>
      </c>
      <c r="E307" t="s">
        <v>128</v>
      </c>
      <c r="F307" t="s">
        <v>6386</v>
      </c>
      <c r="G307" t="s">
        <v>6397</v>
      </c>
      <c r="H307" t="s">
        <v>6376</v>
      </c>
      <c r="J307" s="6">
        <f>AVERAGE(ai_job_market[[#This Row],[min_salary]],ai_job_market[[#This Row],[max_salary]])</f>
        <v>75883</v>
      </c>
      <c r="K307"/>
      <c r="L307" t="s">
        <v>27</v>
      </c>
      <c r="M307" t="s">
        <v>51</v>
      </c>
      <c r="N307" t="s">
        <v>4744</v>
      </c>
      <c r="O307" t="s">
        <v>4395</v>
      </c>
      <c r="P307" s="5">
        <v>70554</v>
      </c>
      <c r="Q307" s="5">
        <v>81212</v>
      </c>
      <c r="R307" s="2">
        <v>45847</v>
      </c>
      <c r="S307" t="s">
        <v>14</v>
      </c>
      <c r="T307" t="s">
        <v>52</v>
      </c>
      <c r="U307" t="s">
        <v>6378</v>
      </c>
      <c r="W307" t="s">
        <v>128</v>
      </c>
      <c r="X307">
        <v>92</v>
      </c>
      <c r="Y307" t="s">
        <v>52</v>
      </c>
      <c r="Z307">
        <v>238</v>
      </c>
    </row>
    <row r="308" spans="1:26" x14ac:dyDescent="0.3">
      <c r="A308">
        <v>307</v>
      </c>
      <c r="B308" t="s">
        <v>782</v>
      </c>
      <c r="C308" t="s">
        <v>40</v>
      </c>
      <c r="D308" t="s">
        <v>35</v>
      </c>
      <c r="E308" t="s">
        <v>6355</v>
      </c>
      <c r="F308" t="s">
        <v>6386</v>
      </c>
      <c r="G308" t="s">
        <v>6390</v>
      </c>
      <c r="H308" t="s">
        <v>6387</v>
      </c>
      <c r="I308" t="s">
        <v>6378</v>
      </c>
      <c r="J308">
        <f>AVERAGE(ai_job_market[[#This Row],[min_salary]],ai_job_market[[#This Row],[max_salary]])</f>
        <v>90819.5</v>
      </c>
      <c r="K308"/>
      <c r="L308" t="s">
        <v>27</v>
      </c>
      <c r="M308" t="s">
        <v>51</v>
      </c>
      <c r="N308" t="s">
        <v>4745</v>
      </c>
      <c r="O308" t="s">
        <v>4339</v>
      </c>
      <c r="P308">
        <v>72299</v>
      </c>
      <c r="Q308">
        <v>109340</v>
      </c>
      <c r="R308" s="2">
        <v>45339</v>
      </c>
      <c r="S308" t="s">
        <v>16</v>
      </c>
      <c r="T308" t="s">
        <v>52</v>
      </c>
      <c r="U308" t="s">
        <v>6389</v>
      </c>
      <c r="V308" t="s">
        <v>6379</v>
      </c>
      <c r="W308" t="s">
        <v>6355</v>
      </c>
      <c r="X308">
        <v>90</v>
      </c>
      <c r="Y308" t="s">
        <v>52</v>
      </c>
      <c r="Z308">
        <v>238</v>
      </c>
    </row>
    <row r="309" spans="1:26" x14ac:dyDescent="0.3">
      <c r="A309">
        <v>308</v>
      </c>
      <c r="B309" t="s">
        <v>785</v>
      </c>
      <c r="C309" t="s">
        <v>19</v>
      </c>
      <c r="D309" t="s">
        <v>20</v>
      </c>
      <c r="E309" t="s">
        <v>6349</v>
      </c>
      <c r="F309" t="s">
        <v>6391</v>
      </c>
      <c r="G309" t="s">
        <v>6393</v>
      </c>
      <c r="H309" t="s">
        <v>6380</v>
      </c>
      <c r="I309" t="s">
        <v>6389</v>
      </c>
      <c r="J309" s="6">
        <f>AVERAGE(ai_job_market[[#This Row],[min_salary]],ai_job_market[[#This Row],[max_salary]])</f>
        <v>100867.5</v>
      </c>
      <c r="K309"/>
      <c r="L309" t="s">
        <v>14</v>
      </c>
      <c r="M309" t="s">
        <v>15</v>
      </c>
      <c r="N309" t="s">
        <v>4746</v>
      </c>
      <c r="O309" t="s">
        <v>4536</v>
      </c>
      <c r="P309" s="5">
        <v>80922</v>
      </c>
      <c r="Q309" s="5">
        <v>120813</v>
      </c>
      <c r="R309" s="2">
        <v>45278</v>
      </c>
      <c r="S309" t="s">
        <v>14</v>
      </c>
      <c r="T309" t="s">
        <v>128</v>
      </c>
      <c r="W309" t="s">
        <v>6349</v>
      </c>
      <c r="X309">
        <v>96</v>
      </c>
      <c r="Y309" t="s">
        <v>128</v>
      </c>
      <c r="Z309">
        <v>233</v>
      </c>
    </row>
    <row r="310" spans="1:26" x14ac:dyDescent="0.3">
      <c r="A310">
        <v>309</v>
      </c>
      <c r="B310" t="s">
        <v>787</v>
      </c>
      <c r="C310" t="s">
        <v>49</v>
      </c>
      <c r="D310" t="s">
        <v>12</v>
      </c>
      <c r="E310" t="s">
        <v>6359</v>
      </c>
      <c r="F310" t="s">
        <v>6381</v>
      </c>
      <c r="G310" t="s">
        <v>6386</v>
      </c>
      <c r="H310" t="s">
        <v>6378</v>
      </c>
      <c r="I310" t="s">
        <v>6384</v>
      </c>
      <c r="J310">
        <f>AVERAGE(ai_job_market[[#This Row],[min_salary]],ai_job_market[[#This Row],[max_salary]])</f>
        <v>125425</v>
      </c>
      <c r="K310" t="s">
        <v>6375</v>
      </c>
      <c r="L310" t="s">
        <v>22</v>
      </c>
      <c r="M310" t="s">
        <v>51</v>
      </c>
      <c r="N310" t="s">
        <v>4747</v>
      </c>
      <c r="O310" t="s">
        <v>4488</v>
      </c>
      <c r="P310">
        <v>115164</v>
      </c>
      <c r="Q310">
        <v>135686</v>
      </c>
      <c r="R310" s="2">
        <v>45244</v>
      </c>
      <c r="S310" t="s">
        <v>16</v>
      </c>
      <c r="T310" t="s">
        <v>52</v>
      </c>
      <c r="U310" t="s">
        <v>6389</v>
      </c>
      <c r="W310" t="s">
        <v>6359</v>
      </c>
      <c r="X310">
        <v>104</v>
      </c>
      <c r="Y310" t="s">
        <v>52</v>
      </c>
      <c r="Z310">
        <v>238</v>
      </c>
    </row>
    <row r="311" spans="1:26" x14ac:dyDescent="0.3">
      <c r="A311">
        <v>310</v>
      </c>
      <c r="B311" t="s">
        <v>790</v>
      </c>
      <c r="C311" t="s">
        <v>11</v>
      </c>
      <c r="D311" t="s">
        <v>20</v>
      </c>
      <c r="E311" t="s">
        <v>6348</v>
      </c>
      <c r="F311" t="s">
        <v>6376</v>
      </c>
      <c r="G311" t="s">
        <v>6396</v>
      </c>
      <c r="H311" t="s">
        <v>6384</v>
      </c>
      <c r="I311" t="s">
        <v>6377</v>
      </c>
      <c r="J311">
        <f>AVERAGE(ai_job_market[[#This Row],[min_salary]],ai_job_market[[#This Row],[max_salary]])</f>
        <v>123220</v>
      </c>
      <c r="K311"/>
      <c r="L311" t="s">
        <v>27</v>
      </c>
      <c r="M311" t="s">
        <v>42</v>
      </c>
      <c r="N311" t="s">
        <v>4748</v>
      </c>
      <c r="O311" t="s">
        <v>4395</v>
      </c>
      <c r="P311">
        <v>100207</v>
      </c>
      <c r="Q311">
        <v>146233</v>
      </c>
      <c r="R311" s="2">
        <v>45323</v>
      </c>
      <c r="S311" t="s">
        <v>69</v>
      </c>
      <c r="T311" t="s">
        <v>90</v>
      </c>
      <c r="U311" t="s">
        <v>6379</v>
      </c>
      <c r="V311" t="s">
        <v>6383</v>
      </c>
      <c r="W311" t="s">
        <v>6348</v>
      </c>
      <c r="X311">
        <v>78</v>
      </c>
      <c r="Y311" t="s">
        <v>90</v>
      </c>
      <c r="Z311">
        <v>259</v>
      </c>
    </row>
    <row r="312" spans="1:26" x14ac:dyDescent="0.3">
      <c r="A312">
        <v>311</v>
      </c>
      <c r="B312" t="s">
        <v>792</v>
      </c>
      <c r="C312" t="s">
        <v>19</v>
      </c>
      <c r="D312" t="s">
        <v>20</v>
      </c>
      <c r="E312" t="s">
        <v>77</v>
      </c>
      <c r="F312" t="s">
        <v>6390</v>
      </c>
      <c r="G312" t="s">
        <v>6375</v>
      </c>
      <c r="H312" t="s">
        <v>6377</v>
      </c>
      <c r="I312" t="s">
        <v>6396</v>
      </c>
      <c r="J312" s="6">
        <f>AVERAGE(ai_job_market[[#This Row],[min_salary]],ai_job_market[[#This Row],[max_salary]])</f>
        <v>157317</v>
      </c>
      <c r="K312"/>
      <c r="L312" t="s">
        <v>22</v>
      </c>
      <c r="M312" t="s">
        <v>37</v>
      </c>
      <c r="N312" t="s">
        <v>4749</v>
      </c>
      <c r="O312" t="s">
        <v>4603</v>
      </c>
      <c r="P312" s="5">
        <v>121180</v>
      </c>
      <c r="Q312" s="5">
        <v>193454</v>
      </c>
      <c r="R312" s="2">
        <v>45266</v>
      </c>
      <c r="S312" t="s">
        <v>69</v>
      </c>
      <c r="T312" t="s">
        <v>157</v>
      </c>
      <c r="U312" t="s">
        <v>6376</v>
      </c>
      <c r="W312" t="s">
        <v>77</v>
      </c>
      <c r="X312">
        <v>111</v>
      </c>
      <c r="Y312" t="s">
        <v>157</v>
      </c>
      <c r="Z312">
        <v>247</v>
      </c>
    </row>
    <row r="313" spans="1:26" x14ac:dyDescent="0.3">
      <c r="A313">
        <v>312</v>
      </c>
      <c r="B313" t="s">
        <v>795</v>
      </c>
      <c r="C313" t="s">
        <v>45</v>
      </c>
      <c r="D313" t="s">
        <v>35</v>
      </c>
      <c r="E313" t="s">
        <v>6346</v>
      </c>
      <c r="F313" t="s">
        <v>6396</v>
      </c>
      <c r="G313" t="s">
        <v>6380</v>
      </c>
      <c r="J313">
        <f>AVERAGE(ai_job_market[[#This Row],[min_salary]],ai_job_market[[#This Row],[max_salary]])</f>
        <v>102308.5</v>
      </c>
      <c r="K313"/>
      <c r="L313" t="s">
        <v>14</v>
      </c>
      <c r="M313" t="s">
        <v>15</v>
      </c>
      <c r="N313" t="s">
        <v>4750</v>
      </c>
      <c r="O313" t="s">
        <v>4547</v>
      </c>
      <c r="P313">
        <v>71373</v>
      </c>
      <c r="Q313">
        <v>133244</v>
      </c>
      <c r="R313" s="2">
        <v>45586</v>
      </c>
      <c r="S313" t="s">
        <v>16</v>
      </c>
      <c r="T313" t="s">
        <v>90</v>
      </c>
      <c r="U313" t="s">
        <v>6379</v>
      </c>
      <c r="V313" t="s">
        <v>6383</v>
      </c>
      <c r="W313" t="s">
        <v>6346</v>
      </c>
      <c r="X313">
        <v>78</v>
      </c>
      <c r="Y313" t="s">
        <v>90</v>
      </c>
      <c r="Z313">
        <v>259</v>
      </c>
    </row>
    <row r="314" spans="1:26" x14ac:dyDescent="0.3">
      <c r="A314">
        <v>313</v>
      </c>
      <c r="B314" t="s">
        <v>797</v>
      </c>
      <c r="C314" t="s">
        <v>40</v>
      </c>
      <c r="D314" t="s">
        <v>35</v>
      </c>
      <c r="E314" t="s">
        <v>6357</v>
      </c>
      <c r="F314" t="s">
        <v>6392</v>
      </c>
      <c r="G314" t="s">
        <v>6386</v>
      </c>
      <c r="H314" t="s">
        <v>6374</v>
      </c>
      <c r="I314" t="s">
        <v>6378</v>
      </c>
      <c r="J314">
        <f>AVERAGE(ai_job_market[[#This Row],[min_salary]],ai_job_market[[#This Row],[max_salary]])</f>
        <v>79767.5</v>
      </c>
      <c r="K314" t="s">
        <v>6379</v>
      </c>
      <c r="L314" t="s">
        <v>14</v>
      </c>
      <c r="M314" t="s">
        <v>51</v>
      </c>
      <c r="N314" t="s">
        <v>4751</v>
      </c>
      <c r="O314" t="s">
        <v>4414</v>
      </c>
      <c r="P314">
        <v>41433</v>
      </c>
      <c r="Q314">
        <v>118102</v>
      </c>
      <c r="R314" s="2">
        <v>45415</v>
      </c>
      <c r="S314" t="s">
        <v>69</v>
      </c>
      <c r="T314" t="s">
        <v>70</v>
      </c>
      <c r="U314" t="s">
        <v>6383</v>
      </c>
      <c r="V314" t="s">
        <v>6375</v>
      </c>
      <c r="W314" t="s">
        <v>6357</v>
      </c>
      <c r="X314">
        <v>88</v>
      </c>
      <c r="Y314" t="s">
        <v>70</v>
      </c>
      <c r="Z314">
        <v>268</v>
      </c>
    </row>
    <row r="315" spans="1:26" x14ac:dyDescent="0.3">
      <c r="A315">
        <v>314</v>
      </c>
      <c r="B315" t="s">
        <v>800</v>
      </c>
      <c r="C315" t="s">
        <v>11</v>
      </c>
      <c r="D315" t="s">
        <v>54</v>
      </c>
      <c r="E315" t="s">
        <v>77</v>
      </c>
      <c r="F315" t="s">
        <v>6376</v>
      </c>
      <c r="G315" t="s">
        <v>6382</v>
      </c>
      <c r="H315" t="s">
        <v>6391</v>
      </c>
      <c r="I315" t="s">
        <v>6374</v>
      </c>
      <c r="J315">
        <f>AVERAGE(ai_job_market[[#This Row],[min_salary]],ai_job_market[[#This Row],[max_salary]])</f>
        <v>143375</v>
      </c>
      <c r="K315"/>
      <c r="L315" t="s">
        <v>27</v>
      </c>
      <c r="M315" t="s">
        <v>37</v>
      </c>
      <c r="N315" t="s">
        <v>4752</v>
      </c>
      <c r="O315" t="s">
        <v>4452</v>
      </c>
      <c r="P315">
        <v>134278</v>
      </c>
      <c r="Q315">
        <v>152472</v>
      </c>
      <c r="R315" s="2">
        <v>45626</v>
      </c>
      <c r="S315" t="s">
        <v>16</v>
      </c>
      <c r="T315" t="s">
        <v>157</v>
      </c>
      <c r="W315" t="s">
        <v>77</v>
      </c>
      <c r="X315">
        <v>111</v>
      </c>
      <c r="Y315" t="s">
        <v>157</v>
      </c>
      <c r="Z315">
        <v>247</v>
      </c>
    </row>
    <row r="316" spans="1:26" x14ac:dyDescent="0.3">
      <c r="A316">
        <v>315</v>
      </c>
      <c r="B316" t="s">
        <v>802</v>
      </c>
      <c r="C316" t="s">
        <v>34</v>
      </c>
      <c r="D316" t="s">
        <v>135</v>
      </c>
      <c r="E316" t="s">
        <v>70</v>
      </c>
      <c r="F316" t="s">
        <v>6393</v>
      </c>
      <c r="G316" t="s">
        <v>6390</v>
      </c>
      <c r="H316" t="s">
        <v>6391</v>
      </c>
      <c r="I316" t="s">
        <v>6396</v>
      </c>
      <c r="J316">
        <f>AVERAGE(ai_job_market[[#This Row],[min_salary]],ai_job_market[[#This Row],[max_salary]])</f>
        <v>61725</v>
      </c>
      <c r="K316" t="s">
        <v>6378</v>
      </c>
      <c r="L316" t="s">
        <v>14</v>
      </c>
      <c r="M316" t="s">
        <v>51</v>
      </c>
      <c r="N316" t="s">
        <v>4753</v>
      </c>
      <c r="O316" t="s">
        <v>4630</v>
      </c>
      <c r="P316">
        <v>52404</v>
      </c>
      <c r="Q316">
        <v>71046</v>
      </c>
      <c r="R316" s="2">
        <v>45819</v>
      </c>
      <c r="S316" t="s">
        <v>69</v>
      </c>
      <c r="T316" t="s">
        <v>101</v>
      </c>
      <c r="W316" t="s">
        <v>70</v>
      </c>
      <c r="X316">
        <v>100</v>
      </c>
      <c r="Y316" t="s">
        <v>101</v>
      </c>
      <c r="Z316">
        <v>255</v>
      </c>
    </row>
    <row r="317" spans="1:26" x14ac:dyDescent="0.3">
      <c r="A317">
        <v>316</v>
      </c>
      <c r="B317" t="s">
        <v>804</v>
      </c>
      <c r="C317" t="s">
        <v>45</v>
      </c>
      <c r="D317" t="s">
        <v>67</v>
      </c>
      <c r="E317" t="s">
        <v>6353</v>
      </c>
      <c r="F317" t="s">
        <v>6389</v>
      </c>
      <c r="G317" t="s">
        <v>6391</v>
      </c>
      <c r="H317" t="s">
        <v>6376</v>
      </c>
      <c r="J317">
        <f>AVERAGE(ai_job_market[[#This Row],[min_salary]],ai_job_market[[#This Row],[max_salary]])</f>
        <v>121919</v>
      </c>
      <c r="K317"/>
      <c r="L317" t="s">
        <v>27</v>
      </c>
      <c r="M317" t="s">
        <v>51</v>
      </c>
      <c r="N317" t="s">
        <v>4754</v>
      </c>
      <c r="O317" t="s">
        <v>4593</v>
      </c>
      <c r="P317">
        <v>98266</v>
      </c>
      <c r="Q317">
        <v>145572</v>
      </c>
      <c r="R317" s="2">
        <v>45500</v>
      </c>
      <c r="S317" t="s">
        <v>14</v>
      </c>
      <c r="T317" t="s">
        <v>128</v>
      </c>
      <c r="W317" t="s">
        <v>6353</v>
      </c>
      <c r="X317">
        <v>86</v>
      </c>
      <c r="Y317" t="s">
        <v>128</v>
      </c>
      <c r="Z317">
        <v>233</v>
      </c>
    </row>
    <row r="318" spans="1:26" x14ac:dyDescent="0.3">
      <c r="A318">
        <v>317</v>
      </c>
      <c r="B318" t="s">
        <v>806</v>
      </c>
      <c r="C318" t="s">
        <v>34</v>
      </c>
      <c r="D318" t="s">
        <v>12</v>
      </c>
      <c r="E318" t="s">
        <v>6344</v>
      </c>
      <c r="F318" t="s">
        <v>6387</v>
      </c>
      <c r="G318" t="s">
        <v>6389</v>
      </c>
      <c r="H318" t="s">
        <v>6392</v>
      </c>
      <c r="I318" t="s">
        <v>6384</v>
      </c>
      <c r="J318">
        <f>AVERAGE(ai_job_market[[#This Row],[min_salary]],ai_job_market[[#This Row],[max_salary]])</f>
        <v>173442.5</v>
      </c>
      <c r="K318"/>
      <c r="L318" t="s">
        <v>14</v>
      </c>
      <c r="M318" t="s">
        <v>37</v>
      </c>
      <c r="N318" t="s">
        <v>4525</v>
      </c>
      <c r="O318" t="s">
        <v>4361</v>
      </c>
      <c r="P318">
        <v>134179</v>
      </c>
      <c r="Q318">
        <v>212706</v>
      </c>
      <c r="R318" s="2">
        <v>45728</v>
      </c>
      <c r="S318" t="s">
        <v>14</v>
      </c>
      <c r="T318" t="s">
        <v>101</v>
      </c>
      <c r="U318" t="s">
        <v>6388</v>
      </c>
      <c r="V318" t="s">
        <v>6389</v>
      </c>
      <c r="W318" t="s">
        <v>6344</v>
      </c>
      <c r="X318">
        <v>104</v>
      </c>
      <c r="Y318" t="s">
        <v>101</v>
      </c>
      <c r="Z318">
        <v>255</v>
      </c>
    </row>
    <row r="319" spans="1:26" x14ac:dyDescent="0.3">
      <c r="A319">
        <v>318</v>
      </c>
      <c r="B319" t="s">
        <v>809</v>
      </c>
      <c r="C319" t="s">
        <v>72</v>
      </c>
      <c r="D319" t="s">
        <v>54</v>
      </c>
      <c r="E319" t="s">
        <v>101</v>
      </c>
      <c r="F319" t="s">
        <v>6387</v>
      </c>
      <c r="G319" t="s">
        <v>6384</v>
      </c>
      <c r="H319" t="s">
        <v>6395</v>
      </c>
      <c r="I319" t="s">
        <v>6391</v>
      </c>
      <c r="J319">
        <f>AVERAGE(ai_job_market[[#This Row],[min_salary]],ai_job_market[[#This Row],[max_salary]])</f>
        <v>73875</v>
      </c>
      <c r="K319"/>
      <c r="L319" t="s">
        <v>14</v>
      </c>
      <c r="M319" t="s">
        <v>51</v>
      </c>
      <c r="N319" t="s">
        <v>4755</v>
      </c>
      <c r="O319" t="s">
        <v>4624</v>
      </c>
      <c r="P319">
        <v>66368</v>
      </c>
      <c r="Q319">
        <v>81382</v>
      </c>
      <c r="R319" s="2">
        <v>45465</v>
      </c>
      <c r="S319" t="s">
        <v>14</v>
      </c>
      <c r="T319" t="s">
        <v>128</v>
      </c>
      <c r="U319" t="s">
        <v>6379</v>
      </c>
      <c r="W319" t="s">
        <v>101</v>
      </c>
      <c r="X319">
        <v>76</v>
      </c>
      <c r="Y319" t="s">
        <v>128</v>
      </c>
      <c r="Z319">
        <v>233</v>
      </c>
    </row>
    <row r="320" spans="1:26" x14ac:dyDescent="0.3">
      <c r="A320">
        <v>319</v>
      </c>
      <c r="B320" t="s">
        <v>811</v>
      </c>
      <c r="C320" t="s">
        <v>72</v>
      </c>
      <c r="D320" t="s">
        <v>30</v>
      </c>
      <c r="E320" t="s">
        <v>6349</v>
      </c>
      <c r="F320" t="s">
        <v>6397</v>
      </c>
      <c r="G320" t="s">
        <v>6374</v>
      </c>
      <c r="H320" t="s">
        <v>6376</v>
      </c>
      <c r="J320">
        <f>AVERAGE(ai_job_market[[#This Row],[min_salary]],ai_job_market[[#This Row],[max_salary]])</f>
        <v>165588</v>
      </c>
      <c r="K320"/>
      <c r="L320" t="s">
        <v>14</v>
      </c>
      <c r="M320" t="s">
        <v>15</v>
      </c>
      <c r="N320" t="s">
        <v>4756</v>
      </c>
      <c r="O320" t="s">
        <v>4450</v>
      </c>
      <c r="P320">
        <v>115773</v>
      </c>
      <c r="Q320">
        <v>215403</v>
      </c>
      <c r="R320" s="2">
        <v>45550</v>
      </c>
      <c r="S320" t="s">
        <v>69</v>
      </c>
      <c r="T320" t="s">
        <v>157</v>
      </c>
      <c r="U320" t="s">
        <v>6389</v>
      </c>
      <c r="V320" t="s">
        <v>6384</v>
      </c>
      <c r="W320" t="s">
        <v>6349</v>
      </c>
      <c r="X320">
        <v>96</v>
      </c>
      <c r="Y320" t="s">
        <v>157</v>
      </c>
      <c r="Z320">
        <v>247</v>
      </c>
    </row>
    <row r="321" spans="1:26" x14ac:dyDescent="0.3">
      <c r="A321">
        <v>320</v>
      </c>
      <c r="B321" t="s">
        <v>814</v>
      </c>
      <c r="C321" t="s">
        <v>40</v>
      </c>
      <c r="D321" t="s">
        <v>67</v>
      </c>
      <c r="E321" t="s">
        <v>6356</v>
      </c>
      <c r="F321" t="s">
        <v>6394</v>
      </c>
      <c r="G321" t="s">
        <v>6390</v>
      </c>
      <c r="H321" t="s">
        <v>6386</v>
      </c>
      <c r="I321" t="s">
        <v>6381</v>
      </c>
      <c r="J321">
        <f>AVERAGE(ai_job_market[[#This Row],[min_salary]],ai_job_market[[#This Row],[max_salary]])</f>
        <v>152382.5</v>
      </c>
      <c r="K321"/>
      <c r="L321" t="s">
        <v>27</v>
      </c>
      <c r="M321" t="s">
        <v>37</v>
      </c>
      <c r="N321" t="s">
        <v>4757</v>
      </c>
      <c r="O321" t="s">
        <v>4391</v>
      </c>
      <c r="P321">
        <v>130032</v>
      </c>
      <c r="Q321">
        <v>174733</v>
      </c>
      <c r="R321" s="2">
        <v>45341</v>
      </c>
      <c r="S321" t="s">
        <v>69</v>
      </c>
      <c r="T321" t="s">
        <v>70</v>
      </c>
      <c r="W321" t="s">
        <v>6356</v>
      </c>
      <c r="X321">
        <v>86</v>
      </c>
      <c r="Y321" t="s">
        <v>70</v>
      </c>
      <c r="Z321">
        <v>268</v>
      </c>
    </row>
    <row r="322" spans="1:26" x14ac:dyDescent="0.3">
      <c r="A322">
        <v>321</v>
      </c>
      <c r="B322" t="s">
        <v>816</v>
      </c>
      <c r="C322" t="s">
        <v>45</v>
      </c>
      <c r="D322" t="s">
        <v>135</v>
      </c>
      <c r="E322" t="s">
        <v>6351</v>
      </c>
      <c r="F322" t="s">
        <v>6391</v>
      </c>
      <c r="G322" t="s">
        <v>6394</v>
      </c>
      <c r="H322" t="s">
        <v>6376</v>
      </c>
      <c r="I322" t="s">
        <v>6382</v>
      </c>
      <c r="J322">
        <f>AVERAGE(ai_job_market[[#This Row],[min_salary]],ai_job_market[[#This Row],[max_salary]])</f>
        <v>138981.5</v>
      </c>
      <c r="K322"/>
      <c r="L322" t="s">
        <v>22</v>
      </c>
      <c r="M322" t="s">
        <v>15</v>
      </c>
      <c r="N322" t="s">
        <v>4758</v>
      </c>
      <c r="O322" t="s">
        <v>4439</v>
      </c>
      <c r="P322">
        <v>105292</v>
      </c>
      <c r="Q322">
        <v>172671</v>
      </c>
      <c r="R322" s="2">
        <v>45557</v>
      </c>
      <c r="S322" t="s">
        <v>16</v>
      </c>
      <c r="T322" t="s">
        <v>128</v>
      </c>
      <c r="U322" t="s">
        <v>6376</v>
      </c>
      <c r="V322" t="s">
        <v>6378</v>
      </c>
      <c r="W322" t="s">
        <v>6351</v>
      </c>
      <c r="X322">
        <v>89</v>
      </c>
      <c r="Y322" t="s">
        <v>128</v>
      </c>
      <c r="Z322">
        <v>233</v>
      </c>
    </row>
    <row r="323" spans="1:26" x14ac:dyDescent="0.3">
      <c r="A323">
        <v>322</v>
      </c>
      <c r="B323" t="s">
        <v>819</v>
      </c>
      <c r="C323" t="s">
        <v>45</v>
      </c>
      <c r="D323" t="s">
        <v>67</v>
      </c>
      <c r="E323" t="s">
        <v>6355</v>
      </c>
      <c r="F323" t="s">
        <v>6387</v>
      </c>
      <c r="G323" t="s">
        <v>6380</v>
      </c>
      <c r="J323">
        <f>AVERAGE(ai_job_market[[#This Row],[min_salary]],ai_job_market[[#This Row],[max_salary]])</f>
        <v>109009</v>
      </c>
      <c r="K323"/>
      <c r="L323" t="s">
        <v>22</v>
      </c>
      <c r="M323" t="s">
        <v>15</v>
      </c>
      <c r="N323" t="s">
        <v>4759</v>
      </c>
      <c r="O323" t="s">
        <v>4488</v>
      </c>
      <c r="P323">
        <v>98122</v>
      </c>
      <c r="Q323">
        <v>119896</v>
      </c>
      <c r="R323" s="2">
        <v>45644</v>
      </c>
      <c r="S323" t="s">
        <v>16</v>
      </c>
      <c r="T323" t="s">
        <v>90</v>
      </c>
      <c r="U323" t="s">
        <v>6375</v>
      </c>
      <c r="V323" t="s">
        <v>6378</v>
      </c>
      <c r="W323" t="s">
        <v>6355</v>
      </c>
      <c r="X323">
        <v>90</v>
      </c>
      <c r="Y323" t="s">
        <v>90</v>
      </c>
      <c r="Z323">
        <v>259</v>
      </c>
    </row>
    <row r="324" spans="1:26" x14ac:dyDescent="0.3">
      <c r="A324">
        <v>323</v>
      </c>
      <c r="B324" t="s">
        <v>821</v>
      </c>
      <c r="C324" t="s">
        <v>72</v>
      </c>
      <c r="D324" t="s">
        <v>30</v>
      </c>
      <c r="E324" t="s">
        <v>6345</v>
      </c>
      <c r="F324" t="s">
        <v>6390</v>
      </c>
      <c r="G324" t="s">
        <v>6377</v>
      </c>
      <c r="H324" t="s">
        <v>6389</v>
      </c>
      <c r="J324">
        <f>AVERAGE(ai_job_market[[#This Row],[min_salary]],ai_job_market[[#This Row],[max_salary]])</f>
        <v>154653.5</v>
      </c>
      <c r="K324"/>
      <c r="L324" t="s">
        <v>22</v>
      </c>
      <c r="M324" t="s">
        <v>15</v>
      </c>
      <c r="N324" t="s">
        <v>4760</v>
      </c>
      <c r="O324" t="s">
        <v>4687</v>
      </c>
      <c r="P324">
        <v>122419</v>
      </c>
      <c r="Q324">
        <v>186888</v>
      </c>
      <c r="R324" s="2">
        <v>45566</v>
      </c>
      <c r="S324" t="s">
        <v>14</v>
      </c>
      <c r="T324" t="s">
        <v>52</v>
      </c>
      <c r="U324" t="s">
        <v>6384</v>
      </c>
      <c r="V324" t="s">
        <v>6378</v>
      </c>
      <c r="W324" t="s">
        <v>6345</v>
      </c>
      <c r="X324">
        <v>101</v>
      </c>
      <c r="Y324" t="s">
        <v>52</v>
      </c>
      <c r="Z324">
        <v>238</v>
      </c>
    </row>
    <row r="325" spans="1:26" x14ac:dyDescent="0.3">
      <c r="A325">
        <v>324</v>
      </c>
      <c r="B325" t="s">
        <v>824</v>
      </c>
      <c r="C325" t="s">
        <v>49</v>
      </c>
      <c r="D325" t="s">
        <v>135</v>
      </c>
      <c r="E325" t="s">
        <v>6348</v>
      </c>
      <c r="F325" t="s">
        <v>6396</v>
      </c>
      <c r="G325" t="s">
        <v>6394</v>
      </c>
      <c r="H325" t="s">
        <v>6379</v>
      </c>
      <c r="J325">
        <f>AVERAGE(ai_job_market[[#This Row],[min_salary]],ai_job_market[[#This Row],[max_salary]])</f>
        <v>120583.5</v>
      </c>
      <c r="K325"/>
      <c r="L325" t="s">
        <v>22</v>
      </c>
      <c r="M325" t="s">
        <v>51</v>
      </c>
      <c r="N325" t="s">
        <v>4761</v>
      </c>
      <c r="O325" t="s">
        <v>4762</v>
      </c>
      <c r="P325">
        <v>73317</v>
      </c>
      <c r="Q325">
        <v>167850</v>
      </c>
      <c r="R325" s="2">
        <v>45658</v>
      </c>
      <c r="S325" t="s">
        <v>69</v>
      </c>
      <c r="T325" t="s">
        <v>101</v>
      </c>
      <c r="U325" t="s">
        <v>6378</v>
      </c>
      <c r="W325" t="s">
        <v>6348</v>
      </c>
      <c r="X325">
        <v>78</v>
      </c>
      <c r="Y325" t="s">
        <v>101</v>
      </c>
      <c r="Z325">
        <v>255</v>
      </c>
    </row>
    <row r="326" spans="1:26" x14ac:dyDescent="0.3">
      <c r="A326">
        <v>325</v>
      </c>
      <c r="B326" t="s">
        <v>827</v>
      </c>
      <c r="C326" t="s">
        <v>11</v>
      </c>
      <c r="D326" t="s">
        <v>35</v>
      </c>
      <c r="E326" t="s">
        <v>6348</v>
      </c>
      <c r="F326" t="s">
        <v>6378</v>
      </c>
      <c r="G326" t="s">
        <v>6376</v>
      </c>
      <c r="H326" t="s">
        <v>6386</v>
      </c>
      <c r="J326" s="6">
        <f>AVERAGE(ai_job_market[[#This Row],[min_salary]],ai_job_market[[#This Row],[max_salary]])</f>
        <v>91011</v>
      </c>
      <c r="K326"/>
      <c r="L326" t="s">
        <v>14</v>
      </c>
      <c r="M326" t="s">
        <v>42</v>
      </c>
      <c r="N326" t="s">
        <v>4763</v>
      </c>
      <c r="O326" t="s">
        <v>4511</v>
      </c>
      <c r="P326" s="5">
        <v>52740</v>
      </c>
      <c r="Q326" s="5">
        <v>129282</v>
      </c>
      <c r="R326" s="2">
        <v>45682</v>
      </c>
      <c r="S326" t="s">
        <v>14</v>
      </c>
      <c r="T326" t="s">
        <v>90</v>
      </c>
      <c r="U326" t="s">
        <v>6384</v>
      </c>
      <c r="W326" t="s">
        <v>6348</v>
      </c>
      <c r="X326">
        <v>78</v>
      </c>
      <c r="Y326" t="s">
        <v>90</v>
      </c>
      <c r="Z326">
        <v>259</v>
      </c>
    </row>
    <row r="327" spans="1:26" x14ac:dyDescent="0.3">
      <c r="A327">
        <v>326</v>
      </c>
      <c r="B327" t="s">
        <v>829</v>
      </c>
      <c r="C327" t="s">
        <v>34</v>
      </c>
      <c r="D327" t="s">
        <v>30</v>
      </c>
      <c r="E327" t="s">
        <v>90</v>
      </c>
      <c r="F327" t="s">
        <v>6376</v>
      </c>
      <c r="G327" t="s">
        <v>6397</v>
      </c>
      <c r="H327" t="s">
        <v>6374</v>
      </c>
      <c r="I327" t="s">
        <v>6385</v>
      </c>
      <c r="J327">
        <f>AVERAGE(ai_job_market[[#This Row],[min_salary]],ai_job_market[[#This Row],[max_salary]])</f>
        <v>149901</v>
      </c>
      <c r="K327"/>
      <c r="L327" t="s">
        <v>14</v>
      </c>
      <c r="M327" t="s">
        <v>37</v>
      </c>
      <c r="N327" t="s">
        <v>4764</v>
      </c>
      <c r="O327" t="s">
        <v>4461</v>
      </c>
      <c r="P327">
        <v>130522</v>
      </c>
      <c r="Q327">
        <v>169280</v>
      </c>
      <c r="R327" s="2">
        <v>45312</v>
      </c>
      <c r="S327" t="s">
        <v>14</v>
      </c>
      <c r="T327" t="s">
        <v>77</v>
      </c>
      <c r="U327" t="s">
        <v>6376</v>
      </c>
      <c r="V327" t="s">
        <v>6389</v>
      </c>
      <c r="W327" t="s">
        <v>90</v>
      </c>
      <c r="X327">
        <v>80</v>
      </c>
      <c r="Y327" t="s">
        <v>77</v>
      </c>
      <c r="Z327">
        <v>251</v>
      </c>
    </row>
    <row r="328" spans="1:26" x14ac:dyDescent="0.3">
      <c r="A328">
        <v>327</v>
      </c>
      <c r="B328" t="s">
        <v>831</v>
      </c>
      <c r="C328" t="s">
        <v>19</v>
      </c>
      <c r="D328" t="s">
        <v>67</v>
      </c>
      <c r="E328" t="s">
        <v>77</v>
      </c>
      <c r="F328" t="s">
        <v>6391</v>
      </c>
      <c r="G328" t="s">
        <v>6379</v>
      </c>
      <c r="H328" t="s">
        <v>6377</v>
      </c>
      <c r="J328">
        <f>AVERAGE(ai_job_market[[#This Row],[min_salary]],ai_job_market[[#This Row],[max_salary]])</f>
        <v>155228</v>
      </c>
      <c r="K328"/>
      <c r="L328" t="s">
        <v>27</v>
      </c>
      <c r="M328" t="s">
        <v>51</v>
      </c>
      <c r="N328" t="s">
        <v>4765</v>
      </c>
      <c r="O328" t="s">
        <v>4701</v>
      </c>
      <c r="P328">
        <v>146948</v>
      </c>
      <c r="Q328">
        <v>163508</v>
      </c>
      <c r="R328" s="2">
        <v>45503</v>
      </c>
      <c r="S328" t="s">
        <v>14</v>
      </c>
      <c r="T328" t="s">
        <v>157</v>
      </c>
      <c r="W328" t="s">
        <v>77</v>
      </c>
      <c r="X328">
        <v>111</v>
      </c>
      <c r="Y328" t="s">
        <v>157</v>
      </c>
      <c r="Z328">
        <v>247</v>
      </c>
    </row>
    <row r="329" spans="1:26" x14ac:dyDescent="0.3">
      <c r="A329">
        <v>328</v>
      </c>
      <c r="B329" t="s">
        <v>833</v>
      </c>
      <c r="C329" t="s">
        <v>19</v>
      </c>
      <c r="D329" t="s">
        <v>25</v>
      </c>
      <c r="E329" t="s">
        <v>6359</v>
      </c>
      <c r="F329" t="s">
        <v>6393</v>
      </c>
      <c r="G329" t="s">
        <v>6376</v>
      </c>
      <c r="H329" t="s">
        <v>6385</v>
      </c>
      <c r="J329">
        <f>AVERAGE(ai_job_market[[#This Row],[min_salary]],ai_job_market[[#This Row],[max_salary]])</f>
        <v>110313.5</v>
      </c>
      <c r="K329"/>
      <c r="L329" t="s">
        <v>22</v>
      </c>
      <c r="M329" t="s">
        <v>51</v>
      </c>
      <c r="N329" t="s">
        <v>4766</v>
      </c>
      <c r="O329" t="s">
        <v>4767</v>
      </c>
      <c r="P329">
        <v>63681</v>
      </c>
      <c r="Q329">
        <v>156946</v>
      </c>
      <c r="R329" s="2">
        <v>45764</v>
      </c>
      <c r="S329" t="s">
        <v>14</v>
      </c>
      <c r="T329" t="s">
        <v>90</v>
      </c>
      <c r="W329" t="s">
        <v>6359</v>
      </c>
      <c r="X329">
        <v>104</v>
      </c>
      <c r="Y329" t="s">
        <v>90</v>
      </c>
      <c r="Z329">
        <v>259</v>
      </c>
    </row>
    <row r="330" spans="1:26" x14ac:dyDescent="0.3">
      <c r="A330">
        <v>329</v>
      </c>
      <c r="B330" t="s">
        <v>835</v>
      </c>
      <c r="C330" t="s">
        <v>19</v>
      </c>
      <c r="D330" t="s">
        <v>25</v>
      </c>
      <c r="E330" t="s">
        <v>6355</v>
      </c>
      <c r="F330" t="s">
        <v>6375</v>
      </c>
      <c r="G330" t="s">
        <v>6390</v>
      </c>
      <c r="J330" s="6">
        <f>AVERAGE(ai_job_market[[#This Row],[min_salary]],ai_job_market[[#This Row],[max_salary]])</f>
        <v>139935.5</v>
      </c>
      <c r="K330"/>
      <c r="L330" t="s">
        <v>14</v>
      </c>
      <c r="M330" t="s">
        <v>15</v>
      </c>
      <c r="N330" t="s">
        <v>4768</v>
      </c>
      <c r="O330" t="s">
        <v>4701</v>
      </c>
      <c r="P330" s="5">
        <v>102993</v>
      </c>
      <c r="Q330" s="5">
        <v>176878</v>
      </c>
      <c r="R330" s="2">
        <v>45510</v>
      </c>
      <c r="S330" t="s">
        <v>14</v>
      </c>
      <c r="T330" t="s">
        <v>80</v>
      </c>
      <c r="U330" t="s">
        <v>6389</v>
      </c>
      <c r="V330" t="s">
        <v>6378</v>
      </c>
      <c r="W330" t="s">
        <v>6355</v>
      </c>
      <c r="X330">
        <v>90</v>
      </c>
      <c r="Y330" t="s">
        <v>80</v>
      </c>
      <c r="Z330">
        <v>249</v>
      </c>
    </row>
    <row r="331" spans="1:26" x14ac:dyDescent="0.3">
      <c r="A331">
        <v>330</v>
      </c>
      <c r="B331" t="s">
        <v>838</v>
      </c>
      <c r="C331" t="s">
        <v>19</v>
      </c>
      <c r="D331" t="s">
        <v>54</v>
      </c>
      <c r="E331" t="s">
        <v>6348</v>
      </c>
      <c r="F331" t="s">
        <v>6378</v>
      </c>
      <c r="G331" t="s">
        <v>6384</v>
      </c>
      <c r="H331" t="s">
        <v>6381</v>
      </c>
      <c r="J331">
        <f>AVERAGE(ai_job_market[[#This Row],[min_salary]],ai_job_market[[#This Row],[max_salary]])</f>
        <v>187345.5</v>
      </c>
      <c r="K331"/>
      <c r="L331" t="s">
        <v>22</v>
      </c>
      <c r="M331" t="s">
        <v>15</v>
      </c>
      <c r="N331" t="s">
        <v>4769</v>
      </c>
      <c r="O331" t="s">
        <v>4442</v>
      </c>
      <c r="P331">
        <v>146286</v>
      </c>
      <c r="Q331">
        <v>228405</v>
      </c>
      <c r="R331" s="2">
        <v>45384</v>
      </c>
      <c r="S331" t="s">
        <v>16</v>
      </c>
      <c r="T331" t="s">
        <v>90</v>
      </c>
      <c r="W331" t="s">
        <v>6348</v>
      </c>
      <c r="X331">
        <v>78</v>
      </c>
      <c r="Y331" t="s">
        <v>90</v>
      </c>
      <c r="Z331">
        <v>259</v>
      </c>
    </row>
    <row r="332" spans="1:26" x14ac:dyDescent="0.3">
      <c r="A332">
        <v>331</v>
      </c>
      <c r="B332" t="s">
        <v>840</v>
      </c>
      <c r="C332" t="s">
        <v>72</v>
      </c>
      <c r="D332" t="s">
        <v>35</v>
      </c>
      <c r="E332" t="s">
        <v>6352</v>
      </c>
      <c r="F332" t="s">
        <v>6395</v>
      </c>
      <c r="G332" t="s">
        <v>6387</v>
      </c>
      <c r="H332" t="s">
        <v>6394</v>
      </c>
      <c r="I332" t="s">
        <v>6376</v>
      </c>
      <c r="J332">
        <f>AVERAGE(ai_job_market[[#This Row],[min_salary]],ai_job_market[[#This Row],[max_salary]])</f>
        <v>80437.5</v>
      </c>
      <c r="K332" t="s">
        <v>6379</v>
      </c>
      <c r="L332" t="s">
        <v>22</v>
      </c>
      <c r="M332" t="s">
        <v>51</v>
      </c>
      <c r="N332" t="s">
        <v>4770</v>
      </c>
      <c r="O332" t="s">
        <v>4312</v>
      </c>
      <c r="P332">
        <v>55546</v>
      </c>
      <c r="Q332">
        <v>105329</v>
      </c>
      <c r="R332" s="2">
        <v>45397</v>
      </c>
      <c r="S332" t="s">
        <v>69</v>
      </c>
      <c r="T332" t="s">
        <v>157</v>
      </c>
      <c r="U332" t="s">
        <v>6378</v>
      </c>
      <c r="V332" t="s">
        <v>6379</v>
      </c>
      <c r="W332" t="s">
        <v>6352</v>
      </c>
      <c r="X332">
        <v>97</v>
      </c>
      <c r="Y332" t="s">
        <v>157</v>
      </c>
      <c r="Z332">
        <v>247</v>
      </c>
    </row>
    <row r="333" spans="1:26" x14ac:dyDescent="0.3">
      <c r="A333">
        <v>332</v>
      </c>
      <c r="B333" t="s">
        <v>843</v>
      </c>
      <c r="C333" t="s">
        <v>40</v>
      </c>
      <c r="D333" t="s">
        <v>35</v>
      </c>
      <c r="E333" t="s">
        <v>6350</v>
      </c>
      <c r="F333" t="s">
        <v>6386</v>
      </c>
      <c r="G333" t="s">
        <v>6389</v>
      </c>
      <c r="J333">
        <f>AVERAGE(ai_job_market[[#This Row],[min_salary]],ai_job_market[[#This Row],[max_salary]])</f>
        <v>90102.5</v>
      </c>
      <c r="K333"/>
      <c r="L333" t="s">
        <v>22</v>
      </c>
      <c r="M333" t="s">
        <v>42</v>
      </c>
      <c r="N333" t="s">
        <v>4771</v>
      </c>
      <c r="O333" t="s">
        <v>4291</v>
      </c>
      <c r="P333">
        <v>84124</v>
      </c>
      <c r="Q333">
        <v>96081</v>
      </c>
      <c r="R333" s="2">
        <v>45581</v>
      </c>
      <c r="S333" t="s">
        <v>69</v>
      </c>
      <c r="T333" t="s">
        <v>70</v>
      </c>
      <c r="W333" t="s">
        <v>6350</v>
      </c>
      <c r="X333">
        <v>84</v>
      </c>
      <c r="Y333" t="s">
        <v>70</v>
      </c>
      <c r="Z333">
        <v>268</v>
      </c>
    </row>
    <row r="334" spans="1:26" x14ac:dyDescent="0.3">
      <c r="A334">
        <v>333</v>
      </c>
      <c r="B334" t="s">
        <v>845</v>
      </c>
      <c r="C334" t="s">
        <v>19</v>
      </c>
      <c r="D334" t="s">
        <v>67</v>
      </c>
      <c r="E334" t="s">
        <v>6356</v>
      </c>
      <c r="F334" t="s">
        <v>6375</v>
      </c>
      <c r="G334" t="s">
        <v>6385</v>
      </c>
      <c r="H334" t="s">
        <v>6382</v>
      </c>
      <c r="I334" t="s">
        <v>6384</v>
      </c>
      <c r="J334">
        <f>AVERAGE(ai_job_market[[#This Row],[min_salary]],ai_job_market[[#This Row],[max_salary]])</f>
        <v>146770</v>
      </c>
      <c r="K334"/>
      <c r="L334" t="s">
        <v>27</v>
      </c>
      <c r="M334" t="s">
        <v>15</v>
      </c>
      <c r="N334" t="s">
        <v>4772</v>
      </c>
      <c r="O334" t="s">
        <v>4773</v>
      </c>
      <c r="P334">
        <v>105170</v>
      </c>
      <c r="Q334">
        <v>188370</v>
      </c>
      <c r="R334" s="2">
        <v>45249</v>
      </c>
      <c r="S334" t="s">
        <v>14</v>
      </c>
      <c r="T334" t="s">
        <v>80</v>
      </c>
      <c r="U334" t="s">
        <v>6383</v>
      </c>
      <c r="W334" t="s">
        <v>6356</v>
      </c>
      <c r="X334">
        <v>86</v>
      </c>
      <c r="Y334" t="s">
        <v>80</v>
      </c>
      <c r="Z334">
        <v>249</v>
      </c>
    </row>
    <row r="335" spans="1:26" x14ac:dyDescent="0.3">
      <c r="A335">
        <v>334</v>
      </c>
      <c r="B335" t="s">
        <v>848</v>
      </c>
      <c r="C335" t="s">
        <v>11</v>
      </c>
      <c r="D335" t="s">
        <v>20</v>
      </c>
      <c r="E335" t="s">
        <v>6355</v>
      </c>
      <c r="F335" t="s">
        <v>6375</v>
      </c>
      <c r="G335" t="s">
        <v>6387</v>
      </c>
      <c r="H335" t="s">
        <v>6374</v>
      </c>
      <c r="I335" t="s">
        <v>6392</v>
      </c>
      <c r="J335" s="6">
        <f>AVERAGE(ai_job_market[[#This Row],[min_salary]],ai_job_market[[#This Row],[max_salary]])</f>
        <v>76979.5</v>
      </c>
      <c r="K335" t="s">
        <v>6390</v>
      </c>
      <c r="L335" t="s">
        <v>14</v>
      </c>
      <c r="M335" t="s">
        <v>15</v>
      </c>
      <c r="N335" t="s">
        <v>4491</v>
      </c>
      <c r="O335" t="s">
        <v>4509</v>
      </c>
      <c r="P335" s="5">
        <v>55923</v>
      </c>
      <c r="Q335" s="5">
        <v>98036</v>
      </c>
      <c r="R335" s="2">
        <v>45206</v>
      </c>
      <c r="S335" t="s">
        <v>14</v>
      </c>
      <c r="T335" t="s">
        <v>101</v>
      </c>
      <c r="W335" t="s">
        <v>6355</v>
      </c>
      <c r="X335">
        <v>90</v>
      </c>
      <c r="Y335" t="s">
        <v>101</v>
      </c>
      <c r="Z335">
        <v>255</v>
      </c>
    </row>
    <row r="336" spans="1:26" x14ac:dyDescent="0.3">
      <c r="A336">
        <v>335</v>
      </c>
      <c r="B336" t="s">
        <v>850</v>
      </c>
      <c r="C336" t="s">
        <v>40</v>
      </c>
      <c r="D336" t="s">
        <v>135</v>
      </c>
      <c r="E336" t="s">
        <v>101</v>
      </c>
      <c r="F336" t="s">
        <v>6387</v>
      </c>
      <c r="G336" t="s">
        <v>6384</v>
      </c>
      <c r="H336" t="s">
        <v>6375</v>
      </c>
      <c r="J336">
        <f>AVERAGE(ai_job_market[[#This Row],[min_salary]],ai_job_market[[#This Row],[max_salary]])</f>
        <v>142426</v>
      </c>
      <c r="K336"/>
      <c r="L336" t="s">
        <v>22</v>
      </c>
      <c r="M336" t="s">
        <v>15</v>
      </c>
      <c r="N336" t="s">
        <v>4774</v>
      </c>
      <c r="O336" t="s">
        <v>4427</v>
      </c>
      <c r="P336">
        <v>120230</v>
      </c>
      <c r="Q336">
        <v>164622</v>
      </c>
      <c r="R336" s="2">
        <v>45693</v>
      </c>
      <c r="S336" t="s">
        <v>14</v>
      </c>
      <c r="T336" t="s">
        <v>52</v>
      </c>
      <c r="U336" t="s">
        <v>6379</v>
      </c>
      <c r="V336" t="s">
        <v>6389</v>
      </c>
      <c r="W336" t="s">
        <v>101</v>
      </c>
      <c r="X336">
        <v>76</v>
      </c>
      <c r="Y336" t="s">
        <v>52</v>
      </c>
      <c r="Z336">
        <v>238</v>
      </c>
    </row>
    <row r="337" spans="1:26" x14ac:dyDescent="0.3">
      <c r="A337">
        <v>336</v>
      </c>
      <c r="B337" t="s">
        <v>853</v>
      </c>
      <c r="C337" t="s">
        <v>49</v>
      </c>
      <c r="D337" t="s">
        <v>12</v>
      </c>
      <c r="E337" t="s">
        <v>90</v>
      </c>
      <c r="F337" t="s">
        <v>6390</v>
      </c>
      <c r="G337" t="s">
        <v>6385</v>
      </c>
      <c r="H337" t="s">
        <v>6377</v>
      </c>
      <c r="I337" t="s">
        <v>6394</v>
      </c>
      <c r="J337">
        <f>AVERAGE(ai_job_market[[#This Row],[min_salary]],ai_job_market[[#This Row],[max_salary]])</f>
        <v>150564</v>
      </c>
      <c r="K337"/>
      <c r="L337" t="s">
        <v>14</v>
      </c>
      <c r="M337" t="s">
        <v>51</v>
      </c>
      <c r="N337" t="s">
        <v>4775</v>
      </c>
      <c r="O337" t="s">
        <v>4521</v>
      </c>
      <c r="P337">
        <v>126208</v>
      </c>
      <c r="Q337">
        <v>174920</v>
      </c>
      <c r="R337" s="2">
        <v>45830</v>
      </c>
      <c r="S337" t="s">
        <v>16</v>
      </c>
      <c r="T337" t="s">
        <v>52</v>
      </c>
      <c r="U337" t="s">
        <v>6384</v>
      </c>
      <c r="W337" t="s">
        <v>90</v>
      </c>
      <c r="X337">
        <v>80</v>
      </c>
      <c r="Y337" t="s">
        <v>52</v>
      </c>
      <c r="Z337">
        <v>238</v>
      </c>
    </row>
    <row r="338" spans="1:26" x14ac:dyDescent="0.3">
      <c r="A338">
        <v>337</v>
      </c>
      <c r="B338" t="s">
        <v>855</v>
      </c>
      <c r="C338" t="s">
        <v>49</v>
      </c>
      <c r="D338" t="s">
        <v>25</v>
      </c>
      <c r="E338" t="s">
        <v>6346</v>
      </c>
      <c r="F338" t="s">
        <v>6395</v>
      </c>
      <c r="G338" t="s">
        <v>6397</v>
      </c>
      <c r="H338" t="s">
        <v>6391</v>
      </c>
      <c r="I338" t="s">
        <v>6393</v>
      </c>
      <c r="J338" s="6">
        <f>AVERAGE(ai_job_market[[#This Row],[min_salary]],ai_job_market[[#This Row],[max_salary]])</f>
        <v>165633</v>
      </c>
      <c r="K338" t="s">
        <v>6380</v>
      </c>
      <c r="L338" t="s">
        <v>22</v>
      </c>
      <c r="M338" t="s">
        <v>42</v>
      </c>
      <c r="N338" t="s">
        <v>4776</v>
      </c>
      <c r="O338" t="s">
        <v>4293</v>
      </c>
      <c r="P338" s="5">
        <v>123659</v>
      </c>
      <c r="Q338" s="5">
        <v>207607</v>
      </c>
      <c r="R338" s="2">
        <v>45563</v>
      </c>
      <c r="S338" t="s">
        <v>69</v>
      </c>
      <c r="T338" t="s">
        <v>70</v>
      </c>
      <c r="U338" t="s">
        <v>6376</v>
      </c>
      <c r="W338" t="s">
        <v>6346</v>
      </c>
      <c r="X338">
        <v>78</v>
      </c>
      <c r="Y338" t="s">
        <v>70</v>
      </c>
      <c r="Z338">
        <v>268</v>
      </c>
    </row>
    <row r="339" spans="1:26" x14ac:dyDescent="0.3">
      <c r="A339">
        <v>338</v>
      </c>
      <c r="B339" t="s">
        <v>857</v>
      </c>
      <c r="C339" t="s">
        <v>19</v>
      </c>
      <c r="D339" t="s">
        <v>35</v>
      </c>
      <c r="E339" t="s">
        <v>6350</v>
      </c>
      <c r="F339" t="s">
        <v>6396</v>
      </c>
      <c r="G339" t="s">
        <v>6389</v>
      </c>
      <c r="H339" t="s">
        <v>6382</v>
      </c>
      <c r="I339" t="s">
        <v>6387</v>
      </c>
      <c r="J339">
        <f>AVERAGE(ai_job_market[[#This Row],[min_salary]],ai_job_market[[#This Row],[max_salary]])</f>
        <v>116551.5</v>
      </c>
      <c r="K339" t="s">
        <v>6394</v>
      </c>
      <c r="L339" t="s">
        <v>14</v>
      </c>
      <c r="M339" t="s">
        <v>37</v>
      </c>
      <c r="N339" t="s">
        <v>4777</v>
      </c>
      <c r="O339" t="s">
        <v>4476</v>
      </c>
      <c r="P339">
        <v>78431</v>
      </c>
      <c r="Q339">
        <v>154672</v>
      </c>
      <c r="R339" s="2">
        <v>45769</v>
      </c>
      <c r="S339" t="s">
        <v>16</v>
      </c>
      <c r="T339" t="s">
        <v>128</v>
      </c>
      <c r="U339" t="s">
        <v>6388</v>
      </c>
      <c r="W339" t="s">
        <v>6350</v>
      </c>
      <c r="X339">
        <v>84</v>
      </c>
      <c r="Y339" t="s">
        <v>128</v>
      </c>
      <c r="Z339">
        <v>233</v>
      </c>
    </row>
    <row r="340" spans="1:26" x14ac:dyDescent="0.3">
      <c r="A340">
        <v>339</v>
      </c>
      <c r="B340" t="s">
        <v>859</v>
      </c>
      <c r="C340" t="s">
        <v>40</v>
      </c>
      <c r="D340" t="s">
        <v>20</v>
      </c>
      <c r="E340" t="s">
        <v>6349</v>
      </c>
      <c r="F340" t="s">
        <v>6378</v>
      </c>
      <c r="G340" t="s">
        <v>6395</v>
      </c>
      <c r="H340" t="s">
        <v>6389</v>
      </c>
      <c r="J340">
        <f>AVERAGE(ai_job_market[[#This Row],[min_salary]],ai_job_market[[#This Row],[max_salary]])</f>
        <v>100045.5</v>
      </c>
      <c r="K340"/>
      <c r="L340" t="s">
        <v>14</v>
      </c>
      <c r="M340" t="s">
        <v>37</v>
      </c>
      <c r="N340" t="s">
        <v>4472</v>
      </c>
      <c r="O340" t="s">
        <v>4773</v>
      </c>
      <c r="P340">
        <v>60552</v>
      </c>
      <c r="Q340">
        <v>139539</v>
      </c>
      <c r="R340" s="2">
        <v>45726</v>
      </c>
      <c r="S340" t="s">
        <v>16</v>
      </c>
      <c r="T340" t="s">
        <v>90</v>
      </c>
      <c r="U340" t="s">
        <v>6379</v>
      </c>
      <c r="W340" t="s">
        <v>6349</v>
      </c>
      <c r="X340">
        <v>96</v>
      </c>
      <c r="Y340" t="s">
        <v>90</v>
      </c>
      <c r="Z340">
        <v>259</v>
      </c>
    </row>
    <row r="341" spans="1:26" x14ac:dyDescent="0.3">
      <c r="A341">
        <v>340</v>
      </c>
      <c r="B341" t="s">
        <v>861</v>
      </c>
      <c r="C341" t="s">
        <v>11</v>
      </c>
      <c r="D341" t="s">
        <v>35</v>
      </c>
      <c r="E341" t="s">
        <v>6345</v>
      </c>
      <c r="F341" t="s">
        <v>6375</v>
      </c>
      <c r="G341" t="s">
        <v>6387</v>
      </c>
      <c r="H341" t="s">
        <v>6395</v>
      </c>
      <c r="I341" t="s">
        <v>6392</v>
      </c>
      <c r="J341">
        <f>AVERAGE(ai_job_market[[#This Row],[min_salary]],ai_job_market[[#This Row],[max_salary]])</f>
        <v>170571.5</v>
      </c>
      <c r="K341" t="s">
        <v>6382</v>
      </c>
      <c r="L341" t="s">
        <v>22</v>
      </c>
      <c r="M341" t="s">
        <v>51</v>
      </c>
      <c r="N341" t="s">
        <v>4778</v>
      </c>
      <c r="O341" t="s">
        <v>4329</v>
      </c>
      <c r="P341">
        <v>131559</v>
      </c>
      <c r="Q341">
        <v>209584</v>
      </c>
      <c r="R341" s="2">
        <v>45620</v>
      </c>
      <c r="S341" t="s">
        <v>69</v>
      </c>
      <c r="T341" t="s">
        <v>80</v>
      </c>
      <c r="W341" t="s">
        <v>6345</v>
      </c>
      <c r="X341">
        <v>101</v>
      </c>
      <c r="Y341" t="s">
        <v>80</v>
      </c>
      <c r="Z341">
        <v>249</v>
      </c>
    </row>
    <row r="342" spans="1:26" x14ac:dyDescent="0.3">
      <c r="A342">
        <v>341</v>
      </c>
      <c r="B342" t="s">
        <v>863</v>
      </c>
      <c r="C342" t="s">
        <v>19</v>
      </c>
      <c r="D342" t="s">
        <v>20</v>
      </c>
      <c r="E342" t="s">
        <v>6358</v>
      </c>
      <c r="F342" t="s">
        <v>6387</v>
      </c>
      <c r="G342" t="s">
        <v>6376</v>
      </c>
      <c r="J342">
        <f>AVERAGE(ai_job_market[[#This Row],[min_salary]],ai_job_market[[#This Row],[max_salary]])</f>
        <v>158679</v>
      </c>
      <c r="K342"/>
      <c r="L342" t="s">
        <v>14</v>
      </c>
      <c r="M342" t="s">
        <v>51</v>
      </c>
      <c r="N342" t="s">
        <v>4779</v>
      </c>
      <c r="O342" t="s">
        <v>4780</v>
      </c>
      <c r="P342">
        <v>122855</v>
      </c>
      <c r="Q342">
        <v>194503</v>
      </c>
      <c r="R342" s="2">
        <v>45645</v>
      </c>
      <c r="S342" t="s">
        <v>16</v>
      </c>
      <c r="T342" t="s">
        <v>80</v>
      </c>
      <c r="U342" t="s">
        <v>6389</v>
      </c>
      <c r="V342" t="s">
        <v>6376</v>
      </c>
      <c r="W342" t="s">
        <v>6358</v>
      </c>
      <c r="X342">
        <v>96</v>
      </c>
      <c r="Y342" t="s">
        <v>80</v>
      </c>
      <c r="Z342">
        <v>249</v>
      </c>
    </row>
    <row r="343" spans="1:26" x14ac:dyDescent="0.3">
      <c r="A343">
        <v>342</v>
      </c>
      <c r="B343" t="s">
        <v>866</v>
      </c>
      <c r="C343" t="s">
        <v>11</v>
      </c>
      <c r="D343" t="s">
        <v>54</v>
      </c>
      <c r="E343" t="s">
        <v>6345</v>
      </c>
      <c r="F343" t="s">
        <v>6375</v>
      </c>
      <c r="G343" t="s">
        <v>6379</v>
      </c>
      <c r="H343" t="s">
        <v>6392</v>
      </c>
      <c r="I343" t="s">
        <v>6377</v>
      </c>
      <c r="J343">
        <f>AVERAGE(ai_job_market[[#This Row],[min_salary]],ai_job_market[[#This Row],[max_salary]])</f>
        <v>88776</v>
      </c>
      <c r="K343"/>
      <c r="L343" t="s">
        <v>27</v>
      </c>
      <c r="M343" t="s">
        <v>15</v>
      </c>
      <c r="N343" t="s">
        <v>4781</v>
      </c>
      <c r="O343" t="s">
        <v>4628</v>
      </c>
      <c r="P343">
        <v>58087</v>
      </c>
      <c r="Q343">
        <v>119465</v>
      </c>
      <c r="R343" s="2">
        <v>45547</v>
      </c>
      <c r="S343" t="s">
        <v>14</v>
      </c>
      <c r="T343" t="s">
        <v>157</v>
      </c>
      <c r="W343" t="s">
        <v>6345</v>
      </c>
      <c r="X343">
        <v>101</v>
      </c>
      <c r="Y343" t="s">
        <v>157</v>
      </c>
      <c r="Z343">
        <v>247</v>
      </c>
    </row>
    <row r="344" spans="1:26" x14ac:dyDescent="0.3">
      <c r="A344">
        <v>343</v>
      </c>
      <c r="B344" t="s">
        <v>868</v>
      </c>
      <c r="C344" t="s">
        <v>19</v>
      </c>
      <c r="D344" t="s">
        <v>30</v>
      </c>
      <c r="E344" t="s">
        <v>6358</v>
      </c>
      <c r="F344" t="s">
        <v>6376</v>
      </c>
      <c r="G344" t="s">
        <v>6387</v>
      </c>
      <c r="H344" t="s">
        <v>6382</v>
      </c>
      <c r="J344">
        <f>AVERAGE(ai_job_market[[#This Row],[min_salary]],ai_job_market[[#This Row],[max_salary]])</f>
        <v>88446.5</v>
      </c>
      <c r="K344"/>
      <c r="L344" t="s">
        <v>27</v>
      </c>
      <c r="M344" t="s">
        <v>42</v>
      </c>
      <c r="N344" t="s">
        <v>4782</v>
      </c>
      <c r="O344" t="s">
        <v>4783</v>
      </c>
      <c r="P344">
        <v>60085</v>
      </c>
      <c r="Q344">
        <v>116808</v>
      </c>
      <c r="R344" s="2">
        <v>45535</v>
      </c>
      <c r="S344" t="s">
        <v>69</v>
      </c>
      <c r="T344" t="s">
        <v>77</v>
      </c>
      <c r="W344" t="s">
        <v>6358</v>
      </c>
      <c r="X344">
        <v>96</v>
      </c>
      <c r="Y344" t="s">
        <v>77</v>
      </c>
      <c r="Z344">
        <v>251</v>
      </c>
    </row>
    <row r="345" spans="1:26" x14ac:dyDescent="0.3">
      <c r="A345">
        <v>344</v>
      </c>
      <c r="B345" t="s">
        <v>870</v>
      </c>
      <c r="C345" t="s">
        <v>49</v>
      </c>
      <c r="D345" t="s">
        <v>20</v>
      </c>
      <c r="E345" t="s">
        <v>6359</v>
      </c>
      <c r="F345" t="s">
        <v>6397</v>
      </c>
      <c r="G345" t="s">
        <v>6394</v>
      </c>
      <c r="H345" t="s">
        <v>6379</v>
      </c>
      <c r="J345">
        <f>AVERAGE(ai_job_market[[#This Row],[min_salary]],ai_job_market[[#This Row],[max_salary]])</f>
        <v>155805.5</v>
      </c>
      <c r="K345"/>
      <c r="L345" t="s">
        <v>27</v>
      </c>
      <c r="M345" t="s">
        <v>51</v>
      </c>
      <c r="N345" t="s">
        <v>4784</v>
      </c>
      <c r="O345" t="s">
        <v>4377</v>
      </c>
      <c r="P345">
        <v>146409</v>
      </c>
      <c r="Q345">
        <v>165202</v>
      </c>
      <c r="R345" s="2">
        <v>45690</v>
      </c>
      <c r="S345" t="s">
        <v>16</v>
      </c>
      <c r="T345" t="s">
        <v>80</v>
      </c>
      <c r="W345" t="s">
        <v>6359</v>
      </c>
      <c r="X345">
        <v>104</v>
      </c>
      <c r="Y345" t="s">
        <v>80</v>
      </c>
      <c r="Z345">
        <v>249</v>
      </c>
    </row>
    <row r="346" spans="1:26" x14ac:dyDescent="0.3">
      <c r="A346">
        <v>345</v>
      </c>
      <c r="B346" t="s">
        <v>872</v>
      </c>
      <c r="C346" t="s">
        <v>40</v>
      </c>
      <c r="D346" t="s">
        <v>12</v>
      </c>
      <c r="E346" t="s">
        <v>80</v>
      </c>
      <c r="F346" t="s">
        <v>6390</v>
      </c>
      <c r="G346" t="s">
        <v>6375</v>
      </c>
      <c r="H346" t="s">
        <v>6374</v>
      </c>
      <c r="J346">
        <f>AVERAGE(ai_job_market[[#This Row],[min_salary]],ai_job_market[[#This Row],[max_salary]])</f>
        <v>129663.5</v>
      </c>
      <c r="K346"/>
      <c r="L346" t="s">
        <v>22</v>
      </c>
      <c r="M346" t="s">
        <v>51</v>
      </c>
      <c r="N346" t="s">
        <v>4600</v>
      </c>
      <c r="O346" t="s">
        <v>4619</v>
      </c>
      <c r="P346">
        <v>120234</v>
      </c>
      <c r="Q346">
        <v>139093</v>
      </c>
      <c r="R346" s="2">
        <v>45452</v>
      </c>
      <c r="S346" t="s">
        <v>69</v>
      </c>
      <c r="T346" t="s">
        <v>128</v>
      </c>
      <c r="U346" t="s">
        <v>6376</v>
      </c>
      <c r="W346" t="s">
        <v>80</v>
      </c>
      <c r="X346">
        <v>95</v>
      </c>
      <c r="Y346" t="s">
        <v>128</v>
      </c>
      <c r="Z346">
        <v>233</v>
      </c>
    </row>
    <row r="347" spans="1:26" x14ac:dyDescent="0.3">
      <c r="A347">
        <v>346</v>
      </c>
      <c r="B347" t="s">
        <v>874</v>
      </c>
      <c r="C347" t="s">
        <v>49</v>
      </c>
      <c r="D347" t="s">
        <v>135</v>
      </c>
      <c r="E347" t="s">
        <v>6344</v>
      </c>
      <c r="F347" t="s">
        <v>6377</v>
      </c>
      <c r="G347" t="s">
        <v>6386</v>
      </c>
      <c r="H347" t="s">
        <v>6397</v>
      </c>
      <c r="I347" t="s">
        <v>6390</v>
      </c>
      <c r="J347">
        <f>AVERAGE(ai_job_market[[#This Row],[min_salary]],ai_job_market[[#This Row],[max_salary]])</f>
        <v>150750.5</v>
      </c>
      <c r="K347"/>
      <c r="L347" t="s">
        <v>22</v>
      </c>
      <c r="M347" t="s">
        <v>37</v>
      </c>
      <c r="N347" t="s">
        <v>4785</v>
      </c>
      <c r="O347" t="s">
        <v>4786</v>
      </c>
      <c r="P347">
        <v>104105</v>
      </c>
      <c r="Q347">
        <v>197396</v>
      </c>
      <c r="R347" s="2">
        <v>45584</v>
      </c>
      <c r="S347" t="s">
        <v>69</v>
      </c>
      <c r="T347" t="s">
        <v>101</v>
      </c>
      <c r="U347" t="s">
        <v>6384</v>
      </c>
      <c r="V347" t="s">
        <v>6383</v>
      </c>
      <c r="W347" t="s">
        <v>6344</v>
      </c>
      <c r="X347">
        <v>104</v>
      </c>
      <c r="Y347" t="s">
        <v>101</v>
      </c>
      <c r="Z347">
        <v>255</v>
      </c>
    </row>
    <row r="348" spans="1:26" x14ac:dyDescent="0.3">
      <c r="A348">
        <v>347</v>
      </c>
      <c r="B348" t="s">
        <v>877</v>
      </c>
      <c r="C348" t="s">
        <v>34</v>
      </c>
      <c r="D348" t="s">
        <v>67</v>
      </c>
      <c r="E348" t="s">
        <v>90</v>
      </c>
      <c r="F348" t="s">
        <v>6395</v>
      </c>
      <c r="G348" t="s">
        <v>6390</v>
      </c>
      <c r="J348">
        <f>AVERAGE(ai_job_market[[#This Row],[min_salary]],ai_job_market[[#This Row],[max_salary]])</f>
        <v>163185.5</v>
      </c>
      <c r="K348"/>
      <c r="L348" t="s">
        <v>27</v>
      </c>
      <c r="M348" t="s">
        <v>15</v>
      </c>
      <c r="N348" t="s">
        <v>4787</v>
      </c>
      <c r="O348" t="s">
        <v>4339</v>
      </c>
      <c r="P348">
        <v>148487</v>
      </c>
      <c r="Q348">
        <v>177884</v>
      </c>
      <c r="R348" s="2">
        <v>45248</v>
      </c>
      <c r="S348" t="s">
        <v>16</v>
      </c>
      <c r="T348" t="s">
        <v>128</v>
      </c>
      <c r="U348" t="s">
        <v>6384</v>
      </c>
      <c r="V348" t="s">
        <v>6389</v>
      </c>
      <c r="W348" t="s">
        <v>90</v>
      </c>
      <c r="X348">
        <v>80</v>
      </c>
      <c r="Y348" t="s">
        <v>128</v>
      </c>
      <c r="Z348">
        <v>233</v>
      </c>
    </row>
    <row r="349" spans="1:26" x14ac:dyDescent="0.3">
      <c r="A349">
        <v>348</v>
      </c>
      <c r="B349" t="s">
        <v>879</v>
      </c>
      <c r="C349" t="s">
        <v>45</v>
      </c>
      <c r="D349" t="s">
        <v>25</v>
      </c>
      <c r="E349" t="s">
        <v>80</v>
      </c>
      <c r="F349" t="s">
        <v>6395</v>
      </c>
      <c r="G349" t="s">
        <v>6397</v>
      </c>
      <c r="H349" t="s">
        <v>6390</v>
      </c>
      <c r="I349" t="s">
        <v>6386</v>
      </c>
      <c r="J349">
        <f>AVERAGE(ai_job_market[[#This Row],[min_salary]],ai_job_market[[#This Row],[max_salary]])</f>
        <v>90614</v>
      </c>
      <c r="K349"/>
      <c r="L349" t="s">
        <v>22</v>
      </c>
      <c r="M349" t="s">
        <v>51</v>
      </c>
      <c r="N349" t="s">
        <v>4788</v>
      </c>
      <c r="O349" t="s">
        <v>4357</v>
      </c>
      <c r="P349">
        <v>80455</v>
      </c>
      <c r="Q349">
        <v>100773</v>
      </c>
      <c r="R349" s="2">
        <v>45260</v>
      </c>
      <c r="S349" t="s">
        <v>16</v>
      </c>
      <c r="T349" t="s">
        <v>101</v>
      </c>
      <c r="W349" t="s">
        <v>80</v>
      </c>
      <c r="X349">
        <v>95</v>
      </c>
      <c r="Y349" t="s">
        <v>101</v>
      </c>
      <c r="Z349">
        <v>255</v>
      </c>
    </row>
    <row r="350" spans="1:26" x14ac:dyDescent="0.3">
      <c r="A350">
        <v>349</v>
      </c>
      <c r="B350" t="s">
        <v>881</v>
      </c>
      <c r="C350" t="s">
        <v>45</v>
      </c>
      <c r="D350" t="s">
        <v>67</v>
      </c>
      <c r="E350" t="s">
        <v>6357</v>
      </c>
      <c r="F350" t="s">
        <v>6389</v>
      </c>
      <c r="G350" t="s">
        <v>6395</v>
      </c>
      <c r="H350" t="s">
        <v>6378</v>
      </c>
      <c r="I350" t="s">
        <v>6394</v>
      </c>
      <c r="J350">
        <f>AVERAGE(ai_job_market[[#This Row],[min_salary]],ai_job_market[[#This Row],[max_salary]])</f>
        <v>148805</v>
      </c>
      <c r="K350"/>
      <c r="L350" t="s">
        <v>22</v>
      </c>
      <c r="M350" t="s">
        <v>15</v>
      </c>
      <c r="N350" t="s">
        <v>4789</v>
      </c>
      <c r="O350" t="s">
        <v>4369</v>
      </c>
      <c r="P350">
        <v>115657</v>
      </c>
      <c r="Q350">
        <v>181953</v>
      </c>
      <c r="R350" s="2">
        <v>45578</v>
      </c>
      <c r="S350" t="s">
        <v>69</v>
      </c>
      <c r="T350" t="s">
        <v>77</v>
      </c>
      <c r="U350" t="s">
        <v>6388</v>
      </c>
      <c r="V350" t="s">
        <v>6389</v>
      </c>
      <c r="W350" t="s">
        <v>6357</v>
      </c>
      <c r="X350">
        <v>88</v>
      </c>
      <c r="Y350" t="s">
        <v>77</v>
      </c>
      <c r="Z350">
        <v>251</v>
      </c>
    </row>
    <row r="351" spans="1:26" x14ac:dyDescent="0.3">
      <c r="A351">
        <v>350</v>
      </c>
      <c r="B351" t="s">
        <v>884</v>
      </c>
      <c r="C351" t="s">
        <v>19</v>
      </c>
      <c r="D351" t="s">
        <v>30</v>
      </c>
      <c r="E351" t="s">
        <v>77</v>
      </c>
      <c r="F351" t="s">
        <v>6394</v>
      </c>
      <c r="G351" t="s">
        <v>6385</v>
      </c>
      <c r="H351" t="s">
        <v>6389</v>
      </c>
      <c r="I351" t="s">
        <v>6377</v>
      </c>
      <c r="J351">
        <f>AVERAGE(ai_job_market[[#This Row],[min_salary]],ai_job_market[[#This Row],[max_salary]])</f>
        <v>120936.5</v>
      </c>
      <c r="K351"/>
      <c r="L351" t="s">
        <v>22</v>
      </c>
      <c r="M351" t="s">
        <v>37</v>
      </c>
      <c r="N351" t="s">
        <v>4790</v>
      </c>
      <c r="O351" t="s">
        <v>4791</v>
      </c>
      <c r="P351">
        <v>97381</v>
      </c>
      <c r="Q351">
        <v>144492</v>
      </c>
      <c r="R351" s="2">
        <v>45307</v>
      </c>
      <c r="S351" t="s">
        <v>16</v>
      </c>
      <c r="T351" t="s">
        <v>101</v>
      </c>
      <c r="U351" t="s">
        <v>6389</v>
      </c>
      <c r="W351" t="s">
        <v>77</v>
      </c>
      <c r="X351">
        <v>111</v>
      </c>
      <c r="Y351" t="s">
        <v>101</v>
      </c>
      <c r="Z351">
        <v>255</v>
      </c>
    </row>
    <row r="352" spans="1:26" x14ac:dyDescent="0.3">
      <c r="A352">
        <v>351</v>
      </c>
      <c r="B352" t="s">
        <v>886</v>
      </c>
      <c r="C352" t="s">
        <v>72</v>
      </c>
      <c r="D352" t="s">
        <v>135</v>
      </c>
      <c r="E352" t="s">
        <v>6357</v>
      </c>
      <c r="F352" t="s">
        <v>6382</v>
      </c>
      <c r="G352" t="s">
        <v>6395</v>
      </c>
      <c r="H352" t="s">
        <v>6378</v>
      </c>
      <c r="J352">
        <f>AVERAGE(ai_job_market[[#This Row],[min_salary]],ai_job_market[[#This Row],[max_salary]])</f>
        <v>94761.5</v>
      </c>
      <c r="K352"/>
      <c r="L352" t="s">
        <v>27</v>
      </c>
      <c r="M352" t="s">
        <v>51</v>
      </c>
      <c r="N352" t="s">
        <v>4792</v>
      </c>
      <c r="O352" t="s">
        <v>4601</v>
      </c>
      <c r="P352">
        <v>55751</v>
      </c>
      <c r="Q352">
        <v>133772</v>
      </c>
      <c r="R352" s="2">
        <v>45285</v>
      </c>
      <c r="S352" t="s">
        <v>69</v>
      </c>
      <c r="T352" t="s">
        <v>90</v>
      </c>
      <c r="W352" t="s">
        <v>6357</v>
      </c>
      <c r="X352">
        <v>88</v>
      </c>
      <c r="Y352" t="s">
        <v>90</v>
      </c>
      <c r="Z352">
        <v>259</v>
      </c>
    </row>
    <row r="353" spans="1:26" x14ac:dyDescent="0.3">
      <c r="A353">
        <v>352</v>
      </c>
      <c r="B353" t="s">
        <v>888</v>
      </c>
      <c r="C353" t="s">
        <v>72</v>
      </c>
      <c r="D353" t="s">
        <v>20</v>
      </c>
      <c r="E353" t="s">
        <v>77</v>
      </c>
      <c r="F353" t="s">
        <v>6395</v>
      </c>
      <c r="G353" t="s">
        <v>6391</v>
      </c>
      <c r="H353" t="s">
        <v>6397</v>
      </c>
      <c r="J353">
        <f>AVERAGE(ai_job_market[[#This Row],[min_salary]],ai_job_market[[#This Row],[max_salary]])</f>
        <v>139482</v>
      </c>
      <c r="K353"/>
      <c r="L353" t="s">
        <v>27</v>
      </c>
      <c r="M353" t="s">
        <v>51</v>
      </c>
      <c r="N353" t="s">
        <v>4286</v>
      </c>
      <c r="O353" t="s">
        <v>4323</v>
      </c>
      <c r="P353">
        <v>90552</v>
      </c>
      <c r="Q353">
        <v>188412</v>
      </c>
      <c r="R353" s="2">
        <v>45861</v>
      </c>
      <c r="S353" t="s">
        <v>14</v>
      </c>
      <c r="T353" t="s">
        <v>70</v>
      </c>
      <c r="U353" t="s">
        <v>6383</v>
      </c>
      <c r="W353" t="s">
        <v>77</v>
      </c>
      <c r="X353">
        <v>111</v>
      </c>
      <c r="Y353" t="s">
        <v>70</v>
      </c>
      <c r="Z353">
        <v>268</v>
      </c>
    </row>
    <row r="354" spans="1:26" x14ac:dyDescent="0.3">
      <c r="A354">
        <v>353</v>
      </c>
      <c r="B354" t="s">
        <v>890</v>
      </c>
      <c r="C354" t="s">
        <v>49</v>
      </c>
      <c r="D354" t="s">
        <v>54</v>
      </c>
      <c r="E354" t="s">
        <v>6347</v>
      </c>
      <c r="F354" t="s">
        <v>6375</v>
      </c>
      <c r="G354" t="s">
        <v>6396</v>
      </c>
      <c r="J354" s="6">
        <f>AVERAGE(ai_job_market[[#This Row],[min_salary]],ai_job_market[[#This Row],[max_salary]])</f>
        <v>98936</v>
      </c>
      <c r="K354"/>
      <c r="L354" t="s">
        <v>27</v>
      </c>
      <c r="M354" t="s">
        <v>37</v>
      </c>
      <c r="N354" t="s">
        <v>4793</v>
      </c>
      <c r="O354" t="s">
        <v>4794</v>
      </c>
      <c r="P354" s="5">
        <v>69230</v>
      </c>
      <c r="Q354" s="5">
        <v>128642</v>
      </c>
      <c r="R354" s="2">
        <v>45293</v>
      </c>
      <c r="S354" t="s">
        <v>16</v>
      </c>
      <c r="T354" t="s">
        <v>70</v>
      </c>
      <c r="U354" t="s">
        <v>6388</v>
      </c>
      <c r="V354" t="s">
        <v>6378</v>
      </c>
      <c r="W354" t="s">
        <v>6347</v>
      </c>
      <c r="X354">
        <v>94</v>
      </c>
      <c r="Y354" t="s">
        <v>70</v>
      </c>
      <c r="Z354">
        <v>268</v>
      </c>
    </row>
    <row r="355" spans="1:26" x14ac:dyDescent="0.3">
      <c r="A355">
        <v>354</v>
      </c>
      <c r="B355" t="s">
        <v>893</v>
      </c>
      <c r="C355" t="s">
        <v>45</v>
      </c>
      <c r="D355" t="s">
        <v>12</v>
      </c>
      <c r="E355" t="s">
        <v>70</v>
      </c>
      <c r="F355" t="s">
        <v>6377</v>
      </c>
      <c r="G355" t="s">
        <v>6387</v>
      </c>
      <c r="H355" t="s">
        <v>6389</v>
      </c>
      <c r="I355" t="s">
        <v>6376</v>
      </c>
      <c r="J355">
        <f>AVERAGE(ai_job_market[[#This Row],[min_salary]],ai_job_market[[#This Row],[max_salary]])</f>
        <v>110496</v>
      </c>
      <c r="K355"/>
      <c r="L355" t="s">
        <v>27</v>
      </c>
      <c r="M355" t="s">
        <v>37</v>
      </c>
      <c r="N355" t="s">
        <v>4795</v>
      </c>
      <c r="O355" t="s">
        <v>4670</v>
      </c>
      <c r="P355">
        <v>71489</v>
      </c>
      <c r="Q355">
        <v>149503</v>
      </c>
      <c r="R355" s="2">
        <v>45769</v>
      </c>
      <c r="S355" t="s">
        <v>14</v>
      </c>
      <c r="T355" t="s">
        <v>157</v>
      </c>
      <c r="U355" t="s">
        <v>6375</v>
      </c>
      <c r="W355" t="s">
        <v>70</v>
      </c>
      <c r="X355">
        <v>100</v>
      </c>
      <c r="Y355" t="s">
        <v>157</v>
      </c>
      <c r="Z355">
        <v>247</v>
      </c>
    </row>
    <row r="356" spans="1:26" x14ac:dyDescent="0.3">
      <c r="A356">
        <v>355</v>
      </c>
      <c r="B356" t="s">
        <v>895</v>
      </c>
      <c r="C356" t="s">
        <v>40</v>
      </c>
      <c r="D356" t="s">
        <v>25</v>
      </c>
      <c r="E356" t="s">
        <v>6350</v>
      </c>
      <c r="F356" t="s">
        <v>6379</v>
      </c>
      <c r="G356" t="s">
        <v>6395</v>
      </c>
      <c r="H356" t="s">
        <v>6382</v>
      </c>
      <c r="I356" t="s">
        <v>6380</v>
      </c>
      <c r="J356">
        <f>AVERAGE(ai_job_market[[#This Row],[min_salary]],ai_job_market[[#This Row],[max_salary]])</f>
        <v>66503</v>
      </c>
      <c r="K356" t="s">
        <v>6384</v>
      </c>
      <c r="L356" t="s">
        <v>22</v>
      </c>
      <c r="M356" t="s">
        <v>42</v>
      </c>
      <c r="N356" t="s">
        <v>4796</v>
      </c>
      <c r="O356" t="s">
        <v>4797</v>
      </c>
      <c r="P356">
        <v>57739</v>
      </c>
      <c r="Q356">
        <v>75267</v>
      </c>
      <c r="R356" s="2">
        <v>45799</v>
      </c>
      <c r="S356" t="s">
        <v>69</v>
      </c>
      <c r="T356" t="s">
        <v>77</v>
      </c>
      <c r="W356" t="s">
        <v>6350</v>
      </c>
      <c r="X356">
        <v>84</v>
      </c>
      <c r="Y356" t="s">
        <v>77</v>
      </c>
      <c r="Z356">
        <v>251</v>
      </c>
    </row>
    <row r="357" spans="1:26" x14ac:dyDescent="0.3">
      <c r="A357">
        <v>356</v>
      </c>
      <c r="B357" t="s">
        <v>897</v>
      </c>
      <c r="C357" t="s">
        <v>49</v>
      </c>
      <c r="D357" t="s">
        <v>25</v>
      </c>
      <c r="E357" t="s">
        <v>6345</v>
      </c>
      <c r="F357" t="s">
        <v>6395</v>
      </c>
      <c r="G357" t="s">
        <v>6374</v>
      </c>
      <c r="H357" t="s">
        <v>6381</v>
      </c>
      <c r="I357" t="s">
        <v>6394</v>
      </c>
      <c r="J357" s="6">
        <f>AVERAGE(ai_job_market[[#This Row],[min_salary]],ai_job_market[[#This Row],[max_salary]])</f>
        <v>189067</v>
      </c>
      <c r="K357"/>
      <c r="L357" t="s">
        <v>22</v>
      </c>
      <c r="M357" t="s">
        <v>51</v>
      </c>
      <c r="N357" t="s">
        <v>4798</v>
      </c>
      <c r="O357" t="s">
        <v>4587</v>
      </c>
      <c r="P357" s="5">
        <v>149192</v>
      </c>
      <c r="Q357" s="5">
        <v>228942</v>
      </c>
      <c r="R357" s="2">
        <v>45912</v>
      </c>
      <c r="S357" t="s">
        <v>16</v>
      </c>
      <c r="T357" t="s">
        <v>128</v>
      </c>
      <c r="U357" t="s">
        <v>6384</v>
      </c>
      <c r="V357" t="s">
        <v>6389</v>
      </c>
      <c r="W357" t="s">
        <v>6345</v>
      </c>
      <c r="X357">
        <v>101</v>
      </c>
      <c r="Y357" t="s">
        <v>128</v>
      </c>
      <c r="Z357">
        <v>233</v>
      </c>
    </row>
    <row r="358" spans="1:26" x14ac:dyDescent="0.3">
      <c r="A358">
        <v>357</v>
      </c>
      <c r="B358" t="s">
        <v>899</v>
      </c>
      <c r="C358" t="s">
        <v>40</v>
      </c>
      <c r="D358" t="s">
        <v>54</v>
      </c>
      <c r="E358" t="s">
        <v>6356</v>
      </c>
      <c r="F358" t="s">
        <v>6378</v>
      </c>
      <c r="G358" t="s">
        <v>6380</v>
      </c>
      <c r="J358" s="6">
        <f>AVERAGE(ai_job_market[[#This Row],[min_salary]],ai_job_market[[#This Row],[max_salary]])</f>
        <v>125824</v>
      </c>
      <c r="K358"/>
      <c r="L358" t="s">
        <v>14</v>
      </c>
      <c r="M358" t="s">
        <v>51</v>
      </c>
      <c r="N358" t="s">
        <v>4799</v>
      </c>
      <c r="O358" t="s">
        <v>4456</v>
      </c>
      <c r="P358" s="5">
        <v>91346</v>
      </c>
      <c r="Q358" s="5">
        <v>160302</v>
      </c>
      <c r="R358" s="2">
        <v>45452</v>
      </c>
      <c r="S358" t="s">
        <v>16</v>
      </c>
      <c r="T358" t="s">
        <v>80</v>
      </c>
      <c r="U358" t="s">
        <v>6378</v>
      </c>
      <c r="W358" t="s">
        <v>6356</v>
      </c>
      <c r="X358">
        <v>86</v>
      </c>
      <c r="Y358" t="s">
        <v>80</v>
      </c>
      <c r="Z358">
        <v>249</v>
      </c>
    </row>
    <row r="359" spans="1:26" x14ac:dyDescent="0.3">
      <c r="A359">
        <v>358</v>
      </c>
      <c r="B359" t="s">
        <v>901</v>
      </c>
      <c r="C359" t="s">
        <v>19</v>
      </c>
      <c r="D359" t="s">
        <v>12</v>
      </c>
      <c r="E359" t="s">
        <v>6358</v>
      </c>
      <c r="F359" t="s">
        <v>6389</v>
      </c>
      <c r="G359" t="s">
        <v>6384</v>
      </c>
      <c r="H359" t="s">
        <v>6386</v>
      </c>
      <c r="I359" t="s">
        <v>6393</v>
      </c>
      <c r="J359">
        <f>AVERAGE(ai_job_market[[#This Row],[min_salary]],ai_job_market[[#This Row],[max_salary]])</f>
        <v>101885</v>
      </c>
      <c r="K359"/>
      <c r="L359" t="s">
        <v>22</v>
      </c>
      <c r="M359" t="s">
        <v>42</v>
      </c>
      <c r="N359" t="s">
        <v>4800</v>
      </c>
      <c r="O359" t="s">
        <v>4668</v>
      </c>
      <c r="P359">
        <v>56886</v>
      </c>
      <c r="Q359">
        <v>146884</v>
      </c>
      <c r="R359" s="2">
        <v>45422</v>
      </c>
      <c r="S359" t="s">
        <v>14</v>
      </c>
      <c r="T359" t="s">
        <v>77</v>
      </c>
      <c r="W359" t="s">
        <v>6358</v>
      </c>
      <c r="X359">
        <v>96</v>
      </c>
      <c r="Y359" t="s">
        <v>77</v>
      </c>
      <c r="Z359">
        <v>251</v>
      </c>
    </row>
    <row r="360" spans="1:26" x14ac:dyDescent="0.3">
      <c r="A360">
        <v>359</v>
      </c>
      <c r="B360" t="s">
        <v>903</v>
      </c>
      <c r="C360" t="s">
        <v>19</v>
      </c>
      <c r="D360" t="s">
        <v>25</v>
      </c>
      <c r="E360" t="s">
        <v>6347</v>
      </c>
      <c r="F360" t="s">
        <v>6395</v>
      </c>
      <c r="G360" t="s">
        <v>6376</v>
      </c>
      <c r="H360" t="s">
        <v>6378</v>
      </c>
      <c r="I360" t="s">
        <v>6396</v>
      </c>
      <c r="J360">
        <f>AVERAGE(ai_job_market[[#This Row],[min_salary]],ai_job_market[[#This Row],[max_salary]])</f>
        <v>82620.5</v>
      </c>
      <c r="K360" t="s">
        <v>6381</v>
      </c>
      <c r="L360" t="s">
        <v>27</v>
      </c>
      <c r="M360" t="s">
        <v>15</v>
      </c>
      <c r="N360" t="s">
        <v>4801</v>
      </c>
      <c r="O360" t="s">
        <v>4375</v>
      </c>
      <c r="P360">
        <v>56258</v>
      </c>
      <c r="Q360">
        <v>108983</v>
      </c>
      <c r="R360" s="2">
        <v>45644</v>
      </c>
      <c r="S360" t="s">
        <v>16</v>
      </c>
      <c r="T360" t="s">
        <v>128</v>
      </c>
      <c r="W360" t="s">
        <v>6347</v>
      </c>
      <c r="X360">
        <v>94</v>
      </c>
      <c r="Y360" t="s">
        <v>128</v>
      </c>
      <c r="Z360">
        <v>233</v>
      </c>
    </row>
    <row r="361" spans="1:26" x14ac:dyDescent="0.3">
      <c r="A361">
        <v>360</v>
      </c>
      <c r="B361" t="s">
        <v>905</v>
      </c>
      <c r="C361" t="s">
        <v>19</v>
      </c>
      <c r="D361" t="s">
        <v>30</v>
      </c>
      <c r="E361" t="s">
        <v>6359</v>
      </c>
      <c r="F361" t="s">
        <v>6380</v>
      </c>
      <c r="G361" t="s">
        <v>6394</v>
      </c>
      <c r="J361">
        <f>AVERAGE(ai_job_market[[#This Row],[min_salary]],ai_job_market[[#This Row],[max_salary]])</f>
        <v>158028</v>
      </c>
      <c r="K361"/>
      <c r="L361" t="s">
        <v>22</v>
      </c>
      <c r="M361" t="s">
        <v>15</v>
      </c>
      <c r="N361" t="s">
        <v>4802</v>
      </c>
      <c r="O361" t="s">
        <v>4643</v>
      </c>
      <c r="P361">
        <v>139096</v>
      </c>
      <c r="Q361">
        <v>176960</v>
      </c>
      <c r="R361" s="2">
        <v>45316</v>
      </c>
      <c r="S361" t="s">
        <v>16</v>
      </c>
      <c r="T361" t="s">
        <v>90</v>
      </c>
      <c r="W361" t="s">
        <v>6359</v>
      </c>
      <c r="X361">
        <v>104</v>
      </c>
      <c r="Y361" t="s">
        <v>90</v>
      </c>
      <c r="Z361">
        <v>259</v>
      </c>
    </row>
    <row r="362" spans="1:26" x14ac:dyDescent="0.3">
      <c r="A362">
        <v>361</v>
      </c>
      <c r="B362" t="s">
        <v>907</v>
      </c>
      <c r="C362" t="s">
        <v>45</v>
      </c>
      <c r="D362" t="s">
        <v>67</v>
      </c>
      <c r="E362" t="s">
        <v>6358</v>
      </c>
      <c r="F362" t="s">
        <v>6390</v>
      </c>
      <c r="G362" t="s">
        <v>6384</v>
      </c>
      <c r="H362" t="s">
        <v>6378</v>
      </c>
      <c r="J362">
        <f>AVERAGE(ai_job_market[[#This Row],[min_salary]],ai_job_market[[#This Row],[max_salary]])</f>
        <v>126876.5</v>
      </c>
      <c r="K362"/>
      <c r="L362" t="s">
        <v>27</v>
      </c>
      <c r="M362" t="s">
        <v>42</v>
      </c>
      <c r="N362" t="s">
        <v>4803</v>
      </c>
      <c r="O362" t="s">
        <v>4619</v>
      </c>
      <c r="P362">
        <v>120316</v>
      </c>
      <c r="Q362">
        <v>133437</v>
      </c>
      <c r="R362" s="2">
        <v>45890</v>
      </c>
      <c r="S362" t="s">
        <v>16</v>
      </c>
      <c r="T362" t="s">
        <v>90</v>
      </c>
      <c r="U362" t="s">
        <v>6384</v>
      </c>
      <c r="V362" t="s">
        <v>6378</v>
      </c>
      <c r="W362" t="s">
        <v>6358</v>
      </c>
      <c r="X362">
        <v>96</v>
      </c>
      <c r="Y362" t="s">
        <v>90</v>
      </c>
      <c r="Z362">
        <v>259</v>
      </c>
    </row>
    <row r="363" spans="1:26" x14ac:dyDescent="0.3">
      <c r="A363">
        <v>362</v>
      </c>
      <c r="B363" t="s">
        <v>910</v>
      </c>
      <c r="C363" t="s">
        <v>34</v>
      </c>
      <c r="D363" t="s">
        <v>30</v>
      </c>
      <c r="E363" t="s">
        <v>6351</v>
      </c>
      <c r="F363" t="s">
        <v>6387</v>
      </c>
      <c r="G363" t="s">
        <v>6379</v>
      </c>
      <c r="J363">
        <f>AVERAGE(ai_job_market[[#This Row],[min_salary]],ai_job_market[[#This Row],[max_salary]])</f>
        <v>71705</v>
      </c>
      <c r="K363"/>
      <c r="L363" t="s">
        <v>14</v>
      </c>
      <c r="M363" t="s">
        <v>51</v>
      </c>
      <c r="N363" t="s">
        <v>4804</v>
      </c>
      <c r="O363" t="s">
        <v>4480</v>
      </c>
      <c r="P363">
        <v>48868</v>
      </c>
      <c r="Q363">
        <v>94542</v>
      </c>
      <c r="R363" s="2">
        <v>45688</v>
      </c>
      <c r="S363" t="s">
        <v>16</v>
      </c>
      <c r="T363" t="s">
        <v>77</v>
      </c>
      <c r="W363" t="s">
        <v>6351</v>
      </c>
      <c r="X363">
        <v>89</v>
      </c>
      <c r="Y363" t="s">
        <v>77</v>
      </c>
      <c r="Z363">
        <v>251</v>
      </c>
    </row>
    <row r="364" spans="1:26" x14ac:dyDescent="0.3">
      <c r="A364">
        <v>363</v>
      </c>
      <c r="B364" t="s">
        <v>912</v>
      </c>
      <c r="C364" t="s">
        <v>34</v>
      </c>
      <c r="D364" t="s">
        <v>67</v>
      </c>
      <c r="E364" t="s">
        <v>6348</v>
      </c>
      <c r="F364" t="s">
        <v>6380</v>
      </c>
      <c r="G364" t="s">
        <v>6386</v>
      </c>
      <c r="H364" t="s">
        <v>6384</v>
      </c>
      <c r="I364" t="s">
        <v>6397</v>
      </c>
      <c r="J364">
        <f>AVERAGE(ai_job_market[[#This Row],[min_salary]],ai_job_market[[#This Row],[max_salary]])</f>
        <v>146010</v>
      </c>
      <c r="K364"/>
      <c r="L364" t="s">
        <v>27</v>
      </c>
      <c r="M364" t="s">
        <v>15</v>
      </c>
      <c r="N364" t="s">
        <v>4805</v>
      </c>
      <c r="O364" t="s">
        <v>4556</v>
      </c>
      <c r="P364">
        <v>108994</v>
      </c>
      <c r="Q364">
        <v>183026</v>
      </c>
      <c r="R364" s="2">
        <v>45882</v>
      </c>
      <c r="S364" t="s">
        <v>14</v>
      </c>
      <c r="T364" t="s">
        <v>90</v>
      </c>
      <c r="U364" t="s">
        <v>6378</v>
      </c>
      <c r="V364" t="s">
        <v>6388</v>
      </c>
      <c r="W364" t="s">
        <v>6348</v>
      </c>
      <c r="X364">
        <v>78</v>
      </c>
      <c r="Y364" t="s">
        <v>90</v>
      </c>
      <c r="Z364">
        <v>259</v>
      </c>
    </row>
    <row r="365" spans="1:26" x14ac:dyDescent="0.3">
      <c r="A365">
        <v>364</v>
      </c>
      <c r="B365" t="s">
        <v>915</v>
      </c>
      <c r="C365" t="s">
        <v>11</v>
      </c>
      <c r="D365" t="s">
        <v>30</v>
      </c>
      <c r="E365" t="s">
        <v>6351</v>
      </c>
      <c r="F365" t="s">
        <v>6377</v>
      </c>
      <c r="G365" t="s">
        <v>6396</v>
      </c>
      <c r="H365" t="s">
        <v>6394</v>
      </c>
      <c r="J365">
        <f>AVERAGE(ai_job_market[[#This Row],[min_salary]],ai_job_market[[#This Row],[max_salary]])</f>
        <v>155828.5</v>
      </c>
      <c r="K365"/>
      <c r="L365" t="s">
        <v>22</v>
      </c>
      <c r="M365" t="s">
        <v>42</v>
      </c>
      <c r="N365" t="s">
        <v>4806</v>
      </c>
      <c r="O365" t="s">
        <v>4773</v>
      </c>
      <c r="P365">
        <v>118921</v>
      </c>
      <c r="Q365">
        <v>192736</v>
      </c>
      <c r="R365" s="2">
        <v>45628</v>
      </c>
      <c r="S365" t="s">
        <v>16</v>
      </c>
      <c r="T365" t="s">
        <v>70</v>
      </c>
      <c r="U365" t="s">
        <v>6378</v>
      </c>
      <c r="W365" t="s">
        <v>6351</v>
      </c>
      <c r="X365">
        <v>89</v>
      </c>
      <c r="Y365" t="s">
        <v>70</v>
      </c>
      <c r="Z365">
        <v>268</v>
      </c>
    </row>
    <row r="366" spans="1:26" x14ac:dyDescent="0.3">
      <c r="A366">
        <v>365</v>
      </c>
      <c r="B366" t="s">
        <v>917</v>
      </c>
      <c r="C366" t="s">
        <v>40</v>
      </c>
      <c r="D366" t="s">
        <v>30</v>
      </c>
      <c r="E366" t="s">
        <v>70</v>
      </c>
      <c r="F366" t="s">
        <v>6374</v>
      </c>
      <c r="G366" t="s">
        <v>6378</v>
      </c>
      <c r="H366" t="s">
        <v>6395</v>
      </c>
      <c r="I366" t="s">
        <v>6386</v>
      </c>
      <c r="J366">
        <f>AVERAGE(ai_job_market[[#This Row],[min_salary]],ai_job_market[[#This Row],[max_salary]])</f>
        <v>66371.5</v>
      </c>
      <c r="K366"/>
      <c r="L366" t="s">
        <v>27</v>
      </c>
      <c r="M366" t="s">
        <v>51</v>
      </c>
      <c r="N366" t="s">
        <v>4807</v>
      </c>
      <c r="O366" t="s">
        <v>4664</v>
      </c>
      <c r="P366">
        <v>57113</v>
      </c>
      <c r="Q366">
        <v>75630</v>
      </c>
      <c r="R366" s="2">
        <v>45376</v>
      </c>
      <c r="S366" t="s">
        <v>14</v>
      </c>
      <c r="T366" t="s">
        <v>157</v>
      </c>
      <c r="U366" t="s">
        <v>6384</v>
      </c>
      <c r="V366" t="s">
        <v>6375</v>
      </c>
      <c r="W366" t="s">
        <v>70</v>
      </c>
      <c r="X366">
        <v>100</v>
      </c>
      <c r="Y366" t="s">
        <v>157</v>
      </c>
      <c r="Z366">
        <v>247</v>
      </c>
    </row>
    <row r="367" spans="1:26" x14ac:dyDescent="0.3">
      <c r="A367">
        <v>366</v>
      </c>
      <c r="B367" t="s">
        <v>920</v>
      </c>
      <c r="C367" t="s">
        <v>19</v>
      </c>
      <c r="D367" t="s">
        <v>30</v>
      </c>
      <c r="E367" t="s">
        <v>6354</v>
      </c>
      <c r="F367" t="s">
        <v>6378</v>
      </c>
      <c r="G367" t="s">
        <v>6397</v>
      </c>
      <c r="J367">
        <f>AVERAGE(ai_job_market[[#This Row],[min_salary]],ai_job_market[[#This Row],[max_salary]])</f>
        <v>117808</v>
      </c>
      <c r="K367"/>
      <c r="L367" t="s">
        <v>14</v>
      </c>
      <c r="M367" t="s">
        <v>15</v>
      </c>
      <c r="N367" t="s">
        <v>4808</v>
      </c>
      <c r="O367" t="s">
        <v>4556</v>
      </c>
      <c r="P367">
        <v>70702</v>
      </c>
      <c r="Q367">
        <v>164914</v>
      </c>
      <c r="R367" s="2">
        <v>45789</v>
      </c>
      <c r="S367" t="s">
        <v>69</v>
      </c>
      <c r="T367" t="s">
        <v>90</v>
      </c>
      <c r="U367" t="s">
        <v>6375</v>
      </c>
      <c r="W367" t="s">
        <v>6354</v>
      </c>
      <c r="X367">
        <v>75</v>
      </c>
      <c r="Y367" t="s">
        <v>90</v>
      </c>
      <c r="Z367">
        <v>259</v>
      </c>
    </row>
    <row r="368" spans="1:26" x14ac:dyDescent="0.3">
      <c r="A368">
        <v>367</v>
      </c>
      <c r="B368" t="s">
        <v>922</v>
      </c>
      <c r="C368" t="s">
        <v>40</v>
      </c>
      <c r="D368" t="s">
        <v>12</v>
      </c>
      <c r="E368" t="s">
        <v>6356</v>
      </c>
      <c r="F368" t="s">
        <v>6384</v>
      </c>
      <c r="G368" t="s">
        <v>6376</v>
      </c>
      <c r="H368" t="s">
        <v>6389</v>
      </c>
      <c r="J368">
        <f>AVERAGE(ai_job_market[[#This Row],[min_salary]],ai_job_market[[#This Row],[max_salary]])</f>
        <v>149065.5</v>
      </c>
      <c r="K368"/>
      <c r="L368" t="s">
        <v>27</v>
      </c>
      <c r="M368" t="s">
        <v>15</v>
      </c>
      <c r="N368" t="s">
        <v>4809</v>
      </c>
      <c r="O368" t="s">
        <v>4810</v>
      </c>
      <c r="P368">
        <v>114639</v>
      </c>
      <c r="Q368">
        <v>183492</v>
      </c>
      <c r="R368" s="2">
        <v>45817</v>
      </c>
      <c r="S368" t="s">
        <v>69</v>
      </c>
      <c r="T368" t="s">
        <v>70</v>
      </c>
      <c r="W368" t="s">
        <v>6356</v>
      </c>
      <c r="X368">
        <v>86</v>
      </c>
      <c r="Y368" t="s">
        <v>70</v>
      </c>
      <c r="Z368">
        <v>268</v>
      </c>
    </row>
    <row r="369" spans="1:26" x14ac:dyDescent="0.3">
      <c r="A369">
        <v>368</v>
      </c>
      <c r="B369" t="s">
        <v>924</v>
      </c>
      <c r="C369" t="s">
        <v>11</v>
      </c>
      <c r="D369" t="s">
        <v>30</v>
      </c>
      <c r="E369" t="s">
        <v>101</v>
      </c>
      <c r="F369" t="s">
        <v>6381</v>
      </c>
      <c r="G369" t="s">
        <v>6377</v>
      </c>
      <c r="H369" t="s">
        <v>6393</v>
      </c>
      <c r="J369">
        <f>AVERAGE(ai_job_market[[#This Row],[min_salary]],ai_job_market[[#This Row],[max_salary]])</f>
        <v>155923</v>
      </c>
      <c r="K369"/>
      <c r="L369" t="s">
        <v>22</v>
      </c>
      <c r="M369" t="s">
        <v>37</v>
      </c>
      <c r="N369" t="s">
        <v>4811</v>
      </c>
      <c r="O369" t="s">
        <v>4314</v>
      </c>
      <c r="P369">
        <v>110697</v>
      </c>
      <c r="Q369">
        <v>201149</v>
      </c>
      <c r="R369" s="2">
        <v>45447</v>
      </c>
      <c r="S369" t="s">
        <v>14</v>
      </c>
      <c r="T369" t="s">
        <v>90</v>
      </c>
      <c r="W369" t="s">
        <v>101</v>
      </c>
      <c r="X369">
        <v>76</v>
      </c>
      <c r="Y369" t="s">
        <v>90</v>
      </c>
      <c r="Z369">
        <v>259</v>
      </c>
    </row>
    <row r="370" spans="1:26" x14ac:dyDescent="0.3">
      <c r="A370">
        <v>369</v>
      </c>
      <c r="B370" t="s">
        <v>926</v>
      </c>
      <c r="C370" t="s">
        <v>72</v>
      </c>
      <c r="D370" t="s">
        <v>12</v>
      </c>
      <c r="E370" t="s">
        <v>6359</v>
      </c>
      <c r="F370" t="s">
        <v>6389</v>
      </c>
      <c r="G370" t="s">
        <v>6375</v>
      </c>
      <c r="H370" t="s">
        <v>6379</v>
      </c>
      <c r="I370" t="s">
        <v>6393</v>
      </c>
      <c r="J370">
        <f>AVERAGE(ai_job_market[[#This Row],[min_salary]],ai_job_market[[#This Row],[max_salary]])</f>
        <v>102633.5</v>
      </c>
      <c r="K370" t="s">
        <v>6386</v>
      </c>
      <c r="L370" t="s">
        <v>22</v>
      </c>
      <c r="M370" t="s">
        <v>42</v>
      </c>
      <c r="N370" t="s">
        <v>4812</v>
      </c>
      <c r="O370" t="s">
        <v>4503</v>
      </c>
      <c r="P370">
        <v>68664</v>
      </c>
      <c r="Q370">
        <v>136603</v>
      </c>
      <c r="R370" s="2">
        <v>45548</v>
      </c>
      <c r="S370" t="s">
        <v>14</v>
      </c>
      <c r="T370" t="s">
        <v>80</v>
      </c>
      <c r="U370" t="s">
        <v>6375</v>
      </c>
      <c r="W370" t="s">
        <v>6359</v>
      </c>
      <c r="X370">
        <v>104</v>
      </c>
      <c r="Y370" t="s">
        <v>80</v>
      </c>
      <c r="Z370">
        <v>249</v>
      </c>
    </row>
    <row r="371" spans="1:26" x14ac:dyDescent="0.3">
      <c r="A371">
        <v>370</v>
      </c>
      <c r="B371" t="s">
        <v>929</v>
      </c>
      <c r="C371" t="s">
        <v>49</v>
      </c>
      <c r="D371" t="s">
        <v>67</v>
      </c>
      <c r="E371" t="s">
        <v>6353</v>
      </c>
      <c r="F371" t="s">
        <v>6397</v>
      </c>
      <c r="G371" t="s">
        <v>6375</v>
      </c>
      <c r="H371" t="s">
        <v>6380</v>
      </c>
      <c r="J371">
        <f>AVERAGE(ai_job_market[[#This Row],[min_salary]],ai_job_market[[#This Row],[max_salary]])</f>
        <v>107531</v>
      </c>
      <c r="K371"/>
      <c r="L371" t="s">
        <v>27</v>
      </c>
      <c r="M371" t="s">
        <v>42</v>
      </c>
      <c r="N371" t="s">
        <v>4813</v>
      </c>
      <c r="O371" t="s">
        <v>4399</v>
      </c>
      <c r="P371">
        <v>64445</v>
      </c>
      <c r="Q371">
        <v>150617</v>
      </c>
      <c r="R371" s="2">
        <v>45543</v>
      </c>
      <c r="S371" t="s">
        <v>16</v>
      </c>
      <c r="T371" t="s">
        <v>157</v>
      </c>
      <c r="U371" t="s">
        <v>6375</v>
      </c>
      <c r="V371" t="s">
        <v>6378</v>
      </c>
      <c r="W371" t="s">
        <v>6353</v>
      </c>
      <c r="X371">
        <v>86</v>
      </c>
      <c r="Y371" t="s">
        <v>157</v>
      </c>
      <c r="Z371">
        <v>247</v>
      </c>
    </row>
    <row r="372" spans="1:26" x14ac:dyDescent="0.3">
      <c r="A372">
        <v>371</v>
      </c>
      <c r="B372" t="s">
        <v>932</v>
      </c>
      <c r="C372" t="s">
        <v>49</v>
      </c>
      <c r="D372" t="s">
        <v>25</v>
      </c>
      <c r="E372" t="s">
        <v>90</v>
      </c>
      <c r="F372" t="s">
        <v>6390</v>
      </c>
      <c r="G372" t="s">
        <v>6384</v>
      </c>
      <c r="H372" t="s">
        <v>6380</v>
      </c>
      <c r="I372" t="s">
        <v>6392</v>
      </c>
      <c r="J372">
        <f>AVERAGE(ai_job_market[[#This Row],[min_salary]],ai_job_market[[#This Row],[max_salary]])</f>
        <v>94482</v>
      </c>
      <c r="K372"/>
      <c r="L372" t="s">
        <v>27</v>
      </c>
      <c r="M372" t="s">
        <v>42</v>
      </c>
      <c r="N372" t="s">
        <v>4814</v>
      </c>
      <c r="O372" t="s">
        <v>4815</v>
      </c>
      <c r="P372">
        <v>74954</v>
      </c>
      <c r="Q372">
        <v>114010</v>
      </c>
      <c r="R372" s="2">
        <v>45577</v>
      </c>
      <c r="S372" t="s">
        <v>14</v>
      </c>
      <c r="T372" t="s">
        <v>101</v>
      </c>
      <c r="U372" t="s">
        <v>6375</v>
      </c>
      <c r="W372" t="s">
        <v>90</v>
      </c>
      <c r="X372">
        <v>80</v>
      </c>
      <c r="Y372" t="s">
        <v>101</v>
      </c>
      <c r="Z372">
        <v>255</v>
      </c>
    </row>
    <row r="373" spans="1:26" x14ac:dyDescent="0.3">
      <c r="A373">
        <v>372</v>
      </c>
      <c r="B373" t="s">
        <v>934</v>
      </c>
      <c r="C373" t="s">
        <v>72</v>
      </c>
      <c r="D373" t="s">
        <v>135</v>
      </c>
      <c r="E373" t="s">
        <v>6354</v>
      </c>
      <c r="F373" t="s">
        <v>6395</v>
      </c>
      <c r="G373" t="s">
        <v>6393</v>
      </c>
      <c r="H373" t="s">
        <v>6382</v>
      </c>
      <c r="I373" t="s">
        <v>6389</v>
      </c>
      <c r="J373">
        <f>AVERAGE(ai_job_market[[#This Row],[min_salary]],ai_job_market[[#This Row],[max_salary]])</f>
        <v>96565</v>
      </c>
      <c r="K373"/>
      <c r="L373" t="s">
        <v>22</v>
      </c>
      <c r="M373" t="s">
        <v>51</v>
      </c>
      <c r="N373" t="s">
        <v>4816</v>
      </c>
      <c r="O373" t="s">
        <v>4704</v>
      </c>
      <c r="P373">
        <v>83014</v>
      </c>
      <c r="Q373">
        <v>110116</v>
      </c>
      <c r="R373" s="2">
        <v>45754</v>
      </c>
      <c r="S373" t="s">
        <v>16</v>
      </c>
      <c r="T373" t="s">
        <v>157</v>
      </c>
      <c r="W373" t="s">
        <v>6354</v>
      </c>
      <c r="X373">
        <v>75</v>
      </c>
      <c r="Y373" t="s">
        <v>157</v>
      </c>
      <c r="Z373">
        <v>247</v>
      </c>
    </row>
    <row r="374" spans="1:26" x14ac:dyDescent="0.3">
      <c r="A374">
        <v>373</v>
      </c>
      <c r="B374" t="s">
        <v>936</v>
      </c>
      <c r="C374" t="s">
        <v>45</v>
      </c>
      <c r="D374" t="s">
        <v>54</v>
      </c>
      <c r="E374" t="s">
        <v>6356</v>
      </c>
      <c r="F374" t="s">
        <v>6375</v>
      </c>
      <c r="G374" t="s">
        <v>6374</v>
      </c>
      <c r="H374" t="s">
        <v>6389</v>
      </c>
      <c r="J374">
        <f>AVERAGE(ai_job_market[[#This Row],[min_salary]],ai_job_market[[#This Row],[max_salary]])</f>
        <v>169268.5</v>
      </c>
      <c r="K374"/>
      <c r="L374" t="s">
        <v>22</v>
      </c>
      <c r="M374" t="s">
        <v>37</v>
      </c>
      <c r="N374" t="s">
        <v>4817</v>
      </c>
      <c r="O374" t="s">
        <v>4544</v>
      </c>
      <c r="P374">
        <v>146097</v>
      </c>
      <c r="Q374">
        <v>192440</v>
      </c>
      <c r="R374" s="2">
        <v>45526</v>
      </c>
      <c r="S374" t="s">
        <v>69</v>
      </c>
      <c r="T374" t="s">
        <v>70</v>
      </c>
      <c r="U374" t="s">
        <v>6375</v>
      </c>
      <c r="W374" t="s">
        <v>6356</v>
      </c>
      <c r="X374">
        <v>86</v>
      </c>
      <c r="Y374" t="s">
        <v>70</v>
      </c>
      <c r="Z374">
        <v>268</v>
      </c>
    </row>
    <row r="375" spans="1:26" x14ac:dyDescent="0.3">
      <c r="A375">
        <v>374</v>
      </c>
      <c r="B375" t="s">
        <v>939</v>
      </c>
      <c r="C375" t="s">
        <v>11</v>
      </c>
      <c r="D375" t="s">
        <v>12</v>
      </c>
      <c r="E375" t="s">
        <v>6350</v>
      </c>
      <c r="F375" t="s">
        <v>6394</v>
      </c>
      <c r="G375" t="s">
        <v>6380</v>
      </c>
      <c r="H375" t="s">
        <v>6377</v>
      </c>
      <c r="I375" t="s">
        <v>6384</v>
      </c>
      <c r="J375">
        <f>AVERAGE(ai_job_market[[#This Row],[min_salary]],ai_job_market[[#This Row],[max_salary]])</f>
        <v>85793</v>
      </c>
      <c r="K375" t="s">
        <v>6393</v>
      </c>
      <c r="L375" t="s">
        <v>27</v>
      </c>
      <c r="M375" t="s">
        <v>15</v>
      </c>
      <c r="N375" t="s">
        <v>4818</v>
      </c>
      <c r="O375" t="s">
        <v>4699</v>
      </c>
      <c r="P375">
        <v>50137</v>
      </c>
      <c r="Q375">
        <v>121449</v>
      </c>
      <c r="R375" s="2">
        <v>45736</v>
      </c>
      <c r="S375" t="s">
        <v>14</v>
      </c>
      <c r="T375" t="s">
        <v>80</v>
      </c>
      <c r="U375" t="s">
        <v>6376</v>
      </c>
      <c r="V375" t="s">
        <v>6375</v>
      </c>
      <c r="W375" t="s">
        <v>6350</v>
      </c>
      <c r="X375">
        <v>84</v>
      </c>
      <c r="Y375" t="s">
        <v>80</v>
      </c>
      <c r="Z375">
        <v>249</v>
      </c>
    </row>
    <row r="376" spans="1:26" x14ac:dyDescent="0.3">
      <c r="A376">
        <v>375</v>
      </c>
      <c r="B376" t="s">
        <v>942</v>
      </c>
      <c r="C376" t="s">
        <v>19</v>
      </c>
      <c r="D376" t="s">
        <v>67</v>
      </c>
      <c r="E376" t="s">
        <v>6356</v>
      </c>
      <c r="F376" t="s">
        <v>6380</v>
      </c>
      <c r="G376" t="s">
        <v>6386</v>
      </c>
      <c r="J376">
        <f>AVERAGE(ai_job_market[[#This Row],[min_salary]],ai_job_market[[#This Row],[max_salary]])</f>
        <v>136221.5</v>
      </c>
      <c r="K376"/>
      <c r="L376" t="s">
        <v>22</v>
      </c>
      <c r="M376" t="s">
        <v>15</v>
      </c>
      <c r="N376" t="s">
        <v>4819</v>
      </c>
      <c r="O376" t="s">
        <v>4461</v>
      </c>
      <c r="P376">
        <v>96091</v>
      </c>
      <c r="Q376">
        <v>176352</v>
      </c>
      <c r="R376" s="2">
        <v>45621</v>
      </c>
      <c r="S376" t="s">
        <v>69</v>
      </c>
      <c r="T376" t="s">
        <v>101</v>
      </c>
      <c r="W376" t="s">
        <v>6356</v>
      </c>
      <c r="X376">
        <v>86</v>
      </c>
      <c r="Y376" t="s">
        <v>101</v>
      </c>
      <c r="Z376">
        <v>255</v>
      </c>
    </row>
    <row r="377" spans="1:26" x14ac:dyDescent="0.3">
      <c r="A377">
        <v>376</v>
      </c>
      <c r="B377" t="s">
        <v>944</v>
      </c>
      <c r="C377" t="s">
        <v>34</v>
      </c>
      <c r="D377" t="s">
        <v>30</v>
      </c>
      <c r="E377" t="s">
        <v>6353</v>
      </c>
      <c r="F377" t="s">
        <v>6397</v>
      </c>
      <c r="G377" t="s">
        <v>6375</v>
      </c>
      <c r="H377" t="s">
        <v>6377</v>
      </c>
      <c r="I377" t="s">
        <v>6395</v>
      </c>
      <c r="J377">
        <f>AVERAGE(ai_job_market[[#This Row],[min_salary]],ai_job_market[[#This Row],[max_salary]])</f>
        <v>137660.5</v>
      </c>
      <c r="K377"/>
      <c r="L377" t="s">
        <v>22</v>
      </c>
      <c r="M377" t="s">
        <v>37</v>
      </c>
      <c r="N377" t="s">
        <v>4820</v>
      </c>
      <c r="O377" t="s">
        <v>4351</v>
      </c>
      <c r="P377">
        <v>118753</v>
      </c>
      <c r="Q377">
        <v>156568</v>
      </c>
      <c r="R377" s="2">
        <v>45780</v>
      </c>
      <c r="S377" t="s">
        <v>14</v>
      </c>
      <c r="T377" t="s">
        <v>90</v>
      </c>
      <c r="U377" t="s">
        <v>6384</v>
      </c>
      <c r="W377" t="s">
        <v>6353</v>
      </c>
      <c r="X377">
        <v>86</v>
      </c>
      <c r="Y377" t="s">
        <v>90</v>
      </c>
      <c r="Z377">
        <v>259</v>
      </c>
    </row>
    <row r="378" spans="1:26" x14ac:dyDescent="0.3">
      <c r="A378">
        <v>377</v>
      </c>
      <c r="B378" t="s">
        <v>946</v>
      </c>
      <c r="C378" t="s">
        <v>19</v>
      </c>
      <c r="D378" t="s">
        <v>25</v>
      </c>
      <c r="E378" t="s">
        <v>6351</v>
      </c>
      <c r="F378" t="s">
        <v>6389</v>
      </c>
      <c r="G378" t="s">
        <v>6380</v>
      </c>
      <c r="J378">
        <f>AVERAGE(ai_job_market[[#This Row],[min_salary]],ai_job_market[[#This Row],[max_salary]])</f>
        <v>71703.5</v>
      </c>
      <c r="K378"/>
      <c r="L378" t="s">
        <v>27</v>
      </c>
      <c r="M378" t="s">
        <v>37</v>
      </c>
      <c r="N378" t="s">
        <v>4821</v>
      </c>
      <c r="O378" t="s">
        <v>4375</v>
      </c>
      <c r="P378">
        <v>56022</v>
      </c>
      <c r="Q378">
        <v>87385</v>
      </c>
      <c r="R378" s="2">
        <v>45193</v>
      </c>
      <c r="S378" t="s">
        <v>16</v>
      </c>
      <c r="T378" t="s">
        <v>157</v>
      </c>
      <c r="U378" t="s">
        <v>6375</v>
      </c>
      <c r="W378" t="s">
        <v>6351</v>
      </c>
      <c r="X378">
        <v>89</v>
      </c>
      <c r="Y378" t="s">
        <v>157</v>
      </c>
      <c r="Z378">
        <v>247</v>
      </c>
    </row>
    <row r="379" spans="1:26" x14ac:dyDescent="0.3">
      <c r="A379">
        <v>378</v>
      </c>
      <c r="B379" t="s">
        <v>948</v>
      </c>
      <c r="C379" t="s">
        <v>49</v>
      </c>
      <c r="D379" t="s">
        <v>67</v>
      </c>
      <c r="E379" t="s">
        <v>77</v>
      </c>
      <c r="F379" t="s">
        <v>6384</v>
      </c>
      <c r="G379" t="s">
        <v>6375</v>
      </c>
      <c r="J379">
        <f>AVERAGE(ai_job_market[[#This Row],[min_salary]],ai_job_market[[#This Row],[max_salary]])</f>
        <v>79692</v>
      </c>
      <c r="K379"/>
      <c r="L379" t="s">
        <v>22</v>
      </c>
      <c r="M379" t="s">
        <v>15</v>
      </c>
      <c r="N379" t="s">
        <v>4822</v>
      </c>
      <c r="O379" t="s">
        <v>4337</v>
      </c>
      <c r="P379">
        <v>65449</v>
      </c>
      <c r="Q379">
        <v>93935</v>
      </c>
      <c r="R379" s="2">
        <v>45526</v>
      </c>
      <c r="S379" t="s">
        <v>14</v>
      </c>
      <c r="T379" t="s">
        <v>101</v>
      </c>
      <c r="U379" t="s">
        <v>6375</v>
      </c>
      <c r="V379" t="s">
        <v>6384</v>
      </c>
      <c r="W379" t="s">
        <v>77</v>
      </c>
      <c r="X379">
        <v>111</v>
      </c>
      <c r="Y379" t="s">
        <v>101</v>
      </c>
      <c r="Z379">
        <v>255</v>
      </c>
    </row>
    <row r="380" spans="1:26" x14ac:dyDescent="0.3">
      <c r="A380">
        <v>379</v>
      </c>
      <c r="B380" t="s">
        <v>950</v>
      </c>
      <c r="C380" t="s">
        <v>40</v>
      </c>
      <c r="D380" t="s">
        <v>25</v>
      </c>
      <c r="E380" t="s">
        <v>6345</v>
      </c>
      <c r="F380" t="s">
        <v>6380</v>
      </c>
      <c r="G380" t="s">
        <v>6390</v>
      </c>
      <c r="J380">
        <f>AVERAGE(ai_job_market[[#This Row],[min_salary]],ai_job_market[[#This Row],[max_salary]])</f>
        <v>94120.5</v>
      </c>
      <c r="K380"/>
      <c r="L380" t="s">
        <v>27</v>
      </c>
      <c r="M380" t="s">
        <v>42</v>
      </c>
      <c r="N380" t="s">
        <v>4823</v>
      </c>
      <c r="O380" t="s">
        <v>4692</v>
      </c>
      <c r="P380">
        <v>53432</v>
      </c>
      <c r="Q380">
        <v>134809</v>
      </c>
      <c r="R380" s="2">
        <v>45331</v>
      </c>
      <c r="S380" t="s">
        <v>69</v>
      </c>
      <c r="T380" t="s">
        <v>128</v>
      </c>
      <c r="U380" t="s">
        <v>6376</v>
      </c>
      <c r="W380" t="s">
        <v>6345</v>
      </c>
      <c r="X380">
        <v>101</v>
      </c>
      <c r="Y380" t="s">
        <v>128</v>
      </c>
      <c r="Z380">
        <v>233</v>
      </c>
    </row>
    <row r="381" spans="1:26" x14ac:dyDescent="0.3">
      <c r="A381">
        <v>380</v>
      </c>
      <c r="B381" t="s">
        <v>952</v>
      </c>
      <c r="C381" t="s">
        <v>34</v>
      </c>
      <c r="D381" t="s">
        <v>25</v>
      </c>
      <c r="E381" t="s">
        <v>6358</v>
      </c>
      <c r="F381" t="s">
        <v>6378</v>
      </c>
      <c r="G381" t="s">
        <v>6391</v>
      </c>
      <c r="H381" t="s">
        <v>6389</v>
      </c>
      <c r="I381" t="s">
        <v>6380</v>
      </c>
      <c r="J381">
        <f>AVERAGE(ai_job_market[[#This Row],[min_salary]],ai_job_market[[#This Row],[max_salary]])</f>
        <v>104384</v>
      </c>
      <c r="K381"/>
      <c r="L381" t="s">
        <v>27</v>
      </c>
      <c r="M381" t="s">
        <v>15</v>
      </c>
      <c r="N381" t="s">
        <v>4824</v>
      </c>
      <c r="O381" t="s">
        <v>4791</v>
      </c>
      <c r="P381">
        <v>91250</v>
      </c>
      <c r="Q381">
        <v>117518</v>
      </c>
      <c r="R381" s="2">
        <v>45698</v>
      </c>
      <c r="S381" t="s">
        <v>14</v>
      </c>
      <c r="T381" t="s">
        <v>157</v>
      </c>
      <c r="U381" t="s">
        <v>6376</v>
      </c>
      <c r="V381" t="s">
        <v>6378</v>
      </c>
      <c r="W381" t="s">
        <v>6358</v>
      </c>
      <c r="X381">
        <v>96</v>
      </c>
      <c r="Y381" t="s">
        <v>157</v>
      </c>
      <c r="Z381">
        <v>247</v>
      </c>
    </row>
    <row r="382" spans="1:26" x14ac:dyDescent="0.3">
      <c r="A382">
        <v>381</v>
      </c>
      <c r="B382" t="s">
        <v>955</v>
      </c>
      <c r="C382" t="s">
        <v>40</v>
      </c>
      <c r="D382" t="s">
        <v>35</v>
      </c>
      <c r="E382" t="s">
        <v>6359</v>
      </c>
      <c r="F382" t="s">
        <v>6393</v>
      </c>
      <c r="G382" t="s">
        <v>6377</v>
      </c>
      <c r="H382" t="s">
        <v>6396</v>
      </c>
      <c r="I382" t="s">
        <v>6389</v>
      </c>
      <c r="J382" s="6">
        <f>AVERAGE(ai_job_market[[#This Row],[min_salary]],ai_job_market[[#This Row],[max_salary]])</f>
        <v>93142.5</v>
      </c>
      <c r="K382" t="s">
        <v>6380</v>
      </c>
      <c r="L382" t="s">
        <v>22</v>
      </c>
      <c r="M382" t="s">
        <v>37</v>
      </c>
      <c r="N382" t="s">
        <v>4825</v>
      </c>
      <c r="O382" t="s">
        <v>4439</v>
      </c>
      <c r="P382" s="5">
        <v>56274</v>
      </c>
      <c r="Q382" s="5">
        <v>130011</v>
      </c>
      <c r="R382" s="2">
        <v>45589</v>
      </c>
      <c r="S382" t="s">
        <v>16</v>
      </c>
      <c r="T382" t="s">
        <v>90</v>
      </c>
      <c r="W382" t="s">
        <v>6359</v>
      </c>
      <c r="X382">
        <v>104</v>
      </c>
      <c r="Y382" t="s">
        <v>90</v>
      </c>
      <c r="Z382">
        <v>259</v>
      </c>
    </row>
    <row r="383" spans="1:26" x14ac:dyDescent="0.3">
      <c r="A383">
        <v>382</v>
      </c>
      <c r="B383" t="s">
        <v>957</v>
      </c>
      <c r="C383" t="s">
        <v>72</v>
      </c>
      <c r="D383" t="s">
        <v>20</v>
      </c>
      <c r="E383" t="s">
        <v>6349</v>
      </c>
      <c r="F383" t="s">
        <v>6396</v>
      </c>
      <c r="G383" t="s">
        <v>6395</v>
      </c>
      <c r="H383" t="s">
        <v>6381</v>
      </c>
      <c r="I383" t="s">
        <v>6377</v>
      </c>
      <c r="J383">
        <f>AVERAGE(ai_job_market[[#This Row],[min_salary]],ai_job_market[[#This Row],[max_salary]])</f>
        <v>111984.5</v>
      </c>
      <c r="K383"/>
      <c r="L383" t="s">
        <v>14</v>
      </c>
      <c r="M383" t="s">
        <v>51</v>
      </c>
      <c r="N383" t="s">
        <v>4826</v>
      </c>
      <c r="O383" t="s">
        <v>4327</v>
      </c>
      <c r="P383">
        <v>100532</v>
      </c>
      <c r="Q383">
        <v>123437</v>
      </c>
      <c r="R383" s="2">
        <v>45866</v>
      </c>
      <c r="S383" t="s">
        <v>16</v>
      </c>
      <c r="T383" t="s">
        <v>157</v>
      </c>
      <c r="U383" t="s">
        <v>6384</v>
      </c>
      <c r="W383" t="s">
        <v>6349</v>
      </c>
      <c r="X383">
        <v>96</v>
      </c>
      <c r="Y383" t="s">
        <v>157</v>
      </c>
      <c r="Z383">
        <v>247</v>
      </c>
    </row>
    <row r="384" spans="1:26" x14ac:dyDescent="0.3">
      <c r="A384">
        <v>383</v>
      </c>
      <c r="B384" t="s">
        <v>960</v>
      </c>
      <c r="C384" t="s">
        <v>40</v>
      </c>
      <c r="D384" t="s">
        <v>30</v>
      </c>
      <c r="E384" t="s">
        <v>70</v>
      </c>
      <c r="F384" t="s">
        <v>6376</v>
      </c>
      <c r="G384" t="s">
        <v>6390</v>
      </c>
      <c r="H384" t="s">
        <v>6395</v>
      </c>
      <c r="I384" t="s">
        <v>6396</v>
      </c>
      <c r="J384">
        <f>AVERAGE(ai_job_market[[#This Row],[min_salary]],ai_job_market[[#This Row],[max_salary]])</f>
        <v>138998.5</v>
      </c>
      <c r="K384"/>
      <c r="L384" t="s">
        <v>22</v>
      </c>
      <c r="M384" t="s">
        <v>42</v>
      </c>
      <c r="N384" t="s">
        <v>4827</v>
      </c>
      <c r="O384" t="s">
        <v>4646</v>
      </c>
      <c r="P384">
        <v>133743</v>
      </c>
      <c r="Q384">
        <v>144254</v>
      </c>
      <c r="R384" s="2">
        <v>45243</v>
      </c>
      <c r="S384" t="s">
        <v>14</v>
      </c>
      <c r="T384" t="s">
        <v>101</v>
      </c>
      <c r="U384" t="s">
        <v>6378</v>
      </c>
      <c r="W384" t="s">
        <v>70</v>
      </c>
      <c r="X384">
        <v>100</v>
      </c>
      <c r="Y384" t="s">
        <v>101</v>
      </c>
      <c r="Z384">
        <v>255</v>
      </c>
    </row>
    <row r="385" spans="1:26" x14ac:dyDescent="0.3">
      <c r="A385">
        <v>384</v>
      </c>
      <c r="B385" t="s">
        <v>962</v>
      </c>
      <c r="C385" t="s">
        <v>19</v>
      </c>
      <c r="D385" t="s">
        <v>30</v>
      </c>
      <c r="E385" t="s">
        <v>6357</v>
      </c>
      <c r="F385" t="s">
        <v>6380</v>
      </c>
      <c r="G385" t="s">
        <v>6386</v>
      </c>
      <c r="J385">
        <f>AVERAGE(ai_job_market[[#This Row],[min_salary]],ai_job_market[[#This Row],[max_salary]])</f>
        <v>68634.5</v>
      </c>
      <c r="K385"/>
      <c r="L385" t="s">
        <v>27</v>
      </c>
      <c r="M385" t="s">
        <v>42</v>
      </c>
      <c r="N385" t="s">
        <v>4828</v>
      </c>
      <c r="O385" t="s">
        <v>4547</v>
      </c>
      <c r="P385">
        <v>44510</v>
      </c>
      <c r="Q385">
        <v>92759</v>
      </c>
      <c r="R385" s="2">
        <v>45219</v>
      </c>
      <c r="S385" t="s">
        <v>69</v>
      </c>
      <c r="T385" t="s">
        <v>80</v>
      </c>
      <c r="W385" t="s">
        <v>6357</v>
      </c>
      <c r="X385">
        <v>88</v>
      </c>
      <c r="Y385" t="s">
        <v>80</v>
      </c>
      <c r="Z385">
        <v>249</v>
      </c>
    </row>
    <row r="386" spans="1:26" x14ac:dyDescent="0.3">
      <c r="A386">
        <v>385</v>
      </c>
      <c r="B386" t="s">
        <v>964</v>
      </c>
      <c r="C386" t="s">
        <v>45</v>
      </c>
      <c r="D386" t="s">
        <v>67</v>
      </c>
      <c r="E386" t="s">
        <v>6357</v>
      </c>
      <c r="F386" t="s">
        <v>6385</v>
      </c>
      <c r="G386" t="s">
        <v>6380</v>
      </c>
      <c r="H386" t="s">
        <v>6377</v>
      </c>
      <c r="I386" t="s">
        <v>6392</v>
      </c>
      <c r="J386">
        <f>AVERAGE(ai_job_market[[#This Row],[min_salary]],ai_job_market[[#This Row],[max_salary]])</f>
        <v>117930.5</v>
      </c>
      <c r="K386" t="s">
        <v>6374</v>
      </c>
      <c r="L386" t="s">
        <v>27</v>
      </c>
      <c r="M386" t="s">
        <v>37</v>
      </c>
      <c r="N386" t="s">
        <v>4829</v>
      </c>
      <c r="O386" t="s">
        <v>4646</v>
      </c>
      <c r="P386">
        <v>88577</v>
      </c>
      <c r="Q386">
        <v>147284</v>
      </c>
      <c r="R386" s="2">
        <v>45793</v>
      </c>
      <c r="S386" t="s">
        <v>14</v>
      </c>
      <c r="T386" t="s">
        <v>52</v>
      </c>
      <c r="W386" t="s">
        <v>6357</v>
      </c>
      <c r="X386">
        <v>88</v>
      </c>
      <c r="Y386" t="s">
        <v>52</v>
      </c>
      <c r="Z386">
        <v>238</v>
      </c>
    </row>
    <row r="387" spans="1:26" x14ac:dyDescent="0.3">
      <c r="A387">
        <v>386</v>
      </c>
      <c r="B387" t="s">
        <v>966</v>
      </c>
      <c r="C387" t="s">
        <v>11</v>
      </c>
      <c r="D387" t="s">
        <v>67</v>
      </c>
      <c r="E387" t="s">
        <v>6350</v>
      </c>
      <c r="F387" t="s">
        <v>6396</v>
      </c>
      <c r="G387" t="s">
        <v>6376</v>
      </c>
      <c r="H387" t="s">
        <v>6378</v>
      </c>
      <c r="I387" t="s">
        <v>6395</v>
      </c>
      <c r="J387" s="6">
        <f>AVERAGE(ai_job_market[[#This Row],[min_salary]],ai_job_market[[#This Row],[max_salary]])</f>
        <v>173883</v>
      </c>
      <c r="K387"/>
      <c r="L387" t="s">
        <v>14</v>
      </c>
      <c r="M387" t="s">
        <v>15</v>
      </c>
      <c r="N387" t="s">
        <v>4830</v>
      </c>
      <c r="O387" t="s">
        <v>4831</v>
      </c>
      <c r="P387" s="5">
        <v>129724</v>
      </c>
      <c r="Q387" s="5">
        <v>218042</v>
      </c>
      <c r="R387" s="2">
        <v>45447</v>
      </c>
      <c r="S387" t="s">
        <v>16</v>
      </c>
      <c r="T387" t="s">
        <v>70</v>
      </c>
      <c r="U387" t="s">
        <v>6375</v>
      </c>
      <c r="W387" t="s">
        <v>6350</v>
      </c>
      <c r="X387">
        <v>84</v>
      </c>
      <c r="Y387" t="s">
        <v>70</v>
      </c>
      <c r="Z387">
        <v>268</v>
      </c>
    </row>
    <row r="388" spans="1:26" x14ac:dyDescent="0.3">
      <c r="A388">
        <v>387</v>
      </c>
      <c r="B388" t="s">
        <v>968</v>
      </c>
      <c r="C388" t="s">
        <v>72</v>
      </c>
      <c r="D388" t="s">
        <v>25</v>
      </c>
      <c r="E388" t="s">
        <v>6350</v>
      </c>
      <c r="F388" t="s">
        <v>6380</v>
      </c>
      <c r="G388" t="s">
        <v>6395</v>
      </c>
      <c r="H388" t="s">
        <v>6391</v>
      </c>
      <c r="I388" t="s">
        <v>6386</v>
      </c>
      <c r="J388">
        <f>AVERAGE(ai_job_market[[#This Row],[min_salary]],ai_job_market[[#This Row],[max_salary]])</f>
        <v>60868</v>
      </c>
      <c r="K388" t="s">
        <v>6375</v>
      </c>
      <c r="L388" t="s">
        <v>27</v>
      </c>
      <c r="M388" t="s">
        <v>51</v>
      </c>
      <c r="N388" t="s">
        <v>4832</v>
      </c>
      <c r="O388" t="s">
        <v>4341</v>
      </c>
      <c r="P388">
        <v>41023</v>
      </c>
      <c r="Q388">
        <v>80713</v>
      </c>
      <c r="R388" s="2">
        <v>45366</v>
      </c>
      <c r="S388" t="s">
        <v>14</v>
      </c>
      <c r="T388" t="s">
        <v>157</v>
      </c>
      <c r="W388" t="s">
        <v>6350</v>
      </c>
      <c r="X388">
        <v>84</v>
      </c>
      <c r="Y388" t="s">
        <v>157</v>
      </c>
      <c r="Z388">
        <v>247</v>
      </c>
    </row>
    <row r="389" spans="1:26" x14ac:dyDescent="0.3">
      <c r="A389">
        <v>388</v>
      </c>
      <c r="B389" t="s">
        <v>970</v>
      </c>
      <c r="C389" t="s">
        <v>72</v>
      </c>
      <c r="D389" t="s">
        <v>54</v>
      </c>
      <c r="E389" t="s">
        <v>70</v>
      </c>
      <c r="F389" t="s">
        <v>6382</v>
      </c>
      <c r="G389" t="s">
        <v>6376</v>
      </c>
      <c r="H389" t="s">
        <v>6380</v>
      </c>
      <c r="I389" t="s">
        <v>6374</v>
      </c>
      <c r="J389">
        <f>AVERAGE(ai_job_market[[#This Row],[min_salary]],ai_job_market[[#This Row],[max_salary]])</f>
        <v>116960.5</v>
      </c>
      <c r="K389" t="s">
        <v>6384</v>
      </c>
      <c r="L389" t="s">
        <v>27</v>
      </c>
      <c r="M389" t="s">
        <v>51</v>
      </c>
      <c r="N389" t="s">
        <v>4833</v>
      </c>
      <c r="O389" t="s">
        <v>4452</v>
      </c>
      <c r="P389">
        <v>106371</v>
      </c>
      <c r="Q389">
        <v>127550</v>
      </c>
      <c r="R389" s="2">
        <v>45763</v>
      </c>
      <c r="S389" t="s">
        <v>69</v>
      </c>
      <c r="T389" t="s">
        <v>128</v>
      </c>
      <c r="W389" t="s">
        <v>70</v>
      </c>
      <c r="X389">
        <v>100</v>
      </c>
      <c r="Y389" t="s">
        <v>128</v>
      </c>
      <c r="Z389">
        <v>233</v>
      </c>
    </row>
    <row r="390" spans="1:26" x14ac:dyDescent="0.3">
      <c r="A390">
        <v>389</v>
      </c>
      <c r="B390" t="s">
        <v>972</v>
      </c>
      <c r="C390" t="s">
        <v>72</v>
      </c>
      <c r="D390" t="s">
        <v>135</v>
      </c>
      <c r="E390" t="s">
        <v>6349</v>
      </c>
      <c r="F390" t="s">
        <v>6375</v>
      </c>
      <c r="G390" t="s">
        <v>6386</v>
      </c>
      <c r="H390" t="s">
        <v>6381</v>
      </c>
      <c r="J390">
        <f>AVERAGE(ai_job_market[[#This Row],[min_salary]],ai_job_market[[#This Row],[max_salary]])</f>
        <v>65772</v>
      </c>
      <c r="K390"/>
      <c r="L390" t="s">
        <v>14</v>
      </c>
      <c r="M390" t="s">
        <v>51</v>
      </c>
      <c r="N390" t="s">
        <v>4834</v>
      </c>
      <c r="O390" t="s">
        <v>4835</v>
      </c>
      <c r="P390">
        <v>56530</v>
      </c>
      <c r="Q390">
        <v>75014</v>
      </c>
      <c r="R390" s="2">
        <v>45661</v>
      </c>
      <c r="S390" t="s">
        <v>14</v>
      </c>
      <c r="T390" t="s">
        <v>101</v>
      </c>
      <c r="W390" t="s">
        <v>6349</v>
      </c>
      <c r="X390">
        <v>96</v>
      </c>
      <c r="Y390" t="s">
        <v>101</v>
      </c>
      <c r="Z390">
        <v>255</v>
      </c>
    </row>
    <row r="391" spans="1:26" x14ac:dyDescent="0.3">
      <c r="A391">
        <v>390</v>
      </c>
      <c r="B391" t="s">
        <v>974</v>
      </c>
      <c r="C391" t="s">
        <v>72</v>
      </c>
      <c r="D391" t="s">
        <v>67</v>
      </c>
      <c r="E391" t="s">
        <v>6358</v>
      </c>
      <c r="F391" t="s">
        <v>6377</v>
      </c>
      <c r="G391" t="s">
        <v>6384</v>
      </c>
      <c r="H391" t="s">
        <v>6380</v>
      </c>
      <c r="I391" t="s">
        <v>6389</v>
      </c>
      <c r="J391">
        <f>AVERAGE(ai_job_market[[#This Row],[min_salary]],ai_job_market[[#This Row],[max_salary]])</f>
        <v>159655</v>
      </c>
      <c r="K391"/>
      <c r="L391" t="s">
        <v>27</v>
      </c>
      <c r="M391" t="s">
        <v>51</v>
      </c>
      <c r="N391" t="s">
        <v>4836</v>
      </c>
      <c r="O391" t="s">
        <v>4780</v>
      </c>
      <c r="P391">
        <v>119266</v>
      </c>
      <c r="Q391">
        <v>200044</v>
      </c>
      <c r="R391" s="2">
        <v>45365</v>
      </c>
      <c r="S391" t="s">
        <v>69</v>
      </c>
      <c r="T391" t="s">
        <v>52</v>
      </c>
      <c r="U391" t="s">
        <v>6379</v>
      </c>
      <c r="V391" t="s">
        <v>6376</v>
      </c>
      <c r="W391" t="s">
        <v>6358</v>
      </c>
      <c r="X391">
        <v>96</v>
      </c>
      <c r="Y391" t="s">
        <v>52</v>
      </c>
      <c r="Z391">
        <v>238</v>
      </c>
    </row>
    <row r="392" spans="1:26" x14ac:dyDescent="0.3">
      <c r="A392">
        <v>391</v>
      </c>
      <c r="B392" t="s">
        <v>977</v>
      </c>
      <c r="C392" t="s">
        <v>45</v>
      </c>
      <c r="D392" t="s">
        <v>30</v>
      </c>
      <c r="E392" t="s">
        <v>77</v>
      </c>
      <c r="F392" t="s">
        <v>6394</v>
      </c>
      <c r="G392" t="s">
        <v>6387</v>
      </c>
      <c r="J392">
        <f>AVERAGE(ai_job_market[[#This Row],[min_salary]],ai_job_market[[#This Row],[max_salary]])</f>
        <v>179429</v>
      </c>
      <c r="K392"/>
      <c r="L392" t="s">
        <v>22</v>
      </c>
      <c r="M392" t="s">
        <v>42</v>
      </c>
      <c r="N392" t="s">
        <v>4837</v>
      </c>
      <c r="O392" t="s">
        <v>4433</v>
      </c>
      <c r="P392">
        <v>131807</v>
      </c>
      <c r="Q392">
        <v>227051</v>
      </c>
      <c r="R392" s="2">
        <v>45736</v>
      </c>
      <c r="S392" t="s">
        <v>16</v>
      </c>
      <c r="T392" t="s">
        <v>128</v>
      </c>
      <c r="W392" t="s">
        <v>77</v>
      </c>
      <c r="X392">
        <v>111</v>
      </c>
      <c r="Y392" t="s">
        <v>128</v>
      </c>
      <c r="Z392">
        <v>233</v>
      </c>
    </row>
    <row r="393" spans="1:26" x14ac:dyDescent="0.3">
      <c r="A393">
        <v>392</v>
      </c>
      <c r="B393" t="s">
        <v>979</v>
      </c>
      <c r="C393" t="s">
        <v>19</v>
      </c>
      <c r="D393" t="s">
        <v>54</v>
      </c>
      <c r="E393" t="s">
        <v>77</v>
      </c>
      <c r="F393" t="s">
        <v>6394</v>
      </c>
      <c r="G393" t="s">
        <v>6387</v>
      </c>
      <c r="J393">
        <f>AVERAGE(ai_job_market[[#This Row],[min_salary]],ai_job_market[[#This Row],[max_salary]])</f>
        <v>79676</v>
      </c>
      <c r="K393"/>
      <c r="L393" t="s">
        <v>22</v>
      </c>
      <c r="M393" t="s">
        <v>51</v>
      </c>
      <c r="N393" t="s">
        <v>4838</v>
      </c>
      <c r="O393" t="s">
        <v>4382</v>
      </c>
      <c r="P393">
        <v>50349</v>
      </c>
      <c r="Q393">
        <v>109003</v>
      </c>
      <c r="R393" s="2">
        <v>45465</v>
      </c>
      <c r="S393" t="s">
        <v>69</v>
      </c>
      <c r="T393" t="s">
        <v>70</v>
      </c>
      <c r="W393" t="s">
        <v>77</v>
      </c>
      <c r="X393">
        <v>111</v>
      </c>
      <c r="Y393" t="s">
        <v>70</v>
      </c>
      <c r="Z393">
        <v>268</v>
      </c>
    </row>
    <row r="394" spans="1:26" x14ac:dyDescent="0.3">
      <c r="A394">
        <v>393</v>
      </c>
      <c r="B394" t="s">
        <v>980</v>
      </c>
      <c r="C394" t="s">
        <v>11</v>
      </c>
      <c r="D394" t="s">
        <v>25</v>
      </c>
      <c r="E394" t="s">
        <v>6356</v>
      </c>
      <c r="F394" t="s">
        <v>6375</v>
      </c>
      <c r="G394" t="s">
        <v>6377</v>
      </c>
      <c r="J394">
        <f>AVERAGE(ai_job_market[[#This Row],[min_salary]],ai_job_market[[#This Row],[max_salary]])</f>
        <v>86752</v>
      </c>
      <c r="K394"/>
      <c r="L394" t="s">
        <v>22</v>
      </c>
      <c r="M394" t="s">
        <v>37</v>
      </c>
      <c r="N394" t="s">
        <v>4473</v>
      </c>
      <c r="O394" t="s">
        <v>4511</v>
      </c>
      <c r="P394">
        <v>56567</v>
      </c>
      <c r="Q394">
        <v>116937</v>
      </c>
      <c r="R394" s="2">
        <v>45553</v>
      </c>
      <c r="S394" t="s">
        <v>14</v>
      </c>
      <c r="T394" t="s">
        <v>70</v>
      </c>
      <c r="U394" t="s">
        <v>6378</v>
      </c>
      <c r="V394" t="s">
        <v>6384</v>
      </c>
      <c r="W394" t="s">
        <v>6356</v>
      </c>
      <c r="X394">
        <v>86</v>
      </c>
      <c r="Y394" t="s">
        <v>70</v>
      </c>
      <c r="Z394">
        <v>268</v>
      </c>
    </row>
    <row r="395" spans="1:26" x14ac:dyDescent="0.3">
      <c r="A395">
        <v>394</v>
      </c>
      <c r="B395" t="s">
        <v>983</v>
      </c>
      <c r="C395" t="s">
        <v>72</v>
      </c>
      <c r="D395" t="s">
        <v>12</v>
      </c>
      <c r="E395" t="s">
        <v>6355</v>
      </c>
      <c r="F395" t="s">
        <v>6375</v>
      </c>
      <c r="G395" t="s">
        <v>6382</v>
      </c>
      <c r="H395" t="s">
        <v>6387</v>
      </c>
      <c r="I395" t="s">
        <v>6377</v>
      </c>
      <c r="J395" s="6">
        <f>AVERAGE(ai_job_market[[#This Row],[min_salary]],ai_job_market[[#This Row],[max_salary]])</f>
        <v>171198.5</v>
      </c>
      <c r="K395"/>
      <c r="L395" t="s">
        <v>27</v>
      </c>
      <c r="M395" t="s">
        <v>15</v>
      </c>
      <c r="N395" t="s">
        <v>4839</v>
      </c>
      <c r="O395" t="s">
        <v>4547</v>
      </c>
      <c r="P395" s="5">
        <v>137094</v>
      </c>
      <c r="Q395" s="5">
        <v>205303</v>
      </c>
      <c r="R395" s="2">
        <v>45756</v>
      </c>
      <c r="S395" t="s">
        <v>16</v>
      </c>
      <c r="T395" t="s">
        <v>77</v>
      </c>
      <c r="U395" t="s">
        <v>6376</v>
      </c>
      <c r="W395" t="s">
        <v>6355</v>
      </c>
      <c r="X395">
        <v>90</v>
      </c>
      <c r="Y395" t="s">
        <v>77</v>
      </c>
      <c r="Z395">
        <v>251</v>
      </c>
    </row>
    <row r="396" spans="1:26" x14ac:dyDescent="0.3">
      <c r="A396">
        <v>395</v>
      </c>
      <c r="B396" t="s">
        <v>986</v>
      </c>
      <c r="C396" t="s">
        <v>11</v>
      </c>
      <c r="D396" t="s">
        <v>54</v>
      </c>
      <c r="E396" t="s">
        <v>128</v>
      </c>
      <c r="F396" t="s">
        <v>6391</v>
      </c>
      <c r="G396" t="s">
        <v>6379</v>
      </c>
      <c r="H396" t="s">
        <v>6397</v>
      </c>
      <c r="J396">
        <f>AVERAGE(ai_job_market[[#This Row],[min_salary]],ai_job_market[[#This Row],[max_salary]])</f>
        <v>163536</v>
      </c>
      <c r="K396"/>
      <c r="L396" t="s">
        <v>22</v>
      </c>
      <c r="M396" t="s">
        <v>51</v>
      </c>
      <c r="N396" t="s">
        <v>4840</v>
      </c>
      <c r="O396" t="s">
        <v>4603</v>
      </c>
      <c r="P396">
        <v>123710</v>
      </c>
      <c r="Q396">
        <v>203362</v>
      </c>
      <c r="R396" s="2">
        <v>45651</v>
      </c>
      <c r="S396" t="s">
        <v>16</v>
      </c>
      <c r="T396" t="s">
        <v>101</v>
      </c>
      <c r="U396" t="s">
        <v>6389</v>
      </c>
      <c r="W396" t="s">
        <v>128</v>
      </c>
      <c r="X396">
        <v>92</v>
      </c>
      <c r="Y396" t="s">
        <v>101</v>
      </c>
      <c r="Z396">
        <v>255</v>
      </c>
    </row>
    <row r="397" spans="1:26" x14ac:dyDescent="0.3">
      <c r="A397">
        <v>396</v>
      </c>
      <c r="B397" t="s">
        <v>988</v>
      </c>
      <c r="C397" t="s">
        <v>11</v>
      </c>
      <c r="D397" t="s">
        <v>35</v>
      </c>
      <c r="E397" t="s">
        <v>6359</v>
      </c>
      <c r="F397" t="s">
        <v>6376</v>
      </c>
      <c r="G397" t="s">
        <v>6384</v>
      </c>
      <c r="H397" t="s">
        <v>6375</v>
      </c>
      <c r="I397" t="s">
        <v>6393</v>
      </c>
      <c r="J397" s="6">
        <f>AVERAGE(ai_job_market[[#This Row],[min_salary]],ai_job_market[[#This Row],[max_salary]])</f>
        <v>152211</v>
      </c>
      <c r="K397" t="s">
        <v>6392</v>
      </c>
      <c r="L397" t="s">
        <v>14</v>
      </c>
      <c r="M397" t="s">
        <v>37</v>
      </c>
      <c r="N397" t="s">
        <v>4841</v>
      </c>
      <c r="O397" t="s">
        <v>4842</v>
      </c>
      <c r="P397" s="5">
        <v>120259</v>
      </c>
      <c r="Q397" s="5">
        <v>184163</v>
      </c>
      <c r="R397" s="2">
        <v>45442</v>
      </c>
      <c r="S397" t="s">
        <v>69</v>
      </c>
      <c r="T397" t="s">
        <v>128</v>
      </c>
      <c r="W397" t="s">
        <v>6359</v>
      </c>
      <c r="X397">
        <v>104</v>
      </c>
      <c r="Y397" t="s">
        <v>128</v>
      </c>
      <c r="Z397">
        <v>233</v>
      </c>
    </row>
    <row r="398" spans="1:26" x14ac:dyDescent="0.3">
      <c r="A398">
        <v>397</v>
      </c>
      <c r="B398" t="s">
        <v>990</v>
      </c>
      <c r="C398" t="s">
        <v>34</v>
      </c>
      <c r="D398" t="s">
        <v>25</v>
      </c>
      <c r="E398" t="s">
        <v>70</v>
      </c>
      <c r="F398" t="s">
        <v>6382</v>
      </c>
      <c r="G398" t="s">
        <v>6395</v>
      </c>
      <c r="J398">
        <f>AVERAGE(ai_job_market[[#This Row],[min_salary]],ai_job_market[[#This Row],[max_salary]])</f>
        <v>149205.5</v>
      </c>
      <c r="K398"/>
      <c r="L398" t="s">
        <v>27</v>
      </c>
      <c r="M398" t="s">
        <v>42</v>
      </c>
      <c r="N398" t="s">
        <v>4843</v>
      </c>
      <c r="O398" t="s">
        <v>4293</v>
      </c>
      <c r="P398">
        <v>131912</v>
      </c>
      <c r="Q398">
        <v>166499</v>
      </c>
      <c r="R398" s="2">
        <v>45558</v>
      </c>
      <c r="S398" t="s">
        <v>14</v>
      </c>
      <c r="T398" t="s">
        <v>80</v>
      </c>
      <c r="U398" t="s">
        <v>6378</v>
      </c>
      <c r="W398" t="s">
        <v>70</v>
      </c>
      <c r="X398">
        <v>100</v>
      </c>
      <c r="Y398" t="s">
        <v>80</v>
      </c>
      <c r="Z398">
        <v>249</v>
      </c>
    </row>
    <row r="399" spans="1:26" x14ac:dyDescent="0.3">
      <c r="A399">
        <v>398</v>
      </c>
      <c r="B399" t="s">
        <v>992</v>
      </c>
      <c r="C399" t="s">
        <v>72</v>
      </c>
      <c r="D399" t="s">
        <v>67</v>
      </c>
      <c r="E399" t="s">
        <v>128</v>
      </c>
      <c r="F399" t="s">
        <v>6389</v>
      </c>
      <c r="G399" t="s">
        <v>6379</v>
      </c>
      <c r="J399">
        <f>AVERAGE(ai_job_market[[#This Row],[min_salary]],ai_job_market[[#This Row],[max_salary]])</f>
        <v>80093</v>
      </c>
      <c r="K399"/>
      <c r="L399" t="s">
        <v>27</v>
      </c>
      <c r="M399" t="s">
        <v>51</v>
      </c>
      <c r="N399" t="s">
        <v>4844</v>
      </c>
      <c r="O399" t="s">
        <v>4422</v>
      </c>
      <c r="P399">
        <v>74468</v>
      </c>
      <c r="Q399">
        <v>85718</v>
      </c>
      <c r="R399" s="2">
        <v>45913</v>
      </c>
      <c r="S399" t="s">
        <v>14</v>
      </c>
      <c r="T399" t="s">
        <v>157</v>
      </c>
      <c r="W399" t="s">
        <v>128</v>
      </c>
      <c r="X399">
        <v>92</v>
      </c>
      <c r="Y399" t="s">
        <v>157</v>
      </c>
      <c r="Z399">
        <v>247</v>
      </c>
    </row>
    <row r="400" spans="1:26" x14ac:dyDescent="0.3">
      <c r="A400">
        <v>399</v>
      </c>
      <c r="B400" t="s">
        <v>994</v>
      </c>
      <c r="C400" t="s">
        <v>34</v>
      </c>
      <c r="D400" t="s">
        <v>12</v>
      </c>
      <c r="E400" t="s">
        <v>6357</v>
      </c>
      <c r="F400" t="s">
        <v>6377</v>
      </c>
      <c r="G400" t="s">
        <v>6375</v>
      </c>
      <c r="J400">
        <f>AVERAGE(ai_job_market[[#This Row],[min_salary]],ai_job_market[[#This Row],[max_salary]])</f>
        <v>85976.5</v>
      </c>
      <c r="K400"/>
      <c r="L400" t="s">
        <v>27</v>
      </c>
      <c r="M400" t="s">
        <v>42</v>
      </c>
      <c r="N400" t="s">
        <v>4845</v>
      </c>
      <c r="O400" t="s">
        <v>4538</v>
      </c>
      <c r="P400">
        <v>43013</v>
      </c>
      <c r="Q400">
        <v>128940</v>
      </c>
      <c r="R400" s="2">
        <v>45913</v>
      </c>
      <c r="S400" t="s">
        <v>69</v>
      </c>
      <c r="T400" t="s">
        <v>157</v>
      </c>
      <c r="U400" t="s">
        <v>6384</v>
      </c>
      <c r="V400" t="s">
        <v>6375</v>
      </c>
      <c r="W400" t="s">
        <v>6357</v>
      </c>
      <c r="X400">
        <v>88</v>
      </c>
      <c r="Y400" t="s">
        <v>157</v>
      </c>
      <c r="Z400">
        <v>247</v>
      </c>
    </row>
    <row r="401" spans="1:26" x14ac:dyDescent="0.3">
      <c r="A401">
        <v>400</v>
      </c>
      <c r="B401" t="s">
        <v>996</v>
      </c>
      <c r="C401" t="s">
        <v>49</v>
      </c>
      <c r="D401" t="s">
        <v>35</v>
      </c>
      <c r="E401" t="s">
        <v>6350</v>
      </c>
      <c r="F401" t="s">
        <v>6377</v>
      </c>
      <c r="G401" t="s">
        <v>6374</v>
      </c>
      <c r="H401" t="s">
        <v>6387</v>
      </c>
      <c r="I401" t="s">
        <v>6397</v>
      </c>
      <c r="J401" s="6">
        <f>AVERAGE(ai_job_market[[#This Row],[min_salary]],ai_job_market[[#This Row],[max_salary]])</f>
        <v>62955</v>
      </c>
      <c r="K401" t="s">
        <v>6395</v>
      </c>
      <c r="L401" t="s">
        <v>27</v>
      </c>
      <c r="M401" t="s">
        <v>15</v>
      </c>
      <c r="N401" t="s">
        <v>4846</v>
      </c>
      <c r="O401" t="s">
        <v>4706</v>
      </c>
      <c r="P401" s="5">
        <v>55605</v>
      </c>
      <c r="Q401" s="5">
        <v>70305</v>
      </c>
      <c r="R401" s="2">
        <v>45558</v>
      </c>
      <c r="S401" t="s">
        <v>69</v>
      </c>
      <c r="T401" t="s">
        <v>128</v>
      </c>
      <c r="U401" t="s">
        <v>6383</v>
      </c>
      <c r="V401" t="s">
        <v>6379</v>
      </c>
      <c r="W401" t="s">
        <v>6350</v>
      </c>
      <c r="X401">
        <v>84</v>
      </c>
      <c r="Y401" t="s">
        <v>128</v>
      </c>
      <c r="Z401">
        <v>233</v>
      </c>
    </row>
    <row r="402" spans="1:26" x14ac:dyDescent="0.3">
      <c r="A402">
        <v>401</v>
      </c>
      <c r="B402" t="s">
        <v>998</v>
      </c>
      <c r="C402" t="s">
        <v>40</v>
      </c>
      <c r="D402" t="s">
        <v>67</v>
      </c>
      <c r="E402" t="s">
        <v>6359</v>
      </c>
      <c r="F402" t="s">
        <v>6382</v>
      </c>
      <c r="G402" t="s">
        <v>6394</v>
      </c>
      <c r="H402" t="s">
        <v>6378</v>
      </c>
      <c r="J402">
        <f>AVERAGE(ai_job_market[[#This Row],[min_salary]],ai_job_market[[#This Row],[max_salary]])</f>
        <v>142721</v>
      </c>
      <c r="K402"/>
      <c r="L402" t="s">
        <v>27</v>
      </c>
      <c r="M402" t="s">
        <v>15</v>
      </c>
      <c r="N402" t="s">
        <v>4847</v>
      </c>
      <c r="O402" t="s">
        <v>4666</v>
      </c>
      <c r="P402">
        <v>99742</v>
      </c>
      <c r="Q402">
        <v>185700</v>
      </c>
      <c r="R402" s="2">
        <v>45590</v>
      </c>
      <c r="S402" t="s">
        <v>14</v>
      </c>
      <c r="T402" t="s">
        <v>80</v>
      </c>
      <c r="W402" t="s">
        <v>6359</v>
      </c>
      <c r="X402">
        <v>104</v>
      </c>
      <c r="Y402" t="s">
        <v>80</v>
      </c>
      <c r="Z402">
        <v>249</v>
      </c>
    </row>
    <row r="403" spans="1:26" x14ac:dyDescent="0.3">
      <c r="A403">
        <v>402</v>
      </c>
      <c r="B403" t="s">
        <v>1000</v>
      </c>
      <c r="C403" t="s">
        <v>45</v>
      </c>
      <c r="D403" t="s">
        <v>30</v>
      </c>
      <c r="E403" t="s">
        <v>6348</v>
      </c>
      <c r="F403" t="s">
        <v>6390</v>
      </c>
      <c r="G403" t="s">
        <v>6376</v>
      </c>
      <c r="H403" t="s">
        <v>6384</v>
      </c>
      <c r="J403" s="6">
        <f>AVERAGE(ai_job_market[[#This Row],[min_salary]],ai_job_market[[#This Row],[max_salary]])</f>
        <v>138534.5</v>
      </c>
      <c r="K403"/>
      <c r="L403" t="s">
        <v>14</v>
      </c>
      <c r="M403" t="s">
        <v>51</v>
      </c>
      <c r="N403" t="s">
        <v>4848</v>
      </c>
      <c r="O403" t="s">
        <v>4849</v>
      </c>
      <c r="P403" s="5">
        <v>103675</v>
      </c>
      <c r="Q403" s="5">
        <v>173394</v>
      </c>
      <c r="R403" s="2">
        <v>45499</v>
      </c>
      <c r="S403" t="s">
        <v>69</v>
      </c>
      <c r="T403" t="s">
        <v>52</v>
      </c>
      <c r="W403" t="s">
        <v>6348</v>
      </c>
      <c r="X403">
        <v>78</v>
      </c>
      <c r="Y403" t="s">
        <v>52</v>
      </c>
      <c r="Z403">
        <v>238</v>
      </c>
    </row>
    <row r="404" spans="1:26" x14ac:dyDescent="0.3">
      <c r="A404">
        <v>403</v>
      </c>
      <c r="B404" t="s">
        <v>1002</v>
      </c>
      <c r="C404" t="s">
        <v>49</v>
      </c>
      <c r="D404" t="s">
        <v>20</v>
      </c>
      <c r="E404" t="s">
        <v>77</v>
      </c>
      <c r="F404" t="s">
        <v>6386</v>
      </c>
      <c r="G404" t="s">
        <v>6393</v>
      </c>
      <c r="H404" t="s">
        <v>6387</v>
      </c>
      <c r="J404">
        <f>AVERAGE(ai_job_market[[#This Row],[min_salary]],ai_job_market[[#This Row],[max_salary]])</f>
        <v>153913</v>
      </c>
      <c r="K404"/>
      <c r="L404" t="s">
        <v>14</v>
      </c>
      <c r="M404" t="s">
        <v>42</v>
      </c>
      <c r="N404" t="s">
        <v>4850</v>
      </c>
      <c r="O404" t="s">
        <v>4357</v>
      </c>
      <c r="P404">
        <v>126438</v>
      </c>
      <c r="Q404">
        <v>181388</v>
      </c>
      <c r="R404" s="2">
        <v>45407</v>
      </c>
      <c r="S404" t="s">
        <v>69</v>
      </c>
      <c r="T404" t="s">
        <v>128</v>
      </c>
      <c r="W404" t="s">
        <v>77</v>
      </c>
      <c r="X404">
        <v>111</v>
      </c>
      <c r="Y404" t="s">
        <v>128</v>
      </c>
      <c r="Z404">
        <v>233</v>
      </c>
    </row>
    <row r="405" spans="1:26" x14ac:dyDescent="0.3">
      <c r="A405">
        <v>404</v>
      </c>
      <c r="B405" t="s">
        <v>1004</v>
      </c>
      <c r="C405" t="s">
        <v>11</v>
      </c>
      <c r="D405" t="s">
        <v>67</v>
      </c>
      <c r="E405" t="s">
        <v>6350</v>
      </c>
      <c r="F405" t="s">
        <v>6375</v>
      </c>
      <c r="G405" t="s">
        <v>6392</v>
      </c>
      <c r="J405">
        <f>AVERAGE(ai_job_market[[#This Row],[min_salary]],ai_job_market[[#This Row],[max_salary]])</f>
        <v>58430</v>
      </c>
      <c r="K405"/>
      <c r="L405" t="s">
        <v>14</v>
      </c>
      <c r="M405" t="s">
        <v>42</v>
      </c>
      <c r="N405" t="s">
        <v>4851</v>
      </c>
      <c r="O405" t="s">
        <v>4405</v>
      </c>
      <c r="P405">
        <v>45855</v>
      </c>
      <c r="Q405">
        <v>71005</v>
      </c>
      <c r="R405" s="2">
        <v>45673</v>
      </c>
      <c r="S405" t="s">
        <v>14</v>
      </c>
      <c r="T405" t="s">
        <v>157</v>
      </c>
      <c r="W405" t="s">
        <v>6350</v>
      </c>
      <c r="X405">
        <v>84</v>
      </c>
      <c r="Y405" t="s">
        <v>157</v>
      </c>
      <c r="Z405">
        <v>247</v>
      </c>
    </row>
    <row r="406" spans="1:26" x14ac:dyDescent="0.3">
      <c r="A406">
        <v>405</v>
      </c>
      <c r="B406" t="s">
        <v>1006</v>
      </c>
      <c r="C406" t="s">
        <v>19</v>
      </c>
      <c r="D406" t="s">
        <v>135</v>
      </c>
      <c r="E406" t="s">
        <v>70</v>
      </c>
      <c r="F406" t="s">
        <v>6382</v>
      </c>
      <c r="G406" t="s">
        <v>6386</v>
      </c>
      <c r="J406">
        <f>AVERAGE(ai_job_market[[#This Row],[min_salary]],ai_job_market[[#This Row],[max_salary]])</f>
        <v>111669.5</v>
      </c>
      <c r="K406"/>
      <c r="L406" t="s">
        <v>14</v>
      </c>
      <c r="M406" t="s">
        <v>37</v>
      </c>
      <c r="N406" t="s">
        <v>4852</v>
      </c>
      <c r="O406" t="s">
        <v>4403</v>
      </c>
      <c r="P406">
        <v>77831</v>
      </c>
      <c r="Q406">
        <v>145508</v>
      </c>
      <c r="R406" s="2">
        <v>45467</v>
      </c>
      <c r="S406" t="s">
        <v>16</v>
      </c>
      <c r="T406" t="s">
        <v>77</v>
      </c>
      <c r="W406" t="s">
        <v>70</v>
      </c>
      <c r="X406">
        <v>100</v>
      </c>
      <c r="Y406" t="s">
        <v>77</v>
      </c>
      <c r="Z406">
        <v>251</v>
      </c>
    </row>
    <row r="407" spans="1:26" x14ac:dyDescent="0.3">
      <c r="A407">
        <v>406</v>
      </c>
      <c r="B407" t="s">
        <v>1008</v>
      </c>
      <c r="C407" t="s">
        <v>34</v>
      </c>
      <c r="D407" t="s">
        <v>25</v>
      </c>
      <c r="E407" t="s">
        <v>6352</v>
      </c>
      <c r="F407" t="s">
        <v>6377</v>
      </c>
      <c r="G407" t="s">
        <v>6391</v>
      </c>
      <c r="H407" t="s">
        <v>6376</v>
      </c>
      <c r="I407" t="s">
        <v>6397</v>
      </c>
      <c r="J407" s="6">
        <f>AVERAGE(ai_job_market[[#This Row],[min_salary]],ai_job_market[[#This Row],[max_salary]])</f>
        <v>101060</v>
      </c>
      <c r="K407"/>
      <c r="L407" t="s">
        <v>14</v>
      </c>
      <c r="M407" t="s">
        <v>51</v>
      </c>
      <c r="N407" t="s">
        <v>4853</v>
      </c>
      <c r="O407" t="s">
        <v>4323</v>
      </c>
      <c r="P407" s="5">
        <v>91591</v>
      </c>
      <c r="Q407" s="5">
        <v>110529</v>
      </c>
      <c r="R407" s="2">
        <v>45607</v>
      </c>
      <c r="S407" t="s">
        <v>14</v>
      </c>
      <c r="T407" t="s">
        <v>77</v>
      </c>
      <c r="U407" t="s">
        <v>6384</v>
      </c>
      <c r="W407" t="s">
        <v>6352</v>
      </c>
      <c r="X407">
        <v>97</v>
      </c>
      <c r="Y407" t="s">
        <v>77</v>
      </c>
      <c r="Z407">
        <v>251</v>
      </c>
    </row>
    <row r="408" spans="1:26" x14ac:dyDescent="0.3">
      <c r="A408">
        <v>407</v>
      </c>
      <c r="B408" t="s">
        <v>1011</v>
      </c>
      <c r="C408" t="s">
        <v>34</v>
      </c>
      <c r="D408" t="s">
        <v>135</v>
      </c>
      <c r="E408" t="s">
        <v>77</v>
      </c>
      <c r="F408" t="s">
        <v>6394</v>
      </c>
      <c r="G408" t="s">
        <v>6396</v>
      </c>
      <c r="J408">
        <f>AVERAGE(ai_job_market[[#This Row],[min_salary]],ai_job_market[[#This Row],[max_salary]])</f>
        <v>127173.5</v>
      </c>
      <c r="K408"/>
      <c r="L408" t="s">
        <v>27</v>
      </c>
      <c r="M408" t="s">
        <v>15</v>
      </c>
      <c r="N408" t="s">
        <v>4854</v>
      </c>
      <c r="O408" t="s">
        <v>4405</v>
      </c>
      <c r="P408">
        <v>115140</v>
      </c>
      <c r="Q408">
        <v>139207</v>
      </c>
      <c r="R408" s="2">
        <v>45403</v>
      </c>
      <c r="S408" t="s">
        <v>14</v>
      </c>
      <c r="T408" t="s">
        <v>90</v>
      </c>
      <c r="U408" t="s">
        <v>6384</v>
      </c>
      <c r="W408" t="s">
        <v>77</v>
      </c>
      <c r="X408">
        <v>111</v>
      </c>
      <c r="Y408" t="s">
        <v>90</v>
      </c>
      <c r="Z408">
        <v>259</v>
      </c>
    </row>
    <row r="409" spans="1:26" x14ac:dyDescent="0.3">
      <c r="A409">
        <v>408</v>
      </c>
      <c r="B409" t="s">
        <v>1013</v>
      </c>
      <c r="C409" t="s">
        <v>11</v>
      </c>
      <c r="D409" t="s">
        <v>54</v>
      </c>
      <c r="E409" t="s">
        <v>6359</v>
      </c>
      <c r="F409" t="s">
        <v>6377</v>
      </c>
      <c r="G409" t="s">
        <v>6375</v>
      </c>
      <c r="J409">
        <f>AVERAGE(ai_job_market[[#This Row],[min_salary]],ai_job_market[[#This Row],[max_salary]])</f>
        <v>67737</v>
      </c>
      <c r="K409"/>
      <c r="L409" t="s">
        <v>22</v>
      </c>
      <c r="M409" t="s">
        <v>15</v>
      </c>
      <c r="N409" t="s">
        <v>4855</v>
      </c>
      <c r="O409" t="s">
        <v>4329</v>
      </c>
      <c r="P409">
        <v>52749</v>
      </c>
      <c r="Q409">
        <v>82725</v>
      </c>
      <c r="R409" s="2">
        <v>45604</v>
      </c>
      <c r="S409" t="s">
        <v>69</v>
      </c>
      <c r="T409" t="s">
        <v>70</v>
      </c>
      <c r="U409" t="s">
        <v>6389</v>
      </c>
      <c r="V409" t="s">
        <v>6376</v>
      </c>
      <c r="W409" t="s">
        <v>6359</v>
      </c>
      <c r="X409">
        <v>104</v>
      </c>
      <c r="Y409" t="s">
        <v>70</v>
      </c>
      <c r="Z409">
        <v>268</v>
      </c>
    </row>
    <row r="410" spans="1:26" x14ac:dyDescent="0.3">
      <c r="A410">
        <v>409</v>
      </c>
      <c r="B410" t="s">
        <v>1016</v>
      </c>
      <c r="C410" t="s">
        <v>72</v>
      </c>
      <c r="D410" t="s">
        <v>25</v>
      </c>
      <c r="E410" t="s">
        <v>6346</v>
      </c>
      <c r="F410" t="s">
        <v>6381</v>
      </c>
      <c r="G410" t="s">
        <v>6387</v>
      </c>
      <c r="H410" t="s">
        <v>6386</v>
      </c>
      <c r="J410">
        <f>AVERAGE(ai_job_market[[#This Row],[min_salary]],ai_job_market[[#This Row],[max_salary]])</f>
        <v>71007</v>
      </c>
      <c r="K410"/>
      <c r="L410" t="s">
        <v>14</v>
      </c>
      <c r="M410" t="s">
        <v>42</v>
      </c>
      <c r="N410" t="s">
        <v>4856</v>
      </c>
      <c r="O410" t="s">
        <v>4382</v>
      </c>
      <c r="P410">
        <v>59860</v>
      </c>
      <c r="Q410">
        <v>82154</v>
      </c>
      <c r="R410" s="2">
        <v>45625</v>
      </c>
      <c r="S410" t="s">
        <v>69</v>
      </c>
      <c r="T410" t="s">
        <v>70</v>
      </c>
      <c r="W410" t="s">
        <v>6346</v>
      </c>
      <c r="X410">
        <v>78</v>
      </c>
      <c r="Y410" t="s">
        <v>70</v>
      </c>
      <c r="Z410">
        <v>268</v>
      </c>
    </row>
    <row r="411" spans="1:26" x14ac:dyDescent="0.3">
      <c r="A411">
        <v>410</v>
      </c>
      <c r="B411" t="s">
        <v>1018</v>
      </c>
      <c r="C411" t="s">
        <v>11</v>
      </c>
      <c r="D411" t="s">
        <v>135</v>
      </c>
      <c r="E411" t="s">
        <v>6354</v>
      </c>
      <c r="F411" t="s">
        <v>6381</v>
      </c>
      <c r="G411" t="s">
        <v>6386</v>
      </c>
      <c r="H411" t="s">
        <v>6391</v>
      </c>
      <c r="I411" t="s">
        <v>6397</v>
      </c>
      <c r="J411">
        <f>AVERAGE(ai_job_market[[#This Row],[min_salary]],ai_job_market[[#This Row],[max_salary]])</f>
        <v>166053</v>
      </c>
      <c r="K411"/>
      <c r="L411" t="s">
        <v>22</v>
      </c>
      <c r="M411" t="s">
        <v>37</v>
      </c>
      <c r="N411" t="s">
        <v>4857</v>
      </c>
      <c r="O411" t="s">
        <v>4554</v>
      </c>
      <c r="P411">
        <v>134954</v>
      </c>
      <c r="Q411">
        <v>197152</v>
      </c>
      <c r="R411" s="2">
        <v>45888</v>
      </c>
      <c r="S411" t="s">
        <v>69</v>
      </c>
      <c r="T411" t="s">
        <v>70</v>
      </c>
      <c r="U411" t="s">
        <v>6376</v>
      </c>
      <c r="W411" t="s">
        <v>6354</v>
      </c>
      <c r="X411">
        <v>75</v>
      </c>
      <c r="Y411" t="s">
        <v>70</v>
      </c>
      <c r="Z411">
        <v>268</v>
      </c>
    </row>
    <row r="412" spans="1:26" x14ac:dyDescent="0.3">
      <c r="A412">
        <v>411</v>
      </c>
      <c r="B412" t="s">
        <v>1020</v>
      </c>
      <c r="C412" t="s">
        <v>19</v>
      </c>
      <c r="D412" t="s">
        <v>12</v>
      </c>
      <c r="E412" t="s">
        <v>6345</v>
      </c>
      <c r="F412" t="s">
        <v>6376</v>
      </c>
      <c r="G412" t="s">
        <v>6392</v>
      </c>
      <c r="H412" t="s">
        <v>6395</v>
      </c>
      <c r="J412">
        <f>AVERAGE(ai_job_market[[#This Row],[min_salary]],ai_job_market[[#This Row],[max_salary]])</f>
        <v>134895.5</v>
      </c>
      <c r="K412"/>
      <c r="L412" t="s">
        <v>22</v>
      </c>
      <c r="M412" t="s">
        <v>37</v>
      </c>
      <c r="N412" t="s">
        <v>4858</v>
      </c>
      <c r="O412" t="s">
        <v>4327</v>
      </c>
      <c r="P412">
        <v>89200</v>
      </c>
      <c r="Q412">
        <v>180591</v>
      </c>
      <c r="R412" s="2">
        <v>45878</v>
      </c>
      <c r="S412" t="s">
        <v>69</v>
      </c>
      <c r="T412" t="s">
        <v>157</v>
      </c>
      <c r="U412" t="s">
        <v>6378</v>
      </c>
      <c r="W412" t="s">
        <v>6345</v>
      </c>
      <c r="X412">
        <v>101</v>
      </c>
      <c r="Y412" t="s">
        <v>157</v>
      </c>
      <c r="Z412">
        <v>247</v>
      </c>
    </row>
    <row r="413" spans="1:26" x14ac:dyDescent="0.3">
      <c r="A413">
        <v>412</v>
      </c>
      <c r="B413" t="s">
        <v>1022</v>
      </c>
      <c r="C413" t="s">
        <v>45</v>
      </c>
      <c r="D413" t="s">
        <v>135</v>
      </c>
      <c r="E413" t="s">
        <v>77</v>
      </c>
      <c r="F413" t="s">
        <v>6391</v>
      </c>
      <c r="G413" t="s">
        <v>6382</v>
      </c>
      <c r="H413" t="s">
        <v>6394</v>
      </c>
      <c r="J413">
        <f>AVERAGE(ai_job_market[[#This Row],[min_salary]],ai_job_market[[#This Row],[max_salary]])</f>
        <v>95372.5</v>
      </c>
      <c r="K413"/>
      <c r="L413" t="s">
        <v>27</v>
      </c>
      <c r="M413" t="s">
        <v>15</v>
      </c>
      <c r="N413" t="s">
        <v>4859</v>
      </c>
      <c r="O413" t="s">
        <v>4815</v>
      </c>
      <c r="P413">
        <v>54169</v>
      </c>
      <c r="Q413">
        <v>136576</v>
      </c>
      <c r="R413" s="2">
        <v>45836</v>
      </c>
      <c r="S413" t="s">
        <v>69</v>
      </c>
      <c r="T413" t="s">
        <v>52</v>
      </c>
      <c r="U413" t="s">
        <v>6384</v>
      </c>
      <c r="V413" t="s">
        <v>6383</v>
      </c>
      <c r="W413" t="s">
        <v>77</v>
      </c>
      <c r="X413">
        <v>111</v>
      </c>
      <c r="Y413" t="s">
        <v>52</v>
      </c>
      <c r="Z413">
        <v>238</v>
      </c>
    </row>
    <row r="414" spans="1:26" x14ac:dyDescent="0.3">
      <c r="A414">
        <v>413</v>
      </c>
      <c r="B414" t="s">
        <v>1025</v>
      </c>
      <c r="C414" t="s">
        <v>11</v>
      </c>
      <c r="D414" t="s">
        <v>35</v>
      </c>
      <c r="E414" t="s">
        <v>128</v>
      </c>
      <c r="F414" t="s">
        <v>6395</v>
      </c>
      <c r="G414" t="s">
        <v>6376</v>
      </c>
      <c r="J414">
        <f>AVERAGE(ai_job_market[[#This Row],[min_salary]],ai_job_market[[#This Row],[max_salary]])</f>
        <v>114574.5</v>
      </c>
      <c r="K414"/>
      <c r="L414" t="s">
        <v>27</v>
      </c>
      <c r="M414" t="s">
        <v>42</v>
      </c>
      <c r="N414" t="s">
        <v>4860</v>
      </c>
      <c r="O414" t="s">
        <v>4299</v>
      </c>
      <c r="P414">
        <v>77375</v>
      </c>
      <c r="Q414">
        <v>151774</v>
      </c>
      <c r="R414" s="2">
        <v>45643</v>
      </c>
      <c r="S414" t="s">
        <v>69</v>
      </c>
      <c r="T414" t="s">
        <v>70</v>
      </c>
      <c r="U414" t="s">
        <v>6389</v>
      </c>
      <c r="W414" t="s">
        <v>128</v>
      </c>
      <c r="X414">
        <v>92</v>
      </c>
      <c r="Y414" t="s">
        <v>70</v>
      </c>
      <c r="Z414">
        <v>268</v>
      </c>
    </row>
    <row r="415" spans="1:26" x14ac:dyDescent="0.3">
      <c r="A415">
        <v>414</v>
      </c>
      <c r="B415" t="s">
        <v>1027</v>
      </c>
      <c r="C415" t="s">
        <v>11</v>
      </c>
      <c r="D415" t="s">
        <v>30</v>
      </c>
      <c r="E415" t="s">
        <v>6351</v>
      </c>
      <c r="F415" t="s">
        <v>6375</v>
      </c>
      <c r="G415" t="s">
        <v>6374</v>
      </c>
      <c r="H415" t="s">
        <v>6389</v>
      </c>
      <c r="I415" t="s">
        <v>6376</v>
      </c>
      <c r="J415">
        <f>AVERAGE(ai_job_market[[#This Row],[min_salary]],ai_job_market[[#This Row],[max_salary]])</f>
        <v>58636</v>
      </c>
      <c r="K415"/>
      <c r="L415" t="s">
        <v>14</v>
      </c>
      <c r="M415" t="s">
        <v>51</v>
      </c>
      <c r="N415" t="s">
        <v>4861</v>
      </c>
      <c r="O415" t="s">
        <v>4325</v>
      </c>
      <c r="P415">
        <v>44125</v>
      </c>
      <c r="Q415">
        <v>73147</v>
      </c>
      <c r="R415" s="2">
        <v>45880</v>
      </c>
      <c r="S415" t="s">
        <v>16</v>
      </c>
      <c r="T415" t="s">
        <v>90</v>
      </c>
      <c r="U415" t="s">
        <v>6376</v>
      </c>
      <c r="W415" t="s">
        <v>6351</v>
      </c>
      <c r="X415">
        <v>89</v>
      </c>
      <c r="Y415" t="s">
        <v>90</v>
      </c>
      <c r="Z415">
        <v>259</v>
      </c>
    </row>
    <row r="416" spans="1:26" x14ac:dyDescent="0.3">
      <c r="A416">
        <v>415</v>
      </c>
      <c r="B416" t="s">
        <v>1030</v>
      </c>
      <c r="C416" t="s">
        <v>49</v>
      </c>
      <c r="D416" t="s">
        <v>12</v>
      </c>
      <c r="E416" t="s">
        <v>70</v>
      </c>
      <c r="F416" t="s">
        <v>6397</v>
      </c>
      <c r="G416" t="s">
        <v>6389</v>
      </c>
      <c r="H416" t="s">
        <v>6384</v>
      </c>
      <c r="I416" t="s">
        <v>6378</v>
      </c>
      <c r="J416">
        <f>AVERAGE(ai_job_market[[#This Row],[min_salary]],ai_job_market[[#This Row],[max_salary]])</f>
        <v>81195.5</v>
      </c>
      <c r="K416"/>
      <c r="L416" t="s">
        <v>27</v>
      </c>
      <c r="M416" t="s">
        <v>51</v>
      </c>
      <c r="N416" t="s">
        <v>4862</v>
      </c>
      <c r="O416" t="s">
        <v>4509</v>
      </c>
      <c r="P416">
        <v>68767</v>
      </c>
      <c r="Q416">
        <v>93624</v>
      </c>
      <c r="R416" s="2">
        <v>45693</v>
      </c>
      <c r="S416" t="s">
        <v>14</v>
      </c>
      <c r="T416" t="s">
        <v>77</v>
      </c>
      <c r="W416" t="s">
        <v>70</v>
      </c>
      <c r="X416">
        <v>100</v>
      </c>
      <c r="Y416" t="s">
        <v>77</v>
      </c>
      <c r="Z416">
        <v>251</v>
      </c>
    </row>
    <row r="417" spans="1:26" x14ac:dyDescent="0.3">
      <c r="A417">
        <v>416</v>
      </c>
      <c r="B417" t="s">
        <v>1032</v>
      </c>
      <c r="C417" t="s">
        <v>72</v>
      </c>
      <c r="D417" t="s">
        <v>54</v>
      </c>
      <c r="E417" t="s">
        <v>6349</v>
      </c>
      <c r="F417" t="s">
        <v>6397</v>
      </c>
      <c r="G417" t="s">
        <v>6381</v>
      </c>
      <c r="J417">
        <f>AVERAGE(ai_job_market[[#This Row],[min_salary]],ai_job_market[[#This Row],[max_salary]])</f>
        <v>72690</v>
      </c>
      <c r="K417"/>
      <c r="L417" t="s">
        <v>14</v>
      </c>
      <c r="M417" t="s">
        <v>37</v>
      </c>
      <c r="N417" t="s">
        <v>4863</v>
      </c>
      <c r="O417" t="s">
        <v>4835</v>
      </c>
      <c r="P417">
        <v>43289</v>
      </c>
      <c r="Q417">
        <v>102091</v>
      </c>
      <c r="R417" s="2">
        <v>45625</v>
      </c>
      <c r="S417" t="s">
        <v>16</v>
      </c>
      <c r="T417" t="s">
        <v>157</v>
      </c>
      <c r="U417" t="s">
        <v>6375</v>
      </c>
      <c r="W417" t="s">
        <v>6349</v>
      </c>
      <c r="X417">
        <v>96</v>
      </c>
      <c r="Y417" t="s">
        <v>157</v>
      </c>
      <c r="Z417">
        <v>247</v>
      </c>
    </row>
    <row r="418" spans="1:26" x14ac:dyDescent="0.3">
      <c r="A418">
        <v>417</v>
      </c>
      <c r="B418" t="s">
        <v>1034</v>
      </c>
      <c r="C418" t="s">
        <v>34</v>
      </c>
      <c r="D418" t="s">
        <v>30</v>
      </c>
      <c r="E418" t="s">
        <v>6357</v>
      </c>
      <c r="F418" t="s">
        <v>6387</v>
      </c>
      <c r="G418" t="s">
        <v>6384</v>
      </c>
      <c r="H418" t="s">
        <v>6392</v>
      </c>
      <c r="J418">
        <f>AVERAGE(ai_job_market[[#This Row],[min_salary]],ai_job_market[[#This Row],[max_salary]])</f>
        <v>112857.5</v>
      </c>
      <c r="K418"/>
      <c r="L418" t="s">
        <v>27</v>
      </c>
      <c r="M418" t="s">
        <v>51</v>
      </c>
      <c r="N418" t="s">
        <v>4864</v>
      </c>
      <c r="O418" t="s">
        <v>4794</v>
      </c>
      <c r="P418">
        <v>99708</v>
      </c>
      <c r="Q418">
        <v>126007</v>
      </c>
      <c r="R418" s="2">
        <v>45431</v>
      </c>
      <c r="S418" t="s">
        <v>14</v>
      </c>
      <c r="T418" t="s">
        <v>157</v>
      </c>
      <c r="U418" t="s">
        <v>6379</v>
      </c>
      <c r="W418" t="s">
        <v>6357</v>
      </c>
      <c r="X418">
        <v>88</v>
      </c>
      <c r="Y418" t="s">
        <v>157</v>
      </c>
      <c r="Z418">
        <v>247</v>
      </c>
    </row>
    <row r="419" spans="1:26" x14ac:dyDescent="0.3">
      <c r="A419">
        <v>418</v>
      </c>
      <c r="B419" t="s">
        <v>1036</v>
      </c>
      <c r="C419" t="s">
        <v>34</v>
      </c>
      <c r="D419" t="s">
        <v>54</v>
      </c>
      <c r="E419" t="s">
        <v>6359</v>
      </c>
      <c r="F419" t="s">
        <v>6390</v>
      </c>
      <c r="G419" t="s">
        <v>6394</v>
      </c>
      <c r="H419" t="s">
        <v>6382</v>
      </c>
      <c r="I419" t="s">
        <v>6393</v>
      </c>
      <c r="J419">
        <f>AVERAGE(ai_job_market[[#This Row],[min_salary]],ai_job_market[[#This Row],[max_salary]])</f>
        <v>69724</v>
      </c>
      <c r="K419" t="s">
        <v>6387</v>
      </c>
      <c r="L419" t="s">
        <v>27</v>
      </c>
      <c r="M419" t="s">
        <v>37</v>
      </c>
      <c r="N419" t="s">
        <v>4865</v>
      </c>
      <c r="O419" t="s">
        <v>4637</v>
      </c>
      <c r="P419">
        <v>57692</v>
      </c>
      <c r="Q419">
        <v>81756</v>
      </c>
      <c r="R419" s="2">
        <v>45753</v>
      </c>
      <c r="S419" t="s">
        <v>16</v>
      </c>
      <c r="T419" t="s">
        <v>80</v>
      </c>
      <c r="W419" t="s">
        <v>6359</v>
      </c>
      <c r="X419">
        <v>104</v>
      </c>
      <c r="Y419" t="s">
        <v>80</v>
      </c>
      <c r="Z419">
        <v>249</v>
      </c>
    </row>
    <row r="420" spans="1:26" x14ac:dyDescent="0.3">
      <c r="A420">
        <v>419</v>
      </c>
      <c r="B420" t="s">
        <v>1038</v>
      </c>
      <c r="C420" t="s">
        <v>34</v>
      </c>
      <c r="D420" t="s">
        <v>135</v>
      </c>
      <c r="E420" t="s">
        <v>6347</v>
      </c>
      <c r="F420" t="s">
        <v>6379</v>
      </c>
      <c r="G420" t="s">
        <v>6380</v>
      </c>
      <c r="H420" t="s">
        <v>6385</v>
      </c>
      <c r="J420">
        <f>AVERAGE(ai_job_market[[#This Row],[min_salary]],ai_job_market[[#This Row],[max_salary]])</f>
        <v>101909</v>
      </c>
      <c r="K420"/>
      <c r="L420" t="s">
        <v>14</v>
      </c>
      <c r="M420" t="s">
        <v>15</v>
      </c>
      <c r="N420" t="s">
        <v>4866</v>
      </c>
      <c r="O420" t="s">
        <v>4439</v>
      </c>
      <c r="P420">
        <v>54082</v>
      </c>
      <c r="Q420">
        <v>149736</v>
      </c>
      <c r="R420" s="2">
        <v>45917</v>
      </c>
      <c r="S420" t="s">
        <v>14</v>
      </c>
      <c r="T420" t="s">
        <v>70</v>
      </c>
      <c r="W420" t="s">
        <v>6347</v>
      </c>
      <c r="X420">
        <v>94</v>
      </c>
      <c r="Y420" t="s">
        <v>70</v>
      </c>
      <c r="Z420">
        <v>268</v>
      </c>
    </row>
    <row r="421" spans="1:26" x14ac:dyDescent="0.3">
      <c r="A421">
        <v>420</v>
      </c>
      <c r="B421" t="s">
        <v>1040</v>
      </c>
      <c r="C421" t="s">
        <v>40</v>
      </c>
      <c r="D421" t="s">
        <v>12</v>
      </c>
      <c r="E421" t="s">
        <v>6349</v>
      </c>
      <c r="F421" t="s">
        <v>6387</v>
      </c>
      <c r="G421" t="s">
        <v>6394</v>
      </c>
      <c r="H421" t="s">
        <v>6374</v>
      </c>
      <c r="J421">
        <f>AVERAGE(ai_job_market[[#This Row],[min_salary]],ai_job_market[[#This Row],[max_salary]])</f>
        <v>118564</v>
      </c>
      <c r="K421"/>
      <c r="L421" t="s">
        <v>14</v>
      </c>
      <c r="M421" t="s">
        <v>37</v>
      </c>
      <c r="N421" t="s">
        <v>4867</v>
      </c>
      <c r="O421" t="s">
        <v>4509</v>
      </c>
      <c r="P421">
        <v>101456</v>
      </c>
      <c r="Q421">
        <v>135672</v>
      </c>
      <c r="R421" s="2">
        <v>45367</v>
      </c>
      <c r="S421" t="s">
        <v>69</v>
      </c>
      <c r="T421" t="s">
        <v>101</v>
      </c>
      <c r="U421" t="s">
        <v>6383</v>
      </c>
      <c r="V421" t="s">
        <v>6389</v>
      </c>
      <c r="W421" t="s">
        <v>6349</v>
      </c>
      <c r="X421">
        <v>96</v>
      </c>
      <c r="Y421" t="s">
        <v>101</v>
      </c>
      <c r="Z421">
        <v>255</v>
      </c>
    </row>
    <row r="422" spans="1:26" x14ac:dyDescent="0.3">
      <c r="A422">
        <v>421</v>
      </c>
      <c r="B422" t="s">
        <v>1043</v>
      </c>
      <c r="C422" t="s">
        <v>49</v>
      </c>
      <c r="D422" t="s">
        <v>135</v>
      </c>
      <c r="E422" t="s">
        <v>80</v>
      </c>
      <c r="F422" t="s">
        <v>6390</v>
      </c>
      <c r="G422" t="s">
        <v>6397</v>
      </c>
      <c r="H422" t="s">
        <v>6378</v>
      </c>
      <c r="J422">
        <f>AVERAGE(ai_job_market[[#This Row],[min_salary]],ai_job_market[[#This Row],[max_salary]])</f>
        <v>92841</v>
      </c>
      <c r="K422"/>
      <c r="L422" t="s">
        <v>14</v>
      </c>
      <c r="M422" t="s">
        <v>37</v>
      </c>
      <c r="N422" t="s">
        <v>4868</v>
      </c>
      <c r="O422" t="s">
        <v>4293</v>
      </c>
      <c r="P422">
        <v>77948</v>
      </c>
      <c r="Q422">
        <v>107734</v>
      </c>
      <c r="R422" s="2">
        <v>45731</v>
      </c>
      <c r="S422" t="s">
        <v>69</v>
      </c>
      <c r="T422" t="s">
        <v>70</v>
      </c>
      <c r="U422" t="s">
        <v>6378</v>
      </c>
      <c r="V422" t="s">
        <v>6384</v>
      </c>
      <c r="W422" t="s">
        <v>80</v>
      </c>
      <c r="X422">
        <v>95</v>
      </c>
      <c r="Y422" t="s">
        <v>70</v>
      </c>
      <c r="Z422">
        <v>268</v>
      </c>
    </row>
    <row r="423" spans="1:26" x14ac:dyDescent="0.3">
      <c r="A423">
        <v>422</v>
      </c>
      <c r="B423" t="s">
        <v>1045</v>
      </c>
      <c r="C423" t="s">
        <v>72</v>
      </c>
      <c r="D423" t="s">
        <v>135</v>
      </c>
      <c r="E423" t="s">
        <v>6348</v>
      </c>
      <c r="F423" t="s">
        <v>6385</v>
      </c>
      <c r="G423" t="s">
        <v>6375</v>
      </c>
      <c r="H423" t="s">
        <v>6384</v>
      </c>
      <c r="J423">
        <f>AVERAGE(ai_job_market[[#This Row],[min_salary]],ai_job_market[[#This Row],[max_salary]])</f>
        <v>167789</v>
      </c>
      <c r="K423"/>
      <c r="L423" t="s">
        <v>14</v>
      </c>
      <c r="M423" t="s">
        <v>37</v>
      </c>
      <c r="N423" t="s">
        <v>4869</v>
      </c>
      <c r="O423" t="s">
        <v>4480</v>
      </c>
      <c r="P423">
        <v>143838</v>
      </c>
      <c r="Q423">
        <v>191740</v>
      </c>
      <c r="R423" s="2">
        <v>45341</v>
      </c>
      <c r="S423" t="s">
        <v>14</v>
      </c>
      <c r="T423" t="s">
        <v>70</v>
      </c>
      <c r="W423" t="s">
        <v>6348</v>
      </c>
      <c r="X423">
        <v>78</v>
      </c>
      <c r="Y423" t="s">
        <v>70</v>
      </c>
      <c r="Z423">
        <v>268</v>
      </c>
    </row>
    <row r="424" spans="1:26" x14ac:dyDescent="0.3">
      <c r="A424">
        <v>423</v>
      </c>
      <c r="B424" t="s">
        <v>1047</v>
      </c>
      <c r="C424" t="s">
        <v>49</v>
      </c>
      <c r="D424" t="s">
        <v>25</v>
      </c>
      <c r="E424" t="s">
        <v>77</v>
      </c>
      <c r="F424" t="s">
        <v>6380</v>
      </c>
      <c r="G424" t="s">
        <v>6387</v>
      </c>
      <c r="H424" t="s">
        <v>6376</v>
      </c>
      <c r="J424">
        <f>AVERAGE(ai_job_market[[#This Row],[min_salary]],ai_job_market[[#This Row],[max_salary]])</f>
        <v>88513.5</v>
      </c>
      <c r="K424"/>
      <c r="L424" t="s">
        <v>27</v>
      </c>
      <c r="M424" t="s">
        <v>37</v>
      </c>
      <c r="N424" t="s">
        <v>4870</v>
      </c>
      <c r="O424" t="s">
        <v>4699</v>
      </c>
      <c r="P424">
        <v>64090</v>
      </c>
      <c r="Q424">
        <v>112937</v>
      </c>
      <c r="R424" s="2">
        <v>45342</v>
      </c>
      <c r="S424" t="s">
        <v>16</v>
      </c>
      <c r="T424" t="s">
        <v>80</v>
      </c>
      <c r="U424" t="s">
        <v>6375</v>
      </c>
      <c r="W424" t="s">
        <v>77</v>
      </c>
      <c r="X424">
        <v>111</v>
      </c>
      <c r="Y424" t="s">
        <v>80</v>
      </c>
      <c r="Z424">
        <v>249</v>
      </c>
    </row>
    <row r="425" spans="1:26" x14ac:dyDescent="0.3">
      <c r="A425">
        <v>424</v>
      </c>
      <c r="B425" t="s">
        <v>1049</v>
      </c>
      <c r="C425" t="s">
        <v>34</v>
      </c>
      <c r="D425" t="s">
        <v>54</v>
      </c>
      <c r="E425" t="s">
        <v>70</v>
      </c>
      <c r="F425" t="s">
        <v>6389</v>
      </c>
      <c r="G425" t="s">
        <v>6392</v>
      </c>
      <c r="H425" t="s">
        <v>6386</v>
      </c>
      <c r="J425" s="6">
        <f>AVERAGE(ai_job_market[[#This Row],[min_salary]],ai_job_market[[#This Row],[max_salary]])</f>
        <v>90584</v>
      </c>
      <c r="K425"/>
      <c r="L425" t="s">
        <v>27</v>
      </c>
      <c r="M425" t="s">
        <v>51</v>
      </c>
      <c r="N425" t="s">
        <v>4871</v>
      </c>
      <c r="O425" t="s">
        <v>4429</v>
      </c>
      <c r="P425" s="5">
        <v>67555</v>
      </c>
      <c r="Q425" s="5">
        <v>113613</v>
      </c>
      <c r="R425" s="2">
        <v>45849</v>
      </c>
      <c r="S425" t="s">
        <v>16</v>
      </c>
      <c r="T425" t="s">
        <v>70</v>
      </c>
      <c r="W425" t="s">
        <v>70</v>
      </c>
      <c r="X425">
        <v>100</v>
      </c>
      <c r="Y425" t="s">
        <v>70</v>
      </c>
      <c r="Z425">
        <v>268</v>
      </c>
    </row>
    <row r="426" spans="1:26" x14ac:dyDescent="0.3">
      <c r="A426">
        <v>425</v>
      </c>
      <c r="B426" t="s">
        <v>1051</v>
      </c>
      <c r="C426" t="s">
        <v>34</v>
      </c>
      <c r="D426" t="s">
        <v>20</v>
      </c>
      <c r="E426" t="s">
        <v>6345</v>
      </c>
      <c r="F426" t="s">
        <v>6378</v>
      </c>
      <c r="G426" t="s">
        <v>6393</v>
      </c>
      <c r="H426" t="s">
        <v>6379</v>
      </c>
      <c r="I426" t="s">
        <v>6392</v>
      </c>
      <c r="J426">
        <f>AVERAGE(ai_job_market[[#This Row],[min_salary]],ai_job_market[[#This Row],[max_salary]])</f>
        <v>111576</v>
      </c>
      <c r="K426"/>
      <c r="L426" t="s">
        <v>22</v>
      </c>
      <c r="M426" t="s">
        <v>15</v>
      </c>
      <c r="N426" t="s">
        <v>4872</v>
      </c>
      <c r="O426" t="s">
        <v>4318</v>
      </c>
      <c r="P426">
        <v>73755</v>
      </c>
      <c r="Q426">
        <v>149397</v>
      </c>
      <c r="R426" s="2">
        <v>45640</v>
      </c>
      <c r="S426" t="s">
        <v>69</v>
      </c>
      <c r="T426" t="s">
        <v>52</v>
      </c>
      <c r="U426" t="s">
        <v>6376</v>
      </c>
      <c r="W426" t="s">
        <v>6345</v>
      </c>
      <c r="X426">
        <v>101</v>
      </c>
      <c r="Y426" t="s">
        <v>52</v>
      </c>
      <c r="Z426">
        <v>238</v>
      </c>
    </row>
    <row r="427" spans="1:26" x14ac:dyDescent="0.3">
      <c r="A427">
        <v>426</v>
      </c>
      <c r="B427" t="s">
        <v>1053</v>
      </c>
      <c r="C427" t="s">
        <v>45</v>
      </c>
      <c r="D427" t="s">
        <v>12</v>
      </c>
      <c r="E427" t="s">
        <v>6344</v>
      </c>
      <c r="F427" t="s">
        <v>6389</v>
      </c>
      <c r="G427" t="s">
        <v>6384</v>
      </c>
      <c r="J427">
        <f>AVERAGE(ai_job_market[[#This Row],[min_salary]],ai_job_market[[#This Row],[max_salary]])</f>
        <v>185407.5</v>
      </c>
      <c r="K427"/>
      <c r="L427" t="s">
        <v>27</v>
      </c>
      <c r="M427" t="s">
        <v>37</v>
      </c>
      <c r="N427" t="s">
        <v>4873</v>
      </c>
      <c r="O427" t="s">
        <v>4743</v>
      </c>
      <c r="P427">
        <v>147219</v>
      </c>
      <c r="Q427">
        <v>223596</v>
      </c>
      <c r="R427" s="2">
        <v>45607</v>
      </c>
      <c r="S427" t="s">
        <v>16</v>
      </c>
      <c r="T427" t="s">
        <v>128</v>
      </c>
      <c r="U427" t="s">
        <v>6384</v>
      </c>
      <c r="W427" t="s">
        <v>6344</v>
      </c>
      <c r="X427">
        <v>104</v>
      </c>
      <c r="Y427" t="s">
        <v>128</v>
      </c>
      <c r="Z427">
        <v>233</v>
      </c>
    </row>
    <row r="428" spans="1:26" x14ac:dyDescent="0.3">
      <c r="A428">
        <v>427</v>
      </c>
      <c r="B428" t="s">
        <v>1055</v>
      </c>
      <c r="C428" t="s">
        <v>40</v>
      </c>
      <c r="D428" t="s">
        <v>67</v>
      </c>
      <c r="E428" t="s">
        <v>80</v>
      </c>
      <c r="F428" t="s">
        <v>6395</v>
      </c>
      <c r="G428" t="s">
        <v>6377</v>
      </c>
      <c r="H428" t="s">
        <v>6392</v>
      </c>
      <c r="I428" t="s">
        <v>6390</v>
      </c>
      <c r="J428">
        <f>AVERAGE(ai_job_market[[#This Row],[min_salary]],ai_job_market[[#This Row],[max_salary]])</f>
        <v>142413.5</v>
      </c>
      <c r="K428" t="s">
        <v>6382</v>
      </c>
      <c r="L428" t="s">
        <v>27</v>
      </c>
      <c r="M428" t="s">
        <v>51</v>
      </c>
      <c r="N428" t="s">
        <v>4874</v>
      </c>
      <c r="O428" t="s">
        <v>4815</v>
      </c>
      <c r="P428">
        <v>120574</v>
      </c>
      <c r="Q428">
        <v>164253</v>
      </c>
      <c r="R428" s="2">
        <v>45701</v>
      </c>
      <c r="S428" t="s">
        <v>14</v>
      </c>
      <c r="T428" t="s">
        <v>77</v>
      </c>
      <c r="U428" t="s">
        <v>6388</v>
      </c>
      <c r="V428" t="s">
        <v>6384</v>
      </c>
      <c r="W428" t="s">
        <v>80</v>
      </c>
      <c r="X428">
        <v>95</v>
      </c>
      <c r="Y428" t="s">
        <v>77</v>
      </c>
      <c r="Z428">
        <v>251</v>
      </c>
    </row>
    <row r="429" spans="1:26" x14ac:dyDescent="0.3">
      <c r="A429">
        <v>428</v>
      </c>
      <c r="B429" t="s">
        <v>1058</v>
      </c>
      <c r="C429" t="s">
        <v>49</v>
      </c>
      <c r="D429" t="s">
        <v>25</v>
      </c>
      <c r="E429" t="s">
        <v>80</v>
      </c>
      <c r="F429" t="s">
        <v>6377</v>
      </c>
      <c r="G429" t="s">
        <v>6374</v>
      </c>
      <c r="H429" t="s">
        <v>6393</v>
      </c>
      <c r="J429">
        <f>AVERAGE(ai_job_market[[#This Row],[min_salary]],ai_job_market[[#This Row],[max_salary]])</f>
        <v>119542.5</v>
      </c>
      <c r="K429"/>
      <c r="L429" t="s">
        <v>22</v>
      </c>
      <c r="M429" t="s">
        <v>51</v>
      </c>
      <c r="N429" t="s">
        <v>4875</v>
      </c>
      <c r="O429" t="s">
        <v>4452</v>
      </c>
      <c r="P429">
        <v>76450</v>
      </c>
      <c r="Q429">
        <v>162635</v>
      </c>
      <c r="R429" s="2">
        <v>45260</v>
      </c>
      <c r="S429" t="s">
        <v>69</v>
      </c>
      <c r="T429" t="s">
        <v>128</v>
      </c>
      <c r="U429" t="s">
        <v>6384</v>
      </c>
      <c r="V429" t="s">
        <v>6383</v>
      </c>
      <c r="W429" t="s">
        <v>80</v>
      </c>
      <c r="X429">
        <v>95</v>
      </c>
      <c r="Y429" t="s">
        <v>128</v>
      </c>
      <c r="Z429">
        <v>233</v>
      </c>
    </row>
    <row r="430" spans="1:26" x14ac:dyDescent="0.3">
      <c r="A430">
        <v>429</v>
      </c>
      <c r="B430" t="s">
        <v>1061</v>
      </c>
      <c r="C430" t="s">
        <v>45</v>
      </c>
      <c r="D430" t="s">
        <v>54</v>
      </c>
      <c r="E430" t="s">
        <v>90</v>
      </c>
      <c r="F430" t="s">
        <v>6390</v>
      </c>
      <c r="G430" t="s">
        <v>6374</v>
      </c>
      <c r="H430" t="s">
        <v>6392</v>
      </c>
      <c r="I430" t="s">
        <v>6384</v>
      </c>
      <c r="J430">
        <f>AVERAGE(ai_job_market[[#This Row],[min_salary]],ai_job_market[[#This Row],[max_salary]])</f>
        <v>133110.5</v>
      </c>
      <c r="K430" t="s">
        <v>6387</v>
      </c>
      <c r="L430" t="s">
        <v>27</v>
      </c>
      <c r="M430" t="s">
        <v>15</v>
      </c>
      <c r="N430" t="s">
        <v>4876</v>
      </c>
      <c r="O430" t="s">
        <v>4375</v>
      </c>
      <c r="P430">
        <v>105179</v>
      </c>
      <c r="Q430">
        <v>161042</v>
      </c>
      <c r="R430" s="2">
        <v>45807</v>
      </c>
      <c r="S430" t="s">
        <v>69</v>
      </c>
      <c r="T430" t="s">
        <v>128</v>
      </c>
      <c r="U430" t="s">
        <v>6383</v>
      </c>
      <c r="W430" t="s">
        <v>90</v>
      </c>
      <c r="X430">
        <v>80</v>
      </c>
      <c r="Y430" t="s">
        <v>128</v>
      </c>
      <c r="Z430">
        <v>233</v>
      </c>
    </row>
    <row r="431" spans="1:26" x14ac:dyDescent="0.3">
      <c r="A431">
        <v>430</v>
      </c>
      <c r="B431" t="s">
        <v>1063</v>
      </c>
      <c r="C431" t="s">
        <v>45</v>
      </c>
      <c r="D431" t="s">
        <v>20</v>
      </c>
      <c r="E431" t="s">
        <v>77</v>
      </c>
      <c r="F431" t="s">
        <v>6387</v>
      </c>
      <c r="G431" t="s">
        <v>6376</v>
      </c>
      <c r="H431" t="s">
        <v>6381</v>
      </c>
      <c r="J431" s="6">
        <f>AVERAGE(ai_job_market[[#This Row],[min_salary]],ai_job_market[[#This Row],[max_salary]])</f>
        <v>106059.5</v>
      </c>
      <c r="K431"/>
      <c r="L431" t="s">
        <v>14</v>
      </c>
      <c r="M431" t="s">
        <v>15</v>
      </c>
      <c r="N431" t="s">
        <v>4877</v>
      </c>
      <c r="O431" t="s">
        <v>4410</v>
      </c>
      <c r="P431" s="5">
        <v>100296</v>
      </c>
      <c r="Q431" s="5">
        <v>111823</v>
      </c>
      <c r="R431" s="2">
        <v>45358</v>
      </c>
      <c r="S431" t="s">
        <v>69</v>
      </c>
      <c r="T431" t="s">
        <v>80</v>
      </c>
      <c r="U431" t="s">
        <v>6378</v>
      </c>
      <c r="W431" t="s">
        <v>77</v>
      </c>
      <c r="X431">
        <v>111</v>
      </c>
      <c r="Y431" t="s">
        <v>80</v>
      </c>
      <c r="Z431">
        <v>249</v>
      </c>
    </row>
    <row r="432" spans="1:26" x14ac:dyDescent="0.3">
      <c r="A432">
        <v>431</v>
      </c>
      <c r="B432" t="s">
        <v>1065</v>
      </c>
      <c r="C432" t="s">
        <v>40</v>
      </c>
      <c r="D432" t="s">
        <v>30</v>
      </c>
      <c r="E432" t="s">
        <v>128</v>
      </c>
      <c r="F432" t="s">
        <v>6380</v>
      </c>
      <c r="G432" t="s">
        <v>6374</v>
      </c>
      <c r="H432" t="s">
        <v>6385</v>
      </c>
      <c r="J432">
        <f>AVERAGE(ai_job_market[[#This Row],[min_salary]],ai_job_market[[#This Row],[max_salary]])</f>
        <v>78558</v>
      </c>
      <c r="K432"/>
      <c r="L432" t="s">
        <v>27</v>
      </c>
      <c r="M432" t="s">
        <v>15</v>
      </c>
      <c r="N432" t="s">
        <v>4878</v>
      </c>
      <c r="O432" t="s">
        <v>4325</v>
      </c>
      <c r="P432">
        <v>53381</v>
      </c>
      <c r="Q432">
        <v>103735</v>
      </c>
      <c r="R432" s="2">
        <v>45827</v>
      </c>
      <c r="S432" t="s">
        <v>14</v>
      </c>
      <c r="T432" t="s">
        <v>80</v>
      </c>
      <c r="U432" t="s">
        <v>6388</v>
      </c>
      <c r="V432" t="s">
        <v>6379</v>
      </c>
      <c r="W432" t="s">
        <v>128</v>
      </c>
      <c r="X432">
        <v>92</v>
      </c>
      <c r="Y432" t="s">
        <v>80</v>
      </c>
      <c r="Z432">
        <v>249</v>
      </c>
    </row>
    <row r="433" spans="1:26" x14ac:dyDescent="0.3">
      <c r="A433">
        <v>432</v>
      </c>
      <c r="B433" t="s">
        <v>1068</v>
      </c>
      <c r="C433" t="s">
        <v>40</v>
      </c>
      <c r="D433" t="s">
        <v>135</v>
      </c>
      <c r="E433" t="s">
        <v>77</v>
      </c>
      <c r="F433" t="s">
        <v>6385</v>
      </c>
      <c r="G433" t="s">
        <v>6389</v>
      </c>
      <c r="H433" t="s">
        <v>6374</v>
      </c>
      <c r="J433">
        <f>AVERAGE(ai_job_market[[#This Row],[min_salary]],ai_job_market[[#This Row],[max_salary]])</f>
        <v>165277</v>
      </c>
      <c r="K433"/>
      <c r="L433" t="s">
        <v>22</v>
      </c>
      <c r="M433" t="s">
        <v>15</v>
      </c>
      <c r="N433" t="s">
        <v>4879</v>
      </c>
      <c r="O433" t="s">
        <v>4287</v>
      </c>
      <c r="P433">
        <v>116301</v>
      </c>
      <c r="Q433">
        <v>214253</v>
      </c>
      <c r="R433" s="2">
        <v>45470</v>
      </c>
      <c r="S433" t="s">
        <v>16</v>
      </c>
      <c r="T433" t="s">
        <v>80</v>
      </c>
      <c r="U433" t="s">
        <v>6389</v>
      </c>
      <c r="W433" t="s">
        <v>77</v>
      </c>
      <c r="X433">
        <v>111</v>
      </c>
      <c r="Y433" t="s">
        <v>80</v>
      </c>
      <c r="Z433">
        <v>249</v>
      </c>
    </row>
    <row r="434" spans="1:26" x14ac:dyDescent="0.3">
      <c r="A434">
        <v>433</v>
      </c>
      <c r="B434" t="s">
        <v>1070</v>
      </c>
      <c r="C434" t="s">
        <v>19</v>
      </c>
      <c r="D434" t="s">
        <v>135</v>
      </c>
      <c r="E434" t="s">
        <v>70</v>
      </c>
      <c r="F434" t="s">
        <v>6397</v>
      </c>
      <c r="G434" t="s">
        <v>6386</v>
      </c>
      <c r="H434" t="s">
        <v>6387</v>
      </c>
      <c r="I434" t="s">
        <v>6391</v>
      </c>
      <c r="J434">
        <f>AVERAGE(ai_job_market[[#This Row],[min_salary]],ai_job_market[[#This Row],[max_salary]])</f>
        <v>161337</v>
      </c>
      <c r="K434" t="s">
        <v>6382</v>
      </c>
      <c r="L434" t="s">
        <v>27</v>
      </c>
      <c r="M434" t="s">
        <v>37</v>
      </c>
      <c r="N434" t="s">
        <v>4880</v>
      </c>
      <c r="O434" t="s">
        <v>4329</v>
      </c>
      <c r="P434">
        <v>140443</v>
      </c>
      <c r="Q434">
        <v>182231</v>
      </c>
      <c r="R434" s="2">
        <v>45259</v>
      </c>
      <c r="S434" t="s">
        <v>14</v>
      </c>
      <c r="T434" t="s">
        <v>52</v>
      </c>
      <c r="U434" t="s">
        <v>6389</v>
      </c>
      <c r="V434" t="s">
        <v>6383</v>
      </c>
      <c r="W434" t="s">
        <v>70</v>
      </c>
      <c r="X434">
        <v>100</v>
      </c>
      <c r="Y434" t="s">
        <v>52</v>
      </c>
      <c r="Z434">
        <v>238</v>
      </c>
    </row>
    <row r="435" spans="1:26" x14ac:dyDescent="0.3">
      <c r="A435">
        <v>434</v>
      </c>
      <c r="B435" t="s">
        <v>1072</v>
      </c>
      <c r="C435" t="s">
        <v>72</v>
      </c>
      <c r="D435" t="s">
        <v>67</v>
      </c>
      <c r="E435" t="s">
        <v>77</v>
      </c>
      <c r="F435" t="s">
        <v>6394</v>
      </c>
      <c r="G435" t="s">
        <v>6385</v>
      </c>
      <c r="H435" t="s">
        <v>6391</v>
      </c>
      <c r="J435" s="6">
        <f>AVERAGE(ai_job_market[[#This Row],[min_salary]],ai_job_market[[#This Row],[max_salary]])</f>
        <v>125981</v>
      </c>
      <c r="K435"/>
      <c r="L435" t="s">
        <v>27</v>
      </c>
      <c r="M435" t="s">
        <v>37</v>
      </c>
      <c r="N435" t="s">
        <v>4881</v>
      </c>
      <c r="O435" t="s">
        <v>4549</v>
      </c>
      <c r="P435" s="5">
        <v>92799</v>
      </c>
      <c r="Q435" s="5">
        <v>159163</v>
      </c>
      <c r="R435" s="2">
        <v>45483</v>
      </c>
      <c r="S435" t="s">
        <v>14</v>
      </c>
      <c r="T435" t="s">
        <v>90</v>
      </c>
      <c r="U435" t="s">
        <v>6383</v>
      </c>
      <c r="V435" t="s">
        <v>6378</v>
      </c>
      <c r="W435" t="s">
        <v>77</v>
      </c>
      <c r="X435">
        <v>111</v>
      </c>
      <c r="Y435" t="s">
        <v>90</v>
      </c>
      <c r="Z435">
        <v>259</v>
      </c>
    </row>
    <row r="436" spans="1:26" x14ac:dyDescent="0.3">
      <c r="A436">
        <v>435</v>
      </c>
      <c r="B436" t="s">
        <v>1075</v>
      </c>
      <c r="C436" t="s">
        <v>19</v>
      </c>
      <c r="D436" t="s">
        <v>30</v>
      </c>
      <c r="E436" t="s">
        <v>6349</v>
      </c>
      <c r="F436" t="s">
        <v>6375</v>
      </c>
      <c r="G436" t="s">
        <v>6387</v>
      </c>
      <c r="H436" t="s">
        <v>6393</v>
      </c>
      <c r="I436" t="s">
        <v>6380</v>
      </c>
      <c r="J436" s="6">
        <f>AVERAGE(ai_job_market[[#This Row],[min_salary]],ai_job_market[[#This Row],[max_salary]])</f>
        <v>62065</v>
      </c>
      <c r="K436"/>
      <c r="L436" t="s">
        <v>27</v>
      </c>
      <c r="M436" t="s">
        <v>37</v>
      </c>
      <c r="N436" t="s">
        <v>4882</v>
      </c>
      <c r="O436" t="s">
        <v>4285</v>
      </c>
      <c r="P436" s="5">
        <v>48181</v>
      </c>
      <c r="Q436" s="5">
        <v>75949</v>
      </c>
      <c r="R436" s="2">
        <v>45533</v>
      </c>
      <c r="S436" t="s">
        <v>69</v>
      </c>
      <c r="T436" t="s">
        <v>52</v>
      </c>
      <c r="W436" t="s">
        <v>6349</v>
      </c>
      <c r="X436">
        <v>96</v>
      </c>
      <c r="Y436" t="s">
        <v>52</v>
      </c>
      <c r="Z436">
        <v>238</v>
      </c>
    </row>
    <row r="437" spans="1:26" x14ac:dyDescent="0.3">
      <c r="A437">
        <v>436</v>
      </c>
      <c r="B437" t="s">
        <v>1077</v>
      </c>
      <c r="C437" t="s">
        <v>72</v>
      </c>
      <c r="D437" t="s">
        <v>25</v>
      </c>
      <c r="E437" t="s">
        <v>6359</v>
      </c>
      <c r="F437" t="s">
        <v>6386</v>
      </c>
      <c r="G437" t="s">
        <v>6391</v>
      </c>
      <c r="H437" t="s">
        <v>6382</v>
      </c>
      <c r="I437" t="s">
        <v>6390</v>
      </c>
      <c r="J437">
        <f>AVERAGE(ai_job_market[[#This Row],[min_salary]],ai_job_market[[#This Row],[max_salary]])</f>
        <v>120019</v>
      </c>
      <c r="K437" t="s">
        <v>6395</v>
      </c>
      <c r="L437" t="s">
        <v>27</v>
      </c>
      <c r="M437" t="s">
        <v>15</v>
      </c>
      <c r="N437" t="s">
        <v>4883</v>
      </c>
      <c r="O437" t="s">
        <v>4346</v>
      </c>
      <c r="P437">
        <v>72489</v>
      </c>
      <c r="Q437">
        <v>167549</v>
      </c>
      <c r="R437" s="2">
        <v>45372</v>
      </c>
      <c r="S437" t="s">
        <v>14</v>
      </c>
      <c r="T437" t="s">
        <v>80</v>
      </c>
      <c r="U437" t="s">
        <v>6388</v>
      </c>
      <c r="W437" t="s">
        <v>6359</v>
      </c>
      <c r="X437">
        <v>104</v>
      </c>
      <c r="Y437" t="s">
        <v>80</v>
      </c>
      <c r="Z437">
        <v>249</v>
      </c>
    </row>
    <row r="438" spans="1:26" x14ac:dyDescent="0.3">
      <c r="A438">
        <v>437</v>
      </c>
      <c r="B438" t="s">
        <v>1079</v>
      </c>
      <c r="C438" t="s">
        <v>40</v>
      </c>
      <c r="D438" t="s">
        <v>20</v>
      </c>
      <c r="E438" t="s">
        <v>80</v>
      </c>
      <c r="F438" t="s">
        <v>6380</v>
      </c>
      <c r="G438" t="s">
        <v>6389</v>
      </c>
      <c r="J438" s="6">
        <f>AVERAGE(ai_job_market[[#This Row],[min_salary]],ai_job_market[[#This Row],[max_salary]])</f>
        <v>185745.5</v>
      </c>
      <c r="K438"/>
      <c r="L438" t="s">
        <v>22</v>
      </c>
      <c r="M438" t="s">
        <v>51</v>
      </c>
      <c r="N438" t="s">
        <v>4884</v>
      </c>
      <c r="O438" t="s">
        <v>4786</v>
      </c>
      <c r="P438" s="5">
        <v>140658</v>
      </c>
      <c r="Q438" s="5">
        <v>230833</v>
      </c>
      <c r="R438" s="2">
        <v>45238</v>
      </c>
      <c r="S438" t="s">
        <v>14</v>
      </c>
      <c r="T438" t="s">
        <v>80</v>
      </c>
      <c r="U438" t="s">
        <v>6388</v>
      </c>
      <c r="W438" t="s">
        <v>80</v>
      </c>
      <c r="X438">
        <v>95</v>
      </c>
      <c r="Y438" t="s">
        <v>80</v>
      </c>
      <c r="Z438">
        <v>249</v>
      </c>
    </row>
    <row r="439" spans="1:26" x14ac:dyDescent="0.3">
      <c r="A439">
        <v>438</v>
      </c>
      <c r="B439" t="s">
        <v>1081</v>
      </c>
      <c r="C439" t="s">
        <v>34</v>
      </c>
      <c r="D439" t="s">
        <v>35</v>
      </c>
      <c r="E439" t="s">
        <v>6353</v>
      </c>
      <c r="F439" t="s">
        <v>6389</v>
      </c>
      <c r="G439" t="s">
        <v>6374</v>
      </c>
      <c r="H439" t="s">
        <v>6391</v>
      </c>
      <c r="J439">
        <f>AVERAGE(ai_job_market[[#This Row],[min_salary]],ai_job_market[[#This Row],[max_salary]])</f>
        <v>148935</v>
      </c>
      <c r="K439"/>
      <c r="L439" t="s">
        <v>27</v>
      </c>
      <c r="M439" t="s">
        <v>42</v>
      </c>
      <c r="N439" t="s">
        <v>4885</v>
      </c>
      <c r="O439" t="s">
        <v>4361</v>
      </c>
      <c r="P439">
        <v>130536</v>
      </c>
      <c r="Q439">
        <v>167334</v>
      </c>
      <c r="R439" s="2">
        <v>45844</v>
      </c>
      <c r="S439" t="s">
        <v>16</v>
      </c>
      <c r="T439" t="s">
        <v>80</v>
      </c>
      <c r="U439" t="s">
        <v>6383</v>
      </c>
      <c r="W439" t="s">
        <v>6353</v>
      </c>
      <c r="X439">
        <v>86</v>
      </c>
      <c r="Y439" t="s">
        <v>80</v>
      </c>
      <c r="Z439">
        <v>249</v>
      </c>
    </row>
    <row r="440" spans="1:26" x14ac:dyDescent="0.3">
      <c r="A440">
        <v>439</v>
      </c>
      <c r="B440" t="s">
        <v>1083</v>
      </c>
      <c r="C440" t="s">
        <v>34</v>
      </c>
      <c r="D440" t="s">
        <v>25</v>
      </c>
      <c r="E440" t="s">
        <v>101</v>
      </c>
      <c r="F440" t="s">
        <v>6396</v>
      </c>
      <c r="G440" t="s">
        <v>6391</v>
      </c>
      <c r="H440" t="s">
        <v>6392</v>
      </c>
      <c r="I440" t="s">
        <v>6393</v>
      </c>
      <c r="J440">
        <f>AVERAGE(ai_job_market[[#This Row],[min_salary]],ai_job_market[[#This Row],[max_salary]])</f>
        <v>107818</v>
      </c>
      <c r="K440" t="s">
        <v>6382</v>
      </c>
      <c r="L440" t="s">
        <v>22</v>
      </c>
      <c r="M440" t="s">
        <v>15</v>
      </c>
      <c r="N440" t="s">
        <v>4886</v>
      </c>
      <c r="O440" t="s">
        <v>4596</v>
      </c>
      <c r="P440">
        <v>81950</v>
      </c>
      <c r="Q440">
        <v>133686</v>
      </c>
      <c r="R440" s="2">
        <v>45381</v>
      </c>
      <c r="S440" t="s">
        <v>69</v>
      </c>
      <c r="T440" t="s">
        <v>128</v>
      </c>
      <c r="U440" t="s">
        <v>6379</v>
      </c>
      <c r="V440" t="s">
        <v>6383</v>
      </c>
      <c r="W440" t="s">
        <v>101</v>
      </c>
      <c r="X440">
        <v>76</v>
      </c>
      <c r="Y440" t="s">
        <v>128</v>
      </c>
      <c r="Z440">
        <v>233</v>
      </c>
    </row>
    <row r="441" spans="1:26" x14ac:dyDescent="0.3">
      <c r="A441">
        <v>440</v>
      </c>
      <c r="B441" t="s">
        <v>1086</v>
      </c>
      <c r="C441" t="s">
        <v>49</v>
      </c>
      <c r="D441" t="s">
        <v>25</v>
      </c>
      <c r="E441" t="s">
        <v>6358</v>
      </c>
      <c r="F441" t="s">
        <v>6393</v>
      </c>
      <c r="G441" t="s">
        <v>6377</v>
      </c>
      <c r="J441">
        <f>AVERAGE(ai_job_market[[#This Row],[min_salary]],ai_job_market[[#This Row],[max_salary]])</f>
        <v>153824</v>
      </c>
      <c r="K441"/>
      <c r="L441" t="s">
        <v>22</v>
      </c>
      <c r="M441" t="s">
        <v>37</v>
      </c>
      <c r="N441" t="s">
        <v>4887</v>
      </c>
      <c r="O441" t="s">
        <v>4401</v>
      </c>
      <c r="P441">
        <v>134169</v>
      </c>
      <c r="Q441">
        <v>173479</v>
      </c>
      <c r="R441" s="2">
        <v>45416</v>
      </c>
      <c r="S441" t="s">
        <v>16</v>
      </c>
      <c r="T441" t="s">
        <v>101</v>
      </c>
      <c r="W441" t="s">
        <v>6358</v>
      </c>
      <c r="X441">
        <v>96</v>
      </c>
      <c r="Y441" t="s">
        <v>101</v>
      </c>
      <c r="Z441">
        <v>255</v>
      </c>
    </row>
    <row r="442" spans="1:26" x14ac:dyDescent="0.3">
      <c r="A442">
        <v>441</v>
      </c>
      <c r="B442" t="s">
        <v>1088</v>
      </c>
      <c r="C442" t="s">
        <v>45</v>
      </c>
      <c r="D442" t="s">
        <v>54</v>
      </c>
      <c r="E442" t="s">
        <v>6344</v>
      </c>
      <c r="F442" t="s">
        <v>6379</v>
      </c>
      <c r="G442" t="s">
        <v>6387</v>
      </c>
      <c r="H442" t="s">
        <v>6376</v>
      </c>
      <c r="J442">
        <f>AVERAGE(ai_job_market[[#This Row],[min_salary]],ai_job_market[[#This Row],[max_salary]])</f>
        <v>66730</v>
      </c>
      <c r="K442"/>
      <c r="L442" t="s">
        <v>22</v>
      </c>
      <c r="M442" t="s">
        <v>37</v>
      </c>
      <c r="N442" t="s">
        <v>4888</v>
      </c>
      <c r="O442" t="s">
        <v>4680</v>
      </c>
      <c r="P442">
        <v>40824</v>
      </c>
      <c r="Q442">
        <v>92636</v>
      </c>
      <c r="R442" s="2">
        <v>45732</v>
      </c>
      <c r="S442" t="s">
        <v>16</v>
      </c>
      <c r="T442" t="s">
        <v>80</v>
      </c>
      <c r="W442" t="s">
        <v>6344</v>
      </c>
      <c r="X442">
        <v>104</v>
      </c>
      <c r="Y442" t="s">
        <v>80</v>
      </c>
      <c r="Z442">
        <v>249</v>
      </c>
    </row>
    <row r="443" spans="1:26" x14ac:dyDescent="0.3">
      <c r="A443">
        <v>442</v>
      </c>
      <c r="B443" t="s">
        <v>1090</v>
      </c>
      <c r="C443" t="s">
        <v>19</v>
      </c>
      <c r="D443" t="s">
        <v>25</v>
      </c>
      <c r="E443" t="s">
        <v>6357</v>
      </c>
      <c r="F443" t="s">
        <v>6393</v>
      </c>
      <c r="G443" t="s">
        <v>6390</v>
      </c>
      <c r="H443" t="s">
        <v>6386</v>
      </c>
      <c r="I443" t="s">
        <v>6389</v>
      </c>
      <c r="J443">
        <f>AVERAGE(ai_job_market[[#This Row],[min_salary]],ai_job_market[[#This Row],[max_salary]])</f>
        <v>115892</v>
      </c>
      <c r="K443" t="s">
        <v>6387</v>
      </c>
      <c r="L443" t="s">
        <v>14</v>
      </c>
      <c r="M443" t="s">
        <v>51</v>
      </c>
      <c r="N443" t="s">
        <v>4889</v>
      </c>
      <c r="O443" t="s">
        <v>4439</v>
      </c>
      <c r="P443">
        <v>94799</v>
      </c>
      <c r="Q443">
        <v>136985</v>
      </c>
      <c r="R443" s="2">
        <v>45578</v>
      </c>
      <c r="S443" t="s">
        <v>69</v>
      </c>
      <c r="T443" t="s">
        <v>70</v>
      </c>
      <c r="U443" t="s">
        <v>6375</v>
      </c>
      <c r="V443" t="s">
        <v>6378</v>
      </c>
      <c r="W443" t="s">
        <v>6357</v>
      </c>
      <c r="X443">
        <v>88</v>
      </c>
      <c r="Y443" t="s">
        <v>70</v>
      </c>
      <c r="Z443">
        <v>268</v>
      </c>
    </row>
    <row r="444" spans="1:26" x14ac:dyDescent="0.3">
      <c r="A444">
        <v>443</v>
      </c>
      <c r="B444" t="s">
        <v>1092</v>
      </c>
      <c r="C444" t="s">
        <v>45</v>
      </c>
      <c r="D444" t="s">
        <v>20</v>
      </c>
      <c r="E444" t="s">
        <v>6348</v>
      </c>
      <c r="F444" t="s">
        <v>6393</v>
      </c>
      <c r="G444" t="s">
        <v>6390</v>
      </c>
      <c r="J444" s="6">
        <f>AVERAGE(ai_job_market[[#This Row],[min_salary]],ai_job_market[[#This Row],[max_salary]])</f>
        <v>89002.5</v>
      </c>
      <c r="K444"/>
      <c r="L444" t="s">
        <v>14</v>
      </c>
      <c r="M444" t="s">
        <v>51</v>
      </c>
      <c r="N444" t="s">
        <v>4890</v>
      </c>
      <c r="O444" t="s">
        <v>4660</v>
      </c>
      <c r="P444" s="5">
        <v>83771</v>
      </c>
      <c r="Q444" s="5">
        <v>94234</v>
      </c>
      <c r="R444" s="2">
        <v>45866</v>
      </c>
      <c r="S444" t="s">
        <v>16</v>
      </c>
      <c r="T444" t="s">
        <v>77</v>
      </c>
      <c r="W444" t="s">
        <v>6348</v>
      </c>
      <c r="X444">
        <v>78</v>
      </c>
      <c r="Y444" t="s">
        <v>77</v>
      </c>
      <c r="Z444">
        <v>251</v>
      </c>
    </row>
    <row r="445" spans="1:26" x14ac:dyDescent="0.3">
      <c r="A445">
        <v>444</v>
      </c>
      <c r="B445" t="s">
        <v>1094</v>
      </c>
      <c r="C445" t="s">
        <v>40</v>
      </c>
      <c r="D445" t="s">
        <v>54</v>
      </c>
      <c r="E445" t="s">
        <v>6345</v>
      </c>
      <c r="F445" t="s">
        <v>6393</v>
      </c>
      <c r="G445" t="s">
        <v>6381</v>
      </c>
      <c r="H445" t="s">
        <v>6391</v>
      </c>
      <c r="J445">
        <f>AVERAGE(ai_job_market[[#This Row],[min_salary]],ai_job_market[[#This Row],[max_salary]])</f>
        <v>144885</v>
      </c>
      <c r="K445"/>
      <c r="L445" t="s">
        <v>27</v>
      </c>
      <c r="M445" t="s">
        <v>37</v>
      </c>
      <c r="N445" t="s">
        <v>4891</v>
      </c>
      <c r="O445" t="s">
        <v>4521</v>
      </c>
      <c r="P445">
        <v>115058</v>
      </c>
      <c r="Q445">
        <v>174712</v>
      </c>
      <c r="R445" s="2">
        <v>45776</v>
      </c>
      <c r="S445" t="s">
        <v>14</v>
      </c>
      <c r="T445" t="s">
        <v>157</v>
      </c>
      <c r="W445" t="s">
        <v>6345</v>
      </c>
      <c r="X445">
        <v>101</v>
      </c>
      <c r="Y445" t="s">
        <v>157</v>
      </c>
      <c r="Z445">
        <v>247</v>
      </c>
    </row>
    <row r="446" spans="1:26" x14ac:dyDescent="0.3">
      <c r="A446">
        <v>445</v>
      </c>
      <c r="B446" t="s">
        <v>1096</v>
      </c>
      <c r="C446" t="s">
        <v>40</v>
      </c>
      <c r="D446" t="s">
        <v>20</v>
      </c>
      <c r="E446" t="s">
        <v>77</v>
      </c>
      <c r="F446" t="s">
        <v>6376</v>
      </c>
      <c r="G446" t="s">
        <v>6382</v>
      </c>
      <c r="H446" t="s">
        <v>6394</v>
      </c>
      <c r="I446" t="s">
        <v>6396</v>
      </c>
      <c r="J446">
        <f>AVERAGE(ai_job_market[[#This Row],[min_salary]],ai_job_market[[#This Row],[max_salary]])</f>
        <v>158866.5</v>
      </c>
      <c r="K446" t="s">
        <v>6380</v>
      </c>
      <c r="L446" t="s">
        <v>14</v>
      </c>
      <c r="M446" t="s">
        <v>37</v>
      </c>
      <c r="N446" t="s">
        <v>4790</v>
      </c>
      <c r="O446" t="s">
        <v>4397</v>
      </c>
      <c r="P446">
        <v>119046</v>
      </c>
      <c r="Q446">
        <v>198687</v>
      </c>
      <c r="R446" s="2">
        <v>45695</v>
      </c>
      <c r="S446" t="s">
        <v>14</v>
      </c>
      <c r="T446" t="s">
        <v>101</v>
      </c>
      <c r="U446" t="s">
        <v>6383</v>
      </c>
      <c r="V446" t="s">
        <v>6389</v>
      </c>
      <c r="W446" t="s">
        <v>77</v>
      </c>
      <c r="X446">
        <v>111</v>
      </c>
      <c r="Y446" t="s">
        <v>101</v>
      </c>
      <c r="Z446">
        <v>255</v>
      </c>
    </row>
    <row r="447" spans="1:26" x14ac:dyDescent="0.3">
      <c r="A447">
        <v>446</v>
      </c>
      <c r="B447" t="s">
        <v>1098</v>
      </c>
      <c r="C447" t="s">
        <v>72</v>
      </c>
      <c r="D447" t="s">
        <v>20</v>
      </c>
      <c r="E447" t="s">
        <v>6347</v>
      </c>
      <c r="F447" t="s">
        <v>6375</v>
      </c>
      <c r="G447" t="s">
        <v>6390</v>
      </c>
      <c r="H447" t="s">
        <v>6395</v>
      </c>
      <c r="I447" t="s">
        <v>6374</v>
      </c>
      <c r="J447">
        <f>AVERAGE(ai_job_market[[#This Row],[min_salary]],ai_job_market[[#This Row],[max_salary]])</f>
        <v>123066</v>
      </c>
      <c r="K447"/>
      <c r="L447" t="s">
        <v>22</v>
      </c>
      <c r="M447" t="s">
        <v>42</v>
      </c>
      <c r="N447" t="s">
        <v>4892</v>
      </c>
      <c r="O447" t="s">
        <v>4316</v>
      </c>
      <c r="P447">
        <v>76496</v>
      </c>
      <c r="Q447">
        <v>169636</v>
      </c>
      <c r="R447" s="2">
        <v>45367</v>
      </c>
      <c r="S447" t="s">
        <v>69</v>
      </c>
      <c r="T447" t="s">
        <v>52</v>
      </c>
      <c r="W447" t="s">
        <v>6347</v>
      </c>
      <c r="X447">
        <v>94</v>
      </c>
      <c r="Y447" t="s">
        <v>52</v>
      </c>
      <c r="Z447">
        <v>238</v>
      </c>
    </row>
    <row r="448" spans="1:26" x14ac:dyDescent="0.3">
      <c r="A448">
        <v>447</v>
      </c>
      <c r="B448" t="s">
        <v>1100</v>
      </c>
      <c r="C448" t="s">
        <v>40</v>
      </c>
      <c r="D448" t="s">
        <v>20</v>
      </c>
      <c r="E448" t="s">
        <v>70</v>
      </c>
      <c r="F448" t="s">
        <v>6384</v>
      </c>
      <c r="G448" t="s">
        <v>6382</v>
      </c>
      <c r="H448" t="s">
        <v>6392</v>
      </c>
      <c r="J448">
        <f>AVERAGE(ai_job_market[[#This Row],[min_salary]],ai_job_market[[#This Row],[max_salary]])</f>
        <v>140628</v>
      </c>
      <c r="K448"/>
      <c r="L448" t="s">
        <v>22</v>
      </c>
      <c r="M448" t="s">
        <v>42</v>
      </c>
      <c r="N448" t="s">
        <v>4893</v>
      </c>
      <c r="O448" t="s">
        <v>4377</v>
      </c>
      <c r="P448">
        <v>114726</v>
      </c>
      <c r="Q448">
        <v>166530</v>
      </c>
      <c r="R448" s="2">
        <v>45659</v>
      </c>
      <c r="S448" t="s">
        <v>16</v>
      </c>
      <c r="T448" t="s">
        <v>77</v>
      </c>
      <c r="U448" t="s">
        <v>6389</v>
      </c>
      <c r="W448" t="s">
        <v>70</v>
      </c>
      <c r="X448">
        <v>100</v>
      </c>
      <c r="Y448" t="s">
        <v>77</v>
      </c>
      <c r="Z448">
        <v>251</v>
      </c>
    </row>
    <row r="449" spans="1:26" x14ac:dyDescent="0.3">
      <c r="A449">
        <v>448</v>
      </c>
      <c r="B449" t="s">
        <v>1102</v>
      </c>
      <c r="C449" t="s">
        <v>49</v>
      </c>
      <c r="D449" t="s">
        <v>67</v>
      </c>
      <c r="E449" t="s">
        <v>90</v>
      </c>
      <c r="F449" t="s">
        <v>6380</v>
      </c>
      <c r="G449" t="s">
        <v>6395</v>
      </c>
      <c r="H449" t="s">
        <v>6378</v>
      </c>
      <c r="J449">
        <f>AVERAGE(ai_job_market[[#This Row],[min_salary]],ai_job_market[[#This Row],[max_salary]])</f>
        <v>136044.5</v>
      </c>
      <c r="K449"/>
      <c r="L449" t="s">
        <v>14</v>
      </c>
      <c r="M449" t="s">
        <v>42</v>
      </c>
      <c r="N449" t="s">
        <v>4894</v>
      </c>
      <c r="O449" t="s">
        <v>4391</v>
      </c>
      <c r="P449">
        <v>87007</v>
      </c>
      <c r="Q449">
        <v>185082</v>
      </c>
      <c r="R449" s="2">
        <v>45221</v>
      </c>
      <c r="S449" t="s">
        <v>69</v>
      </c>
      <c r="T449" t="s">
        <v>77</v>
      </c>
      <c r="U449" t="s">
        <v>6388</v>
      </c>
      <c r="W449" t="s">
        <v>90</v>
      </c>
      <c r="X449">
        <v>80</v>
      </c>
      <c r="Y449" t="s">
        <v>77</v>
      </c>
      <c r="Z449">
        <v>251</v>
      </c>
    </row>
    <row r="450" spans="1:26" x14ac:dyDescent="0.3">
      <c r="A450">
        <v>449</v>
      </c>
      <c r="B450" t="s">
        <v>1104</v>
      </c>
      <c r="C450" t="s">
        <v>34</v>
      </c>
      <c r="D450" t="s">
        <v>12</v>
      </c>
      <c r="E450" t="s">
        <v>6348</v>
      </c>
      <c r="F450" t="s">
        <v>6391</v>
      </c>
      <c r="G450" t="s">
        <v>6390</v>
      </c>
      <c r="H450" t="s">
        <v>6375</v>
      </c>
      <c r="I450" t="s">
        <v>6386</v>
      </c>
      <c r="J450">
        <f>AVERAGE(ai_job_market[[#This Row],[min_salary]],ai_job_market[[#This Row],[max_salary]])</f>
        <v>134607</v>
      </c>
      <c r="K450" t="s">
        <v>6393</v>
      </c>
      <c r="L450" t="s">
        <v>14</v>
      </c>
      <c r="M450" t="s">
        <v>42</v>
      </c>
      <c r="N450" t="s">
        <v>4895</v>
      </c>
      <c r="O450" t="s">
        <v>4706</v>
      </c>
      <c r="P450">
        <v>101003</v>
      </c>
      <c r="Q450">
        <v>168211</v>
      </c>
      <c r="R450" s="2">
        <v>45528</v>
      </c>
      <c r="S450" t="s">
        <v>69</v>
      </c>
      <c r="T450" t="s">
        <v>52</v>
      </c>
      <c r="U450" t="s">
        <v>6383</v>
      </c>
      <c r="W450" t="s">
        <v>6348</v>
      </c>
      <c r="X450">
        <v>78</v>
      </c>
      <c r="Y450" t="s">
        <v>52</v>
      </c>
      <c r="Z450">
        <v>238</v>
      </c>
    </row>
    <row r="451" spans="1:26" x14ac:dyDescent="0.3">
      <c r="A451">
        <v>450</v>
      </c>
      <c r="B451" t="s">
        <v>1106</v>
      </c>
      <c r="C451" t="s">
        <v>45</v>
      </c>
      <c r="D451" t="s">
        <v>54</v>
      </c>
      <c r="E451" t="s">
        <v>6351</v>
      </c>
      <c r="F451" t="s">
        <v>6381</v>
      </c>
      <c r="G451" t="s">
        <v>6384</v>
      </c>
      <c r="J451">
        <f>AVERAGE(ai_job_market[[#This Row],[min_salary]],ai_job_market[[#This Row],[max_salary]])</f>
        <v>155899</v>
      </c>
      <c r="K451"/>
      <c r="L451" t="s">
        <v>27</v>
      </c>
      <c r="M451" t="s">
        <v>15</v>
      </c>
      <c r="N451" t="s">
        <v>4896</v>
      </c>
      <c r="O451" t="s">
        <v>4593</v>
      </c>
      <c r="P451">
        <v>123063</v>
      </c>
      <c r="Q451">
        <v>188735</v>
      </c>
      <c r="R451" s="2">
        <v>45517</v>
      </c>
      <c r="S451" t="s">
        <v>14</v>
      </c>
      <c r="T451" t="s">
        <v>101</v>
      </c>
      <c r="U451" t="s">
        <v>6388</v>
      </c>
      <c r="W451" t="s">
        <v>6351</v>
      </c>
      <c r="X451">
        <v>89</v>
      </c>
      <c r="Y451" t="s">
        <v>101</v>
      </c>
      <c r="Z451">
        <v>255</v>
      </c>
    </row>
    <row r="452" spans="1:26" x14ac:dyDescent="0.3">
      <c r="A452">
        <v>451</v>
      </c>
      <c r="B452" t="s">
        <v>1108</v>
      </c>
      <c r="C452" t="s">
        <v>11</v>
      </c>
      <c r="D452" t="s">
        <v>54</v>
      </c>
      <c r="E452" t="s">
        <v>80</v>
      </c>
      <c r="F452" t="s">
        <v>6375</v>
      </c>
      <c r="G452" t="s">
        <v>6378</v>
      </c>
      <c r="H452" t="s">
        <v>6393</v>
      </c>
      <c r="I452" t="s">
        <v>6379</v>
      </c>
      <c r="J452">
        <f>AVERAGE(ai_job_market[[#This Row],[min_salary]],ai_job_market[[#This Row],[max_salary]])</f>
        <v>49666</v>
      </c>
      <c r="K452" t="s">
        <v>6386</v>
      </c>
      <c r="L452" t="s">
        <v>22</v>
      </c>
      <c r="M452" t="s">
        <v>37</v>
      </c>
      <c r="N452" t="s">
        <v>4897</v>
      </c>
      <c r="O452" t="s">
        <v>4727</v>
      </c>
      <c r="P452">
        <v>43723</v>
      </c>
      <c r="Q452">
        <v>55609</v>
      </c>
      <c r="R452" s="2">
        <v>45424</v>
      </c>
      <c r="S452" t="s">
        <v>16</v>
      </c>
      <c r="T452" t="s">
        <v>80</v>
      </c>
      <c r="U452" t="s">
        <v>6375</v>
      </c>
      <c r="V452" t="s">
        <v>6379</v>
      </c>
      <c r="W452" t="s">
        <v>80</v>
      </c>
      <c r="X452">
        <v>95</v>
      </c>
      <c r="Y452" t="s">
        <v>80</v>
      </c>
      <c r="Z452">
        <v>249</v>
      </c>
    </row>
    <row r="453" spans="1:26" x14ac:dyDescent="0.3">
      <c r="A453">
        <v>452</v>
      </c>
      <c r="B453" t="s">
        <v>1110</v>
      </c>
      <c r="C453" t="s">
        <v>19</v>
      </c>
      <c r="D453" t="s">
        <v>25</v>
      </c>
      <c r="E453" t="s">
        <v>6345</v>
      </c>
      <c r="F453" t="s">
        <v>6379</v>
      </c>
      <c r="G453" t="s">
        <v>6389</v>
      </c>
      <c r="H453" t="s">
        <v>6380</v>
      </c>
      <c r="I453" t="s">
        <v>6374</v>
      </c>
      <c r="J453">
        <f>AVERAGE(ai_job_market[[#This Row],[min_salary]],ai_job_market[[#This Row],[max_salary]])</f>
        <v>102275</v>
      </c>
      <c r="K453"/>
      <c r="L453" t="s">
        <v>27</v>
      </c>
      <c r="M453" t="s">
        <v>15</v>
      </c>
      <c r="N453" t="s">
        <v>4898</v>
      </c>
      <c r="O453" t="s">
        <v>4773</v>
      </c>
      <c r="P453">
        <v>62280</v>
      </c>
      <c r="Q453">
        <v>142270</v>
      </c>
      <c r="R453" s="2">
        <v>45741</v>
      </c>
      <c r="S453" t="s">
        <v>69</v>
      </c>
      <c r="T453" t="s">
        <v>90</v>
      </c>
      <c r="W453" t="s">
        <v>6345</v>
      </c>
      <c r="X453">
        <v>101</v>
      </c>
      <c r="Y453" t="s">
        <v>90</v>
      </c>
      <c r="Z453">
        <v>259</v>
      </c>
    </row>
    <row r="454" spans="1:26" x14ac:dyDescent="0.3">
      <c r="A454">
        <v>453</v>
      </c>
      <c r="B454" t="s">
        <v>1112</v>
      </c>
      <c r="C454" t="s">
        <v>72</v>
      </c>
      <c r="D454" t="s">
        <v>25</v>
      </c>
      <c r="E454" t="s">
        <v>80</v>
      </c>
      <c r="F454" t="s">
        <v>6386</v>
      </c>
      <c r="G454" t="s">
        <v>6391</v>
      </c>
      <c r="J454">
        <f>AVERAGE(ai_job_market[[#This Row],[min_salary]],ai_job_market[[#This Row],[max_salary]])</f>
        <v>159685</v>
      </c>
      <c r="K454"/>
      <c r="L454" t="s">
        <v>22</v>
      </c>
      <c r="M454" t="s">
        <v>42</v>
      </c>
      <c r="N454" t="s">
        <v>4899</v>
      </c>
      <c r="O454" t="s">
        <v>4395</v>
      </c>
      <c r="P454">
        <v>122800</v>
      </c>
      <c r="Q454">
        <v>196570</v>
      </c>
      <c r="R454" s="2">
        <v>45778</v>
      </c>
      <c r="S454" t="s">
        <v>16</v>
      </c>
      <c r="T454" t="s">
        <v>77</v>
      </c>
      <c r="U454" t="s">
        <v>6379</v>
      </c>
      <c r="V454" t="s">
        <v>6375</v>
      </c>
      <c r="W454" t="s">
        <v>80</v>
      </c>
      <c r="X454">
        <v>95</v>
      </c>
      <c r="Y454" t="s">
        <v>77</v>
      </c>
      <c r="Z454">
        <v>251</v>
      </c>
    </row>
    <row r="455" spans="1:26" x14ac:dyDescent="0.3">
      <c r="A455">
        <v>454</v>
      </c>
      <c r="B455" t="s">
        <v>1115</v>
      </c>
      <c r="C455" t="s">
        <v>34</v>
      </c>
      <c r="D455" t="s">
        <v>30</v>
      </c>
      <c r="E455" t="s">
        <v>6353</v>
      </c>
      <c r="F455" t="s">
        <v>6384</v>
      </c>
      <c r="G455" t="s">
        <v>6385</v>
      </c>
      <c r="H455" t="s">
        <v>6393</v>
      </c>
      <c r="I455" t="s">
        <v>6381</v>
      </c>
      <c r="J455" s="6">
        <f>AVERAGE(ai_job_market[[#This Row],[min_salary]],ai_job_market[[#This Row],[max_salary]])</f>
        <v>150884.5</v>
      </c>
      <c r="K455" t="s">
        <v>6392</v>
      </c>
      <c r="L455" t="s">
        <v>27</v>
      </c>
      <c r="M455" t="s">
        <v>51</v>
      </c>
      <c r="N455" t="s">
        <v>4900</v>
      </c>
      <c r="O455" t="s">
        <v>4710</v>
      </c>
      <c r="P455" s="5">
        <v>109750</v>
      </c>
      <c r="Q455" s="5">
        <v>192019</v>
      </c>
      <c r="R455" s="2">
        <v>45359</v>
      </c>
      <c r="S455" t="s">
        <v>16</v>
      </c>
      <c r="T455" t="s">
        <v>157</v>
      </c>
      <c r="U455" t="s">
        <v>6388</v>
      </c>
      <c r="W455" t="s">
        <v>6353</v>
      </c>
      <c r="X455">
        <v>86</v>
      </c>
      <c r="Y455" t="s">
        <v>157</v>
      </c>
      <c r="Z455">
        <v>247</v>
      </c>
    </row>
    <row r="456" spans="1:26" x14ac:dyDescent="0.3">
      <c r="A456">
        <v>455</v>
      </c>
      <c r="B456" t="s">
        <v>1117</v>
      </c>
      <c r="C456" t="s">
        <v>11</v>
      </c>
      <c r="D456" t="s">
        <v>30</v>
      </c>
      <c r="E456" t="s">
        <v>6350</v>
      </c>
      <c r="F456" t="s">
        <v>6374</v>
      </c>
      <c r="G456" t="s">
        <v>6394</v>
      </c>
      <c r="H456" t="s">
        <v>6379</v>
      </c>
      <c r="J456">
        <f>AVERAGE(ai_job_market[[#This Row],[min_salary]],ai_job_market[[#This Row],[max_salary]])</f>
        <v>121822.5</v>
      </c>
      <c r="K456"/>
      <c r="L456" t="s">
        <v>14</v>
      </c>
      <c r="M456" t="s">
        <v>51</v>
      </c>
      <c r="N456" t="s">
        <v>4901</v>
      </c>
      <c r="O456" t="s">
        <v>4329</v>
      </c>
      <c r="P456">
        <v>92256</v>
      </c>
      <c r="Q456">
        <v>151389</v>
      </c>
      <c r="R456" s="2">
        <v>45212</v>
      </c>
      <c r="S456" t="s">
        <v>16</v>
      </c>
      <c r="T456" t="s">
        <v>77</v>
      </c>
      <c r="W456" t="s">
        <v>6350</v>
      </c>
      <c r="X456">
        <v>84</v>
      </c>
      <c r="Y456" t="s">
        <v>77</v>
      </c>
      <c r="Z456">
        <v>251</v>
      </c>
    </row>
    <row r="457" spans="1:26" x14ac:dyDescent="0.3">
      <c r="A457">
        <v>456</v>
      </c>
      <c r="B457" t="s">
        <v>1119</v>
      </c>
      <c r="C457" t="s">
        <v>11</v>
      </c>
      <c r="D457" t="s">
        <v>54</v>
      </c>
      <c r="E457" t="s">
        <v>6356</v>
      </c>
      <c r="F457" t="s">
        <v>6381</v>
      </c>
      <c r="G457" t="s">
        <v>6375</v>
      </c>
      <c r="H457" t="s">
        <v>6385</v>
      </c>
      <c r="I457" t="s">
        <v>6384</v>
      </c>
      <c r="J457">
        <f>AVERAGE(ai_job_market[[#This Row],[min_salary]],ai_job_market[[#This Row],[max_salary]])</f>
        <v>67826.5</v>
      </c>
      <c r="K457"/>
      <c r="L457" t="s">
        <v>14</v>
      </c>
      <c r="M457" t="s">
        <v>15</v>
      </c>
      <c r="N457" t="s">
        <v>4902</v>
      </c>
      <c r="O457" t="s">
        <v>4601</v>
      </c>
      <c r="P457">
        <v>62733</v>
      </c>
      <c r="Q457">
        <v>72920</v>
      </c>
      <c r="R457" s="2">
        <v>45290</v>
      </c>
      <c r="S457" t="s">
        <v>16</v>
      </c>
      <c r="T457" t="s">
        <v>157</v>
      </c>
      <c r="W457" t="s">
        <v>6356</v>
      </c>
      <c r="X457">
        <v>86</v>
      </c>
      <c r="Y457" t="s">
        <v>157</v>
      </c>
      <c r="Z457">
        <v>247</v>
      </c>
    </row>
    <row r="458" spans="1:26" x14ac:dyDescent="0.3">
      <c r="A458">
        <v>457</v>
      </c>
      <c r="B458" t="s">
        <v>1121</v>
      </c>
      <c r="C458" t="s">
        <v>11</v>
      </c>
      <c r="D458" t="s">
        <v>67</v>
      </c>
      <c r="E458" t="s">
        <v>6347</v>
      </c>
      <c r="F458" t="s">
        <v>6386</v>
      </c>
      <c r="G458" t="s">
        <v>6394</v>
      </c>
      <c r="H458" t="s">
        <v>6395</v>
      </c>
      <c r="I458" t="s">
        <v>6393</v>
      </c>
      <c r="J458">
        <f>AVERAGE(ai_job_market[[#This Row],[min_salary]],ai_job_market[[#This Row],[max_salary]])</f>
        <v>54889.5</v>
      </c>
      <c r="K458"/>
      <c r="L458" t="s">
        <v>22</v>
      </c>
      <c r="M458" t="s">
        <v>51</v>
      </c>
      <c r="N458" t="s">
        <v>4903</v>
      </c>
      <c r="O458" t="s">
        <v>4576</v>
      </c>
      <c r="P458">
        <v>44536</v>
      </c>
      <c r="Q458">
        <v>65243</v>
      </c>
      <c r="R458" s="2">
        <v>45294</v>
      </c>
      <c r="S458" t="s">
        <v>16</v>
      </c>
      <c r="T458" t="s">
        <v>77</v>
      </c>
      <c r="U458" t="s">
        <v>6379</v>
      </c>
      <c r="W458" t="s">
        <v>6347</v>
      </c>
      <c r="X458">
        <v>94</v>
      </c>
      <c r="Y458" t="s">
        <v>77</v>
      </c>
      <c r="Z458">
        <v>251</v>
      </c>
    </row>
    <row r="459" spans="1:26" x14ac:dyDescent="0.3">
      <c r="A459">
        <v>458</v>
      </c>
      <c r="B459" t="s">
        <v>1123</v>
      </c>
      <c r="C459" t="s">
        <v>72</v>
      </c>
      <c r="D459" t="s">
        <v>54</v>
      </c>
      <c r="E459" t="s">
        <v>6354</v>
      </c>
      <c r="F459" t="s">
        <v>6390</v>
      </c>
      <c r="G459" t="s">
        <v>6384</v>
      </c>
      <c r="H459" t="s">
        <v>6376</v>
      </c>
      <c r="J459">
        <f>AVERAGE(ai_job_market[[#This Row],[min_salary]],ai_job_market[[#This Row],[max_salary]])</f>
        <v>150066</v>
      </c>
      <c r="K459"/>
      <c r="L459" t="s">
        <v>22</v>
      </c>
      <c r="M459" t="s">
        <v>15</v>
      </c>
      <c r="N459" t="s">
        <v>4904</v>
      </c>
      <c r="O459" t="s">
        <v>4727</v>
      </c>
      <c r="P459">
        <v>117848</v>
      </c>
      <c r="Q459">
        <v>182284</v>
      </c>
      <c r="R459" s="2">
        <v>45747</v>
      </c>
      <c r="S459" t="s">
        <v>69</v>
      </c>
      <c r="T459" t="s">
        <v>52</v>
      </c>
      <c r="W459" t="s">
        <v>6354</v>
      </c>
      <c r="X459">
        <v>75</v>
      </c>
      <c r="Y459" t="s">
        <v>52</v>
      </c>
      <c r="Z459">
        <v>238</v>
      </c>
    </row>
    <row r="460" spans="1:26" x14ac:dyDescent="0.3">
      <c r="A460">
        <v>459</v>
      </c>
      <c r="B460" t="s">
        <v>1125</v>
      </c>
      <c r="C460" t="s">
        <v>40</v>
      </c>
      <c r="D460" t="s">
        <v>35</v>
      </c>
      <c r="E460" t="s">
        <v>70</v>
      </c>
      <c r="F460" t="s">
        <v>6386</v>
      </c>
      <c r="G460" t="s">
        <v>6376</v>
      </c>
      <c r="H460" t="s">
        <v>6392</v>
      </c>
      <c r="J460">
        <f>AVERAGE(ai_job_market[[#This Row],[min_salary]],ai_job_market[[#This Row],[max_salary]])</f>
        <v>143454</v>
      </c>
      <c r="K460"/>
      <c r="L460" t="s">
        <v>27</v>
      </c>
      <c r="M460" t="s">
        <v>51</v>
      </c>
      <c r="N460" t="s">
        <v>4905</v>
      </c>
      <c r="O460" t="s">
        <v>4664</v>
      </c>
      <c r="P460">
        <v>126486</v>
      </c>
      <c r="Q460">
        <v>160422</v>
      </c>
      <c r="R460" s="2">
        <v>45373</v>
      </c>
      <c r="S460" t="s">
        <v>69</v>
      </c>
      <c r="T460" t="s">
        <v>52</v>
      </c>
      <c r="U460" t="s">
        <v>6383</v>
      </c>
      <c r="W460" t="s">
        <v>70</v>
      </c>
      <c r="X460">
        <v>100</v>
      </c>
      <c r="Y460" t="s">
        <v>52</v>
      </c>
      <c r="Z460">
        <v>238</v>
      </c>
    </row>
    <row r="461" spans="1:26" x14ac:dyDescent="0.3">
      <c r="A461">
        <v>460</v>
      </c>
      <c r="B461" t="s">
        <v>1127</v>
      </c>
      <c r="C461" t="s">
        <v>34</v>
      </c>
      <c r="D461" t="s">
        <v>25</v>
      </c>
      <c r="E461" t="s">
        <v>6353</v>
      </c>
      <c r="F461" t="s">
        <v>6381</v>
      </c>
      <c r="G461" t="s">
        <v>6393</v>
      </c>
      <c r="H461" t="s">
        <v>6390</v>
      </c>
      <c r="I461" t="s">
        <v>6382</v>
      </c>
      <c r="J461">
        <f>AVERAGE(ai_job_market[[#This Row],[min_salary]],ai_job_market[[#This Row],[max_salary]])</f>
        <v>57737.5</v>
      </c>
      <c r="K461"/>
      <c r="L461" t="s">
        <v>14</v>
      </c>
      <c r="M461" t="s">
        <v>42</v>
      </c>
      <c r="N461" t="s">
        <v>4906</v>
      </c>
      <c r="O461" t="s">
        <v>4907</v>
      </c>
      <c r="P461">
        <v>47182</v>
      </c>
      <c r="Q461">
        <v>68293</v>
      </c>
      <c r="R461" s="2">
        <v>45539</v>
      </c>
      <c r="S461" t="s">
        <v>16</v>
      </c>
      <c r="T461" t="s">
        <v>80</v>
      </c>
      <c r="U461" t="s">
        <v>6388</v>
      </c>
      <c r="V461" t="s">
        <v>6379</v>
      </c>
      <c r="W461" t="s">
        <v>6353</v>
      </c>
      <c r="X461">
        <v>86</v>
      </c>
      <c r="Y461" t="s">
        <v>80</v>
      </c>
      <c r="Z461">
        <v>249</v>
      </c>
    </row>
    <row r="462" spans="1:26" x14ac:dyDescent="0.3">
      <c r="A462">
        <v>461</v>
      </c>
      <c r="B462" t="s">
        <v>1129</v>
      </c>
      <c r="C462" t="s">
        <v>34</v>
      </c>
      <c r="D462" t="s">
        <v>35</v>
      </c>
      <c r="E462" t="s">
        <v>6351</v>
      </c>
      <c r="F462" t="s">
        <v>6382</v>
      </c>
      <c r="G462" t="s">
        <v>6375</v>
      </c>
      <c r="H462" t="s">
        <v>6381</v>
      </c>
      <c r="I462" t="s">
        <v>6387</v>
      </c>
      <c r="J462">
        <f>AVERAGE(ai_job_market[[#This Row],[min_salary]],ai_job_market[[#This Row],[max_salary]])</f>
        <v>86399</v>
      </c>
      <c r="K462" t="s">
        <v>6396</v>
      </c>
      <c r="L462" t="s">
        <v>22</v>
      </c>
      <c r="M462" t="s">
        <v>15</v>
      </c>
      <c r="N462" t="s">
        <v>4908</v>
      </c>
      <c r="O462" t="s">
        <v>4678</v>
      </c>
      <c r="P462">
        <v>61782</v>
      </c>
      <c r="Q462">
        <v>111016</v>
      </c>
      <c r="R462" s="2">
        <v>45337</v>
      </c>
      <c r="S462" t="s">
        <v>69</v>
      </c>
      <c r="T462" t="s">
        <v>70</v>
      </c>
      <c r="U462" t="s">
        <v>6384</v>
      </c>
      <c r="W462" t="s">
        <v>6351</v>
      </c>
      <c r="X462">
        <v>89</v>
      </c>
      <c r="Y462" t="s">
        <v>70</v>
      </c>
      <c r="Z462">
        <v>268</v>
      </c>
    </row>
    <row r="463" spans="1:26" x14ac:dyDescent="0.3">
      <c r="A463">
        <v>462</v>
      </c>
      <c r="B463" t="s">
        <v>1132</v>
      </c>
      <c r="C463" t="s">
        <v>34</v>
      </c>
      <c r="D463" t="s">
        <v>35</v>
      </c>
      <c r="E463" t="s">
        <v>6358</v>
      </c>
      <c r="F463" t="s">
        <v>6393</v>
      </c>
      <c r="G463" t="s">
        <v>6384</v>
      </c>
      <c r="J463" s="6">
        <f>AVERAGE(ai_job_market[[#This Row],[min_salary]],ai_job_market[[#This Row],[max_salary]])</f>
        <v>119568</v>
      </c>
      <c r="K463"/>
      <c r="L463" t="s">
        <v>14</v>
      </c>
      <c r="M463" t="s">
        <v>15</v>
      </c>
      <c r="N463" t="s">
        <v>4741</v>
      </c>
      <c r="O463" t="s">
        <v>4291</v>
      </c>
      <c r="P463" s="5">
        <v>80727</v>
      </c>
      <c r="Q463" s="5">
        <v>158409</v>
      </c>
      <c r="R463" s="2">
        <v>45686</v>
      </c>
      <c r="S463" t="s">
        <v>69</v>
      </c>
      <c r="T463" t="s">
        <v>90</v>
      </c>
      <c r="U463" t="s">
        <v>6376</v>
      </c>
      <c r="W463" t="s">
        <v>6358</v>
      </c>
      <c r="X463">
        <v>96</v>
      </c>
      <c r="Y463" t="s">
        <v>90</v>
      </c>
      <c r="Z463">
        <v>259</v>
      </c>
    </row>
    <row r="464" spans="1:26" x14ac:dyDescent="0.3">
      <c r="A464">
        <v>463</v>
      </c>
      <c r="B464" t="s">
        <v>1134</v>
      </c>
      <c r="C464" t="s">
        <v>19</v>
      </c>
      <c r="D464" t="s">
        <v>135</v>
      </c>
      <c r="E464" t="s">
        <v>6358</v>
      </c>
      <c r="F464" t="s">
        <v>6387</v>
      </c>
      <c r="G464" t="s">
        <v>6377</v>
      </c>
      <c r="J464">
        <f>AVERAGE(ai_job_market[[#This Row],[min_salary]],ai_job_market[[#This Row],[max_salary]])</f>
        <v>139391.5</v>
      </c>
      <c r="K464"/>
      <c r="L464" t="s">
        <v>27</v>
      </c>
      <c r="M464" t="s">
        <v>15</v>
      </c>
      <c r="N464" t="s">
        <v>4909</v>
      </c>
      <c r="O464" t="s">
        <v>4331</v>
      </c>
      <c r="P464">
        <v>114829</v>
      </c>
      <c r="Q464">
        <v>163954</v>
      </c>
      <c r="R464" s="2">
        <v>45796</v>
      </c>
      <c r="S464" t="s">
        <v>14</v>
      </c>
      <c r="T464" t="s">
        <v>128</v>
      </c>
      <c r="W464" t="s">
        <v>6358</v>
      </c>
      <c r="X464">
        <v>96</v>
      </c>
      <c r="Y464" t="s">
        <v>128</v>
      </c>
      <c r="Z464">
        <v>233</v>
      </c>
    </row>
    <row r="465" spans="1:26" x14ac:dyDescent="0.3">
      <c r="A465">
        <v>464</v>
      </c>
      <c r="B465" t="s">
        <v>1136</v>
      </c>
      <c r="C465" t="s">
        <v>72</v>
      </c>
      <c r="D465" t="s">
        <v>25</v>
      </c>
      <c r="E465" t="s">
        <v>6359</v>
      </c>
      <c r="F465" t="s">
        <v>6396</v>
      </c>
      <c r="G465" t="s">
        <v>6384</v>
      </c>
      <c r="H465" t="s">
        <v>6386</v>
      </c>
      <c r="I465" t="s">
        <v>6385</v>
      </c>
      <c r="J465">
        <f>AVERAGE(ai_job_market[[#This Row],[min_salary]],ai_job_market[[#This Row],[max_salary]])</f>
        <v>155436</v>
      </c>
      <c r="K465"/>
      <c r="L465" t="s">
        <v>14</v>
      </c>
      <c r="M465" t="s">
        <v>51</v>
      </c>
      <c r="N465" t="s">
        <v>4910</v>
      </c>
      <c r="O465" t="s">
        <v>4486</v>
      </c>
      <c r="P465">
        <v>144070</v>
      </c>
      <c r="Q465">
        <v>166802</v>
      </c>
      <c r="R465" s="2">
        <v>45300</v>
      </c>
      <c r="S465" t="s">
        <v>16</v>
      </c>
      <c r="T465" t="s">
        <v>157</v>
      </c>
      <c r="U465" t="s">
        <v>6389</v>
      </c>
      <c r="V465" t="s">
        <v>6384</v>
      </c>
      <c r="W465" t="s">
        <v>6359</v>
      </c>
      <c r="X465">
        <v>104</v>
      </c>
      <c r="Y465" t="s">
        <v>157</v>
      </c>
      <c r="Z465">
        <v>247</v>
      </c>
    </row>
    <row r="466" spans="1:26" x14ac:dyDescent="0.3">
      <c r="A466">
        <v>465</v>
      </c>
      <c r="B466" t="s">
        <v>1138</v>
      </c>
      <c r="C466" t="s">
        <v>49</v>
      </c>
      <c r="D466" t="s">
        <v>135</v>
      </c>
      <c r="E466" t="s">
        <v>6351</v>
      </c>
      <c r="F466" t="s">
        <v>6395</v>
      </c>
      <c r="G466" t="s">
        <v>6381</v>
      </c>
      <c r="H466" t="s">
        <v>6382</v>
      </c>
      <c r="I466" t="s">
        <v>6374</v>
      </c>
      <c r="J466">
        <f>AVERAGE(ai_job_market[[#This Row],[min_salary]],ai_job_market[[#This Row],[max_salary]])</f>
        <v>80812</v>
      </c>
      <c r="K466"/>
      <c r="L466" t="s">
        <v>22</v>
      </c>
      <c r="M466" t="s">
        <v>37</v>
      </c>
      <c r="N466" t="s">
        <v>4911</v>
      </c>
      <c r="O466" t="s">
        <v>4484</v>
      </c>
      <c r="P466">
        <v>52942</v>
      </c>
      <c r="Q466">
        <v>108682</v>
      </c>
      <c r="R466" s="2">
        <v>45875</v>
      </c>
      <c r="S466" t="s">
        <v>16</v>
      </c>
      <c r="T466" t="s">
        <v>101</v>
      </c>
      <c r="W466" t="s">
        <v>6351</v>
      </c>
      <c r="X466">
        <v>89</v>
      </c>
      <c r="Y466" t="s">
        <v>101</v>
      </c>
      <c r="Z466">
        <v>255</v>
      </c>
    </row>
    <row r="467" spans="1:26" x14ac:dyDescent="0.3">
      <c r="A467">
        <v>466</v>
      </c>
      <c r="B467" t="s">
        <v>1140</v>
      </c>
      <c r="C467" t="s">
        <v>45</v>
      </c>
      <c r="D467" t="s">
        <v>67</v>
      </c>
      <c r="E467" t="s">
        <v>128</v>
      </c>
      <c r="F467" t="s">
        <v>6374</v>
      </c>
      <c r="G467" t="s">
        <v>6387</v>
      </c>
      <c r="H467" t="s">
        <v>6394</v>
      </c>
      <c r="J467">
        <f>AVERAGE(ai_job_market[[#This Row],[min_salary]],ai_job_market[[#This Row],[max_salary]])</f>
        <v>141771</v>
      </c>
      <c r="K467"/>
      <c r="L467" t="s">
        <v>14</v>
      </c>
      <c r="M467" t="s">
        <v>51</v>
      </c>
      <c r="N467" t="s">
        <v>4912</v>
      </c>
      <c r="O467" t="s">
        <v>4339</v>
      </c>
      <c r="P467">
        <v>113035</v>
      </c>
      <c r="Q467">
        <v>170507</v>
      </c>
      <c r="R467" s="2">
        <v>45481</v>
      </c>
      <c r="S467" t="s">
        <v>69</v>
      </c>
      <c r="T467" t="s">
        <v>77</v>
      </c>
      <c r="U467" t="s">
        <v>6375</v>
      </c>
      <c r="W467" t="s">
        <v>128</v>
      </c>
      <c r="X467">
        <v>92</v>
      </c>
      <c r="Y467" t="s">
        <v>77</v>
      </c>
      <c r="Z467">
        <v>251</v>
      </c>
    </row>
    <row r="468" spans="1:26" x14ac:dyDescent="0.3">
      <c r="A468">
        <v>467</v>
      </c>
      <c r="B468" t="s">
        <v>1142</v>
      </c>
      <c r="C468" t="s">
        <v>45</v>
      </c>
      <c r="D468" t="s">
        <v>35</v>
      </c>
      <c r="E468" t="s">
        <v>90</v>
      </c>
      <c r="F468" t="s">
        <v>6385</v>
      </c>
      <c r="G468" t="s">
        <v>6381</v>
      </c>
      <c r="J468">
        <f>AVERAGE(ai_job_market[[#This Row],[min_salary]],ai_job_market[[#This Row],[max_salary]])</f>
        <v>154256.5</v>
      </c>
      <c r="K468"/>
      <c r="L468" t="s">
        <v>14</v>
      </c>
      <c r="M468" t="s">
        <v>51</v>
      </c>
      <c r="N468" t="s">
        <v>4913</v>
      </c>
      <c r="O468" t="s">
        <v>4371</v>
      </c>
      <c r="P468">
        <v>132860</v>
      </c>
      <c r="Q468">
        <v>175653</v>
      </c>
      <c r="R468" s="2">
        <v>45612</v>
      </c>
      <c r="S468" t="s">
        <v>69</v>
      </c>
      <c r="T468" t="s">
        <v>90</v>
      </c>
      <c r="W468" t="s">
        <v>90</v>
      </c>
      <c r="X468">
        <v>80</v>
      </c>
      <c r="Y468" t="s">
        <v>90</v>
      </c>
      <c r="Z468">
        <v>259</v>
      </c>
    </row>
    <row r="469" spans="1:26" x14ac:dyDescent="0.3">
      <c r="A469">
        <v>468</v>
      </c>
      <c r="B469" t="s">
        <v>1144</v>
      </c>
      <c r="C469" t="s">
        <v>19</v>
      </c>
      <c r="D469" t="s">
        <v>35</v>
      </c>
      <c r="E469" t="s">
        <v>90</v>
      </c>
      <c r="F469" t="s">
        <v>6391</v>
      </c>
      <c r="G469" t="s">
        <v>6377</v>
      </c>
      <c r="H469" t="s">
        <v>6392</v>
      </c>
      <c r="I469" t="s">
        <v>6386</v>
      </c>
      <c r="J469">
        <f>AVERAGE(ai_job_market[[#This Row],[min_salary]],ai_job_market[[#This Row],[max_salary]])</f>
        <v>166891.5</v>
      </c>
      <c r="K469"/>
      <c r="L469" t="s">
        <v>14</v>
      </c>
      <c r="M469" t="s">
        <v>37</v>
      </c>
      <c r="N469" t="s">
        <v>4914</v>
      </c>
      <c r="O469" t="s">
        <v>4528</v>
      </c>
      <c r="P469">
        <v>117504</v>
      </c>
      <c r="Q469">
        <v>216279</v>
      </c>
      <c r="R469" s="2">
        <v>45652</v>
      </c>
      <c r="S469" t="s">
        <v>14</v>
      </c>
      <c r="T469" t="s">
        <v>70</v>
      </c>
      <c r="W469" t="s">
        <v>90</v>
      </c>
      <c r="X469">
        <v>80</v>
      </c>
      <c r="Y469" t="s">
        <v>70</v>
      </c>
      <c r="Z469">
        <v>268</v>
      </c>
    </row>
    <row r="470" spans="1:26" x14ac:dyDescent="0.3">
      <c r="A470">
        <v>469</v>
      </c>
      <c r="B470" t="s">
        <v>1146</v>
      </c>
      <c r="C470" t="s">
        <v>40</v>
      </c>
      <c r="D470" t="s">
        <v>20</v>
      </c>
      <c r="E470" t="s">
        <v>6347</v>
      </c>
      <c r="F470" t="s">
        <v>6375</v>
      </c>
      <c r="G470" t="s">
        <v>6387</v>
      </c>
      <c r="H470" t="s">
        <v>6379</v>
      </c>
      <c r="J470" s="6">
        <f>AVERAGE(ai_job_market[[#This Row],[min_salary]],ai_job_market[[#This Row],[max_salary]])</f>
        <v>167099.5</v>
      </c>
      <c r="K470"/>
      <c r="L470" t="s">
        <v>14</v>
      </c>
      <c r="M470" t="s">
        <v>42</v>
      </c>
      <c r="N470" t="s">
        <v>4915</v>
      </c>
      <c r="O470" t="s">
        <v>4377</v>
      </c>
      <c r="P470" s="5">
        <v>119974</v>
      </c>
      <c r="Q470" s="5">
        <v>214225</v>
      </c>
      <c r="R470" s="2">
        <v>45555</v>
      </c>
      <c r="S470" t="s">
        <v>16</v>
      </c>
      <c r="T470" t="s">
        <v>80</v>
      </c>
      <c r="W470" t="s">
        <v>6347</v>
      </c>
      <c r="X470">
        <v>94</v>
      </c>
      <c r="Y470" t="s">
        <v>80</v>
      </c>
      <c r="Z470">
        <v>249</v>
      </c>
    </row>
    <row r="471" spans="1:26" x14ac:dyDescent="0.3">
      <c r="A471">
        <v>470</v>
      </c>
      <c r="B471" t="s">
        <v>1148</v>
      </c>
      <c r="C471" t="s">
        <v>11</v>
      </c>
      <c r="D471" t="s">
        <v>67</v>
      </c>
      <c r="E471" t="s">
        <v>80</v>
      </c>
      <c r="F471" t="s">
        <v>6397</v>
      </c>
      <c r="G471" t="s">
        <v>6380</v>
      </c>
      <c r="J471">
        <f>AVERAGE(ai_job_market[[#This Row],[min_salary]],ai_job_market[[#This Row],[max_salary]])</f>
        <v>126317.5</v>
      </c>
      <c r="K471"/>
      <c r="L471" t="s">
        <v>22</v>
      </c>
      <c r="M471" t="s">
        <v>37</v>
      </c>
      <c r="N471" t="s">
        <v>4916</v>
      </c>
      <c r="O471" t="s">
        <v>4495</v>
      </c>
      <c r="P471">
        <v>89679</v>
      </c>
      <c r="Q471">
        <v>162956</v>
      </c>
      <c r="R471" s="2">
        <v>45847</v>
      </c>
      <c r="S471" t="s">
        <v>14</v>
      </c>
      <c r="T471" t="s">
        <v>128</v>
      </c>
      <c r="U471" t="s">
        <v>6389</v>
      </c>
      <c r="W471" t="s">
        <v>80</v>
      </c>
      <c r="X471">
        <v>95</v>
      </c>
      <c r="Y471" t="s">
        <v>128</v>
      </c>
      <c r="Z471">
        <v>233</v>
      </c>
    </row>
    <row r="472" spans="1:26" x14ac:dyDescent="0.3">
      <c r="A472">
        <v>471</v>
      </c>
      <c r="B472" t="s">
        <v>1150</v>
      </c>
      <c r="C472" t="s">
        <v>49</v>
      </c>
      <c r="D472" t="s">
        <v>20</v>
      </c>
      <c r="E472" t="s">
        <v>6350</v>
      </c>
      <c r="F472" t="s">
        <v>6382</v>
      </c>
      <c r="G472" t="s">
        <v>6393</v>
      </c>
      <c r="H472" t="s">
        <v>6381</v>
      </c>
      <c r="I472" t="s">
        <v>6379</v>
      </c>
      <c r="J472">
        <f>AVERAGE(ai_job_market[[#This Row],[min_salary]],ai_job_market[[#This Row],[max_salary]])</f>
        <v>141279.5</v>
      </c>
      <c r="K472" t="s">
        <v>6397</v>
      </c>
      <c r="L472" t="s">
        <v>22</v>
      </c>
      <c r="M472" t="s">
        <v>51</v>
      </c>
      <c r="N472" t="s">
        <v>4917</v>
      </c>
      <c r="O472" t="s">
        <v>4593</v>
      </c>
      <c r="P472">
        <v>92350</v>
      </c>
      <c r="Q472">
        <v>190209</v>
      </c>
      <c r="R472" s="2">
        <v>45564</v>
      </c>
      <c r="S472" t="s">
        <v>14</v>
      </c>
      <c r="T472" t="s">
        <v>90</v>
      </c>
      <c r="W472" t="s">
        <v>6350</v>
      </c>
      <c r="X472">
        <v>84</v>
      </c>
      <c r="Y472" t="s">
        <v>90</v>
      </c>
      <c r="Z472">
        <v>259</v>
      </c>
    </row>
    <row r="473" spans="1:26" x14ac:dyDescent="0.3">
      <c r="A473">
        <v>472</v>
      </c>
      <c r="B473" t="s">
        <v>1152</v>
      </c>
      <c r="C473" t="s">
        <v>45</v>
      </c>
      <c r="D473" t="s">
        <v>54</v>
      </c>
      <c r="E473" t="s">
        <v>6344</v>
      </c>
      <c r="F473" t="s">
        <v>6386</v>
      </c>
      <c r="G473" t="s">
        <v>6396</v>
      </c>
      <c r="J473">
        <f>AVERAGE(ai_job_market[[#This Row],[min_salary]],ai_job_market[[#This Row],[max_salary]])</f>
        <v>128469</v>
      </c>
      <c r="K473"/>
      <c r="L473" t="s">
        <v>14</v>
      </c>
      <c r="M473" t="s">
        <v>37</v>
      </c>
      <c r="N473" t="s">
        <v>4918</v>
      </c>
      <c r="O473" t="s">
        <v>4495</v>
      </c>
      <c r="P473">
        <v>100745</v>
      </c>
      <c r="Q473">
        <v>156193</v>
      </c>
      <c r="R473" s="2">
        <v>45431</v>
      </c>
      <c r="S473" t="s">
        <v>16</v>
      </c>
      <c r="T473" t="s">
        <v>80</v>
      </c>
      <c r="W473" t="s">
        <v>6344</v>
      </c>
      <c r="X473">
        <v>104</v>
      </c>
      <c r="Y473" t="s">
        <v>80</v>
      </c>
      <c r="Z473">
        <v>249</v>
      </c>
    </row>
    <row r="474" spans="1:26" x14ac:dyDescent="0.3">
      <c r="A474">
        <v>473</v>
      </c>
      <c r="B474" t="s">
        <v>1154</v>
      </c>
      <c r="C474" t="s">
        <v>19</v>
      </c>
      <c r="D474" t="s">
        <v>54</v>
      </c>
      <c r="E474" t="s">
        <v>128</v>
      </c>
      <c r="F474" t="s">
        <v>6374</v>
      </c>
      <c r="G474" t="s">
        <v>6378</v>
      </c>
      <c r="H474" t="s">
        <v>6387</v>
      </c>
      <c r="I474" t="s">
        <v>6385</v>
      </c>
      <c r="J474" s="6">
        <f>AVERAGE(ai_job_market[[#This Row],[min_salary]],ai_job_market[[#This Row],[max_salary]])</f>
        <v>191811</v>
      </c>
      <c r="K474"/>
      <c r="L474" t="s">
        <v>27</v>
      </c>
      <c r="M474" t="s">
        <v>15</v>
      </c>
      <c r="N474" t="s">
        <v>4919</v>
      </c>
      <c r="O474" t="s">
        <v>4463</v>
      </c>
      <c r="P474" s="5">
        <v>144980</v>
      </c>
      <c r="Q474" s="5">
        <v>238642</v>
      </c>
      <c r="R474" s="2">
        <v>45413</v>
      </c>
      <c r="S474" t="s">
        <v>69</v>
      </c>
      <c r="T474" t="s">
        <v>52</v>
      </c>
      <c r="W474" t="s">
        <v>128</v>
      </c>
      <c r="X474">
        <v>92</v>
      </c>
      <c r="Y474" t="s">
        <v>52</v>
      </c>
      <c r="Z474">
        <v>238</v>
      </c>
    </row>
    <row r="475" spans="1:26" x14ac:dyDescent="0.3">
      <c r="A475">
        <v>474</v>
      </c>
      <c r="B475" t="s">
        <v>1156</v>
      </c>
      <c r="C475" t="s">
        <v>45</v>
      </c>
      <c r="D475" t="s">
        <v>12</v>
      </c>
      <c r="E475" t="s">
        <v>6349</v>
      </c>
      <c r="F475" t="s">
        <v>6379</v>
      </c>
      <c r="G475" t="s">
        <v>6380</v>
      </c>
      <c r="J475">
        <f>AVERAGE(ai_job_market[[#This Row],[min_salary]],ai_job_market[[#This Row],[max_salary]])</f>
        <v>93707.5</v>
      </c>
      <c r="K475"/>
      <c r="L475" t="s">
        <v>14</v>
      </c>
      <c r="M475" t="s">
        <v>37</v>
      </c>
      <c r="N475" t="s">
        <v>4920</v>
      </c>
      <c r="O475" t="s">
        <v>4921</v>
      </c>
      <c r="P475">
        <v>43750</v>
      </c>
      <c r="Q475">
        <v>143665</v>
      </c>
      <c r="R475" s="2">
        <v>45794</v>
      </c>
      <c r="S475" t="s">
        <v>69</v>
      </c>
      <c r="T475" t="s">
        <v>77</v>
      </c>
      <c r="U475" t="s">
        <v>6376</v>
      </c>
      <c r="V475" t="s">
        <v>6384</v>
      </c>
      <c r="W475" t="s">
        <v>6349</v>
      </c>
      <c r="X475">
        <v>96</v>
      </c>
      <c r="Y475" t="s">
        <v>77</v>
      </c>
      <c r="Z475">
        <v>251</v>
      </c>
    </row>
    <row r="476" spans="1:26" x14ac:dyDescent="0.3">
      <c r="A476">
        <v>475</v>
      </c>
      <c r="B476" t="s">
        <v>1159</v>
      </c>
      <c r="C476" t="s">
        <v>11</v>
      </c>
      <c r="D476" t="s">
        <v>135</v>
      </c>
      <c r="E476" t="s">
        <v>6346</v>
      </c>
      <c r="F476" t="s">
        <v>6375</v>
      </c>
      <c r="G476" t="s">
        <v>6392</v>
      </c>
      <c r="J476">
        <f>AVERAGE(ai_job_market[[#This Row],[min_salary]],ai_job_market[[#This Row],[max_salary]])</f>
        <v>132396.5</v>
      </c>
      <c r="K476"/>
      <c r="L476" t="s">
        <v>27</v>
      </c>
      <c r="M476" t="s">
        <v>15</v>
      </c>
      <c r="N476" t="s">
        <v>4922</v>
      </c>
      <c r="O476" t="s">
        <v>4907</v>
      </c>
      <c r="P476">
        <v>123991</v>
      </c>
      <c r="Q476">
        <v>140802</v>
      </c>
      <c r="R476" s="2">
        <v>45336</v>
      </c>
      <c r="S476" t="s">
        <v>14</v>
      </c>
      <c r="T476" t="s">
        <v>90</v>
      </c>
      <c r="U476" t="s">
        <v>6383</v>
      </c>
      <c r="V476" t="s">
        <v>6379</v>
      </c>
      <c r="W476" t="s">
        <v>6346</v>
      </c>
      <c r="X476">
        <v>78</v>
      </c>
      <c r="Y476" t="s">
        <v>90</v>
      </c>
      <c r="Z476">
        <v>259</v>
      </c>
    </row>
    <row r="477" spans="1:26" x14ac:dyDescent="0.3">
      <c r="A477">
        <v>476</v>
      </c>
      <c r="B477" t="s">
        <v>1162</v>
      </c>
      <c r="C477" t="s">
        <v>45</v>
      </c>
      <c r="D477" t="s">
        <v>135</v>
      </c>
      <c r="E477" t="s">
        <v>6352</v>
      </c>
      <c r="F477" t="s">
        <v>6396</v>
      </c>
      <c r="G477" t="s">
        <v>6387</v>
      </c>
      <c r="J477">
        <f>AVERAGE(ai_job_market[[#This Row],[min_salary]],ai_job_market[[#This Row],[max_salary]])</f>
        <v>90786</v>
      </c>
      <c r="K477"/>
      <c r="L477" t="s">
        <v>27</v>
      </c>
      <c r="M477" t="s">
        <v>51</v>
      </c>
      <c r="N477" t="s">
        <v>4923</v>
      </c>
      <c r="O477" t="s">
        <v>4907</v>
      </c>
      <c r="P477">
        <v>82447</v>
      </c>
      <c r="Q477">
        <v>99125</v>
      </c>
      <c r="R477" s="2">
        <v>45340</v>
      </c>
      <c r="S477" t="s">
        <v>14</v>
      </c>
      <c r="T477" t="s">
        <v>90</v>
      </c>
      <c r="W477" t="s">
        <v>6352</v>
      </c>
      <c r="X477">
        <v>97</v>
      </c>
      <c r="Y477" t="s">
        <v>90</v>
      </c>
      <c r="Z477">
        <v>259</v>
      </c>
    </row>
    <row r="478" spans="1:26" x14ac:dyDescent="0.3">
      <c r="A478">
        <v>477</v>
      </c>
      <c r="B478" t="s">
        <v>1164</v>
      </c>
      <c r="C478" t="s">
        <v>11</v>
      </c>
      <c r="D478" t="s">
        <v>20</v>
      </c>
      <c r="E478" t="s">
        <v>77</v>
      </c>
      <c r="F478" t="s">
        <v>6379</v>
      </c>
      <c r="G478" t="s">
        <v>6381</v>
      </c>
      <c r="H478" t="s">
        <v>6384</v>
      </c>
      <c r="I478" t="s">
        <v>6387</v>
      </c>
      <c r="J478">
        <f>AVERAGE(ai_job_market[[#This Row],[min_salary]],ai_job_market[[#This Row],[max_salary]])</f>
        <v>59575</v>
      </c>
      <c r="K478"/>
      <c r="L478" t="s">
        <v>14</v>
      </c>
      <c r="M478" t="s">
        <v>42</v>
      </c>
      <c r="N478" t="s">
        <v>4924</v>
      </c>
      <c r="O478" t="s">
        <v>4437</v>
      </c>
      <c r="P478">
        <v>40493</v>
      </c>
      <c r="Q478">
        <v>78657</v>
      </c>
      <c r="R478" s="2">
        <v>45393</v>
      </c>
      <c r="S478" t="s">
        <v>69</v>
      </c>
      <c r="T478" t="s">
        <v>52</v>
      </c>
      <c r="W478" t="s">
        <v>77</v>
      </c>
      <c r="X478">
        <v>111</v>
      </c>
      <c r="Y478" t="s">
        <v>52</v>
      </c>
      <c r="Z478">
        <v>238</v>
      </c>
    </row>
    <row r="479" spans="1:26" x14ac:dyDescent="0.3">
      <c r="A479">
        <v>478</v>
      </c>
      <c r="B479" t="s">
        <v>1166</v>
      </c>
      <c r="C479" t="s">
        <v>45</v>
      </c>
      <c r="D479" t="s">
        <v>12</v>
      </c>
      <c r="E479" t="s">
        <v>6349</v>
      </c>
      <c r="F479" t="s">
        <v>6379</v>
      </c>
      <c r="G479" t="s">
        <v>6387</v>
      </c>
      <c r="H479" t="s">
        <v>6389</v>
      </c>
      <c r="I479" t="s">
        <v>6391</v>
      </c>
      <c r="J479">
        <f>AVERAGE(ai_job_market[[#This Row],[min_salary]],ai_job_market[[#This Row],[max_salary]])</f>
        <v>134557.5</v>
      </c>
      <c r="K479" t="s">
        <v>6384</v>
      </c>
      <c r="L479" t="s">
        <v>22</v>
      </c>
      <c r="M479" t="s">
        <v>42</v>
      </c>
      <c r="N479" t="s">
        <v>4925</v>
      </c>
      <c r="O479" t="s">
        <v>4783</v>
      </c>
      <c r="P479">
        <v>123525</v>
      </c>
      <c r="Q479">
        <v>145590</v>
      </c>
      <c r="R479" s="2">
        <v>45523</v>
      </c>
      <c r="S479" t="s">
        <v>14</v>
      </c>
      <c r="T479" t="s">
        <v>80</v>
      </c>
      <c r="U479" t="s">
        <v>6388</v>
      </c>
      <c r="V479" t="s">
        <v>6379</v>
      </c>
      <c r="W479" t="s">
        <v>6349</v>
      </c>
      <c r="X479">
        <v>96</v>
      </c>
      <c r="Y479" t="s">
        <v>80</v>
      </c>
      <c r="Z479">
        <v>249</v>
      </c>
    </row>
    <row r="480" spans="1:26" x14ac:dyDescent="0.3">
      <c r="A480">
        <v>479</v>
      </c>
      <c r="B480" t="s">
        <v>1168</v>
      </c>
      <c r="C480" t="s">
        <v>72</v>
      </c>
      <c r="D480" t="s">
        <v>25</v>
      </c>
      <c r="E480" t="s">
        <v>6357</v>
      </c>
      <c r="F480" t="s">
        <v>6387</v>
      </c>
      <c r="G480" t="s">
        <v>6390</v>
      </c>
      <c r="J480">
        <f>AVERAGE(ai_job_market[[#This Row],[min_salary]],ai_job_market[[#This Row],[max_salary]])</f>
        <v>66068</v>
      </c>
      <c r="K480"/>
      <c r="L480" t="s">
        <v>14</v>
      </c>
      <c r="M480" t="s">
        <v>42</v>
      </c>
      <c r="N480" t="s">
        <v>4926</v>
      </c>
      <c r="O480" t="s">
        <v>4927</v>
      </c>
      <c r="P480">
        <v>48593</v>
      </c>
      <c r="Q480">
        <v>83543</v>
      </c>
      <c r="R480" s="2">
        <v>45577</v>
      </c>
      <c r="S480" t="s">
        <v>16</v>
      </c>
      <c r="T480" t="s">
        <v>157</v>
      </c>
      <c r="U480" t="s">
        <v>6389</v>
      </c>
      <c r="W480" t="s">
        <v>6357</v>
      </c>
      <c r="X480">
        <v>88</v>
      </c>
      <c r="Y480" t="s">
        <v>157</v>
      </c>
      <c r="Z480">
        <v>247</v>
      </c>
    </row>
    <row r="481" spans="1:26" x14ac:dyDescent="0.3">
      <c r="A481">
        <v>480</v>
      </c>
      <c r="B481" t="s">
        <v>1170</v>
      </c>
      <c r="C481" t="s">
        <v>49</v>
      </c>
      <c r="D481" t="s">
        <v>30</v>
      </c>
      <c r="E481" t="s">
        <v>6358</v>
      </c>
      <c r="F481" t="s">
        <v>6380</v>
      </c>
      <c r="G481" t="s">
        <v>6376</v>
      </c>
      <c r="J481">
        <f>AVERAGE(ai_job_market[[#This Row],[min_salary]],ai_job_market[[#This Row],[max_salary]])</f>
        <v>111332.5</v>
      </c>
      <c r="K481"/>
      <c r="L481" t="s">
        <v>27</v>
      </c>
      <c r="M481" t="s">
        <v>42</v>
      </c>
      <c r="N481" t="s">
        <v>4928</v>
      </c>
      <c r="O481" t="s">
        <v>4929</v>
      </c>
      <c r="P481">
        <v>84439</v>
      </c>
      <c r="Q481">
        <v>138226</v>
      </c>
      <c r="R481" s="2">
        <v>45729</v>
      </c>
      <c r="S481" t="s">
        <v>69</v>
      </c>
      <c r="T481" t="s">
        <v>90</v>
      </c>
      <c r="U481" t="s">
        <v>6375</v>
      </c>
      <c r="W481" t="s">
        <v>6358</v>
      </c>
      <c r="X481">
        <v>96</v>
      </c>
      <c r="Y481" t="s">
        <v>90</v>
      </c>
      <c r="Z481">
        <v>259</v>
      </c>
    </row>
    <row r="482" spans="1:26" x14ac:dyDescent="0.3">
      <c r="A482">
        <v>481</v>
      </c>
      <c r="B482" t="s">
        <v>1171</v>
      </c>
      <c r="C482" t="s">
        <v>34</v>
      </c>
      <c r="D482" t="s">
        <v>135</v>
      </c>
      <c r="E482" t="s">
        <v>6352</v>
      </c>
      <c r="F482" t="s">
        <v>6380</v>
      </c>
      <c r="G482" t="s">
        <v>6377</v>
      </c>
      <c r="H482" t="s">
        <v>6376</v>
      </c>
      <c r="I482" t="s">
        <v>6391</v>
      </c>
      <c r="J482">
        <f>AVERAGE(ai_job_market[[#This Row],[min_salary]],ai_job_market[[#This Row],[max_salary]])</f>
        <v>169804</v>
      </c>
      <c r="K482"/>
      <c r="L482" t="s">
        <v>14</v>
      </c>
      <c r="M482" t="s">
        <v>51</v>
      </c>
      <c r="N482" t="s">
        <v>4930</v>
      </c>
      <c r="O482" t="s">
        <v>4414</v>
      </c>
      <c r="P482">
        <v>132748</v>
      </c>
      <c r="Q482">
        <v>206860</v>
      </c>
      <c r="R482" s="2">
        <v>45490</v>
      </c>
      <c r="S482" t="s">
        <v>16</v>
      </c>
      <c r="T482" t="s">
        <v>101</v>
      </c>
      <c r="U482" t="s">
        <v>6383</v>
      </c>
      <c r="W482" t="s">
        <v>6352</v>
      </c>
      <c r="X482">
        <v>97</v>
      </c>
      <c r="Y482" t="s">
        <v>101</v>
      </c>
      <c r="Z482">
        <v>255</v>
      </c>
    </row>
    <row r="483" spans="1:26" x14ac:dyDescent="0.3">
      <c r="A483">
        <v>482</v>
      </c>
      <c r="B483" t="s">
        <v>1173</v>
      </c>
      <c r="C483" t="s">
        <v>49</v>
      </c>
      <c r="D483" t="s">
        <v>25</v>
      </c>
      <c r="E483" t="s">
        <v>6357</v>
      </c>
      <c r="F483" t="s">
        <v>6393</v>
      </c>
      <c r="G483" t="s">
        <v>6391</v>
      </c>
      <c r="H483" t="s">
        <v>6385</v>
      </c>
      <c r="I483" t="s">
        <v>6390</v>
      </c>
      <c r="J483">
        <f>AVERAGE(ai_job_market[[#This Row],[min_salary]],ai_job_market[[#This Row],[max_salary]])</f>
        <v>140207</v>
      </c>
      <c r="K483" t="s">
        <v>6392</v>
      </c>
      <c r="L483" t="s">
        <v>22</v>
      </c>
      <c r="M483" t="s">
        <v>37</v>
      </c>
      <c r="N483" t="s">
        <v>4931</v>
      </c>
      <c r="O483" t="s">
        <v>4450</v>
      </c>
      <c r="P483">
        <v>127247</v>
      </c>
      <c r="Q483">
        <v>153167</v>
      </c>
      <c r="R483" s="2">
        <v>45901</v>
      </c>
      <c r="S483" t="s">
        <v>14</v>
      </c>
      <c r="T483" t="s">
        <v>157</v>
      </c>
      <c r="W483" t="s">
        <v>6357</v>
      </c>
      <c r="X483">
        <v>88</v>
      </c>
      <c r="Y483" t="s">
        <v>157</v>
      </c>
      <c r="Z483">
        <v>247</v>
      </c>
    </row>
    <row r="484" spans="1:26" x14ac:dyDescent="0.3">
      <c r="A484">
        <v>483</v>
      </c>
      <c r="B484" t="s">
        <v>1175</v>
      </c>
      <c r="C484" t="s">
        <v>45</v>
      </c>
      <c r="D484" t="s">
        <v>25</v>
      </c>
      <c r="E484" t="s">
        <v>6345</v>
      </c>
      <c r="F484" t="s">
        <v>6395</v>
      </c>
      <c r="G484" t="s">
        <v>6377</v>
      </c>
      <c r="H484" t="s">
        <v>6380</v>
      </c>
      <c r="I484" t="s">
        <v>6375</v>
      </c>
      <c r="J484">
        <f>AVERAGE(ai_job_market[[#This Row],[min_salary]],ai_job_market[[#This Row],[max_salary]])</f>
        <v>106998</v>
      </c>
      <c r="K484" t="s">
        <v>6390</v>
      </c>
      <c r="L484" t="s">
        <v>14</v>
      </c>
      <c r="M484" t="s">
        <v>37</v>
      </c>
      <c r="N484" t="s">
        <v>4932</v>
      </c>
      <c r="O484" t="s">
        <v>4369</v>
      </c>
      <c r="P484">
        <v>72261</v>
      </c>
      <c r="Q484">
        <v>141735</v>
      </c>
      <c r="R484" s="2">
        <v>45890</v>
      </c>
      <c r="S484" t="s">
        <v>14</v>
      </c>
      <c r="T484" t="s">
        <v>101</v>
      </c>
      <c r="W484" t="s">
        <v>6345</v>
      </c>
      <c r="X484">
        <v>101</v>
      </c>
      <c r="Y484" t="s">
        <v>101</v>
      </c>
      <c r="Z484">
        <v>255</v>
      </c>
    </row>
    <row r="485" spans="1:26" x14ac:dyDescent="0.3">
      <c r="A485">
        <v>484</v>
      </c>
      <c r="B485" t="s">
        <v>1177</v>
      </c>
      <c r="C485" t="s">
        <v>19</v>
      </c>
      <c r="D485" t="s">
        <v>12</v>
      </c>
      <c r="E485" t="s">
        <v>6349</v>
      </c>
      <c r="F485" t="s">
        <v>6385</v>
      </c>
      <c r="G485" t="s">
        <v>6376</v>
      </c>
      <c r="H485" t="s">
        <v>6392</v>
      </c>
      <c r="I485" t="s">
        <v>6375</v>
      </c>
      <c r="J485">
        <f>AVERAGE(ai_job_market[[#This Row],[min_salary]],ai_job_market[[#This Row],[max_salary]])</f>
        <v>168413</v>
      </c>
      <c r="K485" t="s">
        <v>6382</v>
      </c>
      <c r="L485" t="s">
        <v>14</v>
      </c>
      <c r="M485" t="s">
        <v>51</v>
      </c>
      <c r="N485" t="s">
        <v>4933</v>
      </c>
      <c r="O485" t="s">
        <v>4320</v>
      </c>
      <c r="P485">
        <v>129504</v>
      </c>
      <c r="Q485">
        <v>207322</v>
      </c>
      <c r="R485" s="2">
        <v>45323</v>
      </c>
      <c r="S485" t="s">
        <v>14</v>
      </c>
      <c r="T485" t="s">
        <v>90</v>
      </c>
      <c r="U485" t="s">
        <v>6375</v>
      </c>
      <c r="W485" t="s">
        <v>6349</v>
      </c>
      <c r="X485">
        <v>96</v>
      </c>
      <c r="Y485" t="s">
        <v>90</v>
      </c>
      <c r="Z485">
        <v>259</v>
      </c>
    </row>
    <row r="486" spans="1:26" x14ac:dyDescent="0.3">
      <c r="A486">
        <v>485</v>
      </c>
      <c r="B486" t="s">
        <v>1179</v>
      </c>
      <c r="C486" t="s">
        <v>40</v>
      </c>
      <c r="D486" t="s">
        <v>30</v>
      </c>
      <c r="E486" t="s">
        <v>80</v>
      </c>
      <c r="F486" t="s">
        <v>6395</v>
      </c>
      <c r="G486" t="s">
        <v>6374</v>
      </c>
      <c r="H486" t="s">
        <v>6394</v>
      </c>
      <c r="I486" t="s">
        <v>6380</v>
      </c>
      <c r="J486">
        <f>AVERAGE(ai_job_market[[#This Row],[min_salary]],ai_job_market[[#This Row],[max_salary]])</f>
        <v>145832</v>
      </c>
      <c r="K486" t="s">
        <v>6396</v>
      </c>
      <c r="L486" t="s">
        <v>14</v>
      </c>
      <c r="M486" t="s">
        <v>42</v>
      </c>
      <c r="N486" t="s">
        <v>4934</v>
      </c>
      <c r="O486" t="s">
        <v>4488</v>
      </c>
      <c r="P486">
        <v>116697</v>
      </c>
      <c r="Q486">
        <v>174967</v>
      </c>
      <c r="R486" s="2">
        <v>45324</v>
      </c>
      <c r="S486" t="s">
        <v>69</v>
      </c>
      <c r="T486" t="s">
        <v>70</v>
      </c>
      <c r="U486" t="s">
        <v>6376</v>
      </c>
      <c r="V486" t="s">
        <v>6378</v>
      </c>
      <c r="W486" t="s">
        <v>80</v>
      </c>
      <c r="X486">
        <v>95</v>
      </c>
      <c r="Y486" t="s">
        <v>70</v>
      </c>
      <c r="Z486">
        <v>268</v>
      </c>
    </row>
    <row r="487" spans="1:26" x14ac:dyDescent="0.3">
      <c r="A487">
        <v>486</v>
      </c>
      <c r="B487" t="s">
        <v>1181</v>
      </c>
      <c r="C487" t="s">
        <v>72</v>
      </c>
      <c r="D487" t="s">
        <v>20</v>
      </c>
      <c r="E487" t="s">
        <v>6347</v>
      </c>
      <c r="F487" t="s">
        <v>6391</v>
      </c>
      <c r="G487" t="s">
        <v>6387</v>
      </c>
      <c r="H487" t="s">
        <v>6384</v>
      </c>
      <c r="I487" t="s">
        <v>6377</v>
      </c>
      <c r="J487">
        <f>AVERAGE(ai_job_market[[#This Row],[min_salary]],ai_job_market[[#This Row],[max_salary]])</f>
        <v>89313</v>
      </c>
      <c r="K487"/>
      <c r="L487" t="s">
        <v>27</v>
      </c>
      <c r="M487" t="s">
        <v>42</v>
      </c>
      <c r="N487" t="s">
        <v>4935</v>
      </c>
      <c r="O487" t="s">
        <v>4626</v>
      </c>
      <c r="P487">
        <v>46832</v>
      </c>
      <c r="Q487">
        <v>131794</v>
      </c>
      <c r="R487" s="2">
        <v>45491</v>
      </c>
      <c r="S487" t="s">
        <v>69</v>
      </c>
      <c r="T487" t="s">
        <v>90</v>
      </c>
      <c r="U487" t="s">
        <v>6388</v>
      </c>
      <c r="V487" t="s">
        <v>6376</v>
      </c>
      <c r="W487" t="s">
        <v>6347</v>
      </c>
      <c r="X487">
        <v>94</v>
      </c>
      <c r="Y487" t="s">
        <v>90</v>
      </c>
      <c r="Z487">
        <v>259</v>
      </c>
    </row>
    <row r="488" spans="1:26" x14ac:dyDescent="0.3">
      <c r="A488">
        <v>487</v>
      </c>
      <c r="B488" t="s">
        <v>1184</v>
      </c>
      <c r="C488" t="s">
        <v>11</v>
      </c>
      <c r="D488" t="s">
        <v>35</v>
      </c>
      <c r="E488" t="s">
        <v>6351</v>
      </c>
      <c r="F488" t="s">
        <v>6385</v>
      </c>
      <c r="G488" t="s">
        <v>6375</v>
      </c>
      <c r="H488" t="s">
        <v>6374</v>
      </c>
      <c r="I488" t="s">
        <v>6384</v>
      </c>
      <c r="J488">
        <f>AVERAGE(ai_job_market[[#This Row],[min_salary]],ai_job_market[[#This Row],[max_salary]])</f>
        <v>143759</v>
      </c>
      <c r="K488"/>
      <c r="L488" t="s">
        <v>14</v>
      </c>
      <c r="M488" t="s">
        <v>51</v>
      </c>
      <c r="N488" t="s">
        <v>4936</v>
      </c>
      <c r="O488" t="s">
        <v>4367</v>
      </c>
      <c r="P488">
        <v>135983</v>
      </c>
      <c r="Q488">
        <v>151535</v>
      </c>
      <c r="R488" s="2">
        <v>45720</v>
      </c>
      <c r="S488" t="s">
        <v>16</v>
      </c>
      <c r="T488" t="s">
        <v>128</v>
      </c>
      <c r="U488" t="s">
        <v>6388</v>
      </c>
      <c r="W488" t="s">
        <v>6351</v>
      </c>
      <c r="X488">
        <v>89</v>
      </c>
      <c r="Y488" t="s">
        <v>128</v>
      </c>
      <c r="Z488">
        <v>233</v>
      </c>
    </row>
    <row r="489" spans="1:26" x14ac:dyDescent="0.3">
      <c r="A489">
        <v>488</v>
      </c>
      <c r="B489" t="s">
        <v>1186</v>
      </c>
      <c r="C489" t="s">
        <v>49</v>
      </c>
      <c r="D489" t="s">
        <v>30</v>
      </c>
      <c r="E489" t="s">
        <v>6359</v>
      </c>
      <c r="F489" t="s">
        <v>6377</v>
      </c>
      <c r="G489" t="s">
        <v>6394</v>
      </c>
      <c r="J489">
        <f>AVERAGE(ai_job_market[[#This Row],[min_salary]],ai_job_market[[#This Row],[max_salary]])</f>
        <v>103103</v>
      </c>
      <c r="K489"/>
      <c r="L489" t="s">
        <v>22</v>
      </c>
      <c r="M489" t="s">
        <v>15</v>
      </c>
      <c r="N489" t="s">
        <v>4937</v>
      </c>
      <c r="O489" t="s">
        <v>4938</v>
      </c>
      <c r="P489">
        <v>86380</v>
      </c>
      <c r="Q489">
        <v>119826</v>
      </c>
      <c r="R489" s="2">
        <v>45257</v>
      </c>
      <c r="S489" t="s">
        <v>69</v>
      </c>
      <c r="T489" t="s">
        <v>101</v>
      </c>
      <c r="U489" t="s">
        <v>6384</v>
      </c>
      <c r="V489" t="s">
        <v>6388</v>
      </c>
      <c r="W489" t="s">
        <v>6359</v>
      </c>
      <c r="X489">
        <v>104</v>
      </c>
      <c r="Y489" t="s">
        <v>101</v>
      </c>
      <c r="Z489">
        <v>255</v>
      </c>
    </row>
    <row r="490" spans="1:26" x14ac:dyDescent="0.3">
      <c r="A490">
        <v>489</v>
      </c>
      <c r="B490" t="s">
        <v>1188</v>
      </c>
      <c r="C490" t="s">
        <v>34</v>
      </c>
      <c r="D490" t="s">
        <v>30</v>
      </c>
      <c r="E490" t="s">
        <v>6359</v>
      </c>
      <c r="F490" t="s">
        <v>6394</v>
      </c>
      <c r="G490" t="s">
        <v>6376</v>
      </c>
      <c r="J490" s="6">
        <f>AVERAGE(ai_job_market[[#This Row],[min_salary]],ai_job_market[[#This Row],[max_salary]])</f>
        <v>145152.5</v>
      </c>
      <c r="K490"/>
      <c r="L490" t="s">
        <v>27</v>
      </c>
      <c r="M490" t="s">
        <v>37</v>
      </c>
      <c r="N490" t="s">
        <v>4939</v>
      </c>
      <c r="O490" t="s">
        <v>4692</v>
      </c>
      <c r="P490" s="5">
        <v>97354</v>
      </c>
      <c r="Q490" s="5">
        <v>192951</v>
      </c>
      <c r="R490" s="2">
        <v>45216</v>
      </c>
      <c r="S490" t="s">
        <v>69</v>
      </c>
      <c r="T490" t="s">
        <v>70</v>
      </c>
      <c r="U490" t="s">
        <v>6388</v>
      </c>
      <c r="W490" t="s">
        <v>6359</v>
      </c>
      <c r="X490">
        <v>104</v>
      </c>
      <c r="Y490" t="s">
        <v>70</v>
      </c>
      <c r="Z490">
        <v>268</v>
      </c>
    </row>
    <row r="491" spans="1:26" x14ac:dyDescent="0.3">
      <c r="A491">
        <v>490</v>
      </c>
      <c r="B491" t="s">
        <v>1190</v>
      </c>
      <c r="C491" t="s">
        <v>40</v>
      </c>
      <c r="D491" t="s">
        <v>25</v>
      </c>
      <c r="E491" t="s">
        <v>128</v>
      </c>
      <c r="F491" t="s">
        <v>6393</v>
      </c>
      <c r="G491" t="s">
        <v>6377</v>
      </c>
      <c r="H491" t="s">
        <v>6392</v>
      </c>
      <c r="J491">
        <f>AVERAGE(ai_job_market[[#This Row],[min_salary]],ai_job_market[[#This Row],[max_salary]])</f>
        <v>139494</v>
      </c>
      <c r="K491"/>
      <c r="L491" t="s">
        <v>14</v>
      </c>
      <c r="M491" t="s">
        <v>15</v>
      </c>
      <c r="N491" t="s">
        <v>4940</v>
      </c>
      <c r="O491" t="s">
        <v>4584</v>
      </c>
      <c r="P491">
        <v>130041</v>
      </c>
      <c r="Q491">
        <v>148947</v>
      </c>
      <c r="R491" s="2">
        <v>45459</v>
      </c>
      <c r="S491" t="s">
        <v>16</v>
      </c>
      <c r="T491" t="s">
        <v>101</v>
      </c>
      <c r="W491" t="s">
        <v>128</v>
      </c>
      <c r="X491">
        <v>92</v>
      </c>
      <c r="Y491" t="s">
        <v>101</v>
      </c>
      <c r="Z491">
        <v>255</v>
      </c>
    </row>
    <row r="492" spans="1:26" x14ac:dyDescent="0.3">
      <c r="A492">
        <v>491</v>
      </c>
      <c r="B492" t="s">
        <v>1192</v>
      </c>
      <c r="C492" t="s">
        <v>34</v>
      </c>
      <c r="D492" t="s">
        <v>35</v>
      </c>
      <c r="E492" t="s">
        <v>6353</v>
      </c>
      <c r="F492" t="s">
        <v>6378</v>
      </c>
      <c r="G492" t="s">
        <v>6386</v>
      </c>
      <c r="J492">
        <f>AVERAGE(ai_job_market[[#This Row],[min_salary]],ai_job_market[[#This Row],[max_salary]])</f>
        <v>144822</v>
      </c>
      <c r="K492"/>
      <c r="L492" t="s">
        <v>14</v>
      </c>
      <c r="M492" t="s">
        <v>51</v>
      </c>
      <c r="N492" t="s">
        <v>4941</v>
      </c>
      <c r="O492" t="s">
        <v>4341</v>
      </c>
      <c r="P492">
        <v>98664</v>
      </c>
      <c r="Q492">
        <v>190980</v>
      </c>
      <c r="R492" s="2">
        <v>45198</v>
      </c>
      <c r="S492" t="s">
        <v>16</v>
      </c>
      <c r="T492" t="s">
        <v>128</v>
      </c>
      <c r="U492" t="s">
        <v>6379</v>
      </c>
      <c r="W492" t="s">
        <v>6353</v>
      </c>
      <c r="X492">
        <v>86</v>
      </c>
      <c r="Y492" t="s">
        <v>128</v>
      </c>
      <c r="Z492">
        <v>233</v>
      </c>
    </row>
    <row r="493" spans="1:26" x14ac:dyDescent="0.3">
      <c r="A493">
        <v>492</v>
      </c>
      <c r="B493" t="s">
        <v>1194</v>
      </c>
      <c r="C493" t="s">
        <v>45</v>
      </c>
      <c r="D493" t="s">
        <v>12</v>
      </c>
      <c r="E493" t="s">
        <v>90</v>
      </c>
      <c r="F493" t="s">
        <v>6380</v>
      </c>
      <c r="G493" t="s">
        <v>6385</v>
      </c>
      <c r="J493">
        <f>AVERAGE(ai_job_market[[#This Row],[min_salary]],ai_job_market[[#This Row],[max_salary]])</f>
        <v>137949.5</v>
      </c>
      <c r="K493"/>
      <c r="L493" t="s">
        <v>27</v>
      </c>
      <c r="M493" t="s">
        <v>37</v>
      </c>
      <c r="N493" t="s">
        <v>4942</v>
      </c>
      <c r="O493" t="s">
        <v>4316</v>
      </c>
      <c r="P493">
        <v>112236</v>
      </c>
      <c r="Q493">
        <v>163663</v>
      </c>
      <c r="R493" s="2">
        <v>45605</v>
      </c>
      <c r="S493" t="s">
        <v>16</v>
      </c>
      <c r="T493" t="s">
        <v>70</v>
      </c>
      <c r="U493" t="s">
        <v>6384</v>
      </c>
      <c r="W493" t="s">
        <v>90</v>
      </c>
      <c r="X493">
        <v>80</v>
      </c>
      <c r="Y493" t="s">
        <v>70</v>
      </c>
      <c r="Z493">
        <v>268</v>
      </c>
    </row>
    <row r="494" spans="1:26" x14ac:dyDescent="0.3">
      <c r="A494">
        <v>493</v>
      </c>
      <c r="B494" t="s">
        <v>1196</v>
      </c>
      <c r="C494" t="s">
        <v>49</v>
      </c>
      <c r="D494" t="s">
        <v>35</v>
      </c>
      <c r="E494" t="s">
        <v>6354</v>
      </c>
      <c r="F494" t="s">
        <v>6386</v>
      </c>
      <c r="G494" t="s">
        <v>6394</v>
      </c>
      <c r="H494" t="s">
        <v>6391</v>
      </c>
      <c r="I494" t="s">
        <v>6395</v>
      </c>
      <c r="J494">
        <f>AVERAGE(ai_job_market[[#This Row],[min_salary]],ai_job_market[[#This Row],[max_salary]])</f>
        <v>125710</v>
      </c>
      <c r="K494"/>
      <c r="L494" t="s">
        <v>27</v>
      </c>
      <c r="M494" t="s">
        <v>42</v>
      </c>
      <c r="N494" t="s">
        <v>4943</v>
      </c>
      <c r="O494" t="s">
        <v>4596</v>
      </c>
      <c r="P494">
        <v>89452</v>
      </c>
      <c r="Q494">
        <v>161968</v>
      </c>
      <c r="R494" s="2">
        <v>45215</v>
      </c>
      <c r="S494" t="s">
        <v>16</v>
      </c>
      <c r="T494" t="s">
        <v>80</v>
      </c>
      <c r="U494" t="s">
        <v>6376</v>
      </c>
      <c r="V494" t="s">
        <v>6378</v>
      </c>
      <c r="W494" t="s">
        <v>6354</v>
      </c>
      <c r="X494">
        <v>75</v>
      </c>
      <c r="Y494" t="s">
        <v>80</v>
      </c>
      <c r="Z494">
        <v>249</v>
      </c>
    </row>
    <row r="495" spans="1:26" x14ac:dyDescent="0.3">
      <c r="A495">
        <v>494</v>
      </c>
      <c r="B495" t="s">
        <v>1198</v>
      </c>
      <c r="C495" t="s">
        <v>34</v>
      </c>
      <c r="D495" t="s">
        <v>135</v>
      </c>
      <c r="E495" t="s">
        <v>6349</v>
      </c>
      <c r="F495" t="s">
        <v>6394</v>
      </c>
      <c r="G495" t="s">
        <v>6397</v>
      </c>
      <c r="H495" t="s">
        <v>6386</v>
      </c>
      <c r="I495" t="s">
        <v>6392</v>
      </c>
      <c r="J495" s="6">
        <f>AVERAGE(ai_job_market[[#This Row],[min_salary]],ai_job_market[[#This Row],[max_salary]])</f>
        <v>78828.5</v>
      </c>
      <c r="K495" t="s">
        <v>6391</v>
      </c>
      <c r="L495" t="s">
        <v>14</v>
      </c>
      <c r="M495" t="s">
        <v>42</v>
      </c>
      <c r="N495" t="s">
        <v>4944</v>
      </c>
      <c r="O495" t="s">
        <v>4670</v>
      </c>
      <c r="P495" s="5">
        <v>41836</v>
      </c>
      <c r="Q495" s="5">
        <v>115821</v>
      </c>
      <c r="R495" s="2">
        <v>45295</v>
      </c>
      <c r="S495" t="s">
        <v>16</v>
      </c>
      <c r="T495" t="s">
        <v>101</v>
      </c>
      <c r="U495" t="s">
        <v>6379</v>
      </c>
      <c r="W495" t="s">
        <v>6349</v>
      </c>
      <c r="X495">
        <v>96</v>
      </c>
      <c r="Y495" t="s">
        <v>101</v>
      </c>
      <c r="Z495">
        <v>255</v>
      </c>
    </row>
    <row r="496" spans="1:26" x14ac:dyDescent="0.3">
      <c r="A496">
        <v>495</v>
      </c>
      <c r="B496" t="s">
        <v>582</v>
      </c>
      <c r="C496" t="s">
        <v>11</v>
      </c>
      <c r="D496" t="s">
        <v>25</v>
      </c>
      <c r="E496" t="s">
        <v>6355</v>
      </c>
      <c r="F496" t="s">
        <v>6392</v>
      </c>
      <c r="G496" t="s">
        <v>6389</v>
      </c>
      <c r="H496" t="s">
        <v>6377</v>
      </c>
      <c r="J496">
        <f>AVERAGE(ai_job_market[[#This Row],[min_salary]],ai_job_market[[#This Row],[max_salary]])</f>
        <v>87487.5</v>
      </c>
      <c r="K496"/>
      <c r="L496" t="s">
        <v>22</v>
      </c>
      <c r="M496" t="s">
        <v>15</v>
      </c>
      <c r="N496" t="s">
        <v>4945</v>
      </c>
      <c r="O496" t="s">
        <v>4414</v>
      </c>
      <c r="P496">
        <v>80778</v>
      </c>
      <c r="Q496">
        <v>94197</v>
      </c>
      <c r="R496" s="2">
        <v>45724</v>
      </c>
      <c r="S496" t="s">
        <v>16</v>
      </c>
      <c r="T496" t="s">
        <v>128</v>
      </c>
      <c r="U496" t="s">
        <v>6383</v>
      </c>
      <c r="W496" t="s">
        <v>6355</v>
      </c>
      <c r="X496">
        <v>90</v>
      </c>
      <c r="Y496" t="s">
        <v>128</v>
      </c>
      <c r="Z496">
        <v>233</v>
      </c>
    </row>
    <row r="497" spans="1:26" x14ac:dyDescent="0.3">
      <c r="A497">
        <v>496</v>
      </c>
      <c r="B497" t="s">
        <v>1201</v>
      </c>
      <c r="C497" t="s">
        <v>19</v>
      </c>
      <c r="D497" t="s">
        <v>30</v>
      </c>
      <c r="E497" t="s">
        <v>77</v>
      </c>
      <c r="F497" t="s">
        <v>6380</v>
      </c>
      <c r="G497" t="s">
        <v>6387</v>
      </c>
      <c r="J497">
        <f>AVERAGE(ai_job_market[[#This Row],[min_salary]],ai_job_market[[#This Row],[max_salary]])</f>
        <v>77880.5</v>
      </c>
      <c r="K497"/>
      <c r="L497" t="s">
        <v>27</v>
      </c>
      <c r="M497" t="s">
        <v>42</v>
      </c>
      <c r="N497" t="s">
        <v>4946</v>
      </c>
      <c r="O497" t="s">
        <v>4849</v>
      </c>
      <c r="P497">
        <v>68580</v>
      </c>
      <c r="Q497">
        <v>87181</v>
      </c>
      <c r="R497" s="2">
        <v>45859</v>
      </c>
      <c r="S497" t="s">
        <v>14</v>
      </c>
      <c r="T497" t="s">
        <v>157</v>
      </c>
      <c r="W497" t="s">
        <v>77</v>
      </c>
      <c r="X497">
        <v>111</v>
      </c>
      <c r="Y497" t="s">
        <v>157</v>
      </c>
      <c r="Z497">
        <v>247</v>
      </c>
    </row>
    <row r="498" spans="1:26" x14ac:dyDescent="0.3">
      <c r="A498">
        <v>497</v>
      </c>
      <c r="B498" t="s">
        <v>1203</v>
      </c>
      <c r="C498" t="s">
        <v>49</v>
      </c>
      <c r="D498" t="s">
        <v>35</v>
      </c>
      <c r="E498" t="s">
        <v>6352</v>
      </c>
      <c r="F498" t="s">
        <v>6380</v>
      </c>
      <c r="G498" t="s">
        <v>6389</v>
      </c>
      <c r="H498" t="s">
        <v>6397</v>
      </c>
      <c r="J498">
        <f>AVERAGE(ai_job_market[[#This Row],[min_salary]],ai_job_market[[#This Row],[max_salary]])</f>
        <v>63829.5</v>
      </c>
      <c r="K498"/>
      <c r="L498" t="s">
        <v>22</v>
      </c>
      <c r="M498" t="s">
        <v>51</v>
      </c>
      <c r="N498" t="s">
        <v>4947</v>
      </c>
      <c r="O498" t="s">
        <v>4480</v>
      </c>
      <c r="P498">
        <v>41323</v>
      </c>
      <c r="Q498">
        <v>86336</v>
      </c>
      <c r="R498" s="2">
        <v>45879</v>
      </c>
      <c r="S498" t="s">
        <v>14</v>
      </c>
      <c r="T498" t="s">
        <v>157</v>
      </c>
      <c r="U498" t="s">
        <v>6375</v>
      </c>
      <c r="V498" t="s">
        <v>6378</v>
      </c>
      <c r="W498" t="s">
        <v>6352</v>
      </c>
      <c r="X498">
        <v>97</v>
      </c>
      <c r="Y498" t="s">
        <v>157</v>
      </c>
      <c r="Z498">
        <v>247</v>
      </c>
    </row>
    <row r="499" spans="1:26" x14ac:dyDescent="0.3">
      <c r="A499">
        <v>498</v>
      </c>
      <c r="B499" t="s">
        <v>1205</v>
      </c>
      <c r="C499" t="s">
        <v>49</v>
      </c>
      <c r="D499" t="s">
        <v>30</v>
      </c>
      <c r="E499" t="s">
        <v>6356</v>
      </c>
      <c r="F499" t="s">
        <v>6381</v>
      </c>
      <c r="G499" t="s">
        <v>6375</v>
      </c>
      <c r="H499" t="s">
        <v>6391</v>
      </c>
      <c r="I499" t="s">
        <v>6386</v>
      </c>
      <c r="J499">
        <f>AVERAGE(ai_job_market[[#This Row],[min_salary]],ai_job_market[[#This Row],[max_salary]])</f>
        <v>149163</v>
      </c>
      <c r="K499"/>
      <c r="L499" t="s">
        <v>22</v>
      </c>
      <c r="M499" t="s">
        <v>15</v>
      </c>
      <c r="N499" t="s">
        <v>4948</v>
      </c>
      <c r="O499" t="s">
        <v>4427</v>
      </c>
      <c r="P499">
        <v>127995</v>
      </c>
      <c r="Q499">
        <v>170331</v>
      </c>
      <c r="R499" s="2">
        <v>45771</v>
      </c>
      <c r="S499" t="s">
        <v>69</v>
      </c>
      <c r="T499" t="s">
        <v>70</v>
      </c>
      <c r="W499" t="s">
        <v>6356</v>
      </c>
      <c r="X499">
        <v>86</v>
      </c>
      <c r="Y499" t="s">
        <v>70</v>
      </c>
      <c r="Z499">
        <v>268</v>
      </c>
    </row>
    <row r="500" spans="1:26" x14ac:dyDescent="0.3">
      <c r="A500">
        <v>499</v>
      </c>
      <c r="B500" t="s">
        <v>1207</v>
      </c>
      <c r="C500" t="s">
        <v>72</v>
      </c>
      <c r="D500" t="s">
        <v>20</v>
      </c>
      <c r="E500" t="s">
        <v>6350</v>
      </c>
      <c r="F500" t="s">
        <v>6381</v>
      </c>
      <c r="G500" t="s">
        <v>6397</v>
      </c>
      <c r="H500" t="s">
        <v>6389</v>
      </c>
      <c r="I500" t="s">
        <v>6395</v>
      </c>
      <c r="J500">
        <f>AVERAGE(ai_job_market[[#This Row],[min_salary]],ai_job_market[[#This Row],[max_salary]])</f>
        <v>117621</v>
      </c>
      <c r="K500" t="s">
        <v>6378</v>
      </c>
      <c r="L500" t="s">
        <v>14</v>
      </c>
      <c r="M500" t="s">
        <v>42</v>
      </c>
      <c r="N500" t="s">
        <v>4949</v>
      </c>
      <c r="O500" t="s">
        <v>4393</v>
      </c>
      <c r="P500">
        <v>91343</v>
      </c>
      <c r="Q500">
        <v>143899</v>
      </c>
      <c r="R500" s="2">
        <v>45743</v>
      </c>
      <c r="S500" t="s">
        <v>16</v>
      </c>
      <c r="T500" t="s">
        <v>70</v>
      </c>
      <c r="W500" t="s">
        <v>6350</v>
      </c>
      <c r="X500">
        <v>84</v>
      </c>
      <c r="Y500" t="s">
        <v>70</v>
      </c>
      <c r="Z500">
        <v>268</v>
      </c>
    </row>
    <row r="501" spans="1:26" x14ac:dyDescent="0.3">
      <c r="A501">
        <v>500</v>
      </c>
      <c r="B501" t="s">
        <v>1209</v>
      </c>
      <c r="C501" t="s">
        <v>40</v>
      </c>
      <c r="D501" t="s">
        <v>20</v>
      </c>
      <c r="E501" t="s">
        <v>6354</v>
      </c>
      <c r="F501" t="s">
        <v>6381</v>
      </c>
      <c r="G501" t="s">
        <v>6390</v>
      </c>
      <c r="H501" t="s">
        <v>6385</v>
      </c>
      <c r="J501">
        <f>AVERAGE(ai_job_market[[#This Row],[min_salary]],ai_job_market[[#This Row],[max_salary]])</f>
        <v>90096.5</v>
      </c>
      <c r="K501"/>
      <c r="L501" t="s">
        <v>14</v>
      </c>
      <c r="M501" t="s">
        <v>42</v>
      </c>
      <c r="N501" t="s">
        <v>4950</v>
      </c>
      <c r="O501" t="s">
        <v>4435</v>
      </c>
      <c r="P501">
        <v>58872</v>
      </c>
      <c r="Q501">
        <v>121321</v>
      </c>
      <c r="R501" s="2">
        <v>45428</v>
      </c>
      <c r="S501" t="s">
        <v>14</v>
      </c>
      <c r="T501" t="s">
        <v>77</v>
      </c>
      <c r="U501" t="s">
        <v>6376</v>
      </c>
      <c r="V501" t="s">
        <v>6384</v>
      </c>
      <c r="W501" t="s">
        <v>6354</v>
      </c>
      <c r="X501">
        <v>75</v>
      </c>
      <c r="Y501" t="s">
        <v>77</v>
      </c>
      <c r="Z501">
        <v>251</v>
      </c>
    </row>
    <row r="502" spans="1:26" x14ac:dyDescent="0.3">
      <c r="A502">
        <v>501</v>
      </c>
      <c r="B502" t="s">
        <v>1211</v>
      </c>
      <c r="C502" t="s">
        <v>45</v>
      </c>
      <c r="D502" t="s">
        <v>30</v>
      </c>
      <c r="E502" t="s">
        <v>90</v>
      </c>
      <c r="F502" t="s">
        <v>6384</v>
      </c>
      <c r="G502" t="s">
        <v>6394</v>
      </c>
      <c r="H502" t="s">
        <v>6382</v>
      </c>
      <c r="J502">
        <f>AVERAGE(ai_job_market[[#This Row],[min_salary]],ai_job_market[[#This Row],[max_salary]])</f>
        <v>88491.5</v>
      </c>
      <c r="K502"/>
      <c r="L502" t="s">
        <v>14</v>
      </c>
      <c r="M502" t="s">
        <v>42</v>
      </c>
      <c r="N502" t="s">
        <v>4951</v>
      </c>
      <c r="O502" t="s">
        <v>4773</v>
      </c>
      <c r="P502">
        <v>59652</v>
      </c>
      <c r="Q502">
        <v>117331</v>
      </c>
      <c r="R502" s="2">
        <v>45229</v>
      </c>
      <c r="S502" t="s">
        <v>16</v>
      </c>
      <c r="T502" t="s">
        <v>80</v>
      </c>
      <c r="W502" t="s">
        <v>90</v>
      </c>
      <c r="X502">
        <v>80</v>
      </c>
      <c r="Y502" t="s">
        <v>80</v>
      </c>
      <c r="Z502">
        <v>249</v>
      </c>
    </row>
    <row r="503" spans="1:26" x14ac:dyDescent="0.3">
      <c r="A503">
        <v>502</v>
      </c>
      <c r="B503" t="s">
        <v>1213</v>
      </c>
      <c r="C503" t="s">
        <v>11</v>
      </c>
      <c r="D503" t="s">
        <v>20</v>
      </c>
      <c r="E503" t="s">
        <v>80</v>
      </c>
      <c r="F503" t="s">
        <v>6394</v>
      </c>
      <c r="G503" t="s">
        <v>6382</v>
      </c>
      <c r="H503" t="s">
        <v>6375</v>
      </c>
      <c r="I503" t="s">
        <v>6391</v>
      </c>
      <c r="J503">
        <f>AVERAGE(ai_job_market[[#This Row],[min_salary]],ai_job_market[[#This Row],[max_salary]])</f>
        <v>78827.5</v>
      </c>
      <c r="K503"/>
      <c r="L503" t="s">
        <v>22</v>
      </c>
      <c r="M503" t="s">
        <v>15</v>
      </c>
      <c r="N503" t="s">
        <v>4952</v>
      </c>
      <c r="O503" t="s">
        <v>4478</v>
      </c>
      <c r="P503">
        <v>64588</v>
      </c>
      <c r="Q503">
        <v>93067</v>
      </c>
      <c r="R503" s="2">
        <v>45518</v>
      </c>
      <c r="S503" t="s">
        <v>14</v>
      </c>
      <c r="T503" t="s">
        <v>157</v>
      </c>
      <c r="U503" t="s">
        <v>6378</v>
      </c>
      <c r="V503" t="s">
        <v>6376</v>
      </c>
      <c r="W503" t="s">
        <v>80</v>
      </c>
      <c r="X503">
        <v>95</v>
      </c>
      <c r="Y503" t="s">
        <v>157</v>
      </c>
      <c r="Z503">
        <v>247</v>
      </c>
    </row>
    <row r="504" spans="1:26" x14ac:dyDescent="0.3">
      <c r="A504">
        <v>503</v>
      </c>
      <c r="B504" t="s">
        <v>1216</v>
      </c>
      <c r="C504" t="s">
        <v>45</v>
      </c>
      <c r="D504" t="s">
        <v>20</v>
      </c>
      <c r="E504" t="s">
        <v>77</v>
      </c>
      <c r="F504" t="s">
        <v>6390</v>
      </c>
      <c r="G504" t="s">
        <v>6380</v>
      </c>
      <c r="H504" t="s">
        <v>6375</v>
      </c>
      <c r="I504" t="s">
        <v>6379</v>
      </c>
      <c r="J504">
        <f>AVERAGE(ai_job_market[[#This Row],[min_salary]],ai_job_market[[#This Row],[max_salary]])</f>
        <v>68463.5</v>
      </c>
      <c r="K504"/>
      <c r="L504" t="s">
        <v>22</v>
      </c>
      <c r="M504" t="s">
        <v>51</v>
      </c>
      <c r="N504" t="s">
        <v>4953</v>
      </c>
      <c r="O504" t="s">
        <v>4422</v>
      </c>
      <c r="P504">
        <v>62963</v>
      </c>
      <c r="Q504">
        <v>73964</v>
      </c>
      <c r="R504" s="2">
        <v>45624</v>
      </c>
      <c r="S504" t="s">
        <v>69</v>
      </c>
      <c r="T504" t="s">
        <v>52</v>
      </c>
      <c r="U504" t="s">
        <v>6389</v>
      </c>
      <c r="W504" t="s">
        <v>77</v>
      </c>
      <c r="X504">
        <v>111</v>
      </c>
      <c r="Y504" t="s">
        <v>52</v>
      </c>
      <c r="Z504">
        <v>238</v>
      </c>
    </row>
    <row r="505" spans="1:26" x14ac:dyDescent="0.3">
      <c r="A505">
        <v>504</v>
      </c>
      <c r="B505" t="s">
        <v>1218</v>
      </c>
      <c r="C505" t="s">
        <v>19</v>
      </c>
      <c r="D505" t="s">
        <v>67</v>
      </c>
      <c r="E505" t="s">
        <v>128</v>
      </c>
      <c r="F505" t="s">
        <v>6391</v>
      </c>
      <c r="G505" t="s">
        <v>6374</v>
      </c>
      <c r="H505" t="s">
        <v>6384</v>
      </c>
      <c r="I505" t="s">
        <v>6382</v>
      </c>
      <c r="J505">
        <f>AVERAGE(ai_job_market[[#This Row],[min_salary]],ai_job_market[[#This Row],[max_salary]])</f>
        <v>172856</v>
      </c>
      <c r="K505" t="s">
        <v>6378</v>
      </c>
      <c r="L505" t="s">
        <v>14</v>
      </c>
      <c r="M505" t="s">
        <v>37</v>
      </c>
      <c r="N505" t="s">
        <v>4954</v>
      </c>
      <c r="O505" t="s">
        <v>4444</v>
      </c>
      <c r="P505">
        <v>147083</v>
      </c>
      <c r="Q505">
        <v>198629</v>
      </c>
      <c r="R505" s="2">
        <v>45764</v>
      </c>
      <c r="S505" t="s">
        <v>16</v>
      </c>
      <c r="T505" t="s">
        <v>128</v>
      </c>
      <c r="W505" t="s">
        <v>128</v>
      </c>
      <c r="X505">
        <v>92</v>
      </c>
      <c r="Y505" t="s">
        <v>128</v>
      </c>
      <c r="Z505">
        <v>233</v>
      </c>
    </row>
    <row r="506" spans="1:26" x14ac:dyDescent="0.3">
      <c r="A506">
        <v>505</v>
      </c>
      <c r="B506" t="s">
        <v>1220</v>
      </c>
      <c r="C506" t="s">
        <v>45</v>
      </c>
      <c r="D506" t="s">
        <v>135</v>
      </c>
      <c r="E506" t="s">
        <v>6346</v>
      </c>
      <c r="F506" t="s">
        <v>6389</v>
      </c>
      <c r="G506" t="s">
        <v>6375</v>
      </c>
      <c r="J506">
        <f>AVERAGE(ai_job_market[[#This Row],[min_salary]],ai_job_market[[#This Row],[max_salary]])</f>
        <v>169158.5</v>
      </c>
      <c r="K506"/>
      <c r="L506" t="s">
        <v>27</v>
      </c>
      <c r="M506" t="s">
        <v>37</v>
      </c>
      <c r="N506" t="s">
        <v>4955</v>
      </c>
      <c r="O506" t="s">
        <v>4619</v>
      </c>
      <c r="P506">
        <v>124727</v>
      </c>
      <c r="Q506">
        <v>213590</v>
      </c>
      <c r="R506" s="2">
        <v>45840</v>
      </c>
      <c r="S506" t="s">
        <v>16</v>
      </c>
      <c r="T506" t="s">
        <v>128</v>
      </c>
      <c r="U506" t="s">
        <v>6389</v>
      </c>
      <c r="V506" t="s">
        <v>6379</v>
      </c>
      <c r="W506" t="s">
        <v>6346</v>
      </c>
      <c r="X506">
        <v>78</v>
      </c>
      <c r="Y506" t="s">
        <v>128</v>
      </c>
      <c r="Z506">
        <v>233</v>
      </c>
    </row>
    <row r="507" spans="1:26" x14ac:dyDescent="0.3">
      <c r="A507">
        <v>506</v>
      </c>
      <c r="B507" t="s">
        <v>1222</v>
      </c>
      <c r="C507" t="s">
        <v>72</v>
      </c>
      <c r="D507" t="s">
        <v>67</v>
      </c>
      <c r="E507" t="s">
        <v>6347</v>
      </c>
      <c r="F507" t="s">
        <v>6392</v>
      </c>
      <c r="G507" t="s">
        <v>6379</v>
      </c>
      <c r="H507" t="s">
        <v>6386</v>
      </c>
      <c r="I507" t="s">
        <v>6390</v>
      </c>
      <c r="J507">
        <f>AVERAGE(ai_job_market[[#This Row],[min_salary]],ai_job_market[[#This Row],[max_salary]])</f>
        <v>142484.5</v>
      </c>
      <c r="K507"/>
      <c r="L507" t="s">
        <v>22</v>
      </c>
      <c r="M507" t="s">
        <v>37</v>
      </c>
      <c r="N507" t="s">
        <v>4956</v>
      </c>
      <c r="O507" t="s">
        <v>4369</v>
      </c>
      <c r="P507">
        <v>103756</v>
      </c>
      <c r="Q507">
        <v>181213</v>
      </c>
      <c r="R507" s="2">
        <v>45874</v>
      </c>
      <c r="S507" t="s">
        <v>69</v>
      </c>
      <c r="T507" t="s">
        <v>77</v>
      </c>
      <c r="U507" t="s">
        <v>6376</v>
      </c>
      <c r="V507" t="s">
        <v>6375</v>
      </c>
      <c r="W507" t="s">
        <v>6347</v>
      </c>
      <c r="X507">
        <v>94</v>
      </c>
      <c r="Y507" t="s">
        <v>77</v>
      </c>
      <c r="Z507">
        <v>251</v>
      </c>
    </row>
    <row r="508" spans="1:26" x14ac:dyDescent="0.3">
      <c r="A508">
        <v>507</v>
      </c>
      <c r="B508" t="s">
        <v>1225</v>
      </c>
      <c r="C508" t="s">
        <v>34</v>
      </c>
      <c r="D508" t="s">
        <v>35</v>
      </c>
      <c r="E508" t="s">
        <v>6355</v>
      </c>
      <c r="F508" t="s">
        <v>6384</v>
      </c>
      <c r="G508" t="s">
        <v>6385</v>
      </c>
      <c r="J508">
        <f>AVERAGE(ai_job_market[[#This Row],[min_salary]],ai_job_market[[#This Row],[max_salary]])</f>
        <v>141250.5</v>
      </c>
      <c r="K508"/>
      <c r="L508" t="s">
        <v>14</v>
      </c>
      <c r="M508" t="s">
        <v>15</v>
      </c>
      <c r="N508" t="s">
        <v>4957</v>
      </c>
      <c r="O508" t="s">
        <v>4710</v>
      </c>
      <c r="P508">
        <v>97542</v>
      </c>
      <c r="Q508">
        <v>184959</v>
      </c>
      <c r="R508" s="2">
        <v>45433</v>
      </c>
      <c r="S508" t="s">
        <v>69</v>
      </c>
      <c r="T508" t="s">
        <v>80</v>
      </c>
      <c r="W508" t="s">
        <v>6355</v>
      </c>
      <c r="X508">
        <v>90</v>
      </c>
      <c r="Y508" t="s">
        <v>80</v>
      </c>
      <c r="Z508">
        <v>249</v>
      </c>
    </row>
    <row r="509" spans="1:26" x14ac:dyDescent="0.3">
      <c r="A509">
        <v>508</v>
      </c>
      <c r="B509" t="s">
        <v>1227</v>
      </c>
      <c r="C509" t="s">
        <v>45</v>
      </c>
      <c r="D509" t="s">
        <v>54</v>
      </c>
      <c r="E509" t="s">
        <v>101</v>
      </c>
      <c r="F509" t="s">
        <v>6393</v>
      </c>
      <c r="G509" t="s">
        <v>6384</v>
      </c>
      <c r="J509">
        <f>AVERAGE(ai_job_market[[#This Row],[min_salary]],ai_job_market[[#This Row],[max_salary]])</f>
        <v>89141</v>
      </c>
      <c r="K509"/>
      <c r="L509" t="s">
        <v>27</v>
      </c>
      <c r="M509" t="s">
        <v>37</v>
      </c>
      <c r="N509" t="s">
        <v>4958</v>
      </c>
      <c r="O509" t="s">
        <v>4831</v>
      </c>
      <c r="P509">
        <v>80381</v>
      </c>
      <c r="Q509">
        <v>97901</v>
      </c>
      <c r="R509" s="2">
        <v>45556</v>
      </c>
      <c r="S509" t="s">
        <v>69</v>
      </c>
      <c r="T509" t="s">
        <v>80</v>
      </c>
      <c r="U509" t="s">
        <v>6388</v>
      </c>
      <c r="W509" t="s">
        <v>101</v>
      </c>
      <c r="X509">
        <v>76</v>
      </c>
      <c r="Y509" t="s">
        <v>80</v>
      </c>
      <c r="Z509">
        <v>249</v>
      </c>
    </row>
    <row r="510" spans="1:26" x14ac:dyDescent="0.3">
      <c r="A510">
        <v>509</v>
      </c>
      <c r="B510" t="s">
        <v>1229</v>
      </c>
      <c r="C510" t="s">
        <v>49</v>
      </c>
      <c r="D510" t="s">
        <v>35</v>
      </c>
      <c r="E510" t="s">
        <v>6347</v>
      </c>
      <c r="F510" t="s">
        <v>6391</v>
      </c>
      <c r="G510" t="s">
        <v>6374</v>
      </c>
      <c r="H510" t="s">
        <v>6379</v>
      </c>
      <c r="I510" t="s">
        <v>6386</v>
      </c>
      <c r="J510" s="6">
        <f>AVERAGE(ai_job_market[[#This Row],[min_salary]],ai_job_market[[#This Row],[max_salary]])</f>
        <v>167293</v>
      </c>
      <c r="K510" t="s">
        <v>6393</v>
      </c>
      <c r="L510" t="s">
        <v>22</v>
      </c>
      <c r="M510" t="s">
        <v>42</v>
      </c>
      <c r="N510" t="s">
        <v>4959</v>
      </c>
      <c r="O510" t="s">
        <v>4488</v>
      </c>
      <c r="P510" s="5">
        <v>147604</v>
      </c>
      <c r="Q510" s="5">
        <v>186982</v>
      </c>
      <c r="R510" s="2">
        <v>45646</v>
      </c>
      <c r="S510" t="s">
        <v>69</v>
      </c>
      <c r="T510" t="s">
        <v>70</v>
      </c>
      <c r="U510" t="s">
        <v>6384</v>
      </c>
      <c r="V510" t="s">
        <v>6383</v>
      </c>
      <c r="W510" t="s">
        <v>6347</v>
      </c>
      <c r="X510">
        <v>94</v>
      </c>
      <c r="Y510" t="s">
        <v>70</v>
      </c>
      <c r="Z510">
        <v>268</v>
      </c>
    </row>
    <row r="511" spans="1:26" x14ac:dyDescent="0.3">
      <c r="A511">
        <v>510</v>
      </c>
      <c r="B511" t="s">
        <v>1232</v>
      </c>
      <c r="C511" t="s">
        <v>11</v>
      </c>
      <c r="D511" t="s">
        <v>12</v>
      </c>
      <c r="E511" t="s">
        <v>90</v>
      </c>
      <c r="F511" t="s">
        <v>6397</v>
      </c>
      <c r="G511" t="s">
        <v>6384</v>
      </c>
      <c r="H511" t="s">
        <v>6379</v>
      </c>
      <c r="J511">
        <f>AVERAGE(ai_job_market[[#This Row],[min_salary]],ai_job_market[[#This Row],[max_salary]])</f>
        <v>73812.5</v>
      </c>
      <c r="K511"/>
      <c r="L511" t="s">
        <v>27</v>
      </c>
      <c r="M511" t="s">
        <v>15</v>
      </c>
      <c r="N511" t="s">
        <v>4960</v>
      </c>
      <c r="O511" t="s">
        <v>4351</v>
      </c>
      <c r="P511">
        <v>56981</v>
      </c>
      <c r="Q511">
        <v>90644</v>
      </c>
      <c r="R511" s="2">
        <v>45653</v>
      </c>
      <c r="S511" t="s">
        <v>14</v>
      </c>
      <c r="T511" t="s">
        <v>80</v>
      </c>
      <c r="U511" t="s">
        <v>6375</v>
      </c>
      <c r="V511" t="s">
        <v>6383</v>
      </c>
      <c r="W511" t="s">
        <v>90</v>
      </c>
      <c r="X511">
        <v>80</v>
      </c>
      <c r="Y511" t="s">
        <v>80</v>
      </c>
      <c r="Z511">
        <v>249</v>
      </c>
    </row>
    <row r="512" spans="1:26" x14ac:dyDescent="0.3">
      <c r="A512">
        <v>511</v>
      </c>
      <c r="B512" t="s">
        <v>1235</v>
      </c>
      <c r="C512" t="s">
        <v>72</v>
      </c>
      <c r="D512" t="s">
        <v>12</v>
      </c>
      <c r="E512" t="s">
        <v>6346</v>
      </c>
      <c r="F512" t="s">
        <v>6376</v>
      </c>
      <c r="G512" t="s">
        <v>6392</v>
      </c>
      <c r="H512" t="s">
        <v>6386</v>
      </c>
      <c r="I512" t="s">
        <v>6396</v>
      </c>
      <c r="J512">
        <f>AVERAGE(ai_job_market[[#This Row],[min_salary]],ai_job_market[[#This Row],[max_salary]])</f>
        <v>150315.5</v>
      </c>
      <c r="K512" t="s">
        <v>6395</v>
      </c>
      <c r="L512" t="s">
        <v>27</v>
      </c>
      <c r="M512" t="s">
        <v>42</v>
      </c>
      <c r="N512" t="s">
        <v>4961</v>
      </c>
      <c r="O512" t="s">
        <v>4559</v>
      </c>
      <c r="P512">
        <v>116148</v>
      </c>
      <c r="Q512">
        <v>184483</v>
      </c>
      <c r="R512" s="2">
        <v>45882</v>
      </c>
      <c r="S512" t="s">
        <v>69</v>
      </c>
      <c r="T512" t="s">
        <v>128</v>
      </c>
      <c r="W512" t="s">
        <v>6346</v>
      </c>
      <c r="X512">
        <v>78</v>
      </c>
      <c r="Y512" t="s">
        <v>128</v>
      </c>
      <c r="Z512">
        <v>233</v>
      </c>
    </row>
    <row r="513" spans="1:26" x14ac:dyDescent="0.3">
      <c r="A513">
        <v>512</v>
      </c>
      <c r="B513" t="s">
        <v>1237</v>
      </c>
      <c r="C513" t="s">
        <v>11</v>
      </c>
      <c r="D513" t="s">
        <v>135</v>
      </c>
      <c r="E513" t="s">
        <v>80</v>
      </c>
      <c r="F513" t="s">
        <v>6387</v>
      </c>
      <c r="G513" t="s">
        <v>6378</v>
      </c>
      <c r="H513" t="s">
        <v>6382</v>
      </c>
      <c r="I513" t="s">
        <v>6395</v>
      </c>
      <c r="J513">
        <f>AVERAGE(ai_job_market[[#This Row],[min_salary]],ai_job_market[[#This Row],[max_salary]])</f>
        <v>64953</v>
      </c>
      <c r="K513"/>
      <c r="L513" t="s">
        <v>14</v>
      </c>
      <c r="M513" t="s">
        <v>37</v>
      </c>
      <c r="N513" t="s">
        <v>4962</v>
      </c>
      <c r="O513" t="s">
        <v>4722</v>
      </c>
      <c r="P513">
        <v>49163</v>
      </c>
      <c r="Q513">
        <v>80743</v>
      </c>
      <c r="R513" s="2">
        <v>45192</v>
      </c>
      <c r="S513" t="s">
        <v>16</v>
      </c>
      <c r="T513" t="s">
        <v>90</v>
      </c>
      <c r="U513" t="s">
        <v>6376</v>
      </c>
      <c r="W513" t="s">
        <v>80</v>
      </c>
      <c r="X513">
        <v>95</v>
      </c>
      <c r="Y513" t="s">
        <v>90</v>
      </c>
      <c r="Z513">
        <v>259</v>
      </c>
    </row>
    <row r="514" spans="1:26" x14ac:dyDescent="0.3">
      <c r="A514">
        <v>513</v>
      </c>
      <c r="B514" t="s">
        <v>1239</v>
      </c>
      <c r="C514" t="s">
        <v>11</v>
      </c>
      <c r="D514" t="s">
        <v>30</v>
      </c>
      <c r="E514" t="s">
        <v>6347</v>
      </c>
      <c r="F514" t="s">
        <v>6393</v>
      </c>
      <c r="G514" t="s">
        <v>6376</v>
      </c>
      <c r="H514" t="s">
        <v>6377</v>
      </c>
      <c r="J514">
        <f>AVERAGE(ai_job_market[[#This Row],[min_salary]],ai_job_market[[#This Row],[max_salary]])</f>
        <v>85317.5</v>
      </c>
      <c r="K514"/>
      <c r="L514" t="s">
        <v>27</v>
      </c>
      <c r="M514" t="s">
        <v>37</v>
      </c>
      <c r="N514" t="s">
        <v>4963</v>
      </c>
      <c r="O514" t="s">
        <v>4307</v>
      </c>
      <c r="P514">
        <v>51721</v>
      </c>
      <c r="Q514">
        <v>118914</v>
      </c>
      <c r="R514" s="2">
        <v>45661</v>
      </c>
      <c r="S514" t="s">
        <v>16</v>
      </c>
      <c r="T514" t="s">
        <v>90</v>
      </c>
      <c r="U514" t="s">
        <v>6383</v>
      </c>
      <c r="W514" t="s">
        <v>6347</v>
      </c>
      <c r="X514">
        <v>94</v>
      </c>
      <c r="Y514" t="s">
        <v>90</v>
      </c>
      <c r="Z514">
        <v>259</v>
      </c>
    </row>
    <row r="515" spans="1:26" x14ac:dyDescent="0.3">
      <c r="A515">
        <v>514</v>
      </c>
      <c r="B515" t="s">
        <v>1241</v>
      </c>
      <c r="C515" t="s">
        <v>49</v>
      </c>
      <c r="D515" t="s">
        <v>25</v>
      </c>
      <c r="E515" t="s">
        <v>6355</v>
      </c>
      <c r="F515" t="s">
        <v>6382</v>
      </c>
      <c r="G515" t="s">
        <v>6384</v>
      </c>
      <c r="H515" t="s">
        <v>6386</v>
      </c>
      <c r="J515">
        <f>AVERAGE(ai_job_market[[#This Row],[min_salary]],ai_job_market[[#This Row],[max_salary]])</f>
        <v>160279.5</v>
      </c>
      <c r="K515"/>
      <c r="L515" t="s">
        <v>14</v>
      </c>
      <c r="M515" t="s">
        <v>42</v>
      </c>
      <c r="N515" t="s">
        <v>4964</v>
      </c>
      <c r="O515" t="s">
        <v>4305</v>
      </c>
      <c r="P515">
        <v>143486</v>
      </c>
      <c r="Q515">
        <v>177073</v>
      </c>
      <c r="R515" s="2">
        <v>45470</v>
      </c>
      <c r="S515" t="s">
        <v>16</v>
      </c>
      <c r="T515" t="s">
        <v>52</v>
      </c>
      <c r="U515" t="s">
        <v>6376</v>
      </c>
      <c r="V515" t="s">
        <v>6375</v>
      </c>
      <c r="W515" t="s">
        <v>6355</v>
      </c>
      <c r="X515">
        <v>90</v>
      </c>
      <c r="Y515" t="s">
        <v>52</v>
      </c>
      <c r="Z515">
        <v>238</v>
      </c>
    </row>
    <row r="516" spans="1:26" x14ac:dyDescent="0.3">
      <c r="A516">
        <v>515</v>
      </c>
      <c r="B516" t="s">
        <v>1244</v>
      </c>
      <c r="C516" t="s">
        <v>45</v>
      </c>
      <c r="D516" t="s">
        <v>12</v>
      </c>
      <c r="E516" t="s">
        <v>6353</v>
      </c>
      <c r="F516" t="s">
        <v>6374</v>
      </c>
      <c r="G516" t="s">
        <v>6376</v>
      </c>
      <c r="H516" t="s">
        <v>6375</v>
      </c>
      <c r="I516" t="s">
        <v>6377</v>
      </c>
      <c r="J516" s="6">
        <f>AVERAGE(ai_job_market[[#This Row],[min_salary]],ai_job_market[[#This Row],[max_salary]])</f>
        <v>183808</v>
      </c>
      <c r="K516"/>
      <c r="L516" t="s">
        <v>27</v>
      </c>
      <c r="M516" t="s">
        <v>42</v>
      </c>
      <c r="N516" t="s">
        <v>4965</v>
      </c>
      <c r="O516" t="s">
        <v>4610</v>
      </c>
      <c r="P516" s="5">
        <v>141494</v>
      </c>
      <c r="Q516" s="5">
        <v>226122</v>
      </c>
      <c r="R516" s="2">
        <v>45573</v>
      </c>
      <c r="S516" t="s">
        <v>14</v>
      </c>
      <c r="T516" t="s">
        <v>52</v>
      </c>
      <c r="U516" t="s">
        <v>6384</v>
      </c>
      <c r="V516" t="s">
        <v>6378</v>
      </c>
      <c r="W516" t="s">
        <v>6353</v>
      </c>
      <c r="X516">
        <v>86</v>
      </c>
      <c r="Y516" t="s">
        <v>52</v>
      </c>
      <c r="Z516">
        <v>238</v>
      </c>
    </row>
    <row r="517" spans="1:26" x14ac:dyDescent="0.3">
      <c r="A517">
        <v>516</v>
      </c>
      <c r="B517" t="s">
        <v>1246</v>
      </c>
      <c r="C517" t="s">
        <v>19</v>
      </c>
      <c r="D517" t="s">
        <v>67</v>
      </c>
      <c r="E517" t="s">
        <v>6345</v>
      </c>
      <c r="F517" t="s">
        <v>6393</v>
      </c>
      <c r="G517" t="s">
        <v>6386</v>
      </c>
      <c r="H517" t="s">
        <v>6384</v>
      </c>
      <c r="I517" t="s">
        <v>6387</v>
      </c>
      <c r="J517">
        <f>AVERAGE(ai_job_market[[#This Row],[min_salary]],ai_job_market[[#This Row],[max_salary]])</f>
        <v>89730</v>
      </c>
      <c r="K517" t="s">
        <v>6395</v>
      </c>
      <c r="L517" t="s">
        <v>27</v>
      </c>
      <c r="M517" t="s">
        <v>37</v>
      </c>
      <c r="N517" t="s">
        <v>4966</v>
      </c>
      <c r="O517" t="s">
        <v>4369</v>
      </c>
      <c r="P517">
        <v>40667</v>
      </c>
      <c r="Q517">
        <v>138793</v>
      </c>
      <c r="R517" s="2">
        <v>45860</v>
      </c>
      <c r="S517" t="s">
        <v>14</v>
      </c>
      <c r="T517" t="s">
        <v>80</v>
      </c>
      <c r="W517" t="s">
        <v>6345</v>
      </c>
      <c r="X517">
        <v>101</v>
      </c>
      <c r="Y517" t="s">
        <v>80</v>
      </c>
      <c r="Z517">
        <v>249</v>
      </c>
    </row>
    <row r="518" spans="1:26" x14ac:dyDescent="0.3">
      <c r="A518">
        <v>517</v>
      </c>
      <c r="B518" t="s">
        <v>1248</v>
      </c>
      <c r="C518" t="s">
        <v>40</v>
      </c>
      <c r="D518" t="s">
        <v>20</v>
      </c>
      <c r="E518" t="s">
        <v>6347</v>
      </c>
      <c r="F518" t="s">
        <v>6382</v>
      </c>
      <c r="G518" t="s">
        <v>6396</v>
      </c>
      <c r="H518" t="s">
        <v>6384</v>
      </c>
      <c r="I518" t="s">
        <v>6391</v>
      </c>
      <c r="J518">
        <f>AVERAGE(ai_job_market[[#This Row],[min_salary]],ai_job_market[[#This Row],[max_salary]])</f>
        <v>80276</v>
      </c>
      <c r="K518"/>
      <c r="L518" t="s">
        <v>27</v>
      </c>
      <c r="M518" t="s">
        <v>42</v>
      </c>
      <c r="N518" t="s">
        <v>4967</v>
      </c>
      <c r="O518" t="s">
        <v>4312</v>
      </c>
      <c r="P518">
        <v>45587</v>
      </c>
      <c r="Q518">
        <v>114965</v>
      </c>
      <c r="R518" s="2">
        <v>45420</v>
      </c>
      <c r="S518" t="s">
        <v>69</v>
      </c>
      <c r="T518" t="s">
        <v>80</v>
      </c>
      <c r="U518" t="s">
        <v>6375</v>
      </c>
      <c r="W518" t="s">
        <v>6347</v>
      </c>
      <c r="X518">
        <v>94</v>
      </c>
      <c r="Y518" t="s">
        <v>80</v>
      </c>
      <c r="Z518">
        <v>249</v>
      </c>
    </row>
    <row r="519" spans="1:26" x14ac:dyDescent="0.3">
      <c r="A519">
        <v>518</v>
      </c>
      <c r="B519" t="s">
        <v>1250</v>
      </c>
      <c r="C519" t="s">
        <v>45</v>
      </c>
      <c r="D519" t="s">
        <v>12</v>
      </c>
      <c r="E519" t="s">
        <v>128</v>
      </c>
      <c r="F519" t="s">
        <v>6382</v>
      </c>
      <c r="G519" t="s">
        <v>6374</v>
      </c>
      <c r="J519">
        <f>AVERAGE(ai_job_market[[#This Row],[min_salary]],ai_job_market[[#This Row],[max_salary]])</f>
        <v>57532.5</v>
      </c>
      <c r="K519"/>
      <c r="L519" t="s">
        <v>14</v>
      </c>
      <c r="M519" t="s">
        <v>37</v>
      </c>
      <c r="N519" t="s">
        <v>4968</v>
      </c>
      <c r="O519" t="s">
        <v>4692</v>
      </c>
      <c r="P519">
        <v>50145</v>
      </c>
      <c r="Q519">
        <v>64920</v>
      </c>
      <c r="R519" s="2">
        <v>45415</v>
      </c>
      <c r="S519" t="s">
        <v>14</v>
      </c>
      <c r="T519" t="s">
        <v>157</v>
      </c>
      <c r="W519" t="s">
        <v>128</v>
      </c>
      <c r="X519">
        <v>92</v>
      </c>
      <c r="Y519" t="s">
        <v>157</v>
      </c>
      <c r="Z519">
        <v>247</v>
      </c>
    </row>
    <row r="520" spans="1:26" x14ac:dyDescent="0.3">
      <c r="A520">
        <v>519</v>
      </c>
      <c r="B520" t="s">
        <v>1252</v>
      </c>
      <c r="C520" t="s">
        <v>40</v>
      </c>
      <c r="D520" t="s">
        <v>12</v>
      </c>
      <c r="E520" t="s">
        <v>6344</v>
      </c>
      <c r="F520" t="s">
        <v>6390</v>
      </c>
      <c r="G520" t="s">
        <v>6375</v>
      </c>
      <c r="H520" t="s">
        <v>6384</v>
      </c>
      <c r="I520" t="s">
        <v>6392</v>
      </c>
      <c r="J520">
        <f>AVERAGE(ai_job_market[[#This Row],[min_salary]],ai_job_market[[#This Row],[max_salary]])</f>
        <v>133540</v>
      </c>
      <c r="K520" t="s">
        <v>6396</v>
      </c>
      <c r="L520" t="s">
        <v>22</v>
      </c>
      <c r="M520" t="s">
        <v>37</v>
      </c>
      <c r="N520" t="s">
        <v>4969</v>
      </c>
      <c r="O520" t="s">
        <v>4301</v>
      </c>
      <c r="P520">
        <v>125963</v>
      </c>
      <c r="Q520">
        <v>141117</v>
      </c>
      <c r="R520" s="2">
        <v>45602</v>
      </c>
      <c r="S520" t="s">
        <v>16</v>
      </c>
      <c r="T520" t="s">
        <v>77</v>
      </c>
      <c r="U520" t="s">
        <v>6375</v>
      </c>
      <c r="V520" t="s">
        <v>6388</v>
      </c>
      <c r="W520" t="s">
        <v>6344</v>
      </c>
      <c r="X520">
        <v>104</v>
      </c>
      <c r="Y520" t="s">
        <v>77</v>
      </c>
      <c r="Z520">
        <v>251</v>
      </c>
    </row>
    <row r="521" spans="1:26" x14ac:dyDescent="0.3">
      <c r="A521">
        <v>520</v>
      </c>
      <c r="B521" t="s">
        <v>1255</v>
      </c>
      <c r="C521" t="s">
        <v>40</v>
      </c>
      <c r="D521" t="s">
        <v>135</v>
      </c>
      <c r="E521" t="s">
        <v>6353</v>
      </c>
      <c r="F521" t="s">
        <v>6384</v>
      </c>
      <c r="G521" t="s">
        <v>6386</v>
      </c>
      <c r="J521">
        <f>AVERAGE(ai_job_market[[#This Row],[min_salary]],ai_job_market[[#This Row],[max_salary]])</f>
        <v>133751</v>
      </c>
      <c r="K521"/>
      <c r="L521" t="s">
        <v>14</v>
      </c>
      <c r="M521" t="s">
        <v>42</v>
      </c>
      <c r="N521" t="s">
        <v>4970</v>
      </c>
      <c r="O521" t="s">
        <v>4377</v>
      </c>
      <c r="P521">
        <v>117682</v>
      </c>
      <c r="Q521">
        <v>149820</v>
      </c>
      <c r="R521" s="2">
        <v>45773</v>
      </c>
      <c r="S521" t="s">
        <v>69</v>
      </c>
      <c r="T521" t="s">
        <v>128</v>
      </c>
      <c r="U521" t="s">
        <v>6383</v>
      </c>
      <c r="W521" t="s">
        <v>6353</v>
      </c>
      <c r="X521">
        <v>86</v>
      </c>
      <c r="Y521" t="s">
        <v>128</v>
      </c>
      <c r="Z521">
        <v>233</v>
      </c>
    </row>
    <row r="522" spans="1:26" x14ac:dyDescent="0.3">
      <c r="A522">
        <v>521</v>
      </c>
      <c r="B522" t="s">
        <v>1257</v>
      </c>
      <c r="C522" t="s">
        <v>40</v>
      </c>
      <c r="D522" t="s">
        <v>54</v>
      </c>
      <c r="E522" t="s">
        <v>6357</v>
      </c>
      <c r="F522" t="s">
        <v>6394</v>
      </c>
      <c r="G522" t="s">
        <v>6376</v>
      </c>
      <c r="J522" s="6">
        <f>AVERAGE(ai_job_market[[#This Row],[min_salary]],ai_job_market[[#This Row],[max_salary]])</f>
        <v>136008.5</v>
      </c>
      <c r="K522"/>
      <c r="L522" t="s">
        <v>27</v>
      </c>
      <c r="M522" t="s">
        <v>15</v>
      </c>
      <c r="N522" t="s">
        <v>4971</v>
      </c>
      <c r="O522" t="s">
        <v>4289</v>
      </c>
      <c r="P522" s="5">
        <v>108359</v>
      </c>
      <c r="Q522" s="5">
        <v>163658</v>
      </c>
      <c r="R522" s="2">
        <v>45598</v>
      </c>
      <c r="S522" t="s">
        <v>16</v>
      </c>
      <c r="T522" t="s">
        <v>80</v>
      </c>
      <c r="U522" t="s">
        <v>6379</v>
      </c>
      <c r="W522" t="s">
        <v>6357</v>
      </c>
      <c r="X522">
        <v>88</v>
      </c>
      <c r="Y522" t="s">
        <v>80</v>
      </c>
      <c r="Z522">
        <v>249</v>
      </c>
    </row>
    <row r="523" spans="1:26" x14ac:dyDescent="0.3">
      <c r="A523">
        <v>522</v>
      </c>
      <c r="B523" t="s">
        <v>1259</v>
      </c>
      <c r="C523" t="s">
        <v>34</v>
      </c>
      <c r="D523" t="s">
        <v>30</v>
      </c>
      <c r="E523" t="s">
        <v>90</v>
      </c>
      <c r="F523" t="s">
        <v>6392</v>
      </c>
      <c r="G523" t="s">
        <v>6390</v>
      </c>
      <c r="H523" t="s">
        <v>6376</v>
      </c>
      <c r="I523" t="s">
        <v>6379</v>
      </c>
      <c r="J523">
        <f>AVERAGE(ai_job_market[[#This Row],[min_salary]],ai_job_market[[#This Row],[max_salary]])</f>
        <v>60422</v>
      </c>
      <c r="K523"/>
      <c r="L523" t="s">
        <v>27</v>
      </c>
      <c r="M523" t="s">
        <v>37</v>
      </c>
      <c r="N523" t="s">
        <v>4972</v>
      </c>
      <c r="O523" t="s">
        <v>4973</v>
      </c>
      <c r="P523">
        <v>46169</v>
      </c>
      <c r="Q523">
        <v>74675</v>
      </c>
      <c r="R523" s="2">
        <v>45491</v>
      </c>
      <c r="S523" t="s">
        <v>14</v>
      </c>
      <c r="T523" t="s">
        <v>80</v>
      </c>
      <c r="W523" t="s">
        <v>90</v>
      </c>
      <c r="X523">
        <v>80</v>
      </c>
      <c r="Y523" t="s">
        <v>80</v>
      </c>
      <c r="Z523">
        <v>249</v>
      </c>
    </row>
    <row r="524" spans="1:26" x14ac:dyDescent="0.3">
      <c r="A524">
        <v>523</v>
      </c>
      <c r="B524" t="s">
        <v>1261</v>
      </c>
      <c r="C524" t="s">
        <v>11</v>
      </c>
      <c r="D524" t="s">
        <v>12</v>
      </c>
      <c r="E524" t="s">
        <v>77</v>
      </c>
      <c r="F524" t="s">
        <v>6396</v>
      </c>
      <c r="G524" t="s">
        <v>6375</v>
      </c>
      <c r="H524" t="s">
        <v>6392</v>
      </c>
      <c r="I524" t="s">
        <v>6374</v>
      </c>
      <c r="J524">
        <f>AVERAGE(ai_job_market[[#This Row],[min_salary]],ai_job_market[[#This Row],[max_salary]])</f>
        <v>120392</v>
      </c>
      <c r="K524"/>
      <c r="L524" t="s">
        <v>14</v>
      </c>
      <c r="M524" t="s">
        <v>42</v>
      </c>
      <c r="N524" t="s">
        <v>4974</v>
      </c>
      <c r="O524" t="s">
        <v>4309</v>
      </c>
      <c r="P524">
        <v>109531</v>
      </c>
      <c r="Q524">
        <v>131253</v>
      </c>
      <c r="R524" s="2">
        <v>45530</v>
      </c>
      <c r="S524" t="s">
        <v>14</v>
      </c>
      <c r="T524" t="s">
        <v>52</v>
      </c>
      <c r="U524" t="s">
        <v>6375</v>
      </c>
      <c r="V524" t="s">
        <v>6378</v>
      </c>
      <c r="W524" t="s">
        <v>77</v>
      </c>
      <c r="X524">
        <v>111</v>
      </c>
      <c r="Y524" t="s">
        <v>52</v>
      </c>
      <c r="Z524">
        <v>238</v>
      </c>
    </row>
    <row r="525" spans="1:26" x14ac:dyDescent="0.3">
      <c r="A525">
        <v>524</v>
      </c>
      <c r="B525" t="s">
        <v>484</v>
      </c>
      <c r="C525" t="s">
        <v>72</v>
      </c>
      <c r="D525" t="s">
        <v>54</v>
      </c>
      <c r="E525" t="s">
        <v>6351</v>
      </c>
      <c r="F525" t="s">
        <v>6377</v>
      </c>
      <c r="G525" t="s">
        <v>6376</v>
      </c>
      <c r="J525">
        <f>AVERAGE(ai_job_market[[#This Row],[min_salary]],ai_job_market[[#This Row],[max_salary]])</f>
        <v>183549</v>
      </c>
      <c r="K525"/>
      <c r="L525" t="s">
        <v>27</v>
      </c>
      <c r="M525" t="s">
        <v>37</v>
      </c>
      <c r="N525" t="s">
        <v>4975</v>
      </c>
      <c r="O525" t="s">
        <v>4587</v>
      </c>
      <c r="P525">
        <v>146291</v>
      </c>
      <c r="Q525">
        <v>220807</v>
      </c>
      <c r="R525" s="2">
        <v>45349</v>
      </c>
      <c r="S525" t="s">
        <v>14</v>
      </c>
      <c r="T525" t="s">
        <v>101</v>
      </c>
      <c r="U525" t="s">
        <v>6375</v>
      </c>
      <c r="V525" t="s">
        <v>6379</v>
      </c>
      <c r="W525" t="s">
        <v>6351</v>
      </c>
      <c r="X525">
        <v>89</v>
      </c>
      <c r="Y525" t="s">
        <v>101</v>
      </c>
      <c r="Z525">
        <v>255</v>
      </c>
    </row>
    <row r="526" spans="1:26" x14ac:dyDescent="0.3">
      <c r="A526">
        <v>525</v>
      </c>
      <c r="B526" t="s">
        <v>1265</v>
      </c>
      <c r="C526" t="s">
        <v>19</v>
      </c>
      <c r="D526" t="s">
        <v>30</v>
      </c>
      <c r="E526" t="s">
        <v>6357</v>
      </c>
      <c r="F526" t="s">
        <v>6397</v>
      </c>
      <c r="G526" t="s">
        <v>6396</v>
      </c>
      <c r="H526" t="s">
        <v>6392</v>
      </c>
      <c r="J526">
        <f>AVERAGE(ai_job_market[[#This Row],[min_salary]],ai_job_market[[#This Row],[max_salary]])</f>
        <v>88199.5</v>
      </c>
      <c r="K526"/>
      <c r="L526" t="s">
        <v>27</v>
      </c>
      <c r="M526" t="s">
        <v>37</v>
      </c>
      <c r="N526" t="s">
        <v>4976</v>
      </c>
      <c r="O526" t="s">
        <v>4490</v>
      </c>
      <c r="P526">
        <v>60309</v>
      </c>
      <c r="Q526">
        <v>116090</v>
      </c>
      <c r="R526" s="2">
        <v>45900</v>
      </c>
      <c r="S526" t="s">
        <v>14</v>
      </c>
      <c r="T526" t="s">
        <v>80</v>
      </c>
      <c r="U526" t="s">
        <v>6383</v>
      </c>
      <c r="V526" t="s">
        <v>6388</v>
      </c>
      <c r="W526" t="s">
        <v>6357</v>
      </c>
      <c r="X526">
        <v>88</v>
      </c>
      <c r="Y526" t="s">
        <v>80</v>
      </c>
      <c r="Z526">
        <v>249</v>
      </c>
    </row>
    <row r="527" spans="1:26" x14ac:dyDescent="0.3">
      <c r="A527">
        <v>526</v>
      </c>
      <c r="B527" t="s">
        <v>1267</v>
      </c>
      <c r="C527" t="s">
        <v>45</v>
      </c>
      <c r="D527" t="s">
        <v>35</v>
      </c>
      <c r="E527" t="s">
        <v>6357</v>
      </c>
      <c r="F527" t="s">
        <v>6390</v>
      </c>
      <c r="G527" t="s">
        <v>6382</v>
      </c>
      <c r="H527" t="s">
        <v>6377</v>
      </c>
      <c r="J527">
        <f>AVERAGE(ai_job_market[[#This Row],[min_salary]],ai_job_market[[#This Row],[max_salary]])</f>
        <v>166076</v>
      </c>
      <c r="K527"/>
      <c r="L527" t="s">
        <v>22</v>
      </c>
      <c r="M527" t="s">
        <v>37</v>
      </c>
      <c r="N527" t="s">
        <v>4977</v>
      </c>
      <c r="O527" t="s">
        <v>4480</v>
      </c>
      <c r="P527">
        <v>135243</v>
      </c>
      <c r="Q527">
        <v>196909</v>
      </c>
      <c r="R527" s="2">
        <v>45363</v>
      </c>
      <c r="S527" t="s">
        <v>69</v>
      </c>
      <c r="T527" t="s">
        <v>77</v>
      </c>
      <c r="U527" t="s">
        <v>6383</v>
      </c>
      <c r="W527" t="s">
        <v>6357</v>
      </c>
      <c r="X527">
        <v>88</v>
      </c>
      <c r="Y527" t="s">
        <v>77</v>
      </c>
      <c r="Z527">
        <v>251</v>
      </c>
    </row>
    <row r="528" spans="1:26" x14ac:dyDescent="0.3">
      <c r="A528">
        <v>527</v>
      </c>
      <c r="B528" t="s">
        <v>1269</v>
      </c>
      <c r="C528" t="s">
        <v>40</v>
      </c>
      <c r="D528" t="s">
        <v>54</v>
      </c>
      <c r="E528" t="s">
        <v>6354</v>
      </c>
      <c r="F528" t="s">
        <v>6395</v>
      </c>
      <c r="G528" t="s">
        <v>6386</v>
      </c>
      <c r="H528" t="s">
        <v>6378</v>
      </c>
      <c r="I528" t="s">
        <v>6385</v>
      </c>
      <c r="J528">
        <f>AVERAGE(ai_job_market[[#This Row],[min_salary]],ai_job_market[[#This Row],[max_salary]])</f>
        <v>154278.5</v>
      </c>
      <c r="K528"/>
      <c r="L528" t="s">
        <v>22</v>
      </c>
      <c r="M528" t="s">
        <v>51</v>
      </c>
      <c r="N528" t="s">
        <v>4978</v>
      </c>
      <c r="O528" t="s">
        <v>4556</v>
      </c>
      <c r="P528">
        <v>141909</v>
      </c>
      <c r="Q528">
        <v>166648</v>
      </c>
      <c r="R528" s="2">
        <v>45600</v>
      </c>
      <c r="S528" t="s">
        <v>14</v>
      </c>
      <c r="T528" t="s">
        <v>80</v>
      </c>
      <c r="W528" t="s">
        <v>6354</v>
      </c>
      <c r="X528">
        <v>75</v>
      </c>
      <c r="Y528" t="s">
        <v>80</v>
      </c>
      <c r="Z528">
        <v>249</v>
      </c>
    </row>
    <row r="529" spans="1:26" x14ac:dyDescent="0.3">
      <c r="A529">
        <v>528</v>
      </c>
      <c r="B529" t="s">
        <v>1271</v>
      </c>
      <c r="C529" t="s">
        <v>49</v>
      </c>
      <c r="D529" t="s">
        <v>54</v>
      </c>
      <c r="E529" t="s">
        <v>6350</v>
      </c>
      <c r="F529" t="s">
        <v>6380</v>
      </c>
      <c r="G529" t="s">
        <v>6391</v>
      </c>
      <c r="J529">
        <f>AVERAGE(ai_job_market[[#This Row],[min_salary]],ai_job_market[[#This Row],[max_salary]])</f>
        <v>155360</v>
      </c>
      <c r="K529"/>
      <c r="L529" t="s">
        <v>27</v>
      </c>
      <c r="M529" t="s">
        <v>42</v>
      </c>
      <c r="N529" t="s">
        <v>4979</v>
      </c>
      <c r="O529" t="s">
        <v>4514</v>
      </c>
      <c r="P529">
        <v>110795</v>
      </c>
      <c r="Q529">
        <v>199925</v>
      </c>
      <c r="R529" s="2">
        <v>45738</v>
      </c>
      <c r="S529" t="s">
        <v>69</v>
      </c>
      <c r="T529" t="s">
        <v>70</v>
      </c>
      <c r="U529" t="s">
        <v>6389</v>
      </c>
      <c r="W529" t="s">
        <v>6350</v>
      </c>
      <c r="X529">
        <v>84</v>
      </c>
      <c r="Y529" t="s">
        <v>70</v>
      </c>
      <c r="Z529">
        <v>268</v>
      </c>
    </row>
    <row r="530" spans="1:26" x14ac:dyDescent="0.3">
      <c r="A530">
        <v>529</v>
      </c>
      <c r="B530" t="s">
        <v>1273</v>
      </c>
      <c r="C530" t="s">
        <v>72</v>
      </c>
      <c r="D530" t="s">
        <v>67</v>
      </c>
      <c r="E530" t="s">
        <v>70</v>
      </c>
      <c r="F530" t="s">
        <v>6377</v>
      </c>
      <c r="G530" t="s">
        <v>6374</v>
      </c>
      <c r="H530" t="s">
        <v>6396</v>
      </c>
      <c r="I530" t="s">
        <v>6378</v>
      </c>
      <c r="J530">
        <f>AVERAGE(ai_job_market[[#This Row],[min_salary]],ai_job_market[[#This Row],[max_salary]])</f>
        <v>107952</v>
      </c>
      <c r="K530" t="s">
        <v>6395</v>
      </c>
      <c r="L530" t="s">
        <v>14</v>
      </c>
      <c r="M530" t="s">
        <v>42</v>
      </c>
      <c r="N530" t="s">
        <v>4980</v>
      </c>
      <c r="O530" t="s">
        <v>4554</v>
      </c>
      <c r="P530">
        <v>97755</v>
      </c>
      <c r="Q530">
        <v>118149</v>
      </c>
      <c r="R530" s="2">
        <v>45315</v>
      </c>
      <c r="S530" t="s">
        <v>16</v>
      </c>
      <c r="T530" t="s">
        <v>157</v>
      </c>
      <c r="U530" t="s">
        <v>6375</v>
      </c>
      <c r="W530" t="s">
        <v>70</v>
      </c>
      <c r="X530">
        <v>100</v>
      </c>
      <c r="Y530" t="s">
        <v>157</v>
      </c>
      <c r="Z530">
        <v>247</v>
      </c>
    </row>
    <row r="531" spans="1:26" x14ac:dyDescent="0.3">
      <c r="A531">
        <v>530</v>
      </c>
      <c r="B531" t="s">
        <v>1275</v>
      </c>
      <c r="C531" t="s">
        <v>11</v>
      </c>
      <c r="D531" t="s">
        <v>12</v>
      </c>
      <c r="E531" t="s">
        <v>6345</v>
      </c>
      <c r="F531" t="s">
        <v>6395</v>
      </c>
      <c r="G531" t="s">
        <v>6375</v>
      </c>
      <c r="H531" t="s">
        <v>6393</v>
      </c>
      <c r="I531" t="s">
        <v>6387</v>
      </c>
      <c r="J531" s="6">
        <f>AVERAGE(ai_job_market[[#This Row],[min_salary]],ai_job_market[[#This Row],[max_salary]])</f>
        <v>165210</v>
      </c>
      <c r="K531"/>
      <c r="L531" t="s">
        <v>22</v>
      </c>
      <c r="M531" t="s">
        <v>42</v>
      </c>
      <c r="N531" t="s">
        <v>4981</v>
      </c>
      <c r="O531" t="s">
        <v>4410</v>
      </c>
      <c r="P531" s="5">
        <v>141037</v>
      </c>
      <c r="Q531" s="5">
        <v>189383</v>
      </c>
      <c r="R531" s="2">
        <v>45324</v>
      </c>
      <c r="S531" t="s">
        <v>14</v>
      </c>
      <c r="T531" t="s">
        <v>101</v>
      </c>
      <c r="U531" t="s">
        <v>6388</v>
      </c>
      <c r="V531" t="s">
        <v>6389</v>
      </c>
      <c r="W531" t="s">
        <v>6345</v>
      </c>
      <c r="X531">
        <v>101</v>
      </c>
      <c r="Y531" t="s">
        <v>101</v>
      </c>
      <c r="Z531">
        <v>255</v>
      </c>
    </row>
    <row r="532" spans="1:26" x14ac:dyDescent="0.3">
      <c r="A532">
        <v>531</v>
      </c>
      <c r="B532" t="s">
        <v>1277</v>
      </c>
      <c r="C532" t="s">
        <v>11</v>
      </c>
      <c r="D532" t="s">
        <v>30</v>
      </c>
      <c r="E532" t="s">
        <v>6346</v>
      </c>
      <c r="F532" t="s">
        <v>6374</v>
      </c>
      <c r="G532" t="s">
        <v>6390</v>
      </c>
      <c r="H532" t="s">
        <v>6382</v>
      </c>
      <c r="J532">
        <f>AVERAGE(ai_job_market[[#This Row],[min_salary]],ai_job_market[[#This Row],[max_salary]])</f>
        <v>158271</v>
      </c>
      <c r="K532"/>
      <c r="L532" t="s">
        <v>14</v>
      </c>
      <c r="M532" t="s">
        <v>42</v>
      </c>
      <c r="N532" t="s">
        <v>4982</v>
      </c>
      <c r="O532" t="s">
        <v>4666</v>
      </c>
      <c r="P532">
        <v>128537</v>
      </c>
      <c r="Q532">
        <v>188005</v>
      </c>
      <c r="R532" s="2">
        <v>45559</v>
      </c>
      <c r="S532" t="s">
        <v>14</v>
      </c>
      <c r="T532" t="s">
        <v>77</v>
      </c>
      <c r="W532" t="s">
        <v>6346</v>
      </c>
      <c r="X532">
        <v>78</v>
      </c>
      <c r="Y532" t="s">
        <v>77</v>
      </c>
      <c r="Z532">
        <v>251</v>
      </c>
    </row>
    <row r="533" spans="1:26" x14ac:dyDescent="0.3">
      <c r="A533">
        <v>532</v>
      </c>
      <c r="B533" t="s">
        <v>1279</v>
      </c>
      <c r="C533" t="s">
        <v>11</v>
      </c>
      <c r="D533" t="s">
        <v>30</v>
      </c>
      <c r="E533" t="s">
        <v>6349</v>
      </c>
      <c r="F533" t="s">
        <v>6378</v>
      </c>
      <c r="G533" t="s">
        <v>6385</v>
      </c>
      <c r="H533" t="s">
        <v>6393</v>
      </c>
      <c r="J533">
        <f>AVERAGE(ai_job_market[[#This Row],[min_salary]],ai_job_market[[#This Row],[max_salary]])</f>
        <v>81453.5</v>
      </c>
      <c r="K533"/>
      <c r="L533" t="s">
        <v>22</v>
      </c>
      <c r="M533" t="s">
        <v>15</v>
      </c>
      <c r="N533" t="s">
        <v>4983</v>
      </c>
      <c r="O533" t="s">
        <v>4596</v>
      </c>
      <c r="P533">
        <v>56606</v>
      </c>
      <c r="Q533">
        <v>106301</v>
      </c>
      <c r="R533" s="2">
        <v>45693</v>
      </c>
      <c r="S533" t="s">
        <v>14</v>
      </c>
      <c r="T533" t="s">
        <v>101</v>
      </c>
      <c r="U533" t="s">
        <v>6375</v>
      </c>
      <c r="W533" t="s">
        <v>6349</v>
      </c>
      <c r="X533">
        <v>96</v>
      </c>
      <c r="Y533" t="s">
        <v>101</v>
      </c>
      <c r="Z533">
        <v>255</v>
      </c>
    </row>
    <row r="534" spans="1:26" x14ac:dyDescent="0.3">
      <c r="A534">
        <v>533</v>
      </c>
      <c r="B534" t="s">
        <v>1281</v>
      </c>
      <c r="C534" t="s">
        <v>19</v>
      </c>
      <c r="D534" t="s">
        <v>54</v>
      </c>
      <c r="E534" t="s">
        <v>6347</v>
      </c>
      <c r="F534" t="s">
        <v>6375</v>
      </c>
      <c r="G534" t="s">
        <v>6381</v>
      </c>
      <c r="H534" t="s">
        <v>6378</v>
      </c>
      <c r="J534">
        <f>AVERAGE(ai_job_market[[#This Row],[min_salary]],ai_job_market[[#This Row],[max_salary]])</f>
        <v>85361</v>
      </c>
      <c r="K534"/>
      <c r="L534" t="s">
        <v>14</v>
      </c>
      <c r="M534" t="s">
        <v>37</v>
      </c>
      <c r="N534" t="s">
        <v>4984</v>
      </c>
      <c r="O534" t="s">
        <v>4603</v>
      </c>
      <c r="P534">
        <v>54795</v>
      </c>
      <c r="Q534">
        <v>115927</v>
      </c>
      <c r="R534" s="2">
        <v>45265</v>
      </c>
      <c r="S534" t="s">
        <v>69</v>
      </c>
      <c r="T534" t="s">
        <v>90</v>
      </c>
      <c r="U534" t="s">
        <v>6378</v>
      </c>
      <c r="V534" t="s">
        <v>6376</v>
      </c>
      <c r="W534" t="s">
        <v>6347</v>
      </c>
      <c r="X534">
        <v>94</v>
      </c>
      <c r="Y534" t="s">
        <v>90</v>
      </c>
      <c r="Z534">
        <v>259</v>
      </c>
    </row>
    <row r="535" spans="1:26" x14ac:dyDescent="0.3">
      <c r="A535">
        <v>534</v>
      </c>
      <c r="B535" t="s">
        <v>1284</v>
      </c>
      <c r="C535" t="s">
        <v>34</v>
      </c>
      <c r="D535" t="s">
        <v>12</v>
      </c>
      <c r="E535" t="s">
        <v>6349</v>
      </c>
      <c r="F535" t="s">
        <v>6397</v>
      </c>
      <c r="G535" t="s">
        <v>6393</v>
      </c>
      <c r="H535" t="s">
        <v>6392</v>
      </c>
      <c r="J535">
        <f>AVERAGE(ai_job_market[[#This Row],[min_salary]],ai_job_market[[#This Row],[max_salary]])</f>
        <v>87312.5</v>
      </c>
      <c r="K535"/>
      <c r="L535" t="s">
        <v>22</v>
      </c>
      <c r="M535" t="s">
        <v>51</v>
      </c>
      <c r="N535" t="s">
        <v>4985</v>
      </c>
      <c r="O535" t="s">
        <v>4480</v>
      </c>
      <c r="P535">
        <v>68706</v>
      </c>
      <c r="Q535">
        <v>105919</v>
      </c>
      <c r="R535" s="2">
        <v>45449</v>
      </c>
      <c r="S535" t="s">
        <v>14</v>
      </c>
      <c r="T535" t="s">
        <v>80</v>
      </c>
      <c r="U535" t="s">
        <v>6378</v>
      </c>
      <c r="W535" t="s">
        <v>6349</v>
      </c>
      <c r="X535">
        <v>96</v>
      </c>
      <c r="Y535" t="s">
        <v>80</v>
      </c>
      <c r="Z535">
        <v>249</v>
      </c>
    </row>
    <row r="536" spans="1:26" x14ac:dyDescent="0.3">
      <c r="A536">
        <v>535</v>
      </c>
      <c r="B536" t="s">
        <v>1286</v>
      </c>
      <c r="C536" t="s">
        <v>34</v>
      </c>
      <c r="D536" t="s">
        <v>67</v>
      </c>
      <c r="E536" t="s">
        <v>6351</v>
      </c>
      <c r="F536" t="s">
        <v>6391</v>
      </c>
      <c r="G536" t="s">
        <v>6375</v>
      </c>
      <c r="H536" t="s">
        <v>6377</v>
      </c>
      <c r="J536" s="6">
        <f>AVERAGE(ai_job_market[[#This Row],[min_salary]],ai_job_market[[#This Row],[max_salary]])</f>
        <v>124700</v>
      </c>
      <c r="K536"/>
      <c r="L536" t="s">
        <v>22</v>
      </c>
      <c r="M536" t="s">
        <v>37</v>
      </c>
      <c r="N536" t="s">
        <v>4986</v>
      </c>
      <c r="O536" t="s">
        <v>4433</v>
      </c>
      <c r="P536" s="5">
        <v>107190</v>
      </c>
      <c r="Q536" s="5">
        <v>142210</v>
      </c>
      <c r="R536" s="2">
        <v>45913</v>
      </c>
      <c r="S536" t="s">
        <v>16</v>
      </c>
      <c r="T536" t="s">
        <v>77</v>
      </c>
      <c r="W536" t="s">
        <v>6351</v>
      </c>
      <c r="X536">
        <v>89</v>
      </c>
      <c r="Y536" t="s">
        <v>77</v>
      </c>
      <c r="Z536">
        <v>251</v>
      </c>
    </row>
    <row r="537" spans="1:26" x14ac:dyDescent="0.3">
      <c r="A537">
        <v>536</v>
      </c>
      <c r="B537" t="s">
        <v>1288</v>
      </c>
      <c r="C537" t="s">
        <v>11</v>
      </c>
      <c r="D537" t="s">
        <v>54</v>
      </c>
      <c r="E537" t="s">
        <v>80</v>
      </c>
      <c r="F537" t="s">
        <v>6379</v>
      </c>
      <c r="G537" t="s">
        <v>6390</v>
      </c>
      <c r="H537" t="s">
        <v>6376</v>
      </c>
      <c r="I537" t="s">
        <v>6396</v>
      </c>
      <c r="J537">
        <f>AVERAGE(ai_job_market[[#This Row],[min_salary]],ai_job_market[[#This Row],[max_salary]])</f>
        <v>92378</v>
      </c>
      <c r="K537" t="s">
        <v>6385</v>
      </c>
      <c r="L537" t="s">
        <v>27</v>
      </c>
      <c r="M537" t="s">
        <v>37</v>
      </c>
      <c r="N537" t="s">
        <v>4987</v>
      </c>
      <c r="O537" t="s">
        <v>4988</v>
      </c>
      <c r="P537">
        <v>65172</v>
      </c>
      <c r="Q537">
        <v>119584</v>
      </c>
      <c r="R537" s="2">
        <v>45313</v>
      </c>
      <c r="S537" t="s">
        <v>14</v>
      </c>
      <c r="T537" t="s">
        <v>90</v>
      </c>
      <c r="W537" t="s">
        <v>80</v>
      </c>
      <c r="X537">
        <v>95</v>
      </c>
      <c r="Y537" t="s">
        <v>90</v>
      </c>
      <c r="Z537">
        <v>259</v>
      </c>
    </row>
    <row r="538" spans="1:26" x14ac:dyDescent="0.3">
      <c r="A538">
        <v>537</v>
      </c>
      <c r="B538" t="s">
        <v>1290</v>
      </c>
      <c r="C538" t="s">
        <v>11</v>
      </c>
      <c r="D538" t="s">
        <v>135</v>
      </c>
      <c r="E538" t="s">
        <v>101</v>
      </c>
      <c r="F538" t="s">
        <v>6391</v>
      </c>
      <c r="G538" t="s">
        <v>6377</v>
      </c>
      <c r="J538">
        <f>AVERAGE(ai_job_market[[#This Row],[min_salary]],ai_job_market[[#This Row],[max_salary]])</f>
        <v>104701</v>
      </c>
      <c r="K538"/>
      <c r="L538" t="s">
        <v>14</v>
      </c>
      <c r="M538" t="s">
        <v>15</v>
      </c>
      <c r="N538" t="s">
        <v>4989</v>
      </c>
      <c r="O538" t="s">
        <v>4615</v>
      </c>
      <c r="P538">
        <v>58475</v>
      </c>
      <c r="Q538">
        <v>150927</v>
      </c>
      <c r="R538" s="2">
        <v>45826</v>
      </c>
      <c r="S538" t="s">
        <v>16</v>
      </c>
      <c r="T538" t="s">
        <v>128</v>
      </c>
      <c r="U538" t="s">
        <v>6389</v>
      </c>
      <c r="W538" t="s">
        <v>101</v>
      </c>
      <c r="X538">
        <v>76</v>
      </c>
      <c r="Y538" t="s">
        <v>128</v>
      </c>
      <c r="Z538">
        <v>233</v>
      </c>
    </row>
    <row r="539" spans="1:26" x14ac:dyDescent="0.3">
      <c r="A539">
        <v>538</v>
      </c>
      <c r="B539" t="s">
        <v>1292</v>
      </c>
      <c r="C539" t="s">
        <v>34</v>
      </c>
      <c r="D539" t="s">
        <v>30</v>
      </c>
      <c r="E539" t="s">
        <v>77</v>
      </c>
      <c r="F539" t="s">
        <v>6384</v>
      </c>
      <c r="G539" t="s">
        <v>6390</v>
      </c>
      <c r="J539">
        <f>AVERAGE(ai_job_market[[#This Row],[min_salary]],ai_job_market[[#This Row],[max_salary]])</f>
        <v>129507.5</v>
      </c>
      <c r="K539"/>
      <c r="L539" t="s">
        <v>27</v>
      </c>
      <c r="M539" t="s">
        <v>37</v>
      </c>
      <c r="N539" t="s">
        <v>4990</v>
      </c>
      <c r="O539" t="s">
        <v>4566</v>
      </c>
      <c r="P539">
        <v>89065</v>
      </c>
      <c r="Q539">
        <v>169950</v>
      </c>
      <c r="R539" s="2">
        <v>45506</v>
      </c>
      <c r="S539" t="s">
        <v>16</v>
      </c>
      <c r="T539" t="s">
        <v>90</v>
      </c>
      <c r="W539" t="s">
        <v>77</v>
      </c>
      <c r="X539">
        <v>111</v>
      </c>
      <c r="Y539" t="s">
        <v>90</v>
      </c>
      <c r="Z539">
        <v>259</v>
      </c>
    </row>
    <row r="540" spans="1:26" x14ac:dyDescent="0.3">
      <c r="A540">
        <v>539</v>
      </c>
      <c r="B540" t="s">
        <v>1294</v>
      </c>
      <c r="C540" t="s">
        <v>34</v>
      </c>
      <c r="D540" t="s">
        <v>67</v>
      </c>
      <c r="E540" t="s">
        <v>6353</v>
      </c>
      <c r="F540" t="s">
        <v>6394</v>
      </c>
      <c r="G540" t="s">
        <v>6376</v>
      </c>
      <c r="J540">
        <f>AVERAGE(ai_job_market[[#This Row],[min_salary]],ai_job_market[[#This Row],[max_salary]])</f>
        <v>153250</v>
      </c>
      <c r="K540"/>
      <c r="L540" t="s">
        <v>14</v>
      </c>
      <c r="M540" t="s">
        <v>42</v>
      </c>
      <c r="N540" t="s">
        <v>4991</v>
      </c>
      <c r="O540" t="s">
        <v>4365</v>
      </c>
      <c r="P540">
        <v>140046</v>
      </c>
      <c r="Q540">
        <v>166454</v>
      </c>
      <c r="R540" s="2">
        <v>45512</v>
      </c>
      <c r="S540" t="s">
        <v>14</v>
      </c>
      <c r="T540" t="s">
        <v>52</v>
      </c>
      <c r="U540" t="s">
        <v>6375</v>
      </c>
      <c r="W540" t="s">
        <v>6353</v>
      </c>
      <c r="X540">
        <v>86</v>
      </c>
      <c r="Y540" t="s">
        <v>52</v>
      </c>
      <c r="Z540">
        <v>238</v>
      </c>
    </row>
    <row r="541" spans="1:26" x14ac:dyDescent="0.3">
      <c r="A541">
        <v>540</v>
      </c>
      <c r="B541" t="s">
        <v>1296</v>
      </c>
      <c r="C541" t="s">
        <v>45</v>
      </c>
      <c r="D541" t="s">
        <v>135</v>
      </c>
      <c r="E541" t="s">
        <v>6347</v>
      </c>
      <c r="F541" t="s">
        <v>6389</v>
      </c>
      <c r="G541" t="s">
        <v>6381</v>
      </c>
      <c r="J541">
        <f>AVERAGE(ai_job_market[[#This Row],[min_salary]],ai_job_market[[#This Row],[max_salary]])</f>
        <v>55346.5</v>
      </c>
      <c r="K541"/>
      <c r="L541" t="s">
        <v>14</v>
      </c>
      <c r="M541" t="s">
        <v>51</v>
      </c>
      <c r="N541" t="s">
        <v>4992</v>
      </c>
      <c r="O541" t="s">
        <v>4442</v>
      </c>
      <c r="P541">
        <v>50054</v>
      </c>
      <c r="Q541">
        <v>60639</v>
      </c>
      <c r="R541" s="2">
        <v>45473</v>
      </c>
      <c r="S541" t="s">
        <v>16</v>
      </c>
      <c r="T541" t="s">
        <v>101</v>
      </c>
      <c r="U541" t="s">
        <v>6389</v>
      </c>
      <c r="V541" t="s">
        <v>6378</v>
      </c>
      <c r="W541" t="s">
        <v>6347</v>
      </c>
      <c r="X541">
        <v>94</v>
      </c>
      <c r="Y541" t="s">
        <v>101</v>
      </c>
      <c r="Z541">
        <v>255</v>
      </c>
    </row>
    <row r="542" spans="1:26" x14ac:dyDescent="0.3">
      <c r="A542">
        <v>541</v>
      </c>
      <c r="B542" t="s">
        <v>1299</v>
      </c>
      <c r="C542" t="s">
        <v>40</v>
      </c>
      <c r="D542" t="s">
        <v>54</v>
      </c>
      <c r="E542" t="s">
        <v>6353</v>
      </c>
      <c r="F542" t="s">
        <v>6376</v>
      </c>
      <c r="G542" t="s">
        <v>6395</v>
      </c>
      <c r="J542">
        <f>AVERAGE(ai_job_market[[#This Row],[min_salary]],ai_job_market[[#This Row],[max_salary]])</f>
        <v>122735.5</v>
      </c>
      <c r="K542"/>
      <c r="L542" t="s">
        <v>22</v>
      </c>
      <c r="M542" t="s">
        <v>51</v>
      </c>
      <c r="N542" t="s">
        <v>4993</v>
      </c>
      <c r="O542" t="s">
        <v>4495</v>
      </c>
      <c r="P542">
        <v>84367</v>
      </c>
      <c r="Q542">
        <v>161104</v>
      </c>
      <c r="R542" s="2">
        <v>45752</v>
      </c>
      <c r="S542" t="s">
        <v>69</v>
      </c>
      <c r="T542" t="s">
        <v>90</v>
      </c>
      <c r="W542" t="s">
        <v>6353</v>
      </c>
      <c r="X542">
        <v>86</v>
      </c>
      <c r="Y542" t="s">
        <v>90</v>
      </c>
      <c r="Z542">
        <v>259</v>
      </c>
    </row>
    <row r="543" spans="1:26" x14ac:dyDescent="0.3">
      <c r="A543">
        <v>542</v>
      </c>
      <c r="B543" t="s">
        <v>1301</v>
      </c>
      <c r="C543" t="s">
        <v>40</v>
      </c>
      <c r="D543" t="s">
        <v>54</v>
      </c>
      <c r="E543" t="s">
        <v>6348</v>
      </c>
      <c r="F543" t="s">
        <v>6379</v>
      </c>
      <c r="G543" t="s">
        <v>6397</v>
      </c>
      <c r="H543" t="s">
        <v>6390</v>
      </c>
      <c r="J543">
        <f>AVERAGE(ai_job_market[[#This Row],[min_salary]],ai_job_market[[#This Row],[max_salary]])</f>
        <v>149377.5</v>
      </c>
      <c r="K543"/>
      <c r="L543" t="s">
        <v>22</v>
      </c>
      <c r="M543" t="s">
        <v>51</v>
      </c>
      <c r="N543" t="s">
        <v>4994</v>
      </c>
      <c r="O543" t="s">
        <v>4488</v>
      </c>
      <c r="P543">
        <v>106747</v>
      </c>
      <c r="Q543">
        <v>192008</v>
      </c>
      <c r="R543" s="2">
        <v>45670</v>
      </c>
      <c r="S543" t="s">
        <v>69</v>
      </c>
      <c r="T543" t="s">
        <v>157</v>
      </c>
      <c r="U543" t="s">
        <v>6376</v>
      </c>
      <c r="V543" t="s">
        <v>6384</v>
      </c>
      <c r="W543" t="s">
        <v>6348</v>
      </c>
      <c r="X543">
        <v>78</v>
      </c>
      <c r="Y543" t="s">
        <v>157</v>
      </c>
      <c r="Z543">
        <v>247</v>
      </c>
    </row>
    <row r="544" spans="1:26" x14ac:dyDescent="0.3">
      <c r="A544">
        <v>543</v>
      </c>
      <c r="B544" t="s">
        <v>1304</v>
      </c>
      <c r="C544" t="s">
        <v>49</v>
      </c>
      <c r="D544" t="s">
        <v>67</v>
      </c>
      <c r="E544" t="s">
        <v>6351</v>
      </c>
      <c r="F544" t="s">
        <v>6387</v>
      </c>
      <c r="G544" t="s">
        <v>6391</v>
      </c>
      <c r="H544" t="s">
        <v>6395</v>
      </c>
      <c r="I544" t="s">
        <v>6396</v>
      </c>
      <c r="J544">
        <f>AVERAGE(ai_job_market[[#This Row],[min_salary]],ai_job_market[[#This Row],[max_salary]])</f>
        <v>163822.5</v>
      </c>
      <c r="K544"/>
      <c r="L544" t="s">
        <v>22</v>
      </c>
      <c r="M544" t="s">
        <v>15</v>
      </c>
      <c r="N544" t="s">
        <v>4995</v>
      </c>
      <c r="O544" t="s">
        <v>4495</v>
      </c>
      <c r="P544">
        <v>134658</v>
      </c>
      <c r="Q544">
        <v>192987</v>
      </c>
      <c r="R544" s="2">
        <v>45307</v>
      </c>
      <c r="S544" t="s">
        <v>14</v>
      </c>
      <c r="T544" t="s">
        <v>70</v>
      </c>
      <c r="U544" t="s">
        <v>6378</v>
      </c>
      <c r="W544" t="s">
        <v>6351</v>
      </c>
      <c r="X544">
        <v>89</v>
      </c>
      <c r="Y544" t="s">
        <v>70</v>
      </c>
      <c r="Z544">
        <v>268</v>
      </c>
    </row>
    <row r="545" spans="1:26" x14ac:dyDescent="0.3">
      <c r="A545">
        <v>544</v>
      </c>
      <c r="B545" t="s">
        <v>1306</v>
      </c>
      <c r="C545" t="s">
        <v>45</v>
      </c>
      <c r="D545" t="s">
        <v>25</v>
      </c>
      <c r="E545" t="s">
        <v>6348</v>
      </c>
      <c r="F545" t="s">
        <v>6378</v>
      </c>
      <c r="G545" t="s">
        <v>6393</v>
      </c>
      <c r="H545" t="s">
        <v>6375</v>
      </c>
      <c r="I545" t="s">
        <v>6395</v>
      </c>
      <c r="J545">
        <f>AVERAGE(ai_job_market[[#This Row],[min_salary]],ai_job_market[[#This Row],[max_salary]])</f>
        <v>74424.5</v>
      </c>
      <c r="K545"/>
      <c r="L545" t="s">
        <v>22</v>
      </c>
      <c r="M545" t="s">
        <v>15</v>
      </c>
      <c r="N545" t="s">
        <v>4996</v>
      </c>
      <c r="O545" t="s">
        <v>4375</v>
      </c>
      <c r="P545">
        <v>67982</v>
      </c>
      <c r="Q545">
        <v>80867</v>
      </c>
      <c r="R545" s="2">
        <v>45529</v>
      </c>
      <c r="S545" t="s">
        <v>69</v>
      </c>
      <c r="T545" t="s">
        <v>70</v>
      </c>
      <c r="W545" t="s">
        <v>6348</v>
      </c>
      <c r="X545">
        <v>78</v>
      </c>
      <c r="Y545" t="s">
        <v>70</v>
      </c>
      <c r="Z545">
        <v>268</v>
      </c>
    </row>
    <row r="546" spans="1:26" x14ac:dyDescent="0.3">
      <c r="A546">
        <v>545</v>
      </c>
      <c r="B546" t="s">
        <v>1308</v>
      </c>
      <c r="C546" t="s">
        <v>19</v>
      </c>
      <c r="D546" t="s">
        <v>12</v>
      </c>
      <c r="E546" t="s">
        <v>6346</v>
      </c>
      <c r="F546" t="s">
        <v>6382</v>
      </c>
      <c r="G546" t="s">
        <v>6378</v>
      </c>
      <c r="H546" t="s">
        <v>6385</v>
      </c>
      <c r="I546" t="s">
        <v>6396</v>
      </c>
      <c r="J546">
        <f>AVERAGE(ai_job_market[[#This Row],[min_salary]],ai_job_market[[#This Row],[max_salary]])</f>
        <v>96035.5</v>
      </c>
      <c r="K546"/>
      <c r="L546" t="s">
        <v>14</v>
      </c>
      <c r="M546" t="s">
        <v>51</v>
      </c>
      <c r="N546" t="s">
        <v>4997</v>
      </c>
      <c r="O546" t="s">
        <v>4538</v>
      </c>
      <c r="P546">
        <v>66502</v>
      </c>
      <c r="Q546">
        <v>125569</v>
      </c>
      <c r="R546" s="2">
        <v>45833</v>
      </c>
      <c r="S546" t="s">
        <v>14</v>
      </c>
      <c r="T546" t="s">
        <v>77</v>
      </c>
      <c r="U546" t="s">
        <v>6389</v>
      </c>
      <c r="W546" t="s">
        <v>6346</v>
      </c>
      <c r="X546">
        <v>78</v>
      </c>
      <c r="Y546" t="s">
        <v>77</v>
      </c>
      <c r="Z546">
        <v>251</v>
      </c>
    </row>
    <row r="547" spans="1:26" x14ac:dyDescent="0.3">
      <c r="A547">
        <v>546</v>
      </c>
      <c r="B547" t="s">
        <v>1310</v>
      </c>
      <c r="C547" t="s">
        <v>40</v>
      </c>
      <c r="D547" t="s">
        <v>54</v>
      </c>
      <c r="E547" t="s">
        <v>6345</v>
      </c>
      <c r="F547" t="s">
        <v>6382</v>
      </c>
      <c r="G547" t="s">
        <v>6380</v>
      </c>
      <c r="J547">
        <f>AVERAGE(ai_job_market[[#This Row],[min_salary]],ai_job_market[[#This Row],[max_salary]])</f>
        <v>141983</v>
      </c>
      <c r="K547"/>
      <c r="L547" t="s">
        <v>14</v>
      </c>
      <c r="M547" t="s">
        <v>15</v>
      </c>
      <c r="N547" t="s">
        <v>4998</v>
      </c>
      <c r="O547" t="s">
        <v>4466</v>
      </c>
      <c r="P547">
        <v>129492</v>
      </c>
      <c r="Q547">
        <v>154474</v>
      </c>
      <c r="R547" s="2">
        <v>45593</v>
      </c>
      <c r="S547" t="s">
        <v>69</v>
      </c>
      <c r="T547" t="s">
        <v>128</v>
      </c>
      <c r="W547" t="s">
        <v>6345</v>
      </c>
      <c r="X547">
        <v>101</v>
      </c>
      <c r="Y547" t="s">
        <v>128</v>
      </c>
      <c r="Z547">
        <v>233</v>
      </c>
    </row>
    <row r="548" spans="1:26" x14ac:dyDescent="0.3">
      <c r="A548">
        <v>547</v>
      </c>
      <c r="B548" t="s">
        <v>1312</v>
      </c>
      <c r="C548" t="s">
        <v>40</v>
      </c>
      <c r="D548" t="s">
        <v>35</v>
      </c>
      <c r="E548" t="s">
        <v>6359</v>
      </c>
      <c r="F548" t="s">
        <v>6393</v>
      </c>
      <c r="G548" t="s">
        <v>6382</v>
      </c>
      <c r="H548" t="s">
        <v>6396</v>
      </c>
      <c r="J548">
        <f>AVERAGE(ai_job_market[[#This Row],[min_salary]],ai_job_market[[#This Row],[max_salary]])</f>
        <v>86518.5</v>
      </c>
      <c r="K548"/>
      <c r="L548" t="s">
        <v>14</v>
      </c>
      <c r="M548" t="s">
        <v>37</v>
      </c>
      <c r="N548" t="s">
        <v>4999</v>
      </c>
      <c r="O548" t="s">
        <v>4549</v>
      </c>
      <c r="P548">
        <v>46778</v>
      </c>
      <c r="Q548">
        <v>126259</v>
      </c>
      <c r="R548" s="2">
        <v>45779</v>
      </c>
      <c r="S548" t="s">
        <v>69</v>
      </c>
      <c r="T548" t="s">
        <v>77</v>
      </c>
      <c r="U548" t="s">
        <v>6375</v>
      </c>
      <c r="W548" t="s">
        <v>6359</v>
      </c>
      <c r="X548">
        <v>104</v>
      </c>
      <c r="Y548" t="s">
        <v>77</v>
      </c>
      <c r="Z548">
        <v>251</v>
      </c>
    </row>
    <row r="549" spans="1:26" x14ac:dyDescent="0.3">
      <c r="A549">
        <v>548</v>
      </c>
      <c r="B549" t="s">
        <v>1314</v>
      </c>
      <c r="C549" t="s">
        <v>49</v>
      </c>
      <c r="D549" t="s">
        <v>35</v>
      </c>
      <c r="E549" t="s">
        <v>6359</v>
      </c>
      <c r="F549" t="s">
        <v>6379</v>
      </c>
      <c r="G549" t="s">
        <v>6385</v>
      </c>
      <c r="J549">
        <f>AVERAGE(ai_job_market[[#This Row],[min_salary]],ai_job_market[[#This Row],[max_salary]])</f>
        <v>172244</v>
      </c>
      <c r="K549"/>
      <c r="L549" t="s">
        <v>27</v>
      </c>
      <c r="M549" t="s">
        <v>51</v>
      </c>
      <c r="N549" t="s">
        <v>5000</v>
      </c>
      <c r="O549" t="s">
        <v>4506</v>
      </c>
      <c r="P549">
        <v>139140</v>
      </c>
      <c r="Q549">
        <v>205348</v>
      </c>
      <c r="R549" s="2">
        <v>45907</v>
      </c>
      <c r="S549" t="s">
        <v>69</v>
      </c>
      <c r="T549" t="s">
        <v>70</v>
      </c>
      <c r="U549" t="s">
        <v>6378</v>
      </c>
      <c r="W549" t="s">
        <v>6359</v>
      </c>
      <c r="X549">
        <v>104</v>
      </c>
      <c r="Y549" t="s">
        <v>70</v>
      </c>
      <c r="Z549">
        <v>268</v>
      </c>
    </row>
    <row r="550" spans="1:26" x14ac:dyDescent="0.3">
      <c r="A550">
        <v>549</v>
      </c>
      <c r="B550" t="s">
        <v>1316</v>
      </c>
      <c r="C550" t="s">
        <v>49</v>
      </c>
      <c r="D550" t="s">
        <v>30</v>
      </c>
      <c r="E550" t="s">
        <v>77</v>
      </c>
      <c r="F550" t="s">
        <v>6396</v>
      </c>
      <c r="G550" t="s">
        <v>6386</v>
      </c>
      <c r="H550" t="s">
        <v>6379</v>
      </c>
      <c r="I550" t="s">
        <v>6397</v>
      </c>
      <c r="J550">
        <f>AVERAGE(ai_job_market[[#This Row],[min_salary]],ai_job_market[[#This Row],[max_salary]])</f>
        <v>90179.5</v>
      </c>
      <c r="K550"/>
      <c r="L550" t="s">
        <v>27</v>
      </c>
      <c r="M550" t="s">
        <v>37</v>
      </c>
      <c r="N550" t="s">
        <v>5001</v>
      </c>
      <c r="O550" t="s">
        <v>4327</v>
      </c>
      <c r="P550">
        <v>81090</v>
      </c>
      <c r="Q550">
        <v>99269</v>
      </c>
      <c r="R550" s="2">
        <v>45590</v>
      </c>
      <c r="S550" t="s">
        <v>69</v>
      </c>
      <c r="T550" t="s">
        <v>157</v>
      </c>
      <c r="U550" t="s">
        <v>6389</v>
      </c>
      <c r="W550" t="s">
        <v>77</v>
      </c>
      <c r="X550">
        <v>111</v>
      </c>
      <c r="Y550" t="s">
        <v>157</v>
      </c>
      <c r="Z550">
        <v>247</v>
      </c>
    </row>
    <row r="551" spans="1:26" x14ac:dyDescent="0.3">
      <c r="A551">
        <v>550</v>
      </c>
      <c r="B551" t="s">
        <v>1318</v>
      </c>
      <c r="C551" t="s">
        <v>19</v>
      </c>
      <c r="D551" t="s">
        <v>67</v>
      </c>
      <c r="E551" t="s">
        <v>6358</v>
      </c>
      <c r="F551" t="s">
        <v>6385</v>
      </c>
      <c r="G551" t="s">
        <v>6387</v>
      </c>
      <c r="J551">
        <f>AVERAGE(ai_job_market[[#This Row],[min_salary]],ai_job_market[[#This Row],[max_salary]])</f>
        <v>170093.5</v>
      </c>
      <c r="K551"/>
      <c r="L551" t="s">
        <v>22</v>
      </c>
      <c r="M551" t="s">
        <v>37</v>
      </c>
      <c r="N551" t="s">
        <v>5002</v>
      </c>
      <c r="O551" t="s">
        <v>4329</v>
      </c>
      <c r="P551">
        <v>134343</v>
      </c>
      <c r="Q551">
        <v>205844</v>
      </c>
      <c r="R551" s="2">
        <v>45308</v>
      </c>
      <c r="S551" t="s">
        <v>69</v>
      </c>
      <c r="T551" t="s">
        <v>52</v>
      </c>
      <c r="W551" t="s">
        <v>6358</v>
      </c>
      <c r="X551">
        <v>96</v>
      </c>
      <c r="Y551" t="s">
        <v>52</v>
      </c>
      <c r="Z551">
        <v>238</v>
      </c>
    </row>
    <row r="552" spans="1:26" x14ac:dyDescent="0.3">
      <c r="A552">
        <v>551</v>
      </c>
      <c r="B552" t="s">
        <v>1320</v>
      </c>
      <c r="C552" t="s">
        <v>49</v>
      </c>
      <c r="D552" t="s">
        <v>20</v>
      </c>
      <c r="E552" t="s">
        <v>6350</v>
      </c>
      <c r="F552" t="s">
        <v>6393</v>
      </c>
      <c r="G552" t="s">
        <v>6392</v>
      </c>
      <c r="H552" t="s">
        <v>6397</v>
      </c>
      <c r="I552" t="s">
        <v>6394</v>
      </c>
      <c r="J552">
        <f>AVERAGE(ai_job_market[[#This Row],[min_salary]],ai_job_market[[#This Row],[max_salary]])</f>
        <v>114040.5</v>
      </c>
      <c r="K552" t="s">
        <v>6376</v>
      </c>
      <c r="L552" t="s">
        <v>22</v>
      </c>
      <c r="M552" t="s">
        <v>15</v>
      </c>
      <c r="N552" t="s">
        <v>5003</v>
      </c>
      <c r="O552" t="s">
        <v>4624</v>
      </c>
      <c r="P552">
        <v>72912</v>
      </c>
      <c r="Q552">
        <v>155169</v>
      </c>
      <c r="R552" s="2">
        <v>45334</v>
      </c>
      <c r="S552" t="s">
        <v>16</v>
      </c>
      <c r="T552" t="s">
        <v>101</v>
      </c>
      <c r="U552" t="s">
        <v>6378</v>
      </c>
      <c r="V552" t="s">
        <v>6379</v>
      </c>
      <c r="W552" t="s">
        <v>6350</v>
      </c>
      <c r="X552">
        <v>84</v>
      </c>
      <c r="Y552" t="s">
        <v>101</v>
      </c>
      <c r="Z552">
        <v>255</v>
      </c>
    </row>
    <row r="553" spans="1:26" x14ac:dyDescent="0.3">
      <c r="A553">
        <v>552</v>
      </c>
      <c r="B553" t="s">
        <v>1322</v>
      </c>
      <c r="C553" t="s">
        <v>49</v>
      </c>
      <c r="D553" t="s">
        <v>35</v>
      </c>
      <c r="E553" t="s">
        <v>77</v>
      </c>
      <c r="F553" t="s">
        <v>6391</v>
      </c>
      <c r="G553" t="s">
        <v>6384</v>
      </c>
      <c r="J553">
        <f>AVERAGE(ai_job_market[[#This Row],[min_salary]],ai_job_market[[#This Row],[max_salary]])</f>
        <v>169855</v>
      </c>
      <c r="K553"/>
      <c r="L553" t="s">
        <v>14</v>
      </c>
      <c r="M553" t="s">
        <v>51</v>
      </c>
      <c r="N553" t="s">
        <v>5004</v>
      </c>
      <c r="O553" t="s">
        <v>4988</v>
      </c>
      <c r="P553">
        <v>123639</v>
      </c>
      <c r="Q553">
        <v>216071</v>
      </c>
      <c r="R553" s="2">
        <v>45451</v>
      </c>
      <c r="S553" t="s">
        <v>14</v>
      </c>
      <c r="T553" t="s">
        <v>80</v>
      </c>
      <c r="W553" t="s">
        <v>77</v>
      </c>
      <c r="X553">
        <v>111</v>
      </c>
      <c r="Y553" t="s">
        <v>80</v>
      </c>
      <c r="Z553">
        <v>249</v>
      </c>
    </row>
    <row r="554" spans="1:26" x14ac:dyDescent="0.3">
      <c r="A554">
        <v>553</v>
      </c>
      <c r="B554" t="s">
        <v>1324</v>
      </c>
      <c r="C554" t="s">
        <v>11</v>
      </c>
      <c r="D554" t="s">
        <v>67</v>
      </c>
      <c r="E554" t="s">
        <v>90</v>
      </c>
      <c r="F554" t="s">
        <v>6374</v>
      </c>
      <c r="G554" t="s">
        <v>6397</v>
      </c>
      <c r="J554">
        <f>AVERAGE(ai_job_market[[#This Row],[min_salary]],ai_job_market[[#This Row],[max_salary]])</f>
        <v>79692.5</v>
      </c>
      <c r="K554"/>
      <c r="L554" t="s">
        <v>14</v>
      </c>
      <c r="M554" t="s">
        <v>51</v>
      </c>
      <c r="N554" t="s">
        <v>5005</v>
      </c>
      <c r="O554" t="s">
        <v>4312</v>
      </c>
      <c r="P554">
        <v>71107</v>
      </c>
      <c r="Q554">
        <v>88278</v>
      </c>
      <c r="R554" s="2">
        <v>45887</v>
      </c>
      <c r="S554" t="s">
        <v>14</v>
      </c>
      <c r="T554" t="s">
        <v>128</v>
      </c>
      <c r="U554" t="s">
        <v>6384</v>
      </c>
      <c r="W554" t="s">
        <v>90</v>
      </c>
      <c r="X554">
        <v>80</v>
      </c>
      <c r="Y554" t="s">
        <v>128</v>
      </c>
      <c r="Z554">
        <v>233</v>
      </c>
    </row>
    <row r="555" spans="1:26" x14ac:dyDescent="0.3">
      <c r="A555">
        <v>554</v>
      </c>
      <c r="B555" t="s">
        <v>1326</v>
      </c>
      <c r="C555" t="s">
        <v>19</v>
      </c>
      <c r="D555" t="s">
        <v>54</v>
      </c>
      <c r="E555" t="s">
        <v>6354</v>
      </c>
      <c r="F555" t="s">
        <v>6387</v>
      </c>
      <c r="G555" t="s">
        <v>6374</v>
      </c>
      <c r="J555">
        <f>AVERAGE(ai_job_market[[#This Row],[min_salary]],ai_job_market[[#This Row],[max_salary]])</f>
        <v>153307.5</v>
      </c>
      <c r="K555"/>
      <c r="L555" t="s">
        <v>27</v>
      </c>
      <c r="M555" t="s">
        <v>15</v>
      </c>
      <c r="N555" t="s">
        <v>5006</v>
      </c>
      <c r="O555" t="s">
        <v>4927</v>
      </c>
      <c r="P555">
        <v>139426</v>
      </c>
      <c r="Q555">
        <v>167189</v>
      </c>
      <c r="R555" s="2">
        <v>45697</v>
      </c>
      <c r="S555" t="s">
        <v>69</v>
      </c>
      <c r="T555" t="s">
        <v>90</v>
      </c>
      <c r="U555" t="s">
        <v>6375</v>
      </c>
      <c r="V555" t="s">
        <v>6383</v>
      </c>
      <c r="W555" t="s">
        <v>6354</v>
      </c>
      <c r="X555">
        <v>75</v>
      </c>
      <c r="Y555" t="s">
        <v>90</v>
      </c>
      <c r="Z555">
        <v>259</v>
      </c>
    </row>
    <row r="556" spans="1:26" x14ac:dyDescent="0.3">
      <c r="A556">
        <v>555</v>
      </c>
      <c r="B556" t="s">
        <v>1328</v>
      </c>
      <c r="C556" t="s">
        <v>34</v>
      </c>
      <c r="D556" t="s">
        <v>12</v>
      </c>
      <c r="E556" t="s">
        <v>6347</v>
      </c>
      <c r="F556" t="s">
        <v>6386</v>
      </c>
      <c r="G556" t="s">
        <v>6378</v>
      </c>
      <c r="J556">
        <f>AVERAGE(ai_job_market[[#This Row],[min_salary]],ai_job_market[[#This Row],[max_salary]])</f>
        <v>71298.5</v>
      </c>
      <c r="K556"/>
      <c r="L556" t="s">
        <v>27</v>
      </c>
      <c r="M556" t="s">
        <v>15</v>
      </c>
      <c r="N556" t="s">
        <v>5007</v>
      </c>
      <c r="O556" t="s">
        <v>4353</v>
      </c>
      <c r="P556">
        <v>41327</v>
      </c>
      <c r="Q556">
        <v>101270</v>
      </c>
      <c r="R556" s="2">
        <v>45522</v>
      </c>
      <c r="S556" t="s">
        <v>14</v>
      </c>
      <c r="T556" t="s">
        <v>77</v>
      </c>
      <c r="W556" t="s">
        <v>6347</v>
      </c>
      <c r="X556">
        <v>94</v>
      </c>
      <c r="Y556" t="s">
        <v>77</v>
      </c>
      <c r="Z556">
        <v>251</v>
      </c>
    </row>
    <row r="557" spans="1:26" x14ac:dyDescent="0.3">
      <c r="A557">
        <v>556</v>
      </c>
      <c r="B557" t="s">
        <v>1330</v>
      </c>
      <c r="C557" t="s">
        <v>19</v>
      </c>
      <c r="D557" t="s">
        <v>135</v>
      </c>
      <c r="E557" t="s">
        <v>90</v>
      </c>
      <c r="F557" t="s">
        <v>6386</v>
      </c>
      <c r="G557" t="s">
        <v>6381</v>
      </c>
      <c r="H557" t="s">
        <v>6397</v>
      </c>
      <c r="J557">
        <f>AVERAGE(ai_job_market[[#This Row],[min_salary]],ai_job_market[[#This Row],[max_salary]])</f>
        <v>139914</v>
      </c>
      <c r="K557"/>
      <c r="L557" t="s">
        <v>14</v>
      </c>
      <c r="M557" t="s">
        <v>15</v>
      </c>
      <c r="N557" t="s">
        <v>5008</v>
      </c>
      <c r="O557" t="s">
        <v>4786</v>
      </c>
      <c r="P557">
        <v>132842</v>
      </c>
      <c r="Q557">
        <v>146986</v>
      </c>
      <c r="R557" s="2">
        <v>45294</v>
      </c>
      <c r="S557" t="s">
        <v>14</v>
      </c>
      <c r="T557" t="s">
        <v>80</v>
      </c>
      <c r="U557" t="s">
        <v>6378</v>
      </c>
      <c r="W557" t="s">
        <v>90</v>
      </c>
      <c r="X557">
        <v>80</v>
      </c>
      <c r="Y557" t="s">
        <v>80</v>
      </c>
      <c r="Z557">
        <v>249</v>
      </c>
    </row>
    <row r="558" spans="1:26" x14ac:dyDescent="0.3">
      <c r="A558">
        <v>557</v>
      </c>
      <c r="B558" t="s">
        <v>1332</v>
      </c>
      <c r="C558" t="s">
        <v>49</v>
      </c>
      <c r="D558" t="s">
        <v>35</v>
      </c>
      <c r="E558" t="s">
        <v>90</v>
      </c>
      <c r="F558" t="s">
        <v>6391</v>
      </c>
      <c r="G558" t="s">
        <v>6397</v>
      </c>
      <c r="J558">
        <f>AVERAGE(ai_job_market[[#This Row],[min_salary]],ai_job_market[[#This Row],[max_salary]])</f>
        <v>98580.5</v>
      </c>
      <c r="K558"/>
      <c r="L558" t="s">
        <v>22</v>
      </c>
      <c r="M558" t="s">
        <v>51</v>
      </c>
      <c r="N558" t="s">
        <v>4898</v>
      </c>
      <c r="O558" t="s">
        <v>4355</v>
      </c>
      <c r="P558">
        <v>61018</v>
      </c>
      <c r="Q558">
        <v>136143</v>
      </c>
      <c r="R558" s="2">
        <v>45279</v>
      </c>
      <c r="S558" t="s">
        <v>14</v>
      </c>
      <c r="T558" t="s">
        <v>80</v>
      </c>
      <c r="U558" t="s">
        <v>6383</v>
      </c>
      <c r="W558" t="s">
        <v>90</v>
      </c>
      <c r="X558">
        <v>80</v>
      </c>
      <c r="Y558" t="s">
        <v>80</v>
      </c>
      <c r="Z558">
        <v>249</v>
      </c>
    </row>
    <row r="559" spans="1:26" x14ac:dyDescent="0.3">
      <c r="A559">
        <v>558</v>
      </c>
      <c r="B559" t="s">
        <v>1334</v>
      </c>
      <c r="C559" t="s">
        <v>40</v>
      </c>
      <c r="D559" t="s">
        <v>25</v>
      </c>
      <c r="E559" t="s">
        <v>6345</v>
      </c>
      <c r="F559" t="s">
        <v>6392</v>
      </c>
      <c r="G559" t="s">
        <v>6395</v>
      </c>
      <c r="H559" t="s">
        <v>6375</v>
      </c>
      <c r="I559" t="s">
        <v>6381</v>
      </c>
      <c r="J559">
        <f>AVERAGE(ai_job_market[[#This Row],[min_salary]],ai_job_market[[#This Row],[max_salary]])</f>
        <v>161932</v>
      </c>
      <c r="K559" t="s">
        <v>6380</v>
      </c>
      <c r="L559" t="s">
        <v>22</v>
      </c>
      <c r="M559" t="s">
        <v>51</v>
      </c>
      <c r="N559" t="s">
        <v>5009</v>
      </c>
      <c r="O559" t="s">
        <v>4323</v>
      </c>
      <c r="P559">
        <v>129013</v>
      </c>
      <c r="Q559">
        <v>194851</v>
      </c>
      <c r="R559" s="2">
        <v>45525</v>
      </c>
      <c r="S559" t="s">
        <v>14</v>
      </c>
      <c r="T559" t="s">
        <v>70</v>
      </c>
      <c r="U559" t="s">
        <v>6388</v>
      </c>
      <c r="V559" t="s">
        <v>6378</v>
      </c>
      <c r="W559" t="s">
        <v>6345</v>
      </c>
      <c r="X559">
        <v>101</v>
      </c>
      <c r="Y559" t="s">
        <v>70</v>
      </c>
      <c r="Z559">
        <v>268</v>
      </c>
    </row>
    <row r="560" spans="1:26" x14ac:dyDescent="0.3">
      <c r="A560">
        <v>559</v>
      </c>
      <c r="B560" t="s">
        <v>1336</v>
      </c>
      <c r="C560" t="s">
        <v>19</v>
      </c>
      <c r="D560" t="s">
        <v>54</v>
      </c>
      <c r="E560" t="s">
        <v>101</v>
      </c>
      <c r="F560" t="s">
        <v>6386</v>
      </c>
      <c r="G560" t="s">
        <v>6380</v>
      </c>
      <c r="H560" t="s">
        <v>6391</v>
      </c>
      <c r="I560" t="s">
        <v>6393</v>
      </c>
      <c r="J560">
        <f>AVERAGE(ai_job_market[[#This Row],[min_salary]],ai_job_market[[#This Row],[max_salary]])</f>
        <v>76046.5</v>
      </c>
      <c r="K560"/>
      <c r="L560" t="s">
        <v>22</v>
      </c>
      <c r="M560" t="s">
        <v>15</v>
      </c>
      <c r="N560" t="s">
        <v>5010</v>
      </c>
      <c r="O560" t="s">
        <v>5011</v>
      </c>
      <c r="P560">
        <v>53336</v>
      </c>
      <c r="Q560">
        <v>98757</v>
      </c>
      <c r="R560" s="2">
        <v>45581</v>
      </c>
      <c r="S560" t="s">
        <v>69</v>
      </c>
      <c r="T560" t="s">
        <v>77</v>
      </c>
      <c r="U560" t="s">
        <v>6384</v>
      </c>
      <c r="V560" t="s">
        <v>6379</v>
      </c>
      <c r="W560" t="s">
        <v>101</v>
      </c>
      <c r="X560">
        <v>76</v>
      </c>
      <c r="Y560" t="s">
        <v>77</v>
      </c>
      <c r="Z560">
        <v>251</v>
      </c>
    </row>
    <row r="561" spans="1:26" x14ac:dyDescent="0.3">
      <c r="A561">
        <v>560</v>
      </c>
      <c r="B561" t="s">
        <v>1338</v>
      </c>
      <c r="C561" t="s">
        <v>40</v>
      </c>
      <c r="D561" t="s">
        <v>67</v>
      </c>
      <c r="E561" t="s">
        <v>70</v>
      </c>
      <c r="F561" t="s">
        <v>6397</v>
      </c>
      <c r="G561" t="s">
        <v>6386</v>
      </c>
      <c r="H561" t="s">
        <v>6387</v>
      </c>
      <c r="I561" t="s">
        <v>6390</v>
      </c>
      <c r="J561">
        <f>AVERAGE(ai_job_market[[#This Row],[min_salary]],ai_job_market[[#This Row],[max_salary]])</f>
        <v>96298</v>
      </c>
      <c r="K561"/>
      <c r="L561" t="s">
        <v>27</v>
      </c>
      <c r="M561" t="s">
        <v>42</v>
      </c>
      <c r="N561" t="s">
        <v>5012</v>
      </c>
      <c r="O561" t="s">
        <v>4699</v>
      </c>
      <c r="P561">
        <v>60072</v>
      </c>
      <c r="Q561">
        <v>132524</v>
      </c>
      <c r="R561" s="2">
        <v>45808</v>
      </c>
      <c r="S561" t="s">
        <v>69</v>
      </c>
      <c r="T561" t="s">
        <v>70</v>
      </c>
      <c r="U561" t="s">
        <v>6388</v>
      </c>
      <c r="W561" t="s">
        <v>70</v>
      </c>
      <c r="X561">
        <v>100</v>
      </c>
      <c r="Y561" t="s">
        <v>70</v>
      </c>
      <c r="Z561">
        <v>268</v>
      </c>
    </row>
    <row r="562" spans="1:26" x14ac:dyDescent="0.3">
      <c r="A562">
        <v>561</v>
      </c>
      <c r="B562" t="s">
        <v>1340</v>
      </c>
      <c r="C562" t="s">
        <v>19</v>
      </c>
      <c r="D562" t="s">
        <v>30</v>
      </c>
      <c r="E562" t="s">
        <v>6345</v>
      </c>
      <c r="F562" t="s">
        <v>6391</v>
      </c>
      <c r="G562" t="s">
        <v>6382</v>
      </c>
      <c r="H562" t="s">
        <v>6375</v>
      </c>
      <c r="I562" t="s">
        <v>6381</v>
      </c>
      <c r="J562">
        <f>AVERAGE(ai_job_market[[#This Row],[min_salary]],ai_job_market[[#This Row],[max_salary]])</f>
        <v>130793</v>
      </c>
      <c r="K562"/>
      <c r="L562" t="s">
        <v>14</v>
      </c>
      <c r="M562" t="s">
        <v>42</v>
      </c>
      <c r="N562" t="s">
        <v>5013</v>
      </c>
      <c r="O562" t="s">
        <v>4424</v>
      </c>
      <c r="P562">
        <v>95822</v>
      </c>
      <c r="Q562">
        <v>165764</v>
      </c>
      <c r="R562" s="2">
        <v>45798</v>
      </c>
      <c r="S562" t="s">
        <v>69</v>
      </c>
      <c r="T562" t="s">
        <v>128</v>
      </c>
      <c r="U562" t="s">
        <v>6384</v>
      </c>
      <c r="V562" t="s">
        <v>6383</v>
      </c>
      <c r="W562" t="s">
        <v>6345</v>
      </c>
      <c r="X562">
        <v>101</v>
      </c>
      <c r="Y562" t="s">
        <v>128</v>
      </c>
      <c r="Z562">
        <v>233</v>
      </c>
    </row>
    <row r="563" spans="1:26" x14ac:dyDescent="0.3">
      <c r="A563">
        <v>562</v>
      </c>
      <c r="B563" t="s">
        <v>1342</v>
      </c>
      <c r="C563" t="s">
        <v>45</v>
      </c>
      <c r="D563" t="s">
        <v>35</v>
      </c>
      <c r="E563" t="s">
        <v>6344</v>
      </c>
      <c r="F563" t="s">
        <v>6396</v>
      </c>
      <c r="G563" t="s">
        <v>6379</v>
      </c>
      <c r="J563">
        <f>AVERAGE(ai_job_market[[#This Row],[min_salary]],ai_job_market[[#This Row],[max_salary]])</f>
        <v>164737</v>
      </c>
      <c r="K563"/>
      <c r="L563" t="s">
        <v>27</v>
      </c>
      <c r="M563" t="s">
        <v>37</v>
      </c>
      <c r="N563" t="s">
        <v>5014</v>
      </c>
      <c r="O563" t="s">
        <v>4587</v>
      </c>
      <c r="P563">
        <v>123940</v>
      </c>
      <c r="Q563">
        <v>205534</v>
      </c>
      <c r="R563" s="2">
        <v>45586</v>
      </c>
      <c r="S563" t="s">
        <v>14</v>
      </c>
      <c r="T563" t="s">
        <v>90</v>
      </c>
      <c r="U563" t="s">
        <v>6376</v>
      </c>
      <c r="V563" t="s">
        <v>6378</v>
      </c>
      <c r="W563" t="s">
        <v>6344</v>
      </c>
      <c r="X563">
        <v>104</v>
      </c>
      <c r="Y563" t="s">
        <v>90</v>
      </c>
      <c r="Z563">
        <v>259</v>
      </c>
    </row>
    <row r="564" spans="1:26" x14ac:dyDescent="0.3">
      <c r="A564">
        <v>563</v>
      </c>
      <c r="B564" t="s">
        <v>1344</v>
      </c>
      <c r="C564" t="s">
        <v>19</v>
      </c>
      <c r="D564" t="s">
        <v>25</v>
      </c>
      <c r="E564" t="s">
        <v>80</v>
      </c>
      <c r="F564" t="s">
        <v>6392</v>
      </c>
      <c r="G564" t="s">
        <v>6394</v>
      </c>
      <c r="H564" t="s">
        <v>6377</v>
      </c>
      <c r="J564" s="6">
        <f>AVERAGE(ai_job_market[[#This Row],[min_salary]],ai_job_market[[#This Row],[max_salary]])</f>
        <v>129018.5</v>
      </c>
      <c r="K564"/>
      <c r="L564" t="s">
        <v>14</v>
      </c>
      <c r="M564" t="s">
        <v>51</v>
      </c>
      <c r="N564" t="s">
        <v>5015</v>
      </c>
      <c r="O564" t="s">
        <v>4640</v>
      </c>
      <c r="P564" s="5">
        <v>93765</v>
      </c>
      <c r="Q564" s="5">
        <v>164272</v>
      </c>
      <c r="R564" s="2">
        <v>45338</v>
      </c>
      <c r="S564" t="s">
        <v>14</v>
      </c>
      <c r="T564" t="s">
        <v>80</v>
      </c>
      <c r="W564" t="s">
        <v>80</v>
      </c>
      <c r="X564">
        <v>95</v>
      </c>
      <c r="Y564" t="s">
        <v>80</v>
      </c>
      <c r="Z564">
        <v>249</v>
      </c>
    </row>
    <row r="565" spans="1:26" x14ac:dyDescent="0.3">
      <c r="A565">
        <v>564</v>
      </c>
      <c r="B565" t="s">
        <v>1346</v>
      </c>
      <c r="C565" t="s">
        <v>11</v>
      </c>
      <c r="D565" t="s">
        <v>135</v>
      </c>
      <c r="E565" t="s">
        <v>6351</v>
      </c>
      <c r="F565" t="s">
        <v>6392</v>
      </c>
      <c r="G565" t="s">
        <v>6382</v>
      </c>
      <c r="H565" t="s">
        <v>6376</v>
      </c>
      <c r="J565">
        <f>AVERAGE(ai_job_market[[#This Row],[min_salary]],ai_job_market[[#This Row],[max_salary]])</f>
        <v>116154.5</v>
      </c>
      <c r="K565"/>
      <c r="L565" t="s">
        <v>22</v>
      </c>
      <c r="M565" t="s">
        <v>42</v>
      </c>
      <c r="N565" t="s">
        <v>5016</v>
      </c>
      <c r="O565" t="s">
        <v>4701</v>
      </c>
      <c r="P565">
        <v>107143</v>
      </c>
      <c r="Q565">
        <v>125166</v>
      </c>
      <c r="R565" s="2">
        <v>45504</v>
      </c>
      <c r="S565" t="s">
        <v>14</v>
      </c>
      <c r="T565" t="s">
        <v>52</v>
      </c>
      <c r="U565" t="s">
        <v>6389</v>
      </c>
      <c r="W565" t="s">
        <v>6351</v>
      </c>
      <c r="X565">
        <v>89</v>
      </c>
      <c r="Y565" t="s">
        <v>52</v>
      </c>
      <c r="Z565">
        <v>238</v>
      </c>
    </row>
    <row r="566" spans="1:26" x14ac:dyDescent="0.3">
      <c r="A566">
        <v>565</v>
      </c>
      <c r="B566" t="s">
        <v>1348</v>
      </c>
      <c r="C566" t="s">
        <v>11</v>
      </c>
      <c r="D566" t="s">
        <v>135</v>
      </c>
      <c r="E566" t="s">
        <v>6347</v>
      </c>
      <c r="F566" t="s">
        <v>6382</v>
      </c>
      <c r="G566" t="s">
        <v>6387</v>
      </c>
      <c r="H566" t="s">
        <v>6376</v>
      </c>
      <c r="J566">
        <f>AVERAGE(ai_job_market[[#This Row],[min_salary]],ai_job_market[[#This Row],[max_salary]])</f>
        <v>122818</v>
      </c>
      <c r="K566"/>
      <c r="L566" t="s">
        <v>27</v>
      </c>
      <c r="M566" t="s">
        <v>51</v>
      </c>
      <c r="N566" t="s">
        <v>5017</v>
      </c>
      <c r="O566" t="s">
        <v>4710</v>
      </c>
      <c r="P566">
        <v>78028</v>
      </c>
      <c r="Q566">
        <v>167608</v>
      </c>
      <c r="R566" s="2">
        <v>45902</v>
      </c>
      <c r="S566" t="s">
        <v>16</v>
      </c>
      <c r="T566" t="s">
        <v>70</v>
      </c>
      <c r="U566" t="s">
        <v>6384</v>
      </c>
      <c r="V566" t="s">
        <v>6388</v>
      </c>
      <c r="W566" t="s">
        <v>6347</v>
      </c>
      <c r="X566">
        <v>94</v>
      </c>
      <c r="Y566" t="s">
        <v>70</v>
      </c>
      <c r="Z566">
        <v>268</v>
      </c>
    </row>
    <row r="567" spans="1:26" x14ac:dyDescent="0.3">
      <c r="A567">
        <v>566</v>
      </c>
      <c r="B567" t="s">
        <v>1351</v>
      </c>
      <c r="C567" t="s">
        <v>19</v>
      </c>
      <c r="D567" t="s">
        <v>20</v>
      </c>
      <c r="E567" t="s">
        <v>6345</v>
      </c>
      <c r="F567" t="s">
        <v>6384</v>
      </c>
      <c r="G567" t="s">
        <v>6391</v>
      </c>
      <c r="H567" t="s">
        <v>6374</v>
      </c>
      <c r="J567">
        <f>AVERAGE(ai_job_market[[#This Row],[min_salary]],ai_job_market[[#This Row],[max_salary]])</f>
        <v>74570</v>
      </c>
      <c r="K567"/>
      <c r="L567" t="s">
        <v>27</v>
      </c>
      <c r="M567" t="s">
        <v>37</v>
      </c>
      <c r="N567" t="s">
        <v>5018</v>
      </c>
      <c r="O567" t="s">
        <v>4478</v>
      </c>
      <c r="P567">
        <v>65169</v>
      </c>
      <c r="Q567">
        <v>83971</v>
      </c>
      <c r="R567" s="2">
        <v>45393</v>
      </c>
      <c r="S567" t="s">
        <v>16</v>
      </c>
      <c r="T567" t="s">
        <v>52</v>
      </c>
      <c r="U567" t="s">
        <v>6378</v>
      </c>
      <c r="W567" t="s">
        <v>6345</v>
      </c>
      <c r="X567">
        <v>101</v>
      </c>
      <c r="Y567" t="s">
        <v>52</v>
      </c>
      <c r="Z567">
        <v>238</v>
      </c>
    </row>
    <row r="568" spans="1:26" x14ac:dyDescent="0.3">
      <c r="A568">
        <v>567</v>
      </c>
      <c r="B568" t="s">
        <v>1353</v>
      </c>
      <c r="C568" t="s">
        <v>40</v>
      </c>
      <c r="D568" t="s">
        <v>12</v>
      </c>
      <c r="E568" t="s">
        <v>6351</v>
      </c>
      <c r="F568" t="s">
        <v>6390</v>
      </c>
      <c r="G568" t="s">
        <v>6378</v>
      </c>
      <c r="H568" t="s">
        <v>6395</v>
      </c>
      <c r="J568">
        <f>AVERAGE(ai_job_market[[#This Row],[min_salary]],ai_job_market[[#This Row],[max_salary]])</f>
        <v>101978.5</v>
      </c>
      <c r="K568"/>
      <c r="L568" t="s">
        <v>22</v>
      </c>
      <c r="M568" t="s">
        <v>37</v>
      </c>
      <c r="N568" t="s">
        <v>5019</v>
      </c>
      <c r="O568" t="s">
        <v>4437</v>
      </c>
      <c r="P568">
        <v>70715</v>
      </c>
      <c r="Q568">
        <v>133242</v>
      </c>
      <c r="R568" s="2">
        <v>45686</v>
      </c>
      <c r="S568" t="s">
        <v>69</v>
      </c>
      <c r="T568" t="s">
        <v>70</v>
      </c>
      <c r="U568" t="s">
        <v>6375</v>
      </c>
      <c r="V568" t="s">
        <v>6389</v>
      </c>
      <c r="W568" t="s">
        <v>6351</v>
      </c>
      <c r="X568">
        <v>89</v>
      </c>
      <c r="Y568" t="s">
        <v>70</v>
      </c>
      <c r="Z568">
        <v>268</v>
      </c>
    </row>
    <row r="569" spans="1:26" x14ac:dyDescent="0.3">
      <c r="A569">
        <v>568</v>
      </c>
      <c r="B569" t="s">
        <v>1355</v>
      </c>
      <c r="C569" t="s">
        <v>49</v>
      </c>
      <c r="D569" t="s">
        <v>12</v>
      </c>
      <c r="E569" t="s">
        <v>6359</v>
      </c>
      <c r="F569" t="s">
        <v>6382</v>
      </c>
      <c r="G569" t="s">
        <v>6386</v>
      </c>
      <c r="J569">
        <f>AVERAGE(ai_job_market[[#This Row],[min_salary]],ai_job_market[[#This Row],[max_salary]])</f>
        <v>156929.5</v>
      </c>
      <c r="K569"/>
      <c r="L569" t="s">
        <v>22</v>
      </c>
      <c r="M569" t="s">
        <v>42</v>
      </c>
      <c r="N569" t="s">
        <v>5020</v>
      </c>
      <c r="O569" t="s">
        <v>4907</v>
      </c>
      <c r="P569">
        <v>119460</v>
      </c>
      <c r="Q569">
        <v>194399</v>
      </c>
      <c r="R569" s="2">
        <v>45399</v>
      </c>
      <c r="S569" t="s">
        <v>14</v>
      </c>
      <c r="T569" t="s">
        <v>77</v>
      </c>
      <c r="U569" t="s">
        <v>6383</v>
      </c>
      <c r="V569" t="s">
        <v>6388</v>
      </c>
      <c r="W569" t="s">
        <v>6359</v>
      </c>
      <c r="X569">
        <v>104</v>
      </c>
      <c r="Y569" t="s">
        <v>77</v>
      </c>
      <c r="Z569">
        <v>251</v>
      </c>
    </row>
    <row r="570" spans="1:26" x14ac:dyDescent="0.3">
      <c r="A570">
        <v>569</v>
      </c>
      <c r="B570" t="s">
        <v>1358</v>
      </c>
      <c r="C570" t="s">
        <v>49</v>
      </c>
      <c r="D570" t="s">
        <v>67</v>
      </c>
      <c r="E570" t="s">
        <v>6349</v>
      </c>
      <c r="F570" t="s">
        <v>6397</v>
      </c>
      <c r="G570" t="s">
        <v>6375</v>
      </c>
      <c r="H570" t="s">
        <v>6377</v>
      </c>
      <c r="I570" t="s">
        <v>6385</v>
      </c>
      <c r="J570">
        <f>AVERAGE(ai_job_market[[#This Row],[min_salary]],ai_job_market[[#This Row],[max_salary]])</f>
        <v>127601</v>
      </c>
      <c r="K570"/>
      <c r="L570" t="s">
        <v>14</v>
      </c>
      <c r="M570" t="s">
        <v>37</v>
      </c>
      <c r="N570" t="s">
        <v>5021</v>
      </c>
      <c r="O570" t="s">
        <v>4562</v>
      </c>
      <c r="P570">
        <v>91699</v>
      </c>
      <c r="Q570">
        <v>163503</v>
      </c>
      <c r="R570" s="2">
        <v>45507</v>
      </c>
      <c r="S570" t="s">
        <v>16</v>
      </c>
      <c r="T570" t="s">
        <v>101</v>
      </c>
      <c r="U570" t="s">
        <v>6384</v>
      </c>
      <c r="V570" t="s">
        <v>6375</v>
      </c>
      <c r="W570" t="s">
        <v>6349</v>
      </c>
      <c r="X570">
        <v>96</v>
      </c>
      <c r="Y570" t="s">
        <v>101</v>
      </c>
      <c r="Z570">
        <v>255</v>
      </c>
    </row>
    <row r="571" spans="1:26" x14ac:dyDescent="0.3">
      <c r="A571">
        <v>570</v>
      </c>
      <c r="B571" t="s">
        <v>1360</v>
      </c>
      <c r="C571" t="s">
        <v>19</v>
      </c>
      <c r="D571" t="s">
        <v>54</v>
      </c>
      <c r="E571" t="s">
        <v>128</v>
      </c>
      <c r="F571" t="s">
        <v>6392</v>
      </c>
      <c r="G571" t="s">
        <v>6380</v>
      </c>
      <c r="H571" t="s">
        <v>6394</v>
      </c>
      <c r="I571" t="s">
        <v>6386</v>
      </c>
      <c r="J571" s="6">
        <f>AVERAGE(ai_job_market[[#This Row],[min_salary]],ai_job_market[[#This Row],[max_salary]])</f>
        <v>89763</v>
      </c>
      <c r="K571" t="s">
        <v>6381</v>
      </c>
      <c r="L571" t="s">
        <v>22</v>
      </c>
      <c r="M571" t="s">
        <v>15</v>
      </c>
      <c r="N571" t="s">
        <v>5022</v>
      </c>
      <c r="O571" t="s">
        <v>4603</v>
      </c>
      <c r="P571" s="5">
        <v>67161</v>
      </c>
      <c r="Q571" s="5">
        <v>112365</v>
      </c>
      <c r="R571" s="2">
        <v>45809</v>
      </c>
      <c r="S571" t="s">
        <v>69</v>
      </c>
      <c r="T571" t="s">
        <v>101</v>
      </c>
      <c r="U571" t="s">
        <v>6375</v>
      </c>
      <c r="V571" t="s">
        <v>6378</v>
      </c>
      <c r="W571" t="s">
        <v>128</v>
      </c>
      <c r="X571">
        <v>92</v>
      </c>
      <c r="Y571" t="s">
        <v>101</v>
      </c>
      <c r="Z571">
        <v>255</v>
      </c>
    </row>
    <row r="572" spans="1:26" x14ac:dyDescent="0.3">
      <c r="A572">
        <v>571</v>
      </c>
      <c r="B572" t="s">
        <v>1363</v>
      </c>
      <c r="C572" t="s">
        <v>11</v>
      </c>
      <c r="D572" t="s">
        <v>67</v>
      </c>
      <c r="E572" t="s">
        <v>70</v>
      </c>
      <c r="F572" t="s">
        <v>6384</v>
      </c>
      <c r="G572" t="s">
        <v>6391</v>
      </c>
      <c r="J572" s="6">
        <f>AVERAGE(ai_job_market[[#This Row],[min_salary]],ai_job_market[[#This Row],[max_salary]])</f>
        <v>146118</v>
      </c>
      <c r="K572"/>
      <c r="L572" t="s">
        <v>14</v>
      </c>
      <c r="M572" t="s">
        <v>51</v>
      </c>
      <c r="N572" t="s">
        <v>5023</v>
      </c>
      <c r="O572" t="s">
        <v>4554</v>
      </c>
      <c r="P572" s="5">
        <v>106546</v>
      </c>
      <c r="Q572" s="5">
        <v>185690</v>
      </c>
      <c r="R572" s="2">
        <v>45211</v>
      </c>
      <c r="S572" t="s">
        <v>16</v>
      </c>
      <c r="T572" t="s">
        <v>90</v>
      </c>
      <c r="U572" t="s">
        <v>6388</v>
      </c>
      <c r="W572" t="s">
        <v>70</v>
      </c>
      <c r="X572">
        <v>100</v>
      </c>
      <c r="Y572" t="s">
        <v>90</v>
      </c>
      <c r="Z572">
        <v>259</v>
      </c>
    </row>
    <row r="573" spans="1:26" x14ac:dyDescent="0.3">
      <c r="A573">
        <v>572</v>
      </c>
      <c r="B573" t="s">
        <v>1365</v>
      </c>
      <c r="C573" t="s">
        <v>19</v>
      </c>
      <c r="D573" t="s">
        <v>25</v>
      </c>
      <c r="E573" t="s">
        <v>80</v>
      </c>
      <c r="F573" t="s">
        <v>6378</v>
      </c>
      <c r="G573" t="s">
        <v>6375</v>
      </c>
      <c r="H573" t="s">
        <v>6393</v>
      </c>
      <c r="I573" t="s">
        <v>6382</v>
      </c>
      <c r="J573">
        <f>AVERAGE(ai_job_market[[#This Row],[min_salary]],ai_job_market[[#This Row],[max_salary]])</f>
        <v>154335.5</v>
      </c>
      <c r="K573"/>
      <c r="L573" t="s">
        <v>14</v>
      </c>
      <c r="M573" t="s">
        <v>15</v>
      </c>
      <c r="N573" t="s">
        <v>5024</v>
      </c>
      <c r="O573" t="s">
        <v>4335</v>
      </c>
      <c r="P573">
        <v>137451</v>
      </c>
      <c r="Q573">
        <v>171220</v>
      </c>
      <c r="R573" s="2">
        <v>45625</v>
      </c>
      <c r="S573" t="s">
        <v>14</v>
      </c>
      <c r="T573" t="s">
        <v>80</v>
      </c>
      <c r="U573" t="s">
        <v>6379</v>
      </c>
      <c r="V573" t="s">
        <v>6376</v>
      </c>
      <c r="W573" t="s">
        <v>80</v>
      </c>
      <c r="X573">
        <v>95</v>
      </c>
      <c r="Y573" t="s">
        <v>80</v>
      </c>
      <c r="Z573">
        <v>249</v>
      </c>
    </row>
    <row r="574" spans="1:26" x14ac:dyDescent="0.3">
      <c r="A574">
        <v>573</v>
      </c>
      <c r="B574" t="s">
        <v>1368</v>
      </c>
      <c r="C574" t="s">
        <v>49</v>
      </c>
      <c r="D574" t="s">
        <v>30</v>
      </c>
      <c r="E574" t="s">
        <v>6349</v>
      </c>
      <c r="F574" t="s">
        <v>6394</v>
      </c>
      <c r="G574" t="s">
        <v>6387</v>
      </c>
      <c r="H574" t="s">
        <v>6379</v>
      </c>
      <c r="I574" t="s">
        <v>6374</v>
      </c>
      <c r="J574">
        <f>AVERAGE(ai_job_market[[#This Row],[min_salary]],ai_job_market[[#This Row],[max_salary]])</f>
        <v>141615</v>
      </c>
      <c r="K574"/>
      <c r="L574" t="s">
        <v>22</v>
      </c>
      <c r="M574" t="s">
        <v>37</v>
      </c>
      <c r="N574" t="s">
        <v>5025</v>
      </c>
      <c r="O574" t="s">
        <v>4710</v>
      </c>
      <c r="P574">
        <v>109614</v>
      </c>
      <c r="Q574">
        <v>173616</v>
      </c>
      <c r="R574" s="2">
        <v>45725</v>
      </c>
      <c r="S574" t="s">
        <v>69</v>
      </c>
      <c r="T574" t="s">
        <v>157</v>
      </c>
      <c r="U574" t="s">
        <v>6388</v>
      </c>
      <c r="W574" t="s">
        <v>6349</v>
      </c>
      <c r="X574">
        <v>96</v>
      </c>
      <c r="Y574" t="s">
        <v>157</v>
      </c>
      <c r="Z574">
        <v>247</v>
      </c>
    </row>
    <row r="575" spans="1:26" x14ac:dyDescent="0.3">
      <c r="A575">
        <v>574</v>
      </c>
      <c r="B575" t="s">
        <v>1370</v>
      </c>
      <c r="C575" t="s">
        <v>49</v>
      </c>
      <c r="D575" t="s">
        <v>12</v>
      </c>
      <c r="E575" t="s">
        <v>6357</v>
      </c>
      <c r="F575" t="s">
        <v>6379</v>
      </c>
      <c r="G575" t="s">
        <v>6389</v>
      </c>
      <c r="H575" t="s">
        <v>6386</v>
      </c>
      <c r="I575" t="s">
        <v>6374</v>
      </c>
      <c r="J575">
        <f>AVERAGE(ai_job_market[[#This Row],[min_salary]],ai_job_market[[#This Row],[max_salary]])</f>
        <v>163111.5</v>
      </c>
      <c r="K575"/>
      <c r="L575" t="s">
        <v>14</v>
      </c>
      <c r="M575" t="s">
        <v>37</v>
      </c>
      <c r="N575" t="s">
        <v>5026</v>
      </c>
      <c r="O575" t="s">
        <v>4603</v>
      </c>
      <c r="P575">
        <v>123263</v>
      </c>
      <c r="Q575">
        <v>202960</v>
      </c>
      <c r="R575" s="2">
        <v>45272</v>
      </c>
      <c r="S575" t="s">
        <v>69</v>
      </c>
      <c r="T575" t="s">
        <v>90</v>
      </c>
      <c r="W575" t="s">
        <v>6357</v>
      </c>
      <c r="X575">
        <v>88</v>
      </c>
      <c r="Y575" t="s">
        <v>90</v>
      </c>
      <c r="Z575">
        <v>259</v>
      </c>
    </row>
    <row r="576" spans="1:26" x14ac:dyDescent="0.3">
      <c r="A576">
        <v>575</v>
      </c>
      <c r="B576" t="s">
        <v>1372</v>
      </c>
      <c r="C576" t="s">
        <v>72</v>
      </c>
      <c r="D576" t="s">
        <v>12</v>
      </c>
      <c r="E576" t="s">
        <v>6356</v>
      </c>
      <c r="F576" t="s">
        <v>6379</v>
      </c>
      <c r="G576" t="s">
        <v>6378</v>
      </c>
      <c r="J576">
        <f>AVERAGE(ai_job_market[[#This Row],[min_salary]],ai_job_market[[#This Row],[max_salary]])</f>
        <v>75520.5</v>
      </c>
      <c r="K576"/>
      <c r="L576" t="s">
        <v>22</v>
      </c>
      <c r="M576" t="s">
        <v>15</v>
      </c>
      <c r="N576" t="s">
        <v>5027</v>
      </c>
      <c r="O576" t="s">
        <v>4701</v>
      </c>
      <c r="P576">
        <v>40293</v>
      </c>
      <c r="Q576">
        <v>110748</v>
      </c>
      <c r="R576" s="2">
        <v>45712</v>
      </c>
      <c r="S576" t="s">
        <v>69</v>
      </c>
      <c r="T576" t="s">
        <v>77</v>
      </c>
      <c r="U576" t="s">
        <v>6388</v>
      </c>
      <c r="V576" t="s">
        <v>6389</v>
      </c>
      <c r="W576" t="s">
        <v>6356</v>
      </c>
      <c r="X576">
        <v>86</v>
      </c>
      <c r="Y576" t="s">
        <v>77</v>
      </c>
      <c r="Z576">
        <v>251</v>
      </c>
    </row>
    <row r="577" spans="1:26" x14ac:dyDescent="0.3">
      <c r="A577">
        <v>576</v>
      </c>
      <c r="B577" t="s">
        <v>1374</v>
      </c>
      <c r="C577" t="s">
        <v>49</v>
      </c>
      <c r="D577" t="s">
        <v>25</v>
      </c>
      <c r="E577" t="s">
        <v>70</v>
      </c>
      <c r="F577" t="s">
        <v>6381</v>
      </c>
      <c r="G577" t="s">
        <v>6374</v>
      </c>
      <c r="J577">
        <f>AVERAGE(ai_job_market[[#This Row],[min_salary]],ai_job_market[[#This Row],[max_salary]])</f>
        <v>147292.5</v>
      </c>
      <c r="K577"/>
      <c r="L577" t="s">
        <v>22</v>
      </c>
      <c r="M577" t="s">
        <v>51</v>
      </c>
      <c r="N577" t="s">
        <v>5028</v>
      </c>
      <c r="O577" t="s">
        <v>4619</v>
      </c>
      <c r="P577">
        <v>127698</v>
      </c>
      <c r="Q577">
        <v>166887</v>
      </c>
      <c r="R577" s="2">
        <v>45581</v>
      </c>
      <c r="S577" t="s">
        <v>69</v>
      </c>
      <c r="T577" t="s">
        <v>128</v>
      </c>
      <c r="U577" t="s">
        <v>6379</v>
      </c>
      <c r="V577" t="s">
        <v>6383</v>
      </c>
      <c r="W577" t="s">
        <v>70</v>
      </c>
      <c r="X577">
        <v>100</v>
      </c>
      <c r="Y577" t="s">
        <v>128</v>
      </c>
      <c r="Z577">
        <v>233</v>
      </c>
    </row>
    <row r="578" spans="1:26" x14ac:dyDescent="0.3">
      <c r="A578">
        <v>577</v>
      </c>
      <c r="B578" t="s">
        <v>1376</v>
      </c>
      <c r="C578" t="s">
        <v>40</v>
      </c>
      <c r="D578" t="s">
        <v>67</v>
      </c>
      <c r="E578" t="s">
        <v>6358</v>
      </c>
      <c r="F578" t="s">
        <v>6386</v>
      </c>
      <c r="G578" t="s">
        <v>6384</v>
      </c>
      <c r="H578" t="s">
        <v>6390</v>
      </c>
      <c r="I578" t="s">
        <v>6380</v>
      </c>
      <c r="J578">
        <f>AVERAGE(ai_job_market[[#This Row],[min_salary]],ai_job_market[[#This Row],[max_salary]])</f>
        <v>149964.5</v>
      </c>
      <c r="K578" t="s">
        <v>6382</v>
      </c>
      <c r="L578" t="s">
        <v>14</v>
      </c>
      <c r="M578" t="s">
        <v>51</v>
      </c>
      <c r="N578" t="s">
        <v>4613</v>
      </c>
      <c r="O578" t="s">
        <v>4596</v>
      </c>
      <c r="P578">
        <v>136999</v>
      </c>
      <c r="Q578">
        <v>162930</v>
      </c>
      <c r="R578" s="2">
        <v>45800</v>
      </c>
      <c r="S578" t="s">
        <v>14</v>
      </c>
      <c r="T578" t="s">
        <v>157</v>
      </c>
      <c r="U578" t="s">
        <v>6376</v>
      </c>
      <c r="W578" t="s">
        <v>6358</v>
      </c>
      <c r="X578">
        <v>96</v>
      </c>
      <c r="Y578" t="s">
        <v>157</v>
      </c>
      <c r="Z578">
        <v>247</v>
      </c>
    </row>
    <row r="579" spans="1:26" x14ac:dyDescent="0.3">
      <c r="A579">
        <v>578</v>
      </c>
      <c r="B579" t="s">
        <v>1378</v>
      </c>
      <c r="C579" t="s">
        <v>34</v>
      </c>
      <c r="D579" t="s">
        <v>135</v>
      </c>
      <c r="E579" t="s">
        <v>6358</v>
      </c>
      <c r="F579" t="s">
        <v>6382</v>
      </c>
      <c r="G579" t="s">
        <v>6380</v>
      </c>
      <c r="J579">
        <f>AVERAGE(ai_job_market[[#This Row],[min_salary]],ai_job_market[[#This Row],[max_salary]])</f>
        <v>188156.5</v>
      </c>
      <c r="K579"/>
      <c r="L579" t="s">
        <v>14</v>
      </c>
      <c r="M579" t="s">
        <v>42</v>
      </c>
      <c r="N579" t="s">
        <v>5029</v>
      </c>
      <c r="O579" t="s">
        <v>5030</v>
      </c>
      <c r="P579">
        <v>140731</v>
      </c>
      <c r="Q579">
        <v>235582</v>
      </c>
      <c r="R579" s="2">
        <v>45263</v>
      </c>
      <c r="S579" t="s">
        <v>16</v>
      </c>
      <c r="T579" t="s">
        <v>80</v>
      </c>
      <c r="W579" t="s">
        <v>6358</v>
      </c>
      <c r="X579">
        <v>96</v>
      </c>
      <c r="Y579" t="s">
        <v>80</v>
      </c>
      <c r="Z579">
        <v>249</v>
      </c>
    </row>
    <row r="580" spans="1:26" x14ac:dyDescent="0.3">
      <c r="A580">
        <v>579</v>
      </c>
      <c r="B580" t="s">
        <v>1380</v>
      </c>
      <c r="C580" t="s">
        <v>34</v>
      </c>
      <c r="D580" t="s">
        <v>54</v>
      </c>
      <c r="E580" t="s">
        <v>6348</v>
      </c>
      <c r="F580" t="s">
        <v>6377</v>
      </c>
      <c r="G580" t="s">
        <v>6393</v>
      </c>
      <c r="J580">
        <f>AVERAGE(ai_job_market[[#This Row],[min_salary]],ai_job_market[[#This Row],[max_salary]])</f>
        <v>157521.5</v>
      </c>
      <c r="K580"/>
      <c r="L580" t="s">
        <v>27</v>
      </c>
      <c r="M580" t="s">
        <v>15</v>
      </c>
      <c r="N580" t="s">
        <v>5031</v>
      </c>
      <c r="O580" t="s">
        <v>4849</v>
      </c>
      <c r="P580">
        <v>108142</v>
      </c>
      <c r="Q580">
        <v>206901</v>
      </c>
      <c r="R580" s="2">
        <v>45219</v>
      </c>
      <c r="S580" t="s">
        <v>16</v>
      </c>
      <c r="T580" t="s">
        <v>70</v>
      </c>
      <c r="U580" t="s">
        <v>6388</v>
      </c>
      <c r="W580" t="s">
        <v>6348</v>
      </c>
      <c r="X580">
        <v>78</v>
      </c>
      <c r="Y580" t="s">
        <v>70</v>
      </c>
      <c r="Z580">
        <v>268</v>
      </c>
    </row>
    <row r="581" spans="1:26" x14ac:dyDescent="0.3">
      <c r="A581">
        <v>580</v>
      </c>
      <c r="B581" t="s">
        <v>1382</v>
      </c>
      <c r="C581" t="s">
        <v>45</v>
      </c>
      <c r="D581" t="s">
        <v>25</v>
      </c>
      <c r="E581" t="s">
        <v>6352</v>
      </c>
      <c r="F581" t="s">
        <v>6395</v>
      </c>
      <c r="G581" t="s">
        <v>6389</v>
      </c>
      <c r="H581" t="s">
        <v>6397</v>
      </c>
      <c r="I581" t="s">
        <v>6377</v>
      </c>
      <c r="J581">
        <f>AVERAGE(ai_job_market[[#This Row],[min_salary]],ai_job_market[[#This Row],[max_salary]])</f>
        <v>103429.5</v>
      </c>
      <c r="K581"/>
      <c r="L581" t="s">
        <v>27</v>
      </c>
      <c r="M581" t="s">
        <v>51</v>
      </c>
      <c r="N581" t="s">
        <v>5032</v>
      </c>
      <c r="O581" t="s">
        <v>4474</v>
      </c>
      <c r="P581">
        <v>92863</v>
      </c>
      <c r="Q581">
        <v>113996</v>
      </c>
      <c r="R581" s="2">
        <v>45302</v>
      </c>
      <c r="S581" t="s">
        <v>16</v>
      </c>
      <c r="T581" t="s">
        <v>90</v>
      </c>
      <c r="U581" t="s">
        <v>6379</v>
      </c>
      <c r="V581" t="s">
        <v>6388</v>
      </c>
      <c r="W581" t="s">
        <v>6352</v>
      </c>
      <c r="X581">
        <v>97</v>
      </c>
      <c r="Y581" t="s">
        <v>90</v>
      </c>
      <c r="Z581">
        <v>259</v>
      </c>
    </row>
    <row r="582" spans="1:26" x14ac:dyDescent="0.3">
      <c r="A582">
        <v>581</v>
      </c>
      <c r="B582" t="s">
        <v>1385</v>
      </c>
      <c r="C582" t="s">
        <v>49</v>
      </c>
      <c r="D582" t="s">
        <v>12</v>
      </c>
      <c r="E582" t="s">
        <v>6348</v>
      </c>
      <c r="F582" t="s">
        <v>6387</v>
      </c>
      <c r="G582" t="s">
        <v>6386</v>
      </c>
      <c r="H582" t="s">
        <v>6375</v>
      </c>
      <c r="J582">
        <f>AVERAGE(ai_job_market[[#This Row],[min_salary]],ai_job_market[[#This Row],[max_salary]])</f>
        <v>95606.5</v>
      </c>
      <c r="K582"/>
      <c r="L582" t="s">
        <v>22</v>
      </c>
      <c r="M582" t="s">
        <v>15</v>
      </c>
      <c r="N582" t="s">
        <v>5033</v>
      </c>
      <c r="O582" t="s">
        <v>4938</v>
      </c>
      <c r="P582">
        <v>49202</v>
      </c>
      <c r="Q582">
        <v>142011</v>
      </c>
      <c r="R582" s="2">
        <v>45613</v>
      </c>
      <c r="S582" t="s">
        <v>16</v>
      </c>
      <c r="T582" t="s">
        <v>70</v>
      </c>
      <c r="W582" t="s">
        <v>6348</v>
      </c>
      <c r="X582">
        <v>78</v>
      </c>
      <c r="Y582" t="s">
        <v>70</v>
      </c>
      <c r="Z582">
        <v>268</v>
      </c>
    </row>
    <row r="583" spans="1:26" x14ac:dyDescent="0.3">
      <c r="A583">
        <v>582</v>
      </c>
      <c r="B583" t="s">
        <v>1387</v>
      </c>
      <c r="C583" t="s">
        <v>49</v>
      </c>
      <c r="D583" t="s">
        <v>54</v>
      </c>
      <c r="E583" t="s">
        <v>6351</v>
      </c>
      <c r="F583" t="s">
        <v>6397</v>
      </c>
      <c r="G583" t="s">
        <v>6382</v>
      </c>
      <c r="J583">
        <f>AVERAGE(ai_job_market[[#This Row],[min_salary]],ai_job_market[[#This Row],[max_salary]])</f>
        <v>136434</v>
      </c>
      <c r="K583"/>
      <c r="L583" t="s">
        <v>27</v>
      </c>
      <c r="M583" t="s">
        <v>37</v>
      </c>
      <c r="N583" t="s">
        <v>5034</v>
      </c>
      <c r="O583" t="s">
        <v>4416</v>
      </c>
      <c r="P583">
        <v>117905</v>
      </c>
      <c r="Q583">
        <v>154963</v>
      </c>
      <c r="R583" s="2">
        <v>45287</v>
      </c>
      <c r="S583" t="s">
        <v>69</v>
      </c>
      <c r="T583" t="s">
        <v>77</v>
      </c>
      <c r="U583" t="s">
        <v>6376</v>
      </c>
      <c r="V583" t="s">
        <v>6375</v>
      </c>
      <c r="W583" t="s">
        <v>6351</v>
      </c>
      <c r="X583">
        <v>89</v>
      </c>
      <c r="Y583" t="s">
        <v>77</v>
      </c>
      <c r="Z583">
        <v>251</v>
      </c>
    </row>
    <row r="584" spans="1:26" x14ac:dyDescent="0.3">
      <c r="A584">
        <v>583</v>
      </c>
      <c r="B584" t="s">
        <v>1389</v>
      </c>
      <c r="C584" t="s">
        <v>45</v>
      </c>
      <c r="D584" t="s">
        <v>135</v>
      </c>
      <c r="E584" t="s">
        <v>6358</v>
      </c>
      <c r="F584" t="s">
        <v>6397</v>
      </c>
      <c r="G584" t="s">
        <v>6377</v>
      </c>
      <c r="H584" t="s">
        <v>6385</v>
      </c>
      <c r="J584">
        <f>AVERAGE(ai_job_market[[#This Row],[min_salary]],ai_job_market[[#This Row],[max_salary]])</f>
        <v>79460</v>
      </c>
      <c r="K584"/>
      <c r="L584" t="s">
        <v>14</v>
      </c>
      <c r="M584" t="s">
        <v>15</v>
      </c>
      <c r="N584" t="s">
        <v>5035</v>
      </c>
      <c r="O584" t="s">
        <v>4617</v>
      </c>
      <c r="P584">
        <v>69967</v>
      </c>
      <c r="Q584">
        <v>88953</v>
      </c>
      <c r="R584" s="2">
        <v>45377</v>
      </c>
      <c r="S584" t="s">
        <v>16</v>
      </c>
      <c r="T584" t="s">
        <v>101</v>
      </c>
      <c r="U584" t="s">
        <v>6378</v>
      </c>
      <c r="V584" t="s">
        <v>6384</v>
      </c>
      <c r="W584" t="s">
        <v>6358</v>
      </c>
      <c r="X584">
        <v>96</v>
      </c>
      <c r="Y584" t="s">
        <v>101</v>
      </c>
      <c r="Z584">
        <v>255</v>
      </c>
    </row>
    <row r="585" spans="1:26" x14ac:dyDescent="0.3">
      <c r="A585">
        <v>584</v>
      </c>
      <c r="B585" t="s">
        <v>1392</v>
      </c>
      <c r="C585" t="s">
        <v>19</v>
      </c>
      <c r="D585" t="s">
        <v>12</v>
      </c>
      <c r="E585" t="s">
        <v>6354</v>
      </c>
      <c r="F585" t="s">
        <v>6386</v>
      </c>
      <c r="G585" t="s">
        <v>6376</v>
      </c>
      <c r="J585">
        <f>AVERAGE(ai_job_market[[#This Row],[min_salary]],ai_job_market[[#This Row],[max_salary]])</f>
        <v>166912.5</v>
      </c>
      <c r="K585"/>
      <c r="L585" t="s">
        <v>14</v>
      </c>
      <c r="M585" t="s">
        <v>51</v>
      </c>
      <c r="N585" t="s">
        <v>5036</v>
      </c>
      <c r="O585" t="s">
        <v>4418</v>
      </c>
      <c r="P585">
        <v>117659</v>
      </c>
      <c r="Q585">
        <v>216166</v>
      </c>
      <c r="R585" s="2">
        <v>45438</v>
      </c>
      <c r="S585" t="s">
        <v>14</v>
      </c>
      <c r="T585" t="s">
        <v>90</v>
      </c>
      <c r="W585" t="s">
        <v>6354</v>
      </c>
      <c r="X585">
        <v>75</v>
      </c>
      <c r="Y585" t="s">
        <v>90</v>
      </c>
      <c r="Z585">
        <v>259</v>
      </c>
    </row>
    <row r="586" spans="1:26" x14ac:dyDescent="0.3">
      <c r="A586">
        <v>585</v>
      </c>
      <c r="B586" t="s">
        <v>1394</v>
      </c>
      <c r="C586" t="s">
        <v>72</v>
      </c>
      <c r="D586" t="s">
        <v>25</v>
      </c>
      <c r="E586" t="s">
        <v>6347</v>
      </c>
      <c r="F586" t="s">
        <v>6379</v>
      </c>
      <c r="G586" t="s">
        <v>6382</v>
      </c>
      <c r="H586" t="s">
        <v>6384</v>
      </c>
      <c r="J586">
        <f>AVERAGE(ai_job_market[[#This Row],[min_salary]],ai_job_market[[#This Row],[max_salary]])</f>
        <v>97518</v>
      </c>
      <c r="K586"/>
      <c r="L586" t="s">
        <v>14</v>
      </c>
      <c r="M586" t="s">
        <v>51</v>
      </c>
      <c r="N586" t="s">
        <v>5037</v>
      </c>
      <c r="O586" t="s">
        <v>4299</v>
      </c>
      <c r="P586">
        <v>59894</v>
      </c>
      <c r="Q586">
        <v>135142</v>
      </c>
      <c r="R586" s="2">
        <v>45272</v>
      </c>
      <c r="S586" t="s">
        <v>69</v>
      </c>
      <c r="T586" t="s">
        <v>90</v>
      </c>
      <c r="W586" t="s">
        <v>6347</v>
      </c>
      <c r="X586">
        <v>94</v>
      </c>
      <c r="Y586" t="s">
        <v>90</v>
      </c>
      <c r="Z586">
        <v>259</v>
      </c>
    </row>
    <row r="587" spans="1:26" x14ac:dyDescent="0.3">
      <c r="A587">
        <v>586</v>
      </c>
      <c r="B587" t="s">
        <v>1396</v>
      </c>
      <c r="C587" t="s">
        <v>45</v>
      </c>
      <c r="D587" t="s">
        <v>135</v>
      </c>
      <c r="E587" t="s">
        <v>6351</v>
      </c>
      <c r="F587" t="s">
        <v>6391</v>
      </c>
      <c r="G587" t="s">
        <v>6394</v>
      </c>
      <c r="J587">
        <f>AVERAGE(ai_job_market[[#This Row],[min_salary]],ai_job_market[[#This Row],[max_salary]])</f>
        <v>174446.5</v>
      </c>
      <c r="K587"/>
      <c r="L587" t="s">
        <v>22</v>
      </c>
      <c r="M587" t="s">
        <v>15</v>
      </c>
      <c r="N587" t="s">
        <v>5038</v>
      </c>
      <c r="O587" t="s">
        <v>4599</v>
      </c>
      <c r="P587">
        <v>137561</v>
      </c>
      <c r="Q587">
        <v>211332</v>
      </c>
      <c r="R587" s="2">
        <v>45857</v>
      </c>
      <c r="S587" t="s">
        <v>14</v>
      </c>
      <c r="T587" t="s">
        <v>70</v>
      </c>
      <c r="U587" t="s">
        <v>6376</v>
      </c>
      <c r="V587" t="s">
        <v>6389</v>
      </c>
      <c r="W587" t="s">
        <v>6351</v>
      </c>
      <c r="X587">
        <v>89</v>
      </c>
      <c r="Y587" t="s">
        <v>70</v>
      </c>
      <c r="Z587">
        <v>268</v>
      </c>
    </row>
    <row r="588" spans="1:26" x14ac:dyDescent="0.3">
      <c r="A588">
        <v>587</v>
      </c>
      <c r="B588" t="s">
        <v>1399</v>
      </c>
      <c r="C588" t="s">
        <v>40</v>
      </c>
      <c r="D588" t="s">
        <v>54</v>
      </c>
      <c r="E588" t="s">
        <v>6353</v>
      </c>
      <c r="F588" t="s">
        <v>6376</v>
      </c>
      <c r="G588" t="s">
        <v>6381</v>
      </c>
      <c r="H588" t="s">
        <v>6379</v>
      </c>
      <c r="J588">
        <f>AVERAGE(ai_job_market[[#This Row],[min_salary]],ai_job_market[[#This Row],[max_salary]])</f>
        <v>143745</v>
      </c>
      <c r="K588"/>
      <c r="L588" t="s">
        <v>27</v>
      </c>
      <c r="M588" t="s">
        <v>51</v>
      </c>
      <c r="N588" t="s">
        <v>5039</v>
      </c>
      <c r="O588" t="s">
        <v>4416</v>
      </c>
      <c r="P588">
        <v>116335</v>
      </c>
      <c r="Q588">
        <v>171155</v>
      </c>
      <c r="R588" s="2">
        <v>45335</v>
      </c>
      <c r="S588" t="s">
        <v>69</v>
      </c>
      <c r="T588" t="s">
        <v>128</v>
      </c>
      <c r="W588" t="s">
        <v>6353</v>
      </c>
      <c r="X588">
        <v>86</v>
      </c>
      <c r="Y588" t="s">
        <v>128</v>
      </c>
      <c r="Z588">
        <v>233</v>
      </c>
    </row>
    <row r="589" spans="1:26" x14ac:dyDescent="0.3">
      <c r="A589">
        <v>588</v>
      </c>
      <c r="B589" t="s">
        <v>1401</v>
      </c>
      <c r="C589" t="s">
        <v>72</v>
      </c>
      <c r="D589" t="s">
        <v>67</v>
      </c>
      <c r="E589" t="s">
        <v>77</v>
      </c>
      <c r="F589" t="s">
        <v>6381</v>
      </c>
      <c r="G589" t="s">
        <v>6376</v>
      </c>
      <c r="H589" t="s">
        <v>6394</v>
      </c>
      <c r="I589" t="s">
        <v>6396</v>
      </c>
      <c r="J589">
        <f>AVERAGE(ai_job_market[[#This Row],[min_salary]],ai_job_market[[#This Row],[max_salary]])</f>
        <v>122910</v>
      </c>
      <c r="K589" t="s">
        <v>6375</v>
      </c>
      <c r="L589" t="s">
        <v>22</v>
      </c>
      <c r="M589" t="s">
        <v>42</v>
      </c>
      <c r="N589" t="s">
        <v>5040</v>
      </c>
      <c r="O589" t="s">
        <v>4488</v>
      </c>
      <c r="P589">
        <v>96083</v>
      </c>
      <c r="Q589">
        <v>149737</v>
      </c>
      <c r="R589" s="2">
        <v>45428</v>
      </c>
      <c r="S589" t="s">
        <v>14</v>
      </c>
      <c r="T589" t="s">
        <v>128</v>
      </c>
      <c r="U589" t="s">
        <v>6388</v>
      </c>
      <c r="W589" t="s">
        <v>77</v>
      </c>
      <c r="X589">
        <v>111</v>
      </c>
      <c r="Y589" t="s">
        <v>128</v>
      </c>
      <c r="Z589">
        <v>233</v>
      </c>
    </row>
    <row r="590" spans="1:26" x14ac:dyDescent="0.3">
      <c r="A590">
        <v>589</v>
      </c>
      <c r="B590" t="s">
        <v>1403</v>
      </c>
      <c r="C590" t="s">
        <v>40</v>
      </c>
      <c r="D590" t="s">
        <v>67</v>
      </c>
      <c r="E590" t="s">
        <v>6358</v>
      </c>
      <c r="F590" t="s">
        <v>6376</v>
      </c>
      <c r="G590" t="s">
        <v>6387</v>
      </c>
      <c r="H590" t="s">
        <v>6397</v>
      </c>
      <c r="I590" t="s">
        <v>6390</v>
      </c>
      <c r="J590" s="6">
        <f>AVERAGE(ai_job_market[[#This Row],[min_salary]],ai_job_market[[#This Row],[max_salary]])</f>
        <v>160519</v>
      </c>
      <c r="K590"/>
      <c r="L590" t="s">
        <v>22</v>
      </c>
      <c r="M590" t="s">
        <v>37</v>
      </c>
      <c r="N590" t="s">
        <v>5041</v>
      </c>
      <c r="O590" t="s">
        <v>4668</v>
      </c>
      <c r="P590" s="5">
        <v>143953</v>
      </c>
      <c r="Q590" s="5">
        <v>177085</v>
      </c>
      <c r="R590" s="2">
        <v>45716</v>
      </c>
      <c r="S590" t="s">
        <v>16</v>
      </c>
      <c r="T590" t="s">
        <v>80</v>
      </c>
      <c r="U590" t="s">
        <v>6383</v>
      </c>
      <c r="V590" t="s">
        <v>6389</v>
      </c>
      <c r="W590" t="s">
        <v>6358</v>
      </c>
      <c r="X590">
        <v>96</v>
      </c>
      <c r="Y590" t="s">
        <v>80</v>
      </c>
      <c r="Z590">
        <v>249</v>
      </c>
    </row>
    <row r="591" spans="1:26" x14ac:dyDescent="0.3">
      <c r="A591">
        <v>590</v>
      </c>
      <c r="B591" t="s">
        <v>1405</v>
      </c>
      <c r="C591" t="s">
        <v>49</v>
      </c>
      <c r="D591" t="s">
        <v>35</v>
      </c>
      <c r="E591" t="s">
        <v>6350</v>
      </c>
      <c r="F591" t="s">
        <v>6374</v>
      </c>
      <c r="G591" t="s">
        <v>6391</v>
      </c>
      <c r="H591" t="s">
        <v>6380</v>
      </c>
      <c r="I591" t="s">
        <v>6389</v>
      </c>
      <c r="J591">
        <f>AVERAGE(ai_job_market[[#This Row],[min_salary]],ai_job_market[[#This Row],[max_salary]])</f>
        <v>83648.5</v>
      </c>
      <c r="K591"/>
      <c r="L591" t="s">
        <v>27</v>
      </c>
      <c r="M591" t="s">
        <v>15</v>
      </c>
      <c r="N591" t="s">
        <v>5042</v>
      </c>
      <c r="O591" t="s">
        <v>4478</v>
      </c>
      <c r="P591">
        <v>75110</v>
      </c>
      <c r="Q591">
        <v>92187</v>
      </c>
      <c r="R591" s="2">
        <v>45425</v>
      </c>
      <c r="S591" t="s">
        <v>69</v>
      </c>
      <c r="T591" t="s">
        <v>52</v>
      </c>
      <c r="W591" t="s">
        <v>6350</v>
      </c>
      <c r="X591">
        <v>84</v>
      </c>
      <c r="Y591" t="s">
        <v>52</v>
      </c>
      <c r="Z591">
        <v>238</v>
      </c>
    </row>
    <row r="592" spans="1:26" x14ac:dyDescent="0.3">
      <c r="A592">
        <v>591</v>
      </c>
      <c r="B592" t="s">
        <v>1407</v>
      </c>
      <c r="C592" t="s">
        <v>11</v>
      </c>
      <c r="D592" t="s">
        <v>35</v>
      </c>
      <c r="E592" t="s">
        <v>6349</v>
      </c>
      <c r="F592" t="s">
        <v>6386</v>
      </c>
      <c r="G592" t="s">
        <v>6394</v>
      </c>
      <c r="H592" t="s">
        <v>6389</v>
      </c>
      <c r="I592" t="s">
        <v>6384</v>
      </c>
      <c r="J592" s="6">
        <f>AVERAGE(ai_job_market[[#This Row],[min_salary]],ai_job_market[[#This Row],[max_salary]])</f>
        <v>130611</v>
      </c>
      <c r="K592" t="s">
        <v>6392</v>
      </c>
      <c r="L592" t="s">
        <v>14</v>
      </c>
      <c r="M592" t="s">
        <v>37</v>
      </c>
      <c r="N592" t="s">
        <v>5043</v>
      </c>
      <c r="O592" t="s">
        <v>4678</v>
      </c>
      <c r="P592" s="5">
        <v>121197</v>
      </c>
      <c r="Q592" s="5">
        <v>140025</v>
      </c>
      <c r="R592" s="2">
        <v>45694</v>
      </c>
      <c r="S592" t="s">
        <v>16</v>
      </c>
      <c r="T592" t="s">
        <v>101</v>
      </c>
      <c r="U592" t="s">
        <v>6383</v>
      </c>
      <c r="V592" t="s">
        <v>6389</v>
      </c>
      <c r="W592" t="s">
        <v>6349</v>
      </c>
      <c r="X592">
        <v>96</v>
      </c>
      <c r="Y592" t="s">
        <v>101</v>
      </c>
      <c r="Z592">
        <v>255</v>
      </c>
    </row>
    <row r="593" spans="1:26" x14ac:dyDescent="0.3">
      <c r="A593">
        <v>592</v>
      </c>
      <c r="B593" t="s">
        <v>1409</v>
      </c>
      <c r="C593" t="s">
        <v>19</v>
      </c>
      <c r="D593" t="s">
        <v>67</v>
      </c>
      <c r="E593" t="s">
        <v>6356</v>
      </c>
      <c r="F593" t="s">
        <v>6395</v>
      </c>
      <c r="G593" t="s">
        <v>6379</v>
      </c>
      <c r="H593" t="s">
        <v>6396</v>
      </c>
      <c r="I593" t="s">
        <v>6389</v>
      </c>
      <c r="J593">
        <f>AVERAGE(ai_job_market[[#This Row],[min_salary]],ai_job_market[[#This Row],[max_salary]])</f>
        <v>67021</v>
      </c>
      <c r="K593" t="s">
        <v>6387</v>
      </c>
      <c r="L593" t="s">
        <v>22</v>
      </c>
      <c r="M593" t="s">
        <v>42</v>
      </c>
      <c r="N593" t="s">
        <v>5044</v>
      </c>
      <c r="O593" t="s">
        <v>4591</v>
      </c>
      <c r="P593">
        <v>54151</v>
      </c>
      <c r="Q593">
        <v>79891</v>
      </c>
      <c r="R593" s="2">
        <v>45354</v>
      </c>
      <c r="S593" t="s">
        <v>14</v>
      </c>
      <c r="T593" t="s">
        <v>77</v>
      </c>
      <c r="U593" t="s">
        <v>6384</v>
      </c>
      <c r="V593" t="s">
        <v>6389</v>
      </c>
      <c r="W593" t="s">
        <v>6356</v>
      </c>
      <c r="X593">
        <v>86</v>
      </c>
      <c r="Y593" t="s">
        <v>77</v>
      </c>
      <c r="Z593">
        <v>251</v>
      </c>
    </row>
    <row r="594" spans="1:26" x14ac:dyDescent="0.3">
      <c r="A594">
        <v>593</v>
      </c>
      <c r="B594" t="s">
        <v>1412</v>
      </c>
      <c r="C594" t="s">
        <v>45</v>
      </c>
      <c r="D594" t="s">
        <v>25</v>
      </c>
      <c r="E594" t="s">
        <v>6351</v>
      </c>
      <c r="F594" t="s">
        <v>6389</v>
      </c>
      <c r="G594" t="s">
        <v>6380</v>
      </c>
      <c r="H594" t="s">
        <v>6397</v>
      </c>
      <c r="I594" t="s">
        <v>6390</v>
      </c>
      <c r="J594">
        <f>AVERAGE(ai_job_market[[#This Row],[min_salary]],ai_job_market[[#This Row],[max_salary]])</f>
        <v>174908</v>
      </c>
      <c r="K594" t="s">
        <v>6381</v>
      </c>
      <c r="L594" t="s">
        <v>22</v>
      </c>
      <c r="M594" t="s">
        <v>37</v>
      </c>
      <c r="N594" t="s">
        <v>5045</v>
      </c>
      <c r="O594" t="s">
        <v>4660</v>
      </c>
      <c r="P594">
        <v>149692</v>
      </c>
      <c r="Q594">
        <v>200124</v>
      </c>
      <c r="R594" s="2">
        <v>45655</v>
      </c>
      <c r="S594" t="s">
        <v>16</v>
      </c>
      <c r="T594" t="s">
        <v>80</v>
      </c>
      <c r="U594" t="s">
        <v>6378</v>
      </c>
      <c r="V594" t="s">
        <v>6376</v>
      </c>
      <c r="W594" t="s">
        <v>6351</v>
      </c>
      <c r="X594">
        <v>89</v>
      </c>
      <c r="Y594" t="s">
        <v>80</v>
      </c>
      <c r="Z594">
        <v>249</v>
      </c>
    </row>
    <row r="595" spans="1:26" x14ac:dyDescent="0.3">
      <c r="A595">
        <v>594</v>
      </c>
      <c r="B595" t="s">
        <v>1415</v>
      </c>
      <c r="C595" t="s">
        <v>34</v>
      </c>
      <c r="D595" t="s">
        <v>20</v>
      </c>
      <c r="E595" t="s">
        <v>6348</v>
      </c>
      <c r="F595" t="s">
        <v>6389</v>
      </c>
      <c r="G595" t="s">
        <v>6384</v>
      </c>
      <c r="H595" t="s">
        <v>6395</v>
      </c>
      <c r="J595" s="6">
        <f>AVERAGE(ai_job_market[[#This Row],[min_salary]],ai_job_market[[#This Row],[max_salary]])</f>
        <v>98020</v>
      </c>
      <c r="K595"/>
      <c r="L595" t="s">
        <v>14</v>
      </c>
      <c r="M595" t="s">
        <v>42</v>
      </c>
      <c r="N595" t="s">
        <v>5046</v>
      </c>
      <c r="O595" t="s">
        <v>4559</v>
      </c>
      <c r="P595" s="5">
        <v>59190</v>
      </c>
      <c r="Q595" s="5">
        <v>136850</v>
      </c>
      <c r="R595" s="2">
        <v>45774</v>
      </c>
      <c r="S595" t="s">
        <v>69</v>
      </c>
      <c r="T595" t="s">
        <v>70</v>
      </c>
      <c r="U595" t="s">
        <v>6383</v>
      </c>
      <c r="V595" t="s">
        <v>6388</v>
      </c>
      <c r="W595" t="s">
        <v>6348</v>
      </c>
      <c r="X595">
        <v>78</v>
      </c>
      <c r="Y595" t="s">
        <v>70</v>
      </c>
      <c r="Z595">
        <v>268</v>
      </c>
    </row>
    <row r="596" spans="1:26" x14ac:dyDescent="0.3">
      <c r="A596">
        <v>595</v>
      </c>
      <c r="B596" t="s">
        <v>1417</v>
      </c>
      <c r="C596" t="s">
        <v>34</v>
      </c>
      <c r="D596" t="s">
        <v>54</v>
      </c>
      <c r="E596" t="s">
        <v>6353</v>
      </c>
      <c r="F596" t="s">
        <v>6380</v>
      </c>
      <c r="G596" t="s">
        <v>6384</v>
      </c>
      <c r="J596">
        <f>AVERAGE(ai_job_market[[#This Row],[min_salary]],ai_job_market[[#This Row],[max_salary]])</f>
        <v>159668</v>
      </c>
      <c r="K596"/>
      <c r="L596" t="s">
        <v>22</v>
      </c>
      <c r="M596" t="s">
        <v>51</v>
      </c>
      <c r="N596" t="s">
        <v>5047</v>
      </c>
      <c r="O596" t="s">
        <v>4391</v>
      </c>
      <c r="P596">
        <v>109704</v>
      </c>
      <c r="Q596">
        <v>209632</v>
      </c>
      <c r="R596" s="2">
        <v>45652</v>
      </c>
      <c r="S596" t="s">
        <v>16</v>
      </c>
      <c r="T596" t="s">
        <v>128</v>
      </c>
      <c r="U596" t="s">
        <v>6379</v>
      </c>
      <c r="W596" t="s">
        <v>6353</v>
      </c>
      <c r="X596">
        <v>86</v>
      </c>
      <c r="Y596" t="s">
        <v>128</v>
      </c>
      <c r="Z596">
        <v>233</v>
      </c>
    </row>
    <row r="597" spans="1:26" x14ac:dyDescent="0.3">
      <c r="A597">
        <v>596</v>
      </c>
      <c r="B597" t="s">
        <v>1419</v>
      </c>
      <c r="C597" t="s">
        <v>49</v>
      </c>
      <c r="D597" t="s">
        <v>67</v>
      </c>
      <c r="E597" t="s">
        <v>6355</v>
      </c>
      <c r="F597" t="s">
        <v>6396</v>
      </c>
      <c r="G597" t="s">
        <v>6395</v>
      </c>
      <c r="H597" t="s">
        <v>6381</v>
      </c>
      <c r="J597">
        <f>AVERAGE(ai_job_market[[#This Row],[min_salary]],ai_job_market[[#This Row],[max_salary]])</f>
        <v>63059</v>
      </c>
      <c r="K597"/>
      <c r="L597" t="s">
        <v>27</v>
      </c>
      <c r="M597" t="s">
        <v>15</v>
      </c>
      <c r="N597" t="s">
        <v>5048</v>
      </c>
      <c r="O597" t="s">
        <v>4314</v>
      </c>
      <c r="P597">
        <v>56774</v>
      </c>
      <c r="Q597">
        <v>69344</v>
      </c>
      <c r="R597" s="2">
        <v>45565</v>
      </c>
      <c r="S597" t="s">
        <v>69</v>
      </c>
      <c r="T597" t="s">
        <v>101</v>
      </c>
      <c r="U597" t="s">
        <v>6388</v>
      </c>
      <c r="V597" t="s">
        <v>6389</v>
      </c>
      <c r="W597" t="s">
        <v>6355</v>
      </c>
      <c r="X597">
        <v>90</v>
      </c>
      <c r="Y597" t="s">
        <v>101</v>
      </c>
      <c r="Z597">
        <v>255</v>
      </c>
    </row>
    <row r="598" spans="1:26" x14ac:dyDescent="0.3">
      <c r="A598">
        <v>597</v>
      </c>
      <c r="B598" t="s">
        <v>1421</v>
      </c>
      <c r="C598" t="s">
        <v>34</v>
      </c>
      <c r="D598" t="s">
        <v>54</v>
      </c>
      <c r="E598" t="s">
        <v>70</v>
      </c>
      <c r="F598" t="s">
        <v>6374</v>
      </c>
      <c r="G598" t="s">
        <v>6380</v>
      </c>
      <c r="H598" t="s">
        <v>6387</v>
      </c>
      <c r="I598" t="s">
        <v>6381</v>
      </c>
      <c r="J598">
        <f>AVERAGE(ai_job_market[[#This Row],[min_salary]],ai_job_market[[#This Row],[max_salary]])</f>
        <v>54564</v>
      </c>
      <c r="K598" t="s">
        <v>6396</v>
      </c>
      <c r="L598" t="s">
        <v>22</v>
      </c>
      <c r="M598" t="s">
        <v>51</v>
      </c>
      <c r="N598" t="s">
        <v>5049</v>
      </c>
      <c r="O598" t="s">
        <v>4424</v>
      </c>
      <c r="P598">
        <v>48914</v>
      </c>
      <c r="Q598">
        <v>60214</v>
      </c>
      <c r="R598" s="2">
        <v>45578</v>
      </c>
      <c r="S598" t="s">
        <v>14</v>
      </c>
      <c r="T598" t="s">
        <v>157</v>
      </c>
      <c r="W598" t="s">
        <v>70</v>
      </c>
      <c r="X598">
        <v>100</v>
      </c>
      <c r="Y598" t="s">
        <v>157</v>
      </c>
      <c r="Z598">
        <v>247</v>
      </c>
    </row>
    <row r="599" spans="1:26" x14ac:dyDescent="0.3">
      <c r="A599">
        <v>598</v>
      </c>
      <c r="B599" t="s">
        <v>1423</v>
      </c>
      <c r="C599" t="s">
        <v>19</v>
      </c>
      <c r="D599" t="s">
        <v>12</v>
      </c>
      <c r="E599" t="s">
        <v>6356</v>
      </c>
      <c r="F599" t="s">
        <v>6374</v>
      </c>
      <c r="G599" t="s">
        <v>6382</v>
      </c>
      <c r="H599" t="s">
        <v>6380</v>
      </c>
      <c r="I599" t="s">
        <v>6391</v>
      </c>
      <c r="J599">
        <f>AVERAGE(ai_job_market[[#This Row],[min_salary]],ai_job_market[[#This Row],[max_salary]])</f>
        <v>77386</v>
      </c>
      <c r="K599"/>
      <c r="L599" t="s">
        <v>14</v>
      </c>
      <c r="M599" t="s">
        <v>51</v>
      </c>
      <c r="N599" t="s">
        <v>5050</v>
      </c>
      <c r="O599" t="s">
        <v>4287</v>
      </c>
      <c r="P599">
        <v>47206</v>
      </c>
      <c r="Q599">
        <v>107566</v>
      </c>
      <c r="R599" s="2">
        <v>45586</v>
      </c>
      <c r="S599" t="s">
        <v>16</v>
      </c>
      <c r="T599" t="s">
        <v>70</v>
      </c>
      <c r="U599" t="s">
        <v>6376</v>
      </c>
      <c r="V599" t="s">
        <v>6378</v>
      </c>
      <c r="W599" t="s">
        <v>6356</v>
      </c>
      <c r="X599">
        <v>86</v>
      </c>
      <c r="Y599" t="s">
        <v>70</v>
      </c>
      <c r="Z599">
        <v>268</v>
      </c>
    </row>
    <row r="600" spans="1:26" x14ac:dyDescent="0.3">
      <c r="A600">
        <v>599</v>
      </c>
      <c r="B600" t="s">
        <v>1425</v>
      </c>
      <c r="C600" t="s">
        <v>19</v>
      </c>
      <c r="D600" t="s">
        <v>135</v>
      </c>
      <c r="E600" t="s">
        <v>80</v>
      </c>
      <c r="F600" t="s">
        <v>6395</v>
      </c>
      <c r="G600" t="s">
        <v>6375</v>
      </c>
      <c r="J600">
        <f>AVERAGE(ai_job_market[[#This Row],[min_salary]],ai_job_market[[#This Row],[max_salary]])</f>
        <v>95808</v>
      </c>
      <c r="K600"/>
      <c r="L600" t="s">
        <v>14</v>
      </c>
      <c r="M600" t="s">
        <v>51</v>
      </c>
      <c r="N600" t="s">
        <v>5051</v>
      </c>
      <c r="O600" t="s">
        <v>4591</v>
      </c>
      <c r="P600">
        <v>49463</v>
      </c>
      <c r="Q600">
        <v>142153</v>
      </c>
      <c r="R600" s="2">
        <v>45865</v>
      </c>
      <c r="S600" t="s">
        <v>14</v>
      </c>
      <c r="T600" t="s">
        <v>52</v>
      </c>
      <c r="W600" t="s">
        <v>80</v>
      </c>
      <c r="X600">
        <v>95</v>
      </c>
      <c r="Y600" t="s">
        <v>52</v>
      </c>
      <c r="Z600">
        <v>238</v>
      </c>
    </row>
    <row r="601" spans="1:26" x14ac:dyDescent="0.3">
      <c r="A601">
        <v>600</v>
      </c>
      <c r="B601" t="s">
        <v>1427</v>
      </c>
      <c r="C601" t="s">
        <v>19</v>
      </c>
      <c r="D601" t="s">
        <v>20</v>
      </c>
      <c r="E601" t="s">
        <v>6350</v>
      </c>
      <c r="F601" t="s">
        <v>6393</v>
      </c>
      <c r="G601" t="s">
        <v>6375</v>
      </c>
      <c r="H601" t="s">
        <v>6381</v>
      </c>
      <c r="J601" s="6">
        <f>AVERAGE(ai_job_market[[#This Row],[min_salary]],ai_job_market[[#This Row],[max_salary]])</f>
        <v>108206</v>
      </c>
      <c r="K601"/>
      <c r="L601" t="s">
        <v>14</v>
      </c>
      <c r="M601" t="s">
        <v>15</v>
      </c>
      <c r="N601" t="s">
        <v>5052</v>
      </c>
      <c r="O601" t="s">
        <v>4314</v>
      </c>
      <c r="P601" s="5">
        <v>77762</v>
      </c>
      <c r="Q601" s="5">
        <v>138650</v>
      </c>
      <c r="R601" s="2">
        <v>45377</v>
      </c>
      <c r="S601" t="s">
        <v>16</v>
      </c>
      <c r="T601" t="s">
        <v>90</v>
      </c>
      <c r="U601" t="s">
        <v>6379</v>
      </c>
      <c r="V601" t="s">
        <v>6383</v>
      </c>
      <c r="W601" t="s">
        <v>6350</v>
      </c>
      <c r="X601">
        <v>84</v>
      </c>
      <c r="Y601" t="s">
        <v>90</v>
      </c>
      <c r="Z601">
        <v>259</v>
      </c>
    </row>
    <row r="602" spans="1:26" x14ac:dyDescent="0.3">
      <c r="A602">
        <v>601</v>
      </c>
      <c r="B602" t="s">
        <v>1429</v>
      </c>
      <c r="C602" t="s">
        <v>40</v>
      </c>
      <c r="D602" t="s">
        <v>135</v>
      </c>
      <c r="E602" t="s">
        <v>70</v>
      </c>
      <c r="F602" t="s">
        <v>6386</v>
      </c>
      <c r="G602" t="s">
        <v>6393</v>
      </c>
      <c r="H602" t="s">
        <v>6392</v>
      </c>
      <c r="I602" t="s">
        <v>6387</v>
      </c>
      <c r="J602">
        <f>AVERAGE(ai_job_market[[#This Row],[min_salary]],ai_job_market[[#This Row],[max_salary]])</f>
        <v>107305.5</v>
      </c>
      <c r="K602"/>
      <c r="L602" t="s">
        <v>27</v>
      </c>
      <c r="M602" t="s">
        <v>15</v>
      </c>
      <c r="N602" t="s">
        <v>5053</v>
      </c>
      <c r="O602" t="s">
        <v>4556</v>
      </c>
      <c r="P602">
        <v>67646</v>
      </c>
      <c r="Q602">
        <v>146965</v>
      </c>
      <c r="R602" s="2">
        <v>45825</v>
      </c>
      <c r="S602" t="s">
        <v>14</v>
      </c>
      <c r="T602" t="s">
        <v>157</v>
      </c>
      <c r="U602" t="s">
        <v>6388</v>
      </c>
      <c r="W602" t="s">
        <v>70</v>
      </c>
      <c r="X602">
        <v>100</v>
      </c>
      <c r="Y602" t="s">
        <v>157</v>
      </c>
      <c r="Z602">
        <v>247</v>
      </c>
    </row>
    <row r="603" spans="1:26" x14ac:dyDescent="0.3">
      <c r="A603">
        <v>602</v>
      </c>
      <c r="B603" t="s">
        <v>1431</v>
      </c>
      <c r="C603" t="s">
        <v>72</v>
      </c>
      <c r="D603" t="s">
        <v>135</v>
      </c>
      <c r="E603" t="s">
        <v>6347</v>
      </c>
      <c r="F603" t="s">
        <v>6384</v>
      </c>
      <c r="G603" t="s">
        <v>6377</v>
      </c>
      <c r="H603" t="s">
        <v>6387</v>
      </c>
      <c r="J603">
        <f>AVERAGE(ai_job_market[[#This Row],[min_salary]],ai_job_market[[#This Row],[max_salary]])</f>
        <v>90615</v>
      </c>
      <c r="K603"/>
      <c r="L603" t="s">
        <v>22</v>
      </c>
      <c r="M603" t="s">
        <v>15</v>
      </c>
      <c r="N603" t="s">
        <v>5054</v>
      </c>
      <c r="O603" t="s">
        <v>4367</v>
      </c>
      <c r="P603">
        <v>66539</v>
      </c>
      <c r="Q603">
        <v>114691</v>
      </c>
      <c r="R603" s="2">
        <v>45874</v>
      </c>
      <c r="S603" t="s">
        <v>14</v>
      </c>
      <c r="T603" t="s">
        <v>101</v>
      </c>
      <c r="U603" t="s">
        <v>6389</v>
      </c>
      <c r="W603" t="s">
        <v>6347</v>
      </c>
      <c r="X603">
        <v>94</v>
      </c>
      <c r="Y603" t="s">
        <v>101</v>
      </c>
      <c r="Z603">
        <v>255</v>
      </c>
    </row>
    <row r="604" spans="1:26" x14ac:dyDescent="0.3">
      <c r="A604">
        <v>603</v>
      </c>
      <c r="B604" t="s">
        <v>1433</v>
      </c>
      <c r="C604" t="s">
        <v>49</v>
      </c>
      <c r="D604" t="s">
        <v>67</v>
      </c>
      <c r="E604" t="s">
        <v>6350</v>
      </c>
      <c r="F604" t="s">
        <v>6377</v>
      </c>
      <c r="G604" t="s">
        <v>6390</v>
      </c>
      <c r="H604" t="s">
        <v>6386</v>
      </c>
      <c r="I604" t="s">
        <v>6384</v>
      </c>
      <c r="J604">
        <f>AVERAGE(ai_job_market[[#This Row],[min_salary]],ai_job_market[[#This Row],[max_salary]])</f>
        <v>125660</v>
      </c>
      <c r="K604" t="s">
        <v>6379</v>
      </c>
      <c r="L604" t="s">
        <v>14</v>
      </c>
      <c r="M604" t="s">
        <v>37</v>
      </c>
      <c r="N604" t="s">
        <v>5055</v>
      </c>
      <c r="O604" t="s">
        <v>4660</v>
      </c>
      <c r="P604">
        <v>79160</v>
      </c>
      <c r="Q604">
        <v>172160</v>
      </c>
      <c r="R604" s="2">
        <v>45634</v>
      </c>
      <c r="S604" t="s">
        <v>69</v>
      </c>
      <c r="T604" t="s">
        <v>77</v>
      </c>
      <c r="U604" t="s">
        <v>6383</v>
      </c>
      <c r="W604" t="s">
        <v>6350</v>
      </c>
      <c r="X604">
        <v>84</v>
      </c>
      <c r="Y604" t="s">
        <v>77</v>
      </c>
      <c r="Z604">
        <v>251</v>
      </c>
    </row>
    <row r="605" spans="1:26" x14ac:dyDescent="0.3">
      <c r="A605">
        <v>604</v>
      </c>
      <c r="B605" t="s">
        <v>1435</v>
      </c>
      <c r="C605" t="s">
        <v>45</v>
      </c>
      <c r="D605" t="s">
        <v>135</v>
      </c>
      <c r="E605" t="s">
        <v>6347</v>
      </c>
      <c r="F605" t="s">
        <v>6375</v>
      </c>
      <c r="G605" t="s">
        <v>6393</v>
      </c>
      <c r="H605" t="s">
        <v>6380</v>
      </c>
      <c r="I605" t="s">
        <v>6391</v>
      </c>
      <c r="J605">
        <f>AVERAGE(ai_job_market[[#This Row],[min_salary]],ai_job_market[[#This Row],[max_salary]])</f>
        <v>182329.5</v>
      </c>
      <c r="K605" t="s">
        <v>6389</v>
      </c>
      <c r="L605" t="s">
        <v>14</v>
      </c>
      <c r="M605" t="s">
        <v>15</v>
      </c>
      <c r="N605" t="s">
        <v>5056</v>
      </c>
      <c r="O605" t="s">
        <v>4660</v>
      </c>
      <c r="P605">
        <v>147705</v>
      </c>
      <c r="Q605">
        <v>216954</v>
      </c>
      <c r="R605" s="2">
        <v>45723</v>
      </c>
      <c r="S605" t="s">
        <v>69</v>
      </c>
      <c r="T605" t="s">
        <v>52</v>
      </c>
      <c r="U605" t="s">
        <v>6379</v>
      </c>
      <c r="W605" t="s">
        <v>6347</v>
      </c>
      <c r="X605">
        <v>94</v>
      </c>
      <c r="Y605" t="s">
        <v>52</v>
      </c>
      <c r="Z605">
        <v>238</v>
      </c>
    </row>
    <row r="606" spans="1:26" x14ac:dyDescent="0.3">
      <c r="A606">
        <v>605</v>
      </c>
      <c r="B606" t="s">
        <v>1438</v>
      </c>
      <c r="C606" t="s">
        <v>40</v>
      </c>
      <c r="D606" t="s">
        <v>30</v>
      </c>
      <c r="E606" t="s">
        <v>6346</v>
      </c>
      <c r="F606" t="s">
        <v>6395</v>
      </c>
      <c r="G606" t="s">
        <v>6391</v>
      </c>
      <c r="H606" t="s">
        <v>6397</v>
      </c>
      <c r="J606" s="6">
        <f>AVERAGE(ai_job_market[[#This Row],[min_salary]],ai_job_market[[#This Row],[max_salary]])</f>
        <v>83187</v>
      </c>
      <c r="K606"/>
      <c r="L606" t="s">
        <v>22</v>
      </c>
      <c r="M606" t="s">
        <v>37</v>
      </c>
      <c r="N606" t="s">
        <v>5057</v>
      </c>
      <c r="O606" t="s">
        <v>4480</v>
      </c>
      <c r="P606" s="5">
        <v>59811</v>
      </c>
      <c r="Q606" s="5">
        <v>106563</v>
      </c>
      <c r="R606" s="2">
        <v>45602</v>
      </c>
      <c r="S606" t="s">
        <v>14</v>
      </c>
      <c r="T606" t="s">
        <v>157</v>
      </c>
      <c r="U606" t="s">
        <v>6384</v>
      </c>
      <c r="V606" t="s">
        <v>6376</v>
      </c>
      <c r="W606" t="s">
        <v>6346</v>
      </c>
      <c r="X606">
        <v>78</v>
      </c>
      <c r="Y606" t="s">
        <v>157</v>
      </c>
      <c r="Z606">
        <v>247</v>
      </c>
    </row>
    <row r="607" spans="1:26" x14ac:dyDescent="0.3">
      <c r="A607">
        <v>606</v>
      </c>
      <c r="B607" t="s">
        <v>1441</v>
      </c>
      <c r="C607" t="s">
        <v>72</v>
      </c>
      <c r="D607" t="s">
        <v>54</v>
      </c>
      <c r="E607" t="s">
        <v>6350</v>
      </c>
      <c r="F607" t="s">
        <v>6378</v>
      </c>
      <c r="G607" t="s">
        <v>6376</v>
      </c>
      <c r="J607">
        <f>AVERAGE(ai_job_market[[#This Row],[min_salary]],ai_job_market[[#This Row],[max_salary]])</f>
        <v>104716</v>
      </c>
      <c r="K607"/>
      <c r="L607" t="s">
        <v>22</v>
      </c>
      <c r="M607" t="s">
        <v>42</v>
      </c>
      <c r="N607" t="s">
        <v>5058</v>
      </c>
      <c r="O607" t="s">
        <v>4289</v>
      </c>
      <c r="P607">
        <v>61213</v>
      </c>
      <c r="Q607">
        <v>148219</v>
      </c>
      <c r="R607" s="2">
        <v>45733</v>
      </c>
      <c r="S607" t="s">
        <v>14</v>
      </c>
      <c r="T607" t="s">
        <v>128</v>
      </c>
      <c r="U607" t="s">
        <v>6388</v>
      </c>
      <c r="V607" t="s">
        <v>6376</v>
      </c>
      <c r="W607" t="s">
        <v>6350</v>
      </c>
      <c r="X607">
        <v>84</v>
      </c>
      <c r="Y607" t="s">
        <v>128</v>
      </c>
      <c r="Z607">
        <v>233</v>
      </c>
    </row>
    <row r="608" spans="1:26" x14ac:dyDescent="0.3">
      <c r="A608">
        <v>607</v>
      </c>
      <c r="B608" t="s">
        <v>1443</v>
      </c>
      <c r="C608" t="s">
        <v>49</v>
      </c>
      <c r="D608" t="s">
        <v>67</v>
      </c>
      <c r="E608" t="s">
        <v>77</v>
      </c>
      <c r="F608" t="s">
        <v>6386</v>
      </c>
      <c r="G608" t="s">
        <v>6395</v>
      </c>
      <c r="H608" t="s">
        <v>6392</v>
      </c>
      <c r="I608" t="s">
        <v>6381</v>
      </c>
      <c r="J608">
        <f>AVERAGE(ai_job_market[[#This Row],[min_salary]],ai_job_market[[#This Row],[max_salary]])</f>
        <v>138047.5</v>
      </c>
      <c r="K608" t="s">
        <v>6389</v>
      </c>
      <c r="L608" t="s">
        <v>22</v>
      </c>
      <c r="M608" t="s">
        <v>42</v>
      </c>
      <c r="N608" t="s">
        <v>5059</v>
      </c>
      <c r="O608" t="s">
        <v>4599</v>
      </c>
      <c r="P608">
        <v>127524</v>
      </c>
      <c r="Q608">
        <v>148571</v>
      </c>
      <c r="R608" s="2">
        <v>45778</v>
      </c>
      <c r="S608" t="s">
        <v>69</v>
      </c>
      <c r="T608" t="s">
        <v>77</v>
      </c>
      <c r="U608" t="s">
        <v>6388</v>
      </c>
      <c r="W608" t="s">
        <v>77</v>
      </c>
      <c r="X608">
        <v>111</v>
      </c>
      <c r="Y608" t="s">
        <v>77</v>
      </c>
      <c r="Z608">
        <v>251</v>
      </c>
    </row>
    <row r="609" spans="1:26" x14ac:dyDescent="0.3">
      <c r="A609">
        <v>608</v>
      </c>
      <c r="B609" t="s">
        <v>1445</v>
      </c>
      <c r="C609" t="s">
        <v>11</v>
      </c>
      <c r="D609" t="s">
        <v>25</v>
      </c>
      <c r="E609" t="s">
        <v>6347</v>
      </c>
      <c r="F609" t="s">
        <v>6386</v>
      </c>
      <c r="G609" t="s">
        <v>6387</v>
      </c>
      <c r="H609" t="s">
        <v>6382</v>
      </c>
      <c r="I609" t="s">
        <v>6395</v>
      </c>
      <c r="J609">
        <f>AVERAGE(ai_job_market[[#This Row],[min_salary]],ai_job_market[[#This Row],[max_salary]])</f>
        <v>98151.5</v>
      </c>
      <c r="K609" t="s">
        <v>6384</v>
      </c>
      <c r="L609" t="s">
        <v>22</v>
      </c>
      <c r="M609" t="s">
        <v>51</v>
      </c>
      <c r="N609" t="s">
        <v>5060</v>
      </c>
      <c r="O609" t="s">
        <v>4474</v>
      </c>
      <c r="P609">
        <v>53455</v>
      </c>
      <c r="Q609">
        <v>142848</v>
      </c>
      <c r="R609" s="2">
        <v>45830</v>
      </c>
      <c r="S609" t="s">
        <v>69</v>
      </c>
      <c r="T609" t="s">
        <v>77</v>
      </c>
      <c r="U609" t="s">
        <v>6376</v>
      </c>
      <c r="V609" t="s">
        <v>6379</v>
      </c>
      <c r="W609" t="s">
        <v>6347</v>
      </c>
      <c r="X609">
        <v>94</v>
      </c>
      <c r="Y609" t="s">
        <v>77</v>
      </c>
      <c r="Z609">
        <v>251</v>
      </c>
    </row>
    <row r="610" spans="1:26" x14ac:dyDescent="0.3">
      <c r="A610">
        <v>609</v>
      </c>
      <c r="B610" t="s">
        <v>1447</v>
      </c>
      <c r="C610" t="s">
        <v>34</v>
      </c>
      <c r="D610" t="s">
        <v>54</v>
      </c>
      <c r="E610" t="s">
        <v>6348</v>
      </c>
      <c r="F610" t="s">
        <v>6387</v>
      </c>
      <c r="G610" t="s">
        <v>6379</v>
      </c>
      <c r="J610">
        <f>AVERAGE(ai_job_market[[#This Row],[min_salary]],ai_job_market[[#This Row],[max_salary]])</f>
        <v>107741</v>
      </c>
      <c r="K610"/>
      <c r="L610" t="s">
        <v>14</v>
      </c>
      <c r="M610" t="s">
        <v>15</v>
      </c>
      <c r="N610" t="s">
        <v>5061</v>
      </c>
      <c r="O610" t="s">
        <v>4287</v>
      </c>
      <c r="P610">
        <v>84521</v>
      </c>
      <c r="Q610">
        <v>130961</v>
      </c>
      <c r="R610" s="2">
        <v>45777</v>
      </c>
      <c r="S610" t="s">
        <v>14</v>
      </c>
      <c r="T610" t="s">
        <v>70</v>
      </c>
      <c r="U610" t="s">
        <v>6375</v>
      </c>
      <c r="W610" t="s">
        <v>6348</v>
      </c>
      <c r="X610">
        <v>78</v>
      </c>
      <c r="Y610" t="s">
        <v>70</v>
      </c>
      <c r="Z610">
        <v>268</v>
      </c>
    </row>
    <row r="611" spans="1:26" x14ac:dyDescent="0.3">
      <c r="A611">
        <v>610</v>
      </c>
      <c r="B611" t="s">
        <v>1449</v>
      </c>
      <c r="C611" t="s">
        <v>72</v>
      </c>
      <c r="D611" t="s">
        <v>35</v>
      </c>
      <c r="E611" t="s">
        <v>6356</v>
      </c>
      <c r="F611" t="s">
        <v>6385</v>
      </c>
      <c r="G611" t="s">
        <v>6394</v>
      </c>
      <c r="H611" t="s">
        <v>6397</v>
      </c>
      <c r="I611" t="s">
        <v>6377</v>
      </c>
      <c r="J611">
        <f>AVERAGE(ai_job_market[[#This Row],[min_salary]],ai_job_market[[#This Row],[max_salary]])</f>
        <v>101711</v>
      </c>
      <c r="K611"/>
      <c r="L611" t="s">
        <v>27</v>
      </c>
      <c r="M611" t="s">
        <v>15</v>
      </c>
      <c r="N611" t="s">
        <v>5062</v>
      </c>
      <c r="O611" t="s">
        <v>4584</v>
      </c>
      <c r="P611">
        <v>68321</v>
      </c>
      <c r="Q611">
        <v>135101</v>
      </c>
      <c r="R611" s="2">
        <v>45397</v>
      </c>
      <c r="S611" t="s">
        <v>16</v>
      </c>
      <c r="T611" t="s">
        <v>80</v>
      </c>
      <c r="W611" t="s">
        <v>6356</v>
      </c>
      <c r="X611">
        <v>86</v>
      </c>
      <c r="Y611" t="s">
        <v>80</v>
      </c>
      <c r="Z611">
        <v>249</v>
      </c>
    </row>
    <row r="612" spans="1:26" x14ac:dyDescent="0.3">
      <c r="A612">
        <v>611</v>
      </c>
      <c r="B612" t="s">
        <v>1451</v>
      </c>
      <c r="C612" t="s">
        <v>19</v>
      </c>
      <c r="D612" t="s">
        <v>54</v>
      </c>
      <c r="E612" t="s">
        <v>6351</v>
      </c>
      <c r="F612" t="s">
        <v>6392</v>
      </c>
      <c r="G612" t="s">
        <v>6389</v>
      </c>
      <c r="J612" s="6">
        <f>AVERAGE(ai_job_market[[#This Row],[min_salary]],ai_job_market[[#This Row],[max_salary]])</f>
        <v>88592.5</v>
      </c>
      <c r="K612"/>
      <c r="L612" t="s">
        <v>14</v>
      </c>
      <c r="M612" t="s">
        <v>37</v>
      </c>
      <c r="N612" t="s">
        <v>4755</v>
      </c>
      <c r="O612" t="s">
        <v>4361</v>
      </c>
      <c r="P612" s="5">
        <v>73192</v>
      </c>
      <c r="Q612" s="5">
        <v>103993</v>
      </c>
      <c r="R612" s="2">
        <v>45828</v>
      </c>
      <c r="S612" t="s">
        <v>69</v>
      </c>
      <c r="T612" t="s">
        <v>52</v>
      </c>
      <c r="U612" t="s">
        <v>6375</v>
      </c>
      <c r="W612" t="s">
        <v>6351</v>
      </c>
      <c r="X612">
        <v>89</v>
      </c>
      <c r="Y612" t="s">
        <v>52</v>
      </c>
      <c r="Z612">
        <v>238</v>
      </c>
    </row>
    <row r="613" spans="1:26" x14ac:dyDescent="0.3">
      <c r="A613">
        <v>612</v>
      </c>
      <c r="B613" t="s">
        <v>1453</v>
      </c>
      <c r="C613" t="s">
        <v>49</v>
      </c>
      <c r="D613" t="s">
        <v>12</v>
      </c>
      <c r="E613" t="s">
        <v>6345</v>
      </c>
      <c r="F613" t="s">
        <v>6374</v>
      </c>
      <c r="G613" t="s">
        <v>6382</v>
      </c>
      <c r="H613" t="s">
        <v>6377</v>
      </c>
      <c r="I613" t="s">
        <v>6378</v>
      </c>
      <c r="J613">
        <f>AVERAGE(ai_job_market[[#This Row],[min_salary]],ai_job_market[[#This Row],[max_salary]])</f>
        <v>71120.5</v>
      </c>
      <c r="K613"/>
      <c r="L613" t="s">
        <v>27</v>
      </c>
      <c r="M613" t="s">
        <v>37</v>
      </c>
      <c r="N613" t="s">
        <v>5063</v>
      </c>
      <c r="O613" t="s">
        <v>4299</v>
      </c>
      <c r="P613">
        <v>43069</v>
      </c>
      <c r="Q613">
        <v>99172</v>
      </c>
      <c r="R613" s="2">
        <v>45683</v>
      </c>
      <c r="S613" t="s">
        <v>69</v>
      </c>
      <c r="T613" t="s">
        <v>70</v>
      </c>
      <c r="W613" t="s">
        <v>6345</v>
      </c>
      <c r="X613">
        <v>101</v>
      </c>
      <c r="Y613" t="s">
        <v>70</v>
      </c>
      <c r="Z613">
        <v>268</v>
      </c>
    </row>
    <row r="614" spans="1:26" x14ac:dyDescent="0.3">
      <c r="A614">
        <v>613</v>
      </c>
      <c r="B614" t="s">
        <v>1455</v>
      </c>
      <c r="C614" t="s">
        <v>34</v>
      </c>
      <c r="D614" t="s">
        <v>12</v>
      </c>
      <c r="E614" t="s">
        <v>6357</v>
      </c>
      <c r="F614" t="s">
        <v>6377</v>
      </c>
      <c r="G614" t="s">
        <v>6376</v>
      </c>
      <c r="J614">
        <f>AVERAGE(ai_job_market[[#This Row],[min_salary]],ai_job_market[[#This Row],[max_salary]])</f>
        <v>133701.5</v>
      </c>
      <c r="K614"/>
      <c r="L614" t="s">
        <v>22</v>
      </c>
      <c r="M614" t="s">
        <v>51</v>
      </c>
      <c r="N614" t="s">
        <v>5064</v>
      </c>
      <c r="O614" t="s">
        <v>4497</v>
      </c>
      <c r="P614">
        <v>103638</v>
      </c>
      <c r="Q614">
        <v>163765</v>
      </c>
      <c r="R614" s="2">
        <v>45422</v>
      </c>
      <c r="S614" t="s">
        <v>69</v>
      </c>
      <c r="T614" t="s">
        <v>101</v>
      </c>
      <c r="U614" t="s">
        <v>6389</v>
      </c>
      <c r="W614" t="s">
        <v>6357</v>
      </c>
      <c r="X614">
        <v>88</v>
      </c>
      <c r="Y614" t="s">
        <v>101</v>
      </c>
      <c r="Z614">
        <v>255</v>
      </c>
    </row>
    <row r="615" spans="1:26" x14ac:dyDescent="0.3">
      <c r="A615">
        <v>614</v>
      </c>
      <c r="B615" t="s">
        <v>1457</v>
      </c>
      <c r="C615" t="s">
        <v>19</v>
      </c>
      <c r="D615" t="s">
        <v>20</v>
      </c>
      <c r="E615" t="s">
        <v>6350</v>
      </c>
      <c r="F615" t="s">
        <v>6397</v>
      </c>
      <c r="G615" t="s">
        <v>6377</v>
      </c>
      <c r="J615">
        <f>AVERAGE(ai_job_market[[#This Row],[min_salary]],ai_job_market[[#This Row],[max_salary]])</f>
        <v>191409</v>
      </c>
      <c r="K615"/>
      <c r="L615" t="s">
        <v>27</v>
      </c>
      <c r="M615" t="s">
        <v>51</v>
      </c>
      <c r="N615" t="s">
        <v>5065</v>
      </c>
      <c r="O615" t="s">
        <v>4435</v>
      </c>
      <c r="P615">
        <v>148791</v>
      </c>
      <c r="Q615">
        <v>234027</v>
      </c>
      <c r="R615" s="2">
        <v>45803</v>
      </c>
      <c r="S615" t="s">
        <v>16</v>
      </c>
      <c r="T615" t="s">
        <v>77</v>
      </c>
      <c r="U615" t="s">
        <v>6376</v>
      </c>
      <c r="V615" t="s">
        <v>6375</v>
      </c>
      <c r="W615" t="s">
        <v>6350</v>
      </c>
      <c r="X615">
        <v>84</v>
      </c>
      <c r="Y615" t="s">
        <v>77</v>
      </c>
      <c r="Z615">
        <v>251</v>
      </c>
    </row>
    <row r="616" spans="1:26" x14ac:dyDescent="0.3">
      <c r="A616">
        <v>615</v>
      </c>
      <c r="B616" t="s">
        <v>1459</v>
      </c>
      <c r="C616" t="s">
        <v>34</v>
      </c>
      <c r="D616" t="s">
        <v>20</v>
      </c>
      <c r="E616" t="s">
        <v>6344</v>
      </c>
      <c r="F616" t="s">
        <v>6382</v>
      </c>
      <c r="G616" t="s">
        <v>6374</v>
      </c>
      <c r="J616">
        <f>AVERAGE(ai_job_market[[#This Row],[min_salary]],ai_job_market[[#This Row],[max_salary]])</f>
        <v>104414</v>
      </c>
      <c r="K616"/>
      <c r="L616" t="s">
        <v>27</v>
      </c>
      <c r="M616" t="s">
        <v>15</v>
      </c>
      <c r="N616" t="s">
        <v>5066</v>
      </c>
      <c r="O616" t="s">
        <v>4367</v>
      </c>
      <c r="P616">
        <v>81873</v>
      </c>
      <c r="Q616">
        <v>126955</v>
      </c>
      <c r="R616" s="2">
        <v>45584</v>
      </c>
      <c r="S616" t="s">
        <v>69</v>
      </c>
      <c r="T616" t="s">
        <v>128</v>
      </c>
      <c r="U616" t="s">
        <v>6376</v>
      </c>
      <c r="V616" t="s">
        <v>6384</v>
      </c>
      <c r="W616" t="s">
        <v>6344</v>
      </c>
      <c r="X616">
        <v>104</v>
      </c>
      <c r="Y616" t="s">
        <v>128</v>
      </c>
      <c r="Z616">
        <v>233</v>
      </c>
    </row>
    <row r="617" spans="1:26" x14ac:dyDescent="0.3">
      <c r="A617">
        <v>616</v>
      </c>
      <c r="B617" t="s">
        <v>1462</v>
      </c>
      <c r="C617" t="s">
        <v>72</v>
      </c>
      <c r="D617" t="s">
        <v>30</v>
      </c>
      <c r="E617" t="s">
        <v>6359</v>
      </c>
      <c r="F617" t="s">
        <v>6397</v>
      </c>
      <c r="G617" t="s">
        <v>6389</v>
      </c>
      <c r="H617" t="s">
        <v>6392</v>
      </c>
      <c r="J617" s="6">
        <f>AVERAGE(ai_job_market[[#This Row],[min_salary]],ai_job_market[[#This Row],[max_salary]])</f>
        <v>145050</v>
      </c>
      <c r="K617"/>
      <c r="L617" t="s">
        <v>14</v>
      </c>
      <c r="M617" t="s">
        <v>42</v>
      </c>
      <c r="N617" t="s">
        <v>5067</v>
      </c>
      <c r="O617" t="s">
        <v>4329</v>
      </c>
      <c r="P617" s="5">
        <v>107701</v>
      </c>
      <c r="Q617" s="5">
        <v>182399</v>
      </c>
      <c r="R617" s="2">
        <v>45889</v>
      </c>
      <c r="S617" t="s">
        <v>69</v>
      </c>
      <c r="T617" t="s">
        <v>70</v>
      </c>
      <c r="W617" t="s">
        <v>6359</v>
      </c>
      <c r="X617">
        <v>104</v>
      </c>
      <c r="Y617" t="s">
        <v>70</v>
      </c>
      <c r="Z617">
        <v>268</v>
      </c>
    </row>
    <row r="618" spans="1:26" x14ac:dyDescent="0.3">
      <c r="A618">
        <v>617</v>
      </c>
      <c r="B618" t="s">
        <v>1464</v>
      </c>
      <c r="C618" t="s">
        <v>72</v>
      </c>
      <c r="D618" t="s">
        <v>20</v>
      </c>
      <c r="E618" t="s">
        <v>101</v>
      </c>
      <c r="F618" t="s">
        <v>6379</v>
      </c>
      <c r="G618" t="s">
        <v>6389</v>
      </c>
      <c r="H618" t="s">
        <v>6378</v>
      </c>
      <c r="J618">
        <f>AVERAGE(ai_job_market[[#This Row],[min_salary]],ai_job_market[[#This Row],[max_salary]])</f>
        <v>88304.5</v>
      </c>
      <c r="K618"/>
      <c r="L618" t="s">
        <v>27</v>
      </c>
      <c r="M618" t="s">
        <v>15</v>
      </c>
      <c r="N618" t="s">
        <v>5068</v>
      </c>
      <c r="O618" t="s">
        <v>4603</v>
      </c>
      <c r="P618">
        <v>44261</v>
      </c>
      <c r="Q618">
        <v>132348</v>
      </c>
      <c r="R618" s="2">
        <v>45589</v>
      </c>
      <c r="S618" t="s">
        <v>16</v>
      </c>
      <c r="T618" t="s">
        <v>157</v>
      </c>
      <c r="U618" t="s">
        <v>6378</v>
      </c>
      <c r="W618" t="s">
        <v>101</v>
      </c>
      <c r="X618">
        <v>76</v>
      </c>
      <c r="Y618" t="s">
        <v>157</v>
      </c>
      <c r="Z618">
        <v>247</v>
      </c>
    </row>
    <row r="619" spans="1:26" x14ac:dyDescent="0.3">
      <c r="A619">
        <v>618</v>
      </c>
      <c r="B619" t="s">
        <v>1466</v>
      </c>
      <c r="C619" t="s">
        <v>19</v>
      </c>
      <c r="D619" t="s">
        <v>12</v>
      </c>
      <c r="E619" t="s">
        <v>6355</v>
      </c>
      <c r="F619" t="s">
        <v>6389</v>
      </c>
      <c r="G619" t="s">
        <v>6382</v>
      </c>
      <c r="H619" t="s">
        <v>6375</v>
      </c>
      <c r="J619">
        <f>AVERAGE(ai_job_market[[#This Row],[min_salary]],ai_job_market[[#This Row],[max_salary]])</f>
        <v>161544.5</v>
      </c>
      <c r="K619"/>
      <c r="L619" t="s">
        <v>14</v>
      </c>
      <c r="M619" t="s">
        <v>37</v>
      </c>
      <c r="N619" t="s">
        <v>5069</v>
      </c>
      <c r="O619" t="s">
        <v>4433</v>
      </c>
      <c r="P619">
        <v>144418</v>
      </c>
      <c r="Q619">
        <v>178671</v>
      </c>
      <c r="R619" s="2">
        <v>45521</v>
      </c>
      <c r="S619" t="s">
        <v>16</v>
      </c>
      <c r="T619" t="s">
        <v>90</v>
      </c>
      <c r="U619" t="s">
        <v>6375</v>
      </c>
      <c r="V619" t="s">
        <v>6379</v>
      </c>
      <c r="W619" t="s">
        <v>6355</v>
      </c>
      <c r="X619">
        <v>90</v>
      </c>
      <c r="Y619" t="s">
        <v>90</v>
      </c>
      <c r="Z619">
        <v>259</v>
      </c>
    </row>
    <row r="620" spans="1:26" x14ac:dyDescent="0.3">
      <c r="A620">
        <v>619</v>
      </c>
      <c r="B620" t="s">
        <v>719</v>
      </c>
      <c r="C620" t="s">
        <v>40</v>
      </c>
      <c r="D620" t="s">
        <v>30</v>
      </c>
      <c r="E620" t="s">
        <v>6352</v>
      </c>
      <c r="F620" t="s">
        <v>6390</v>
      </c>
      <c r="G620" t="s">
        <v>6392</v>
      </c>
      <c r="H620" t="s">
        <v>6387</v>
      </c>
      <c r="I620" t="s">
        <v>6375</v>
      </c>
      <c r="J620">
        <f>AVERAGE(ai_job_market[[#This Row],[min_salary]],ai_job_market[[#This Row],[max_salary]])</f>
        <v>92565.5</v>
      </c>
      <c r="K620" t="s">
        <v>6397</v>
      </c>
      <c r="L620" t="s">
        <v>22</v>
      </c>
      <c r="M620" t="s">
        <v>15</v>
      </c>
      <c r="N620" t="s">
        <v>5070</v>
      </c>
      <c r="O620" t="s">
        <v>4401</v>
      </c>
      <c r="P620">
        <v>59575</v>
      </c>
      <c r="Q620">
        <v>125556</v>
      </c>
      <c r="R620" s="2">
        <v>45346</v>
      </c>
      <c r="S620" t="s">
        <v>14</v>
      </c>
      <c r="T620" t="s">
        <v>128</v>
      </c>
      <c r="U620" t="s">
        <v>6378</v>
      </c>
      <c r="W620" t="s">
        <v>6352</v>
      </c>
      <c r="X620">
        <v>97</v>
      </c>
      <c r="Y620" t="s">
        <v>128</v>
      </c>
      <c r="Z620">
        <v>233</v>
      </c>
    </row>
    <row r="621" spans="1:26" x14ac:dyDescent="0.3">
      <c r="A621">
        <v>620</v>
      </c>
      <c r="B621" t="s">
        <v>1470</v>
      </c>
      <c r="C621" t="s">
        <v>40</v>
      </c>
      <c r="D621" t="s">
        <v>35</v>
      </c>
      <c r="E621" t="s">
        <v>6346</v>
      </c>
      <c r="F621" t="s">
        <v>6390</v>
      </c>
      <c r="G621" t="s">
        <v>6379</v>
      </c>
      <c r="J621" s="6">
        <f>AVERAGE(ai_job_market[[#This Row],[min_salary]],ai_job_market[[#This Row],[max_salary]])</f>
        <v>162486</v>
      </c>
      <c r="K621"/>
      <c r="L621" t="s">
        <v>14</v>
      </c>
      <c r="M621" t="s">
        <v>15</v>
      </c>
      <c r="N621" t="s">
        <v>5071</v>
      </c>
      <c r="O621" t="s">
        <v>4323</v>
      </c>
      <c r="P621" s="5">
        <v>133037</v>
      </c>
      <c r="Q621" s="5">
        <v>191935</v>
      </c>
      <c r="R621" s="2">
        <v>45678</v>
      </c>
      <c r="S621" t="s">
        <v>16</v>
      </c>
      <c r="T621" t="s">
        <v>157</v>
      </c>
      <c r="U621" t="s">
        <v>6378</v>
      </c>
      <c r="W621" t="s">
        <v>6346</v>
      </c>
      <c r="X621">
        <v>78</v>
      </c>
      <c r="Y621" t="s">
        <v>157</v>
      </c>
      <c r="Z621">
        <v>247</v>
      </c>
    </row>
    <row r="622" spans="1:26" x14ac:dyDescent="0.3">
      <c r="A622">
        <v>621</v>
      </c>
      <c r="B622" t="s">
        <v>1472</v>
      </c>
      <c r="C622" t="s">
        <v>45</v>
      </c>
      <c r="D622" t="s">
        <v>54</v>
      </c>
      <c r="E622" t="s">
        <v>6353</v>
      </c>
      <c r="F622" t="s">
        <v>6382</v>
      </c>
      <c r="G622" t="s">
        <v>6384</v>
      </c>
      <c r="H622" t="s">
        <v>6393</v>
      </c>
      <c r="I622" t="s">
        <v>6397</v>
      </c>
      <c r="J622">
        <f>AVERAGE(ai_job_market[[#This Row],[min_salary]],ai_job_market[[#This Row],[max_salary]])</f>
        <v>149044</v>
      </c>
      <c r="K622"/>
      <c r="L622" t="s">
        <v>27</v>
      </c>
      <c r="M622" t="s">
        <v>51</v>
      </c>
      <c r="N622" t="s">
        <v>5072</v>
      </c>
      <c r="O622" t="s">
        <v>4699</v>
      </c>
      <c r="P622">
        <v>125183</v>
      </c>
      <c r="Q622">
        <v>172905</v>
      </c>
      <c r="R622" s="2">
        <v>45544</v>
      </c>
      <c r="S622" t="s">
        <v>16</v>
      </c>
      <c r="T622" t="s">
        <v>70</v>
      </c>
      <c r="U622" t="s">
        <v>6383</v>
      </c>
      <c r="W622" t="s">
        <v>6353</v>
      </c>
      <c r="X622">
        <v>86</v>
      </c>
      <c r="Y622" t="s">
        <v>70</v>
      </c>
      <c r="Z622">
        <v>268</v>
      </c>
    </row>
    <row r="623" spans="1:26" x14ac:dyDescent="0.3">
      <c r="A623">
        <v>622</v>
      </c>
      <c r="B623" t="s">
        <v>1474</v>
      </c>
      <c r="C623" t="s">
        <v>34</v>
      </c>
      <c r="D623" t="s">
        <v>25</v>
      </c>
      <c r="E623" t="s">
        <v>6357</v>
      </c>
      <c r="F623" t="s">
        <v>6396</v>
      </c>
      <c r="G623" t="s">
        <v>6391</v>
      </c>
      <c r="H623" t="s">
        <v>6375</v>
      </c>
      <c r="I623" t="s">
        <v>6376</v>
      </c>
      <c r="J623">
        <f>AVERAGE(ai_job_market[[#This Row],[min_salary]],ai_job_market[[#This Row],[max_salary]])</f>
        <v>146938</v>
      </c>
      <c r="K623"/>
      <c r="L623" t="s">
        <v>14</v>
      </c>
      <c r="M623" t="s">
        <v>37</v>
      </c>
      <c r="N623" t="s">
        <v>5073</v>
      </c>
      <c r="O623" t="s">
        <v>4668</v>
      </c>
      <c r="P623">
        <v>98205</v>
      </c>
      <c r="Q623">
        <v>195671</v>
      </c>
      <c r="R623" s="2">
        <v>45393</v>
      </c>
      <c r="S623" t="s">
        <v>69</v>
      </c>
      <c r="T623" t="s">
        <v>101</v>
      </c>
      <c r="U623" t="s">
        <v>6379</v>
      </c>
      <c r="V623" t="s">
        <v>6384</v>
      </c>
      <c r="W623" t="s">
        <v>6357</v>
      </c>
      <c r="X623">
        <v>88</v>
      </c>
      <c r="Y623" t="s">
        <v>101</v>
      </c>
      <c r="Z623">
        <v>255</v>
      </c>
    </row>
    <row r="624" spans="1:26" x14ac:dyDescent="0.3">
      <c r="A624">
        <v>623</v>
      </c>
      <c r="B624" t="s">
        <v>1477</v>
      </c>
      <c r="C624" t="s">
        <v>49</v>
      </c>
      <c r="D624" t="s">
        <v>54</v>
      </c>
      <c r="E624" t="s">
        <v>6357</v>
      </c>
      <c r="F624" t="s">
        <v>6394</v>
      </c>
      <c r="G624" t="s">
        <v>6397</v>
      </c>
      <c r="H624" t="s">
        <v>6395</v>
      </c>
      <c r="I624" t="s">
        <v>6376</v>
      </c>
      <c r="J624" s="6">
        <f>AVERAGE(ai_job_market[[#This Row],[min_salary]],ai_job_market[[#This Row],[max_salary]])</f>
        <v>121584.5</v>
      </c>
      <c r="K624"/>
      <c r="L624" t="s">
        <v>22</v>
      </c>
      <c r="M624" t="s">
        <v>37</v>
      </c>
      <c r="N624" t="s">
        <v>5074</v>
      </c>
      <c r="O624" t="s">
        <v>4559</v>
      </c>
      <c r="P624" s="5">
        <v>83577</v>
      </c>
      <c r="Q624" s="5">
        <v>159592</v>
      </c>
      <c r="R624" s="2">
        <v>45530</v>
      </c>
      <c r="S624" t="s">
        <v>16</v>
      </c>
      <c r="T624" t="s">
        <v>77</v>
      </c>
      <c r="W624" t="s">
        <v>6357</v>
      </c>
      <c r="X624">
        <v>88</v>
      </c>
      <c r="Y624" t="s">
        <v>77</v>
      </c>
      <c r="Z624">
        <v>251</v>
      </c>
    </row>
    <row r="625" spans="1:26" x14ac:dyDescent="0.3">
      <c r="A625">
        <v>624</v>
      </c>
      <c r="B625" t="s">
        <v>1479</v>
      </c>
      <c r="C625" t="s">
        <v>19</v>
      </c>
      <c r="D625" t="s">
        <v>67</v>
      </c>
      <c r="E625" t="s">
        <v>6348</v>
      </c>
      <c r="F625" t="s">
        <v>6380</v>
      </c>
      <c r="G625" t="s">
        <v>6387</v>
      </c>
      <c r="H625" t="s">
        <v>6397</v>
      </c>
      <c r="I625" t="s">
        <v>6378</v>
      </c>
      <c r="J625">
        <f>AVERAGE(ai_job_market[[#This Row],[min_salary]],ai_job_market[[#This Row],[max_salary]])</f>
        <v>153788.5</v>
      </c>
      <c r="K625" t="s">
        <v>6381</v>
      </c>
      <c r="L625" t="s">
        <v>27</v>
      </c>
      <c r="M625" t="s">
        <v>51</v>
      </c>
      <c r="N625" t="s">
        <v>5075</v>
      </c>
      <c r="O625" t="s">
        <v>4305</v>
      </c>
      <c r="P625">
        <v>126480</v>
      </c>
      <c r="Q625">
        <v>181097</v>
      </c>
      <c r="R625" s="2">
        <v>45753</v>
      </c>
      <c r="S625" t="s">
        <v>14</v>
      </c>
      <c r="T625" t="s">
        <v>90</v>
      </c>
      <c r="U625" t="s">
        <v>6379</v>
      </c>
      <c r="V625" t="s">
        <v>6383</v>
      </c>
      <c r="W625" t="s">
        <v>6348</v>
      </c>
      <c r="X625">
        <v>78</v>
      </c>
      <c r="Y625" t="s">
        <v>90</v>
      </c>
      <c r="Z625">
        <v>259</v>
      </c>
    </row>
    <row r="626" spans="1:26" x14ac:dyDescent="0.3">
      <c r="A626">
        <v>625</v>
      </c>
      <c r="B626" t="s">
        <v>1481</v>
      </c>
      <c r="C626" t="s">
        <v>19</v>
      </c>
      <c r="D626" t="s">
        <v>35</v>
      </c>
      <c r="E626" t="s">
        <v>70</v>
      </c>
      <c r="F626" t="s">
        <v>6382</v>
      </c>
      <c r="G626" t="s">
        <v>6392</v>
      </c>
      <c r="H626" t="s">
        <v>6386</v>
      </c>
      <c r="J626">
        <f>AVERAGE(ai_job_market[[#This Row],[min_salary]],ai_job_market[[#This Row],[max_salary]])</f>
        <v>124048</v>
      </c>
      <c r="K626"/>
      <c r="L626" t="s">
        <v>22</v>
      </c>
      <c r="M626" t="s">
        <v>42</v>
      </c>
      <c r="N626" t="s">
        <v>5076</v>
      </c>
      <c r="O626" t="s">
        <v>4351</v>
      </c>
      <c r="P626">
        <v>95492</v>
      </c>
      <c r="Q626">
        <v>152604</v>
      </c>
      <c r="R626" s="2">
        <v>45424</v>
      </c>
      <c r="S626" t="s">
        <v>14</v>
      </c>
      <c r="T626" t="s">
        <v>101</v>
      </c>
      <c r="U626" t="s">
        <v>6388</v>
      </c>
      <c r="W626" t="s">
        <v>70</v>
      </c>
      <c r="X626">
        <v>100</v>
      </c>
      <c r="Y626" t="s">
        <v>101</v>
      </c>
      <c r="Z626">
        <v>255</v>
      </c>
    </row>
    <row r="627" spans="1:26" x14ac:dyDescent="0.3">
      <c r="A627">
        <v>626</v>
      </c>
      <c r="B627" t="s">
        <v>1483</v>
      </c>
      <c r="C627" t="s">
        <v>40</v>
      </c>
      <c r="D627" t="s">
        <v>12</v>
      </c>
      <c r="E627" t="s">
        <v>6358</v>
      </c>
      <c r="F627" t="s">
        <v>6394</v>
      </c>
      <c r="G627" t="s">
        <v>6379</v>
      </c>
      <c r="H627" t="s">
        <v>6380</v>
      </c>
      <c r="I627" t="s">
        <v>6374</v>
      </c>
      <c r="J627">
        <f>AVERAGE(ai_job_market[[#This Row],[min_salary]],ai_job_market[[#This Row],[max_salary]])</f>
        <v>123360.5</v>
      </c>
      <c r="K627" t="s">
        <v>6396</v>
      </c>
      <c r="L627" t="s">
        <v>22</v>
      </c>
      <c r="M627" t="s">
        <v>37</v>
      </c>
      <c r="N627" t="s">
        <v>5077</v>
      </c>
      <c r="O627" t="s">
        <v>4815</v>
      </c>
      <c r="P627">
        <v>102113</v>
      </c>
      <c r="Q627">
        <v>144608</v>
      </c>
      <c r="R627" s="2">
        <v>45199</v>
      </c>
      <c r="S627" t="s">
        <v>16</v>
      </c>
      <c r="T627" t="s">
        <v>101</v>
      </c>
      <c r="U627" t="s">
        <v>6388</v>
      </c>
      <c r="W627" t="s">
        <v>6358</v>
      </c>
      <c r="X627">
        <v>96</v>
      </c>
      <c r="Y627" t="s">
        <v>101</v>
      </c>
      <c r="Z627">
        <v>255</v>
      </c>
    </row>
    <row r="628" spans="1:26" x14ac:dyDescent="0.3">
      <c r="A628">
        <v>627</v>
      </c>
      <c r="B628" t="s">
        <v>1485</v>
      </c>
      <c r="C628" t="s">
        <v>40</v>
      </c>
      <c r="D628" t="s">
        <v>12</v>
      </c>
      <c r="E628" t="s">
        <v>6349</v>
      </c>
      <c r="F628" t="s">
        <v>6376</v>
      </c>
      <c r="G628" t="s">
        <v>6389</v>
      </c>
      <c r="H628" t="s">
        <v>6397</v>
      </c>
      <c r="I628" t="s">
        <v>6381</v>
      </c>
      <c r="J628">
        <f>AVERAGE(ai_job_market[[#This Row],[min_salary]],ai_job_market[[#This Row],[max_salary]])</f>
        <v>164179</v>
      </c>
      <c r="K628" t="s">
        <v>6396</v>
      </c>
      <c r="L628" t="s">
        <v>22</v>
      </c>
      <c r="M628" t="s">
        <v>15</v>
      </c>
      <c r="N628" t="s">
        <v>5078</v>
      </c>
      <c r="O628" t="s">
        <v>4361</v>
      </c>
      <c r="P628">
        <v>143450</v>
      </c>
      <c r="Q628">
        <v>184908</v>
      </c>
      <c r="R628" s="2">
        <v>45394</v>
      </c>
      <c r="S628" t="s">
        <v>16</v>
      </c>
      <c r="T628" t="s">
        <v>80</v>
      </c>
      <c r="U628" t="s">
        <v>6379</v>
      </c>
      <c r="V628" t="s">
        <v>6389</v>
      </c>
      <c r="W628" t="s">
        <v>6349</v>
      </c>
      <c r="X628">
        <v>96</v>
      </c>
      <c r="Y628" t="s">
        <v>80</v>
      </c>
      <c r="Z628">
        <v>249</v>
      </c>
    </row>
    <row r="629" spans="1:26" x14ac:dyDescent="0.3">
      <c r="A629">
        <v>628</v>
      </c>
      <c r="B629" t="s">
        <v>1488</v>
      </c>
      <c r="C629" t="s">
        <v>49</v>
      </c>
      <c r="D629" t="s">
        <v>54</v>
      </c>
      <c r="E629" t="s">
        <v>6346</v>
      </c>
      <c r="F629" t="s">
        <v>6381</v>
      </c>
      <c r="G629" t="s">
        <v>6384</v>
      </c>
      <c r="H629" t="s">
        <v>6390</v>
      </c>
      <c r="I629" t="s">
        <v>6374</v>
      </c>
      <c r="J629">
        <f>AVERAGE(ai_job_market[[#This Row],[min_salary]],ai_job_market[[#This Row],[max_salary]])</f>
        <v>96490</v>
      </c>
      <c r="K629"/>
      <c r="L629" t="s">
        <v>27</v>
      </c>
      <c r="M629" t="s">
        <v>42</v>
      </c>
      <c r="N629" t="s">
        <v>5079</v>
      </c>
      <c r="O629" t="s">
        <v>4385</v>
      </c>
      <c r="P629">
        <v>72389</v>
      </c>
      <c r="Q629">
        <v>120591</v>
      </c>
      <c r="R629" s="2">
        <v>45847</v>
      </c>
      <c r="S629" t="s">
        <v>14</v>
      </c>
      <c r="T629" t="s">
        <v>52</v>
      </c>
      <c r="U629" t="s">
        <v>6389</v>
      </c>
      <c r="W629" t="s">
        <v>6346</v>
      </c>
      <c r="X629">
        <v>78</v>
      </c>
      <c r="Y629" t="s">
        <v>52</v>
      </c>
      <c r="Z629">
        <v>238</v>
      </c>
    </row>
    <row r="630" spans="1:26" x14ac:dyDescent="0.3">
      <c r="A630">
        <v>629</v>
      </c>
      <c r="B630" t="s">
        <v>1490</v>
      </c>
      <c r="C630" t="s">
        <v>45</v>
      </c>
      <c r="D630" t="s">
        <v>30</v>
      </c>
      <c r="E630" t="s">
        <v>6358</v>
      </c>
      <c r="F630" t="s">
        <v>6387</v>
      </c>
      <c r="G630" t="s">
        <v>6385</v>
      </c>
      <c r="H630" t="s">
        <v>6384</v>
      </c>
      <c r="I630" t="s">
        <v>6397</v>
      </c>
      <c r="J630">
        <f>AVERAGE(ai_job_market[[#This Row],[min_salary]],ai_job_market[[#This Row],[max_salary]])</f>
        <v>60307.5</v>
      </c>
      <c r="K630"/>
      <c r="L630" t="s">
        <v>14</v>
      </c>
      <c r="M630" t="s">
        <v>15</v>
      </c>
      <c r="N630" t="s">
        <v>5080</v>
      </c>
      <c r="O630" t="s">
        <v>4678</v>
      </c>
      <c r="P630">
        <v>45843</v>
      </c>
      <c r="Q630">
        <v>74772</v>
      </c>
      <c r="R630" s="2">
        <v>45559</v>
      </c>
      <c r="S630" t="s">
        <v>14</v>
      </c>
      <c r="T630" t="s">
        <v>101</v>
      </c>
      <c r="W630" t="s">
        <v>6358</v>
      </c>
      <c r="X630">
        <v>96</v>
      </c>
      <c r="Y630" t="s">
        <v>101</v>
      </c>
      <c r="Z630">
        <v>255</v>
      </c>
    </row>
    <row r="631" spans="1:26" x14ac:dyDescent="0.3">
      <c r="A631">
        <v>630</v>
      </c>
      <c r="B631" t="s">
        <v>1492</v>
      </c>
      <c r="C631" t="s">
        <v>45</v>
      </c>
      <c r="D631" t="s">
        <v>12</v>
      </c>
      <c r="E631" t="s">
        <v>128</v>
      </c>
      <c r="F631" t="s">
        <v>6378</v>
      </c>
      <c r="G631" t="s">
        <v>6389</v>
      </c>
      <c r="H631" t="s">
        <v>6385</v>
      </c>
      <c r="I631" t="s">
        <v>6382</v>
      </c>
      <c r="J631" s="6">
        <f>AVERAGE(ai_job_market[[#This Row],[min_salary]],ai_job_market[[#This Row],[max_salary]])</f>
        <v>152302</v>
      </c>
      <c r="K631" t="s">
        <v>6394</v>
      </c>
      <c r="L631" t="s">
        <v>27</v>
      </c>
      <c r="M631" t="s">
        <v>51</v>
      </c>
      <c r="N631" t="s">
        <v>5081</v>
      </c>
      <c r="O631" t="s">
        <v>4547</v>
      </c>
      <c r="P631" s="5">
        <v>132168</v>
      </c>
      <c r="Q631" s="5">
        <v>172436</v>
      </c>
      <c r="R631" s="2">
        <v>45491</v>
      </c>
      <c r="S631" t="s">
        <v>69</v>
      </c>
      <c r="T631" t="s">
        <v>90</v>
      </c>
      <c r="U631" t="s">
        <v>6376</v>
      </c>
      <c r="W631" t="s">
        <v>128</v>
      </c>
      <c r="X631">
        <v>92</v>
      </c>
      <c r="Y631" t="s">
        <v>90</v>
      </c>
      <c r="Z631">
        <v>259</v>
      </c>
    </row>
    <row r="632" spans="1:26" x14ac:dyDescent="0.3">
      <c r="A632">
        <v>631</v>
      </c>
      <c r="B632" t="s">
        <v>1494</v>
      </c>
      <c r="C632" t="s">
        <v>11</v>
      </c>
      <c r="D632" t="s">
        <v>25</v>
      </c>
      <c r="E632" t="s">
        <v>6352</v>
      </c>
      <c r="F632" t="s">
        <v>6382</v>
      </c>
      <c r="G632" t="s">
        <v>6378</v>
      </c>
      <c r="H632" t="s">
        <v>6387</v>
      </c>
      <c r="J632">
        <f>AVERAGE(ai_job_market[[#This Row],[min_salary]],ai_job_market[[#This Row],[max_salary]])</f>
        <v>182144.5</v>
      </c>
      <c r="K632"/>
      <c r="L632" t="s">
        <v>14</v>
      </c>
      <c r="M632" t="s">
        <v>15</v>
      </c>
      <c r="N632" t="s">
        <v>5082</v>
      </c>
      <c r="O632" t="s">
        <v>4281</v>
      </c>
      <c r="P632">
        <v>140975</v>
      </c>
      <c r="Q632">
        <v>223314</v>
      </c>
      <c r="R632" s="2">
        <v>45491</v>
      </c>
      <c r="S632" t="s">
        <v>16</v>
      </c>
      <c r="T632" t="s">
        <v>157</v>
      </c>
      <c r="U632" t="s">
        <v>6379</v>
      </c>
      <c r="V632" t="s">
        <v>6376</v>
      </c>
      <c r="W632" t="s">
        <v>6352</v>
      </c>
      <c r="X632">
        <v>97</v>
      </c>
      <c r="Y632" t="s">
        <v>157</v>
      </c>
      <c r="Z632">
        <v>247</v>
      </c>
    </row>
    <row r="633" spans="1:26" x14ac:dyDescent="0.3">
      <c r="A633">
        <v>632</v>
      </c>
      <c r="B633" t="s">
        <v>1497</v>
      </c>
      <c r="C633" t="s">
        <v>34</v>
      </c>
      <c r="D633" t="s">
        <v>25</v>
      </c>
      <c r="E633" t="s">
        <v>6348</v>
      </c>
      <c r="F633" t="s">
        <v>6393</v>
      </c>
      <c r="G633" t="s">
        <v>6379</v>
      </c>
      <c r="H633" t="s">
        <v>6374</v>
      </c>
      <c r="J633" s="6">
        <f>AVERAGE(ai_job_market[[#This Row],[min_salary]],ai_job_market[[#This Row],[max_salary]])</f>
        <v>98668</v>
      </c>
      <c r="K633"/>
      <c r="L633" t="s">
        <v>22</v>
      </c>
      <c r="M633" t="s">
        <v>15</v>
      </c>
      <c r="N633" t="s">
        <v>5083</v>
      </c>
      <c r="O633" t="s">
        <v>4831</v>
      </c>
      <c r="P633" s="5">
        <v>72912</v>
      </c>
      <c r="Q633" s="5">
        <v>124424</v>
      </c>
      <c r="R633" s="2">
        <v>45343</v>
      </c>
      <c r="S633" t="s">
        <v>69</v>
      </c>
      <c r="T633" t="s">
        <v>90</v>
      </c>
      <c r="U633" t="s">
        <v>6375</v>
      </c>
      <c r="V633" t="s">
        <v>6376</v>
      </c>
      <c r="W633" t="s">
        <v>6348</v>
      </c>
      <c r="X633">
        <v>78</v>
      </c>
      <c r="Y633" t="s">
        <v>90</v>
      </c>
      <c r="Z633">
        <v>259</v>
      </c>
    </row>
    <row r="634" spans="1:26" x14ac:dyDescent="0.3">
      <c r="A634">
        <v>633</v>
      </c>
      <c r="B634" t="s">
        <v>1499</v>
      </c>
      <c r="C634" t="s">
        <v>49</v>
      </c>
      <c r="D634" t="s">
        <v>35</v>
      </c>
      <c r="E634" t="s">
        <v>6345</v>
      </c>
      <c r="F634" t="s">
        <v>6395</v>
      </c>
      <c r="G634" t="s">
        <v>6391</v>
      </c>
      <c r="H634" t="s">
        <v>6394</v>
      </c>
      <c r="I634" t="s">
        <v>6393</v>
      </c>
      <c r="J634">
        <f>AVERAGE(ai_job_market[[#This Row],[min_salary]],ai_job_market[[#This Row],[max_salary]])</f>
        <v>135912</v>
      </c>
      <c r="K634" t="s">
        <v>6379</v>
      </c>
      <c r="L634" t="s">
        <v>14</v>
      </c>
      <c r="M634" t="s">
        <v>15</v>
      </c>
      <c r="N634" t="s">
        <v>5084</v>
      </c>
      <c r="O634" t="s">
        <v>4456</v>
      </c>
      <c r="P634">
        <v>92203</v>
      </c>
      <c r="Q634">
        <v>179621</v>
      </c>
      <c r="R634" s="2">
        <v>45801</v>
      </c>
      <c r="S634" t="s">
        <v>14</v>
      </c>
      <c r="T634" t="s">
        <v>101</v>
      </c>
      <c r="W634" t="s">
        <v>6345</v>
      </c>
      <c r="X634">
        <v>101</v>
      </c>
      <c r="Y634" t="s">
        <v>101</v>
      </c>
      <c r="Z634">
        <v>255</v>
      </c>
    </row>
    <row r="635" spans="1:26" x14ac:dyDescent="0.3">
      <c r="A635">
        <v>634</v>
      </c>
      <c r="B635" t="s">
        <v>1501</v>
      </c>
      <c r="C635" t="s">
        <v>11</v>
      </c>
      <c r="D635" t="s">
        <v>54</v>
      </c>
      <c r="E635" t="s">
        <v>6358</v>
      </c>
      <c r="F635" t="s">
        <v>6384</v>
      </c>
      <c r="G635" t="s">
        <v>6397</v>
      </c>
      <c r="H635" t="s">
        <v>6391</v>
      </c>
      <c r="I635" t="s">
        <v>6385</v>
      </c>
      <c r="J635">
        <f>AVERAGE(ai_job_market[[#This Row],[min_salary]],ai_job_market[[#This Row],[max_salary]])</f>
        <v>155566.5</v>
      </c>
      <c r="K635" t="s">
        <v>6381</v>
      </c>
      <c r="L635" t="s">
        <v>14</v>
      </c>
      <c r="M635" t="s">
        <v>37</v>
      </c>
      <c r="N635" t="s">
        <v>5085</v>
      </c>
      <c r="O635" t="s">
        <v>4509</v>
      </c>
      <c r="P635">
        <v>132423</v>
      </c>
      <c r="Q635">
        <v>178710</v>
      </c>
      <c r="R635" s="2">
        <v>45774</v>
      </c>
      <c r="S635" t="s">
        <v>14</v>
      </c>
      <c r="T635" t="s">
        <v>77</v>
      </c>
      <c r="U635" t="s">
        <v>6389</v>
      </c>
      <c r="V635" t="s">
        <v>6379</v>
      </c>
      <c r="W635" t="s">
        <v>6358</v>
      </c>
      <c r="X635">
        <v>96</v>
      </c>
      <c r="Y635" t="s">
        <v>77</v>
      </c>
      <c r="Z635">
        <v>251</v>
      </c>
    </row>
    <row r="636" spans="1:26" x14ac:dyDescent="0.3">
      <c r="A636">
        <v>635</v>
      </c>
      <c r="B636" t="s">
        <v>1504</v>
      </c>
      <c r="C636" t="s">
        <v>11</v>
      </c>
      <c r="D636" t="s">
        <v>25</v>
      </c>
      <c r="E636" t="s">
        <v>90</v>
      </c>
      <c r="F636" t="s">
        <v>6375</v>
      </c>
      <c r="G636" t="s">
        <v>6391</v>
      </c>
      <c r="H636" t="s">
        <v>6387</v>
      </c>
      <c r="I636" t="s">
        <v>6397</v>
      </c>
      <c r="J636">
        <f>AVERAGE(ai_job_market[[#This Row],[min_salary]],ai_job_market[[#This Row],[max_salary]])</f>
        <v>92827</v>
      </c>
      <c r="K636" t="s">
        <v>6377</v>
      </c>
      <c r="L636" t="s">
        <v>14</v>
      </c>
      <c r="M636" t="s">
        <v>51</v>
      </c>
      <c r="N636" t="s">
        <v>5086</v>
      </c>
      <c r="O636" t="s">
        <v>4780</v>
      </c>
      <c r="P636">
        <v>43526</v>
      </c>
      <c r="Q636">
        <v>142128</v>
      </c>
      <c r="R636" s="2">
        <v>45528</v>
      </c>
      <c r="S636" t="s">
        <v>16</v>
      </c>
      <c r="T636" t="s">
        <v>70</v>
      </c>
      <c r="U636" t="s">
        <v>6383</v>
      </c>
      <c r="V636" t="s">
        <v>6376</v>
      </c>
      <c r="W636" t="s">
        <v>90</v>
      </c>
      <c r="X636">
        <v>80</v>
      </c>
      <c r="Y636" t="s">
        <v>70</v>
      </c>
      <c r="Z636">
        <v>268</v>
      </c>
    </row>
    <row r="637" spans="1:26" x14ac:dyDescent="0.3">
      <c r="A637">
        <v>636</v>
      </c>
      <c r="B637" t="s">
        <v>1506</v>
      </c>
      <c r="C637" t="s">
        <v>72</v>
      </c>
      <c r="D637" t="s">
        <v>12</v>
      </c>
      <c r="E637" t="s">
        <v>6348</v>
      </c>
      <c r="F637" t="s">
        <v>6386</v>
      </c>
      <c r="G637" t="s">
        <v>6389</v>
      </c>
      <c r="H637" t="s">
        <v>6384</v>
      </c>
      <c r="J637">
        <f>AVERAGE(ai_job_market[[#This Row],[min_salary]],ai_job_market[[#This Row],[max_salary]])</f>
        <v>138134</v>
      </c>
      <c r="K637"/>
      <c r="L637" t="s">
        <v>14</v>
      </c>
      <c r="M637" t="s">
        <v>15</v>
      </c>
      <c r="N637" t="s">
        <v>5087</v>
      </c>
      <c r="O637" t="s">
        <v>4380</v>
      </c>
      <c r="P637">
        <v>100197</v>
      </c>
      <c r="Q637">
        <v>176071</v>
      </c>
      <c r="R637" s="2">
        <v>45634</v>
      </c>
      <c r="S637" t="s">
        <v>69</v>
      </c>
      <c r="T637" t="s">
        <v>80</v>
      </c>
      <c r="W637" t="s">
        <v>6348</v>
      </c>
      <c r="X637">
        <v>78</v>
      </c>
      <c r="Y637" t="s">
        <v>80</v>
      </c>
      <c r="Z637">
        <v>249</v>
      </c>
    </row>
    <row r="638" spans="1:26" x14ac:dyDescent="0.3">
      <c r="A638">
        <v>637</v>
      </c>
      <c r="B638" t="s">
        <v>1312</v>
      </c>
      <c r="C638" t="s">
        <v>45</v>
      </c>
      <c r="D638" t="s">
        <v>12</v>
      </c>
      <c r="E638" t="s">
        <v>6349</v>
      </c>
      <c r="F638" t="s">
        <v>6378</v>
      </c>
      <c r="G638" t="s">
        <v>6397</v>
      </c>
      <c r="H638" t="s">
        <v>6396</v>
      </c>
      <c r="I638" t="s">
        <v>6386</v>
      </c>
      <c r="J638">
        <f>AVERAGE(ai_job_market[[#This Row],[min_salary]],ai_job_market[[#This Row],[max_salary]])</f>
        <v>131482.5</v>
      </c>
      <c r="K638"/>
      <c r="L638" t="s">
        <v>22</v>
      </c>
      <c r="M638" t="s">
        <v>51</v>
      </c>
      <c r="N638" t="s">
        <v>5088</v>
      </c>
      <c r="O638" t="s">
        <v>4337</v>
      </c>
      <c r="P638">
        <v>104596</v>
      </c>
      <c r="Q638">
        <v>158369</v>
      </c>
      <c r="R638" s="2">
        <v>45821</v>
      </c>
      <c r="S638" t="s">
        <v>69</v>
      </c>
      <c r="T638" t="s">
        <v>128</v>
      </c>
      <c r="U638" t="s">
        <v>6384</v>
      </c>
      <c r="V638" t="s">
        <v>6376</v>
      </c>
      <c r="W638" t="s">
        <v>6349</v>
      </c>
      <c r="X638">
        <v>96</v>
      </c>
      <c r="Y638" t="s">
        <v>128</v>
      </c>
      <c r="Z638">
        <v>233</v>
      </c>
    </row>
    <row r="639" spans="1:26" x14ac:dyDescent="0.3">
      <c r="A639">
        <v>638</v>
      </c>
      <c r="B639" t="s">
        <v>1510</v>
      </c>
      <c r="C639" t="s">
        <v>49</v>
      </c>
      <c r="D639" t="s">
        <v>30</v>
      </c>
      <c r="E639" t="s">
        <v>6358</v>
      </c>
      <c r="F639" t="s">
        <v>6389</v>
      </c>
      <c r="G639" t="s">
        <v>6378</v>
      </c>
      <c r="H639" t="s">
        <v>6387</v>
      </c>
      <c r="I639" t="s">
        <v>6384</v>
      </c>
      <c r="J639">
        <f>AVERAGE(ai_job_market[[#This Row],[min_salary]],ai_job_market[[#This Row],[max_salary]])</f>
        <v>136295.5</v>
      </c>
      <c r="K639" t="s">
        <v>6394</v>
      </c>
      <c r="L639" t="s">
        <v>14</v>
      </c>
      <c r="M639" t="s">
        <v>15</v>
      </c>
      <c r="N639" t="s">
        <v>5089</v>
      </c>
      <c r="O639" t="s">
        <v>4637</v>
      </c>
      <c r="P639">
        <v>128933</v>
      </c>
      <c r="Q639">
        <v>143658</v>
      </c>
      <c r="R639" s="2">
        <v>45351</v>
      </c>
      <c r="S639" t="s">
        <v>69</v>
      </c>
      <c r="T639" t="s">
        <v>80</v>
      </c>
      <c r="U639" t="s">
        <v>6378</v>
      </c>
      <c r="V639" t="s">
        <v>6379</v>
      </c>
      <c r="W639" t="s">
        <v>6358</v>
      </c>
      <c r="X639">
        <v>96</v>
      </c>
      <c r="Y639" t="s">
        <v>80</v>
      </c>
      <c r="Z639">
        <v>249</v>
      </c>
    </row>
    <row r="640" spans="1:26" x14ac:dyDescent="0.3">
      <c r="A640">
        <v>639</v>
      </c>
      <c r="B640" t="s">
        <v>1513</v>
      </c>
      <c r="C640" t="s">
        <v>45</v>
      </c>
      <c r="D640" t="s">
        <v>67</v>
      </c>
      <c r="E640" t="s">
        <v>6346</v>
      </c>
      <c r="F640" t="s">
        <v>6378</v>
      </c>
      <c r="G640" t="s">
        <v>6396</v>
      </c>
      <c r="J640">
        <f>AVERAGE(ai_job_market[[#This Row],[min_salary]],ai_job_market[[#This Row],[max_salary]])</f>
        <v>147818</v>
      </c>
      <c r="K640"/>
      <c r="L640" t="s">
        <v>22</v>
      </c>
      <c r="M640" t="s">
        <v>15</v>
      </c>
      <c r="N640" t="s">
        <v>5090</v>
      </c>
      <c r="O640" t="s">
        <v>4456</v>
      </c>
      <c r="P640">
        <v>111144</v>
      </c>
      <c r="Q640">
        <v>184492</v>
      </c>
      <c r="R640" s="2">
        <v>45419</v>
      </c>
      <c r="S640" t="s">
        <v>14</v>
      </c>
      <c r="T640" t="s">
        <v>90</v>
      </c>
      <c r="U640" t="s">
        <v>6384</v>
      </c>
      <c r="W640" t="s">
        <v>6346</v>
      </c>
      <c r="X640">
        <v>78</v>
      </c>
      <c r="Y640" t="s">
        <v>90</v>
      </c>
      <c r="Z640">
        <v>259</v>
      </c>
    </row>
    <row r="641" spans="1:26" x14ac:dyDescent="0.3">
      <c r="A641">
        <v>640</v>
      </c>
      <c r="B641" t="s">
        <v>1515</v>
      </c>
      <c r="C641" t="s">
        <v>11</v>
      </c>
      <c r="D641" t="s">
        <v>67</v>
      </c>
      <c r="E641" t="s">
        <v>6352</v>
      </c>
      <c r="F641" t="s">
        <v>6385</v>
      </c>
      <c r="G641" t="s">
        <v>6389</v>
      </c>
      <c r="J641">
        <f>AVERAGE(ai_job_market[[#This Row],[min_salary]],ai_job_market[[#This Row],[max_salary]])</f>
        <v>165886</v>
      </c>
      <c r="K641"/>
      <c r="L641" t="s">
        <v>27</v>
      </c>
      <c r="M641" t="s">
        <v>15</v>
      </c>
      <c r="N641" t="s">
        <v>5091</v>
      </c>
      <c r="O641" t="s">
        <v>4337</v>
      </c>
      <c r="P641">
        <v>147850</v>
      </c>
      <c r="Q641">
        <v>183922</v>
      </c>
      <c r="R641" s="2">
        <v>45699</v>
      </c>
      <c r="S641" t="s">
        <v>16</v>
      </c>
      <c r="T641" t="s">
        <v>90</v>
      </c>
      <c r="W641" t="s">
        <v>6352</v>
      </c>
      <c r="X641">
        <v>97</v>
      </c>
      <c r="Y641" t="s">
        <v>90</v>
      </c>
      <c r="Z641">
        <v>259</v>
      </c>
    </row>
    <row r="642" spans="1:26" x14ac:dyDescent="0.3">
      <c r="A642">
        <v>641</v>
      </c>
      <c r="B642" t="s">
        <v>1517</v>
      </c>
      <c r="C642" t="s">
        <v>45</v>
      </c>
      <c r="D642" t="s">
        <v>135</v>
      </c>
      <c r="E642" t="s">
        <v>6349</v>
      </c>
      <c r="F642" t="s">
        <v>6384</v>
      </c>
      <c r="G642" t="s">
        <v>6387</v>
      </c>
      <c r="H642" t="s">
        <v>6391</v>
      </c>
      <c r="J642">
        <f>AVERAGE(ai_job_market[[#This Row],[min_salary]],ai_job_market[[#This Row],[max_salary]])</f>
        <v>172673</v>
      </c>
      <c r="K642"/>
      <c r="L642" t="s">
        <v>14</v>
      </c>
      <c r="M642" t="s">
        <v>37</v>
      </c>
      <c r="N642" t="s">
        <v>5092</v>
      </c>
      <c r="O642" t="s">
        <v>4556</v>
      </c>
      <c r="P642">
        <v>140539</v>
      </c>
      <c r="Q642">
        <v>204807</v>
      </c>
      <c r="R642" s="2">
        <v>45657</v>
      </c>
      <c r="S642" t="s">
        <v>14</v>
      </c>
      <c r="T642" t="s">
        <v>52</v>
      </c>
      <c r="U642" t="s">
        <v>6379</v>
      </c>
      <c r="W642" t="s">
        <v>6349</v>
      </c>
      <c r="X642">
        <v>96</v>
      </c>
      <c r="Y642" t="s">
        <v>52</v>
      </c>
      <c r="Z642">
        <v>238</v>
      </c>
    </row>
    <row r="643" spans="1:26" x14ac:dyDescent="0.3">
      <c r="A643">
        <v>642</v>
      </c>
      <c r="B643" t="s">
        <v>1519</v>
      </c>
      <c r="C643" t="s">
        <v>34</v>
      </c>
      <c r="D643" t="s">
        <v>54</v>
      </c>
      <c r="E643" t="s">
        <v>6352</v>
      </c>
      <c r="F643" t="s">
        <v>6391</v>
      </c>
      <c r="G643" t="s">
        <v>6392</v>
      </c>
      <c r="H643" t="s">
        <v>6374</v>
      </c>
      <c r="I643" t="s">
        <v>6384</v>
      </c>
      <c r="J643">
        <f>AVERAGE(ai_job_market[[#This Row],[min_salary]],ai_job_market[[#This Row],[max_salary]])</f>
        <v>73378.5</v>
      </c>
      <c r="K643" t="s">
        <v>6396</v>
      </c>
      <c r="L643" t="s">
        <v>22</v>
      </c>
      <c r="M643" t="s">
        <v>37</v>
      </c>
      <c r="N643" t="s">
        <v>5093</v>
      </c>
      <c r="O643" t="s">
        <v>4297</v>
      </c>
      <c r="P643">
        <v>60724</v>
      </c>
      <c r="Q643">
        <v>86033</v>
      </c>
      <c r="R643" s="2">
        <v>45334</v>
      </c>
      <c r="S643" t="s">
        <v>69</v>
      </c>
      <c r="T643" t="s">
        <v>77</v>
      </c>
      <c r="U643" t="s">
        <v>6383</v>
      </c>
      <c r="V643" t="s">
        <v>6384</v>
      </c>
      <c r="W643" t="s">
        <v>6352</v>
      </c>
      <c r="X643">
        <v>97</v>
      </c>
      <c r="Y643" t="s">
        <v>77</v>
      </c>
      <c r="Z643">
        <v>251</v>
      </c>
    </row>
    <row r="644" spans="1:26" x14ac:dyDescent="0.3">
      <c r="A644">
        <v>643</v>
      </c>
      <c r="B644" t="s">
        <v>1521</v>
      </c>
      <c r="C644" t="s">
        <v>40</v>
      </c>
      <c r="D644" t="s">
        <v>67</v>
      </c>
      <c r="E644" t="s">
        <v>6345</v>
      </c>
      <c r="F644" t="s">
        <v>6392</v>
      </c>
      <c r="G644" t="s">
        <v>6393</v>
      </c>
      <c r="H644" t="s">
        <v>6384</v>
      </c>
      <c r="J644">
        <f>AVERAGE(ai_job_market[[#This Row],[min_salary]],ai_job_market[[#This Row],[max_salary]])</f>
        <v>89244.5</v>
      </c>
      <c r="K644"/>
      <c r="L644" t="s">
        <v>27</v>
      </c>
      <c r="M644" t="s">
        <v>37</v>
      </c>
      <c r="N644" t="s">
        <v>5094</v>
      </c>
      <c r="O644" t="s">
        <v>4536</v>
      </c>
      <c r="P644">
        <v>71064</v>
      </c>
      <c r="Q644">
        <v>107425</v>
      </c>
      <c r="R644" s="2">
        <v>45737</v>
      </c>
      <c r="S644" t="s">
        <v>14</v>
      </c>
      <c r="T644" t="s">
        <v>90</v>
      </c>
      <c r="W644" t="s">
        <v>6345</v>
      </c>
      <c r="X644">
        <v>101</v>
      </c>
      <c r="Y644" t="s">
        <v>90</v>
      </c>
      <c r="Z644">
        <v>259</v>
      </c>
    </row>
    <row r="645" spans="1:26" x14ac:dyDescent="0.3">
      <c r="A645">
        <v>644</v>
      </c>
      <c r="B645" t="s">
        <v>1523</v>
      </c>
      <c r="C645" t="s">
        <v>49</v>
      </c>
      <c r="D645" t="s">
        <v>135</v>
      </c>
      <c r="E645" t="s">
        <v>6354</v>
      </c>
      <c r="F645" t="s">
        <v>6384</v>
      </c>
      <c r="G645" t="s">
        <v>6378</v>
      </c>
      <c r="H645" t="s">
        <v>6395</v>
      </c>
      <c r="I645" t="s">
        <v>6379</v>
      </c>
      <c r="J645">
        <f>AVERAGE(ai_job_market[[#This Row],[min_salary]],ai_job_market[[#This Row],[max_salary]])</f>
        <v>90329.5</v>
      </c>
      <c r="K645" t="s">
        <v>6389</v>
      </c>
      <c r="L645" t="s">
        <v>27</v>
      </c>
      <c r="M645" t="s">
        <v>37</v>
      </c>
      <c r="N645" t="s">
        <v>5095</v>
      </c>
      <c r="O645" t="s">
        <v>4640</v>
      </c>
      <c r="P645">
        <v>41074</v>
      </c>
      <c r="Q645">
        <v>139585</v>
      </c>
      <c r="R645" s="2">
        <v>45446</v>
      </c>
      <c r="S645" t="s">
        <v>69</v>
      </c>
      <c r="T645" t="s">
        <v>157</v>
      </c>
      <c r="W645" t="s">
        <v>6354</v>
      </c>
      <c r="X645">
        <v>75</v>
      </c>
      <c r="Y645" t="s">
        <v>157</v>
      </c>
      <c r="Z645">
        <v>247</v>
      </c>
    </row>
    <row r="646" spans="1:26" x14ac:dyDescent="0.3">
      <c r="A646">
        <v>645</v>
      </c>
      <c r="B646" t="s">
        <v>1525</v>
      </c>
      <c r="C646" t="s">
        <v>19</v>
      </c>
      <c r="D646" t="s">
        <v>54</v>
      </c>
      <c r="E646" t="s">
        <v>6353</v>
      </c>
      <c r="F646" t="s">
        <v>6386</v>
      </c>
      <c r="G646" t="s">
        <v>6397</v>
      </c>
      <c r="H646" t="s">
        <v>6389</v>
      </c>
      <c r="J646">
        <f>AVERAGE(ai_job_market[[#This Row],[min_salary]],ai_job_market[[#This Row],[max_salary]])</f>
        <v>114685.5</v>
      </c>
      <c r="K646"/>
      <c r="L646" t="s">
        <v>27</v>
      </c>
      <c r="M646" t="s">
        <v>51</v>
      </c>
      <c r="N646" t="s">
        <v>5096</v>
      </c>
      <c r="O646" t="s">
        <v>4427</v>
      </c>
      <c r="P646">
        <v>88875</v>
      </c>
      <c r="Q646">
        <v>140496</v>
      </c>
      <c r="R646" s="2">
        <v>45387</v>
      </c>
      <c r="S646" t="s">
        <v>14</v>
      </c>
      <c r="T646" t="s">
        <v>77</v>
      </c>
      <c r="U646" t="s">
        <v>6388</v>
      </c>
      <c r="V646" t="s">
        <v>6375</v>
      </c>
      <c r="W646" t="s">
        <v>6353</v>
      </c>
      <c r="X646">
        <v>86</v>
      </c>
      <c r="Y646" t="s">
        <v>77</v>
      </c>
      <c r="Z646">
        <v>251</v>
      </c>
    </row>
    <row r="647" spans="1:26" x14ac:dyDescent="0.3">
      <c r="A647">
        <v>646</v>
      </c>
      <c r="B647" t="s">
        <v>1528</v>
      </c>
      <c r="C647" t="s">
        <v>19</v>
      </c>
      <c r="D647" t="s">
        <v>135</v>
      </c>
      <c r="E647" t="s">
        <v>6347</v>
      </c>
      <c r="F647" t="s">
        <v>6378</v>
      </c>
      <c r="G647" t="s">
        <v>6389</v>
      </c>
      <c r="H647" t="s">
        <v>6379</v>
      </c>
      <c r="J647">
        <f>AVERAGE(ai_job_market[[#This Row],[min_salary]],ai_job_market[[#This Row],[max_salary]])</f>
        <v>78521.5</v>
      </c>
      <c r="K647"/>
      <c r="L647" t="s">
        <v>14</v>
      </c>
      <c r="M647" t="s">
        <v>51</v>
      </c>
      <c r="N647" t="s">
        <v>5097</v>
      </c>
      <c r="O647" t="s">
        <v>4495</v>
      </c>
      <c r="P647">
        <v>42720</v>
      </c>
      <c r="Q647">
        <v>114323</v>
      </c>
      <c r="R647" s="2">
        <v>45218</v>
      </c>
      <c r="S647" t="s">
        <v>16</v>
      </c>
      <c r="T647" t="s">
        <v>128</v>
      </c>
      <c r="W647" t="s">
        <v>6347</v>
      </c>
      <c r="X647">
        <v>94</v>
      </c>
      <c r="Y647" t="s">
        <v>128</v>
      </c>
      <c r="Z647">
        <v>233</v>
      </c>
    </row>
    <row r="648" spans="1:26" x14ac:dyDescent="0.3">
      <c r="A648">
        <v>647</v>
      </c>
      <c r="B648" t="s">
        <v>1530</v>
      </c>
      <c r="C648" t="s">
        <v>49</v>
      </c>
      <c r="D648" t="s">
        <v>54</v>
      </c>
      <c r="E648" t="s">
        <v>70</v>
      </c>
      <c r="F648" t="s">
        <v>6397</v>
      </c>
      <c r="G648" t="s">
        <v>6386</v>
      </c>
      <c r="J648">
        <f>AVERAGE(ai_job_market[[#This Row],[min_salary]],ai_job_market[[#This Row],[max_salary]])</f>
        <v>73192.5</v>
      </c>
      <c r="K648"/>
      <c r="L648" t="s">
        <v>27</v>
      </c>
      <c r="M648" t="s">
        <v>15</v>
      </c>
      <c r="N648" t="s">
        <v>4381</v>
      </c>
      <c r="O648" t="s">
        <v>5098</v>
      </c>
      <c r="P648">
        <v>48928</v>
      </c>
      <c r="Q648">
        <v>97457</v>
      </c>
      <c r="R648" s="2">
        <v>45575</v>
      </c>
      <c r="S648" t="s">
        <v>16</v>
      </c>
      <c r="T648" t="s">
        <v>128</v>
      </c>
      <c r="U648" t="s">
        <v>6379</v>
      </c>
      <c r="V648" t="s">
        <v>6383</v>
      </c>
      <c r="W648" t="s">
        <v>70</v>
      </c>
      <c r="X648">
        <v>100</v>
      </c>
      <c r="Y648" t="s">
        <v>128</v>
      </c>
      <c r="Z648">
        <v>233</v>
      </c>
    </row>
    <row r="649" spans="1:26" x14ac:dyDescent="0.3">
      <c r="A649">
        <v>648</v>
      </c>
      <c r="B649" t="s">
        <v>1532</v>
      </c>
      <c r="C649" t="s">
        <v>40</v>
      </c>
      <c r="D649" t="s">
        <v>25</v>
      </c>
      <c r="E649" t="s">
        <v>70</v>
      </c>
      <c r="F649" t="s">
        <v>6387</v>
      </c>
      <c r="G649" t="s">
        <v>6391</v>
      </c>
      <c r="H649" t="s">
        <v>6380</v>
      </c>
      <c r="J649" s="6">
        <f>AVERAGE(ai_job_market[[#This Row],[min_salary]],ai_job_market[[#This Row],[max_salary]])</f>
        <v>90356</v>
      </c>
      <c r="K649"/>
      <c r="L649" t="s">
        <v>27</v>
      </c>
      <c r="M649" t="s">
        <v>37</v>
      </c>
      <c r="N649" t="s">
        <v>5099</v>
      </c>
      <c r="O649" t="s">
        <v>4767</v>
      </c>
      <c r="P649" s="5">
        <v>62352</v>
      </c>
      <c r="Q649" s="5">
        <v>118360</v>
      </c>
      <c r="R649" s="2">
        <v>45218</v>
      </c>
      <c r="S649" t="s">
        <v>69</v>
      </c>
      <c r="T649" t="s">
        <v>101</v>
      </c>
      <c r="U649" t="s">
        <v>6388</v>
      </c>
      <c r="V649" t="s">
        <v>6375</v>
      </c>
      <c r="W649" t="s">
        <v>70</v>
      </c>
      <c r="X649">
        <v>100</v>
      </c>
      <c r="Y649" t="s">
        <v>101</v>
      </c>
      <c r="Z649">
        <v>255</v>
      </c>
    </row>
    <row r="650" spans="1:26" x14ac:dyDescent="0.3">
      <c r="A650">
        <v>649</v>
      </c>
      <c r="B650" t="s">
        <v>1534</v>
      </c>
      <c r="C650" t="s">
        <v>72</v>
      </c>
      <c r="D650" t="s">
        <v>35</v>
      </c>
      <c r="E650" t="s">
        <v>6351</v>
      </c>
      <c r="F650" t="s">
        <v>6376</v>
      </c>
      <c r="G650" t="s">
        <v>6396</v>
      </c>
      <c r="H650" t="s">
        <v>6381</v>
      </c>
      <c r="J650">
        <f>AVERAGE(ai_job_market[[#This Row],[min_salary]],ai_job_market[[#This Row],[max_salary]])</f>
        <v>99580.5</v>
      </c>
      <c r="K650"/>
      <c r="L650" t="s">
        <v>27</v>
      </c>
      <c r="M650" t="s">
        <v>15</v>
      </c>
      <c r="N650" t="s">
        <v>5100</v>
      </c>
      <c r="O650" t="s">
        <v>4556</v>
      </c>
      <c r="P650">
        <v>71987</v>
      </c>
      <c r="Q650">
        <v>127174</v>
      </c>
      <c r="R650" s="2">
        <v>45258</v>
      </c>
      <c r="S650" t="s">
        <v>14</v>
      </c>
      <c r="T650" t="s">
        <v>80</v>
      </c>
      <c r="W650" t="s">
        <v>6351</v>
      </c>
      <c r="X650">
        <v>89</v>
      </c>
      <c r="Y650" t="s">
        <v>80</v>
      </c>
      <c r="Z650">
        <v>249</v>
      </c>
    </row>
    <row r="651" spans="1:26" x14ac:dyDescent="0.3">
      <c r="A651">
        <v>650</v>
      </c>
      <c r="B651" t="s">
        <v>1536</v>
      </c>
      <c r="C651" t="s">
        <v>19</v>
      </c>
      <c r="D651" t="s">
        <v>25</v>
      </c>
      <c r="E651" t="s">
        <v>6359</v>
      </c>
      <c r="F651" t="s">
        <v>6379</v>
      </c>
      <c r="G651" t="s">
        <v>6380</v>
      </c>
      <c r="J651">
        <f>AVERAGE(ai_job_market[[#This Row],[min_salary]],ai_job_market[[#This Row],[max_salary]])</f>
        <v>128117</v>
      </c>
      <c r="K651"/>
      <c r="L651" t="s">
        <v>22</v>
      </c>
      <c r="M651" t="s">
        <v>51</v>
      </c>
      <c r="N651" t="s">
        <v>5101</v>
      </c>
      <c r="O651" t="s">
        <v>4343</v>
      </c>
      <c r="P651">
        <v>96588</v>
      </c>
      <c r="Q651">
        <v>159646</v>
      </c>
      <c r="R651" s="2">
        <v>45411</v>
      </c>
      <c r="S651" t="s">
        <v>69</v>
      </c>
      <c r="T651" t="s">
        <v>52</v>
      </c>
      <c r="U651" t="s">
        <v>6376</v>
      </c>
      <c r="V651" t="s">
        <v>6378</v>
      </c>
      <c r="W651" t="s">
        <v>6359</v>
      </c>
      <c r="X651">
        <v>104</v>
      </c>
      <c r="Y651" t="s">
        <v>52</v>
      </c>
      <c r="Z651">
        <v>238</v>
      </c>
    </row>
    <row r="652" spans="1:26" x14ac:dyDescent="0.3">
      <c r="A652">
        <v>651</v>
      </c>
      <c r="B652" t="s">
        <v>1539</v>
      </c>
      <c r="C652" t="s">
        <v>40</v>
      </c>
      <c r="D652" t="s">
        <v>67</v>
      </c>
      <c r="E652" t="s">
        <v>6349</v>
      </c>
      <c r="F652" t="s">
        <v>6385</v>
      </c>
      <c r="G652" t="s">
        <v>6391</v>
      </c>
      <c r="H652" t="s">
        <v>6378</v>
      </c>
      <c r="I652" t="s">
        <v>6380</v>
      </c>
      <c r="J652">
        <f>AVERAGE(ai_job_market[[#This Row],[min_salary]],ai_job_market[[#This Row],[max_salary]])</f>
        <v>150943.5</v>
      </c>
      <c r="K652" t="s">
        <v>6376</v>
      </c>
      <c r="L652" t="s">
        <v>27</v>
      </c>
      <c r="M652" t="s">
        <v>42</v>
      </c>
      <c r="N652" t="s">
        <v>5102</v>
      </c>
      <c r="O652" t="s">
        <v>4646</v>
      </c>
      <c r="P652">
        <v>112609</v>
      </c>
      <c r="Q652">
        <v>189278</v>
      </c>
      <c r="R652" s="2">
        <v>45276</v>
      </c>
      <c r="S652" t="s">
        <v>14</v>
      </c>
      <c r="T652" t="s">
        <v>101</v>
      </c>
      <c r="W652" t="s">
        <v>6349</v>
      </c>
      <c r="X652">
        <v>96</v>
      </c>
      <c r="Y652" t="s">
        <v>101</v>
      </c>
      <c r="Z652">
        <v>255</v>
      </c>
    </row>
    <row r="653" spans="1:26" x14ac:dyDescent="0.3">
      <c r="A653">
        <v>652</v>
      </c>
      <c r="B653" t="s">
        <v>1541</v>
      </c>
      <c r="C653" t="s">
        <v>45</v>
      </c>
      <c r="D653" t="s">
        <v>30</v>
      </c>
      <c r="E653" t="s">
        <v>6354</v>
      </c>
      <c r="F653" t="s">
        <v>6385</v>
      </c>
      <c r="G653" t="s">
        <v>6396</v>
      </c>
      <c r="J653">
        <f>AVERAGE(ai_job_market[[#This Row],[min_salary]],ai_job_market[[#This Row],[max_salary]])</f>
        <v>81549.5</v>
      </c>
      <c r="K653"/>
      <c r="L653" t="s">
        <v>22</v>
      </c>
      <c r="M653" t="s">
        <v>15</v>
      </c>
      <c r="N653" t="s">
        <v>5103</v>
      </c>
      <c r="O653" t="s">
        <v>4329</v>
      </c>
      <c r="P653">
        <v>63732</v>
      </c>
      <c r="Q653">
        <v>99367</v>
      </c>
      <c r="R653" s="2">
        <v>45853</v>
      </c>
      <c r="S653" t="s">
        <v>14</v>
      </c>
      <c r="T653" t="s">
        <v>52</v>
      </c>
      <c r="U653" t="s">
        <v>6384</v>
      </c>
      <c r="V653" t="s">
        <v>6378</v>
      </c>
      <c r="W653" t="s">
        <v>6354</v>
      </c>
      <c r="X653">
        <v>75</v>
      </c>
      <c r="Y653" t="s">
        <v>52</v>
      </c>
      <c r="Z653">
        <v>238</v>
      </c>
    </row>
    <row r="654" spans="1:26" x14ac:dyDescent="0.3">
      <c r="A654">
        <v>653</v>
      </c>
      <c r="B654" t="s">
        <v>1543</v>
      </c>
      <c r="C654" t="s">
        <v>11</v>
      </c>
      <c r="D654" t="s">
        <v>30</v>
      </c>
      <c r="E654" t="s">
        <v>6353</v>
      </c>
      <c r="F654" t="s">
        <v>6393</v>
      </c>
      <c r="G654" t="s">
        <v>6396</v>
      </c>
      <c r="H654" t="s">
        <v>6390</v>
      </c>
      <c r="J654">
        <f>AVERAGE(ai_job_market[[#This Row],[min_salary]],ai_job_market[[#This Row],[max_salary]])</f>
        <v>182196.5</v>
      </c>
      <c r="K654"/>
      <c r="L654" t="s">
        <v>27</v>
      </c>
      <c r="M654" t="s">
        <v>42</v>
      </c>
      <c r="N654" t="s">
        <v>5104</v>
      </c>
      <c r="O654" t="s">
        <v>4307</v>
      </c>
      <c r="P654">
        <v>139447</v>
      </c>
      <c r="Q654">
        <v>224946</v>
      </c>
      <c r="R654" s="2">
        <v>45633</v>
      </c>
      <c r="S654" t="s">
        <v>14</v>
      </c>
      <c r="T654" t="s">
        <v>77</v>
      </c>
      <c r="W654" t="s">
        <v>6353</v>
      </c>
      <c r="X654">
        <v>86</v>
      </c>
      <c r="Y654" t="s">
        <v>77</v>
      </c>
      <c r="Z654">
        <v>251</v>
      </c>
    </row>
    <row r="655" spans="1:26" x14ac:dyDescent="0.3">
      <c r="A655">
        <v>654</v>
      </c>
      <c r="B655" t="s">
        <v>1545</v>
      </c>
      <c r="C655" t="s">
        <v>49</v>
      </c>
      <c r="D655" t="s">
        <v>54</v>
      </c>
      <c r="E655" t="s">
        <v>70</v>
      </c>
      <c r="F655" t="s">
        <v>6384</v>
      </c>
      <c r="G655" t="s">
        <v>6385</v>
      </c>
      <c r="H655" t="s">
        <v>6395</v>
      </c>
      <c r="I655" t="s">
        <v>6389</v>
      </c>
      <c r="J655">
        <f>AVERAGE(ai_job_market[[#This Row],[min_salary]],ai_job_market[[#This Row],[max_salary]])</f>
        <v>136828</v>
      </c>
      <c r="K655" t="s">
        <v>6386</v>
      </c>
      <c r="L655" t="s">
        <v>14</v>
      </c>
      <c r="M655" t="s">
        <v>37</v>
      </c>
      <c r="N655" t="s">
        <v>5105</v>
      </c>
      <c r="O655" t="s">
        <v>4678</v>
      </c>
      <c r="P655">
        <v>130455</v>
      </c>
      <c r="Q655">
        <v>143201</v>
      </c>
      <c r="R655" s="2">
        <v>45347</v>
      </c>
      <c r="S655" t="s">
        <v>16</v>
      </c>
      <c r="T655" t="s">
        <v>70</v>
      </c>
      <c r="U655" t="s">
        <v>6376</v>
      </c>
      <c r="V655" t="s">
        <v>6375</v>
      </c>
      <c r="W655" t="s">
        <v>70</v>
      </c>
      <c r="X655">
        <v>100</v>
      </c>
      <c r="Y655" t="s">
        <v>70</v>
      </c>
      <c r="Z655">
        <v>268</v>
      </c>
    </row>
    <row r="656" spans="1:26" x14ac:dyDescent="0.3">
      <c r="A656">
        <v>655</v>
      </c>
      <c r="B656" t="s">
        <v>1547</v>
      </c>
      <c r="C656" t="s">
        <v>11</v>
      </c>
      <c r="D656" t="s">
        <v>20</v>
      </c>
      <c r="E656" t="s">
        <v>6347</v>
      </c>
      <c r="F656" t="s">
        <v>6390</v>
      </c>
      <c r="G656" t="s">
        <v>6380</v>
      </c>
      <c r="H656" t="s">
        <v>6375</v>
      </c>
      <c r="I656" t="s">
        <v>6389</v>
      </c>
      <c r="J656">
        <f>AVERAGE(ai_job_market[[#This Row],[min_salary]],ai_job_market[[#This Row],[max_salary]])</f>
        <v>81691</v>
      </c>
      <c r="K656" t="s">
        <v>6394</v>
      </c>
      <c r="L656" t="s">
        <v>14</v>
      </c>
      <c r="M656" t="s">
        <v>42</v>
      </c>
      <c r="N656" t="s">
        <v>5106</v>
      </c>
      <c r="O656" t="s">
        <v>4596</v>
      </c>
      <c r="P656">
        <v>69015</v>
      </c>
      <c r="Q656">
        <v>94367</v>
      </c>
      <c r="R656" s="2">
        <v>45490</v>
      </c>
      <c r="S656" t="s">
        <v>14</v>
      </c>
      <c r="T656" t="s">
        <v>128</v>
      </c>
      <c r="W656" t="s">
        <v>6347</v>
      </c>
      <c r="X656">
        <v>94</v>
      </c>
      <c r="Y656" t="s">
        <v>128</v>
      </c>
      <c r="Z656">
        <v>233</v>
      </c>
    </row>
    <row r="657" spans="1:26" x14ac:dyDescent="0.3">
      <c r="A657">
        <v>656</v>
      </c>
      <c r="B657" t="s">
        <v>1549</v>
      </c>
      <c r="C657" t="s">
        <v>19</v>
      </c>
      <c r="D657" t="s">
        <v>25</v>
      </c>
      <c r="E657" t="s">
        <v>6350</v>
      </c>
      <c r="F657" t="s">
        <v>6395</v>
      </c>
      <c r="G657" t="s">
        <v>6382</v>
      </c>
      <c r="J657">
        <f>AVERAGE(ai_job_market[[#This Row],[min_salary]],ai_job_market[[#This Row],[max_salary]])</f>
        <v>78434.5</v>
      </c>
      <c r="K657"/>
      <c r="L657" t="s">
        <v>14</v>
      </c>
      <c r="M657" t="s">
        <v>15</v>
      </c>
      <c r="N657" t="s">
        <v>5107</v>
      </c>
      <c r="O657" t="s">
        <v>4410</v>
      </c>
      <c r="P657">
        <v>70351</v>
      </c>
      <c r="Q657">
        <v>86518</v>
      </c>
      <c r="R657" s="2">
        <v>45819</v>
      </c>
      <c r="S657" t="s">
        <v>16</v>
      </c>
      <c r="T657" t="s">
        <v>52</v>
      </c>
      <c r="W657" t="s">
        <v>6350</v>
      </c>
      <c r="X657">
        <v>84</v>
      </c>
      <c r="Y657" t="s">
        <v>52</v>
      </c>
      <c r="Z657">
        <v>238</v>
      </c>
    </row>
    <row r="658" spans="1:26" x14ac:dyDescent="0.3">
      <c r="A658">
        <v>657</v>
      </c>
      <c r="B658" t="s">
        <v>1551</v>
      </c>
      <c r="C658" t="s">
        <v>49</v>
      </c>
      <c r="D658" t="s">
        <v>67</v>
      </c>
      <c r="E658" t="s">
        <v>101</v>
      </c>
      <c r="F658" t="s">
        <v>6375</v>
      </c>
      <c r="G658" t="s">
        <v>6387</v>
      </c>
      <c r="H658" t="s">
        <v>6378</v>
      </c>
      <c r="I658" t="s">
        <v>6396</v>
      </c>
      <c r="J658">
        <f>AVERAGE(ai_job_market[[#This Row],[min_salary]],ai_job_market[[#This Row],[max_salary]])</f>
        <v>57113</v>
      </c>
      <c r="K658" t="s">
        <v>6394</v>
      </c>
      <c r="L658" t="s">
        <v>14</v>
      </c>
      <c r="M658" t="s">
        <v>51</v>
      </c>
      <c r="N658" t="s">
        <v>5108</v>
      </c>
      <c r="O658" t="s">
        <v>5109</v>
      </c>
      <c r="P658">
        <v>49069</v>
      </c>
      <c r="Q658">
        <v>65157</v>
      </c>
      <c r="R658" s="2">
        <v>45809</v>
      </c>
      <c r="S658" t="s">
        <v>14</v>
      </c>
      <c r="T658" t="s">
        <v>157</v>
      </c>
      <c r="U658" t="s">
        <v>6388</v>
      </c>
      <c r="V658" t="s">
        <v>6378</v>
      </c>
      <c r="W658" t="s">
        <v>101</v>
      </c>
      <c r="X658">
        <v>76</v>
      </c>
      <c r="Y658" t="s">
        <v>157</v>
      </c>
      <c r="Z658">
        <v>247</v>
      </c>
    </row>
    <row r="659" spans="1:26" x14ac:dyDescent="0.3">
      <c r="A659">
        <v>658</v>
      </c>
      <c r="B659" t="s">
        <v>1554</v>
      </c>
      <c r="C659" t="s">
        <v>49</v>
      </c>
      <c r="D659" t="s">
        <v>67</v>
      </c>
      <c r="E659" t="s">
        <v>6351</v>
      </c>
      <c r="F659" t="s">
        <v>6378</v>
      </c>
      <c r="G659" t="s">
        <v>6385</v>
      </c>
      <c r="H659" t="s">
        <v>6380</v>
      </c>
      <c r="J659">
        <f>AVERAGE(ai_job_market[[#This Row],[min_salary]],ai_job_market[[#This Row],[max_salary]])</f>
        <v>89075.5</v>
      </c>
      <c r="K659"/>
      <c r="L659" t="s">
        <v>14</v>
      </c>
      <c r="M659" t="s">
        <v>51</v>
      </c>
      <c r="N659" t="s">
        <v>5110</v>
      </c>
      <c r="O659" t="s">
        <v>4692</v>
      </c>
      <c r="P659">
        <v>74463</v>
      </c>
      <c r="Q659">
        <v>103688</v>
      </c>
      <c r="R659" s="2">
        <v>45612</v>
      </c>
      <c r="S659" t="s">
        <v>69</v>
      </c>
      <c r="T659" t="s">
        <v>52</v>
      </c>
      <c r="W659" t="s">
        <v>6351</v>
      </c>
      <c r="X659">
        <v>89</v>
      </c>
      <c r="Y659" t="s">
        <v>52</v>
      </c>
      <c r="Z659">
        <v>238</v>
      </c>
    </row>
    <row r="660" spans="1:26" x14ac:dyDescent="0.3">
      <c r="A660">
        <v>659</v>
      </c>
      <c r="B660" t="s">
        <v>1556</v>
      </c>
      <c r="C660" t="s">
        <v>11</v>
      </c>
      <c r="D660" t="s">
        <v>25</v>
      </c>
      <c r="E660" t="s">
        <v>6359</v>
      </c>
      <c r="F660" t="s">
        <v>6384</v>
      </c>
      <c r="G660" t="s">
        <v>6381</v>
      </c>
      <c r="H660" t="s">
        <v>6392</v>
      </c>
      <c r="I660" t="s">
        <v>6385</v>
      </c>
      <c r="J660" s="6">
        <f>AVERAGE(ai_job_market[[#This Row],[min_salary]],ai_job_market[[#This Row],[max_salary]])</f>
        <v>155592.5</v>
      </c>
      <c r="K660" t="s">
        <v>6390</v>
      </c>
      <c r="L660" t="s">
        <v>27</v>
      </c>
      <c r="M660" t="s">
        <v>51</v>
      </c>
      <c r="N660" t="s">
        <v>5111</v>
      </c>
      <c r="O660" t="s">
        <v>4624</v>
      </c>
      <c r="P660" s="5">
        <v>137479</v>
      </c>
      <c r="Q660" s="5">
        <v>173706</v>
      </c>
      <c r="R660" s="2">
        <v>45836</v>
      </c>
      <c r="S660" t="s">
        <v>16</v>
      </c>
      <c r="T660" t="s">
        <v>70</v>
      </c>
      <c r="U660" t="s">
        <v>6389</v>
      </c>
      <c r="V660" t="s">
        <v>6383</v>
      </c>
      <c r="W660" t="s">
        <v>6359</v>
      </c>
      <c r="X660">
        <v>104</v>
      </c>
      <c r="Y660" t="s">
        <v>70</v>
      </c>
      <c r="Z660">
        <v>268</v>
      </c>
    </row>
    <row r="661" spans="1:26" x14ac:dyDescent="0.3">
      <c r="A661">
        <v>660</v>
      </c>
      <c r="B661" t="s">
        <v>1559</v>
      </c>
      <c r="C661" t="s">
        <v>34</v>
      </c>
      <c r="D661" t="s">
        <v>30</v>
      </c>
      <c r="E661" t="s">
        <v>6348</v>
      </c>
      <c r="F661" t="s">
        <v>6394</v>
      </c>
      <c r="G661" t="s">
        <v>6384</v>
      </c>
      <c r="H661" t="s">
        <v>6387</v>
      </c>
      <c r="J661">
        <f>AVERAGE(ai_job_market[[#This Row],[min_salary]],ai_job_market[[#This Row],[max_salary]])</f>
        <v>61675</v>
      </c>
      <c r="K661"/>
      <c r="L661" t="s">
        <v>27</v>
      </c>
      <c r="M661" t="s">
        <v>51</v>
      </c>
      <c r="N661" t="s">
        <v>5112</v>
      </c>
      <c r="O661" t="s">
        <v>5113</v>
      </c>
      <c r="P661">
        <v>51735</v>
      </c>
      <c r="Q661">
        <v>71615</v>
      </c>
      <c r="R661" s="2">
        <v>45821</v>
      </c>
      <c r="S661" t="s">
        <v>16</v>
      </c>
      <c r="T661" t="s">
        <v>80</v>
      </c>
      <c r="U661" t="s">
        <v>6379</v>
      </c>
      <c r="W661" t="s">
        <v>6348</v>
      </c>
      <c r="X661">
        <v>78</v>
      </c>
      <c r="Y661" t="s">
        <v>80</v>
      </c>
      <c r="Z661">
        <v>249</v>
      </c>
    </row>
    <row r="662" spans="1:26" x14ac:dyDescent="0.3">
      <c r="A662">
        <v>661</v>
      </c>
      <c r="B662" t="s">
        <v>1561</v>
      </c>
      <c r="C662" t="s">
        <v>49</v>
      </c>
      <c r="D662" t="s">
        <v>54</v>
      </c>
      <c r="E662" t="s">
        <v>6355</v>
      </c>
      <c r="F662" t="s">
        <v>6375</v>
      </c>
      <c r="G662" t="s">
        <v>6387</v>
      </c>
      <c r="H662" t="s">
        <v>6376</v>
      </c>
      <c r="I662" t="s">
        <v>6386</v>
      </c>
      <c r="J662">
        <f>AVERAGE(ai_job_market[[#This Row],[min_salary]],ai_job_market[[#This Row],[max_salary]])</f>
        <v>120895.5</v>
      </c>
      <c r="K662" t="s">
        <v>6396</v>
      </c>
      <c r="L662" t="s">
        <v>14</v>
      </c>
      <c r="M662" t="s">
        <v>51</v>
      </c>
      <c r="N662" t="s">
        <v>4941</v>
      </c>
      <c r="O662" t="s">
        <v>4429</v>
      </c>
      <c r="P662">
        <v>105183</v>
      </c>
      <c r="Q662">
        <v>136608</v>
      </c>
      <c r="R662" s="2">
        <v>45681</v>
      </c>
      <c r="S662" t="s">
        <v>69</v>
      </c>
      <c r="T662" t="s">
        <v>52</v>
      </c>
      <c r="W662" t="s">
        <v>6355</v>
      </c>
      <c r="X662">
        <v>90</v>
      </c>
      <c r="Y662" t="s">
        <v>52</v>
      </c>
      <c r="Z662">
        <v>238</v>
      </c>
    </row>
    <row r="663" spans="1:26" x14ac:dyDescent="0.3">
      <c r="A663">
        <v>662</v>
      </c>
      <c r="B663" t="s">
        <v>1563</v>
      </c>
      <c r="C663" t="s">
        <v>34</v>
      </c>
      <c r="D663" t="s">
        <v>54</v>
      </c>
      <c r="E663" t="s">
        <v>6345</v>
      </c>
      <c r="F663" t="s">
        <v>6381</v>
      </c>
      <c r="G663" t="s">
        <v>6377</v>
      </c>
      <c r="H663" t="s">
        <v>6393</v>
      </c>
      <c r="I663" t="s">
        <v>6387</v>
      </c>
      <c r="J663">
        <f>AVERAGE(ai_job_market[[#This Row],[min_salary]],ai_job_market[[#This Row],[max_salary]])</f>
        <v>104723.5</v>
      </c>
      <c r="K663"/>
      <c r="L663" t="s">
        <v>27</v>
      </c>
      <c r="M663" t="s">
        <v>51</v>
      </c>
      <c r="N663" t="s">
        <v>5114</v>
      </c>
      <c r="O663" t="s">
        <v>4437</v>
      </c>
      <c r="P663">
        <v>80869</v>
      </c>
      <c r="Q663">
        <v>128578</v>
      </c>
      <c r="R663" s="2">
        <v>45647</v>
      </c>
      <c r="S663" t="s">
        <v>69</v>
      </c>
      <c r="T663" t="s">
        <v>77</v>
      </c>
      <c r="U663" t="s">
        <v>6379</v>
      </c>
      <c r="W663" t="s">
        <v>6345</v>
      </c>
      <c r="X663">
        <v>101</v>
      </c>
      <c r="Y663" t="s">
        <v>77</v>
      </c>
      <c r="Z663">
        <v>251</v>
      </c>
    </row>
    <row r="664" spans="1:26" x14ac:dyDescent="0.3">
      <c r="A664">
        <v>663</v>
      </c>
      <c r="B664" t="s">
        <v>1565</v>
      </c>
      <c r="C664" t="s">
        <v>11</v>
      </c>
      <c r="D664" t="s">
        <v>20</v>
      </c>
      <c r="E664" t="s">
        <v>6345</v>
      </c>
      <c r="F664" t="s">
        <v>6380</v>
      </c>
      <c r="G664" t="s">
        <v>6377</v>
      </c>
      <c r="H664" t="s">
        <v>6374</v>
      </c>
      <c r="I664" t="s">
        <v>6384</v>
      </c>
      <c r="J664">
        <f>AVERAGE(ai_job_market[[#This Row],[min_salary]],ai_job_market[[#This Row],[max_salary]])</f>
        <v>131496.5</v>
      </c>
      <c r="K664"/>
      <c r="L664" t="s">
        <v>22</v>
      </c>
      <c r="M664" t="s">
        <v>51</v>
      </c>
      <c r="N664" t="s">
        <v>5115</v>
      </c>
      <c r="O664" t="s">
        <v>4608</v>
      </c>
      <c r="P664">
        <v>94999</v>
      </c>
      <c r="Q664">
        <v>167994</v>
      </c>
      <c r="R664" s="2">
        <v>45672</v>
      </c>
      <c r="S664" t="s">
        <v>16</v>
      </c>
      <c r="T664" t="s">
        <v>157</v>
      </c>
      <c r="W664" t="s">
        <v>6345</v>
      </c>
      <c r="X664">
        <v>101</v>
      </c>
      <c r="Y664" t="s">
        <v>157</v>
      </c>
      <c r="Z664">
        <v>247</v>
      </c>
    </row>
    <row r="665" spans="1:26" x14ac:dyDescent="0.3">
      <c r="A665">
        <v>664</v>
      </c>
      <c r="B665" t="s">
        <v>379</v>
      </c>
      <c r="C665" t="s">
        <v>45</v>
      </c>
      <c r="D665" t="s">
        <v>135</v>
      </c>
      <c r="E665" t="s">
        <v>6349</v>
      </c>
      <c r="F665" t="s">
        <v>6393</v>
      </c>
      <c r="G665" t="s">
        <v>6387</v>
      </c>
      <c r="J665">
        <f>AVERAGE(ai_job_market[[#This Row],[min_salary]],ai_job_market[[#This Row],[max_salary]])</f>
        <v>132588</v>
      </c>
      <c r="K665"/>
      <c r="L665" t="s">
        <v>22</v>
      </c>
      <c r="M665" t="s">
        <v>51</v>
      </c>
      <c r="N665" t="s">
        <v>5116</v>
      </c>
      <c r="O665" t="s">
        <v>4395</v>
      </c>
      <c r="P665">
        <v>98295</v>
      </c>
      <c r="Q665">
        <v>166881</v>
      </c>
      <c r="R665" s="2">
        <v>45744</v>
      </c>
      <c r="S665" t="s">
        <v>69</v>
      </c>
      <c r="T665" t="s">
        <v>77</v>
      </c>
      <c r="W665" t="s">
        <v>6349</v>
      </c>
      <c r="X665">
        <v>96</v>
      </c>
      <c r="Y665" t="s">
        <v>77</v>
      </c>
      <c r="Z665">
        <v>251</v>
      </c>
    </row>
    <row r="666" spans="1:26" x14ac:dyDescent="0.3">
      <c r="A666">
        <v>665</v>
      </c>
      <c r="B666" t="s">
        <v>1568</v>
      </c>
      <c r="C666" t="s">
        <v>45</v>
      </c>
      <c r="D666" t="s">
        <v>135</v>
      </c>
      <c r="E666" t="s">
        <v>6355</v>
      </c>
      <c r="F666" t="s">
        <v>6376</v>
      </c>
      <c r="G666" t="s">
        <v>6397</v>
      </c>
      <c r="H666" t="s">
        <v>6386</v>
      </c>
      <c r="I666" t="s">
        <v>6379</v>
      </c>
      <c r="J666">
        <f>AVERAGE(ai_job_market[[#This Row],[min_salary]],ai_job_market[[#This Row],[max_salary]])</f>
        <v>119475</v>
      </c>
      <c r="K666" t="s">
        <v>6385</v>
      </c>
      <c r="L666" t="s">
        <v>27</v>
      </c>
      <c r="M666" t="s">
        <v>15</v>
      </c>
      <c r="N666" t="s">
        <v>5117</v>
      </c>
      <c r="O666" t="s">
        <v>4526</v>
      </c>
      <c r="P666">
        <v>84355</v>
      </c>
      <c r="Q666">
        <v>154595</v>
      </c>
      <c r="R666" s="2">
        <v>45239</v>
      </c>
      <c r="S666" t="s">
        <v>69</v>
      </c>
      <c r="T666" t="s">
        <v>80</v>
      </c>
      <c r="W666" t="s">
        <v>6355</v>
      </c>
      <c r="X666">
        <v>90</v>
      </c>
      <c r="Y666" t="s">
        <v>80</v>
      </c>
      <c r="Z666">
        <v>249</v>
      </c>
    </row>
    <row r="667" spans="1:26" x14ac:dyDescent="0.3">
      <c r="A667">
        <v>666</v>
      </c>
      <c r="B667" t="s">
        <v>1570</v>
      </c>
      <c r="C667" t="s">
        <v>11</v>
      </c>
      <c r="D667" t="s">
        <v>67</v>
      </c>
      <c r="E667" t="s">
        <v>128</v>
      </c>
      <c r="F667" t="s">
        <v>6396</v>
      </c>
      <c r="G667" t="s">
        <v>6376</v>
      </c>
      <c r="H667" t="s">
        <v>6384</v>
      </c>
      <c r="J667">
        <f>AVERAGE(ai_job_market[[#This Row],[min_salary]],ai_job_market[[#This Row],[max_salary]])</f>
        <v>119864.5</v>
      </c>
      <c r="K667"/>
      <c r="L667" t="s">
        <v>27</v>
      </c>
      <c r="M667" t="s">
        <v>51</v>
      </c>
      <c r="N667" t="s">
        <v>5118</v>
      </c>
      <c r="O667" t="s">
        <v>4794</v>
      </c>
      <c r="P667">
        <v>108703</v>
      </c>
      <c r="Q667">
        <v>131026</v>
      </c>
      <c r="R667" s="2">
        <v>45780</v>
      </c>
      <c r="S667" t="s">
        <v>14</v>
      </c>
      <c r="T667" t="s">
        <v>52</v>
      </c>
      <c r="W667" t="s">
        <v>128</v>
      </c>
      <c r="X667">
        <v>92</v>
      </c>
      <c r="Y667" t="s">
        <v>52</v>
      </c>
      <c r="Z667">
        <v>238</v>
      </c>
    </row>
    <row r="668" spans="1:26" x14ac:dyDescent="0.3">
      <c r="A668">
        <v>667</v>
      </c>
      <c r="B668" t="s">
        <v>1572</v>
      </c>
      <c r="C668" t="s">
        <v>72</v>
      </c>
      <c r="D668" t="s">
        <v>35</v>
      </c>
      <c r="E668" t="s">
        <v>101</v>
      </c>
      <c r="F668" t="s">
        <v>6377</v>
      </c>
      <c r="G668" t="s">
        <v>6386</v>
      </c>
      <c r="H668" t="s">
        <v>6378</v>
      </c>
      <c r="I668" t="s">
        <v>6396</v>
      </c>
      <c r="J668">
        <f>AVERAGE(ai_job_market[[#This Row],[min_salary]],ai_job_market[[#This Row],[max_salary]])</f>
        <v>64942.5</v>
      </c>
      <c r="K668" t="s">
        <v>6382</v>
      </c>
      <c r="L668" t="s">
        <v>27</v>
      </c>
      <c r="M668" t="s">
        <v>51</v>
      </c>
      <c r="N668" t="s">
        <v>5119</v>
      </c>
      <c r="O668" t="s">
        <v>4297</v>
      </c>
      <c r="P668">
        <v>45561</v>
      </c>
      <c r="Q668">
        <v>84324</v>
      </c>
      <c r="R668" s="2">
        <v>45688</v>
      </c>
      <c r="S668" t="s">
        <v>16</v>
      </c>
      <c r="T668" t="s">
        <v>101</v>
      </c>
      <c r="W668" t="s">
        <v>101</v>
      </c>
      <c r="X668">
        <v>76</v>
      </c>
      <c r="Y668" t="s">
        <v>101</v>
      </c>
      <c r="Z668">
        <v>255</v>
      </c>
    </row>
    <row r="669" spans="1:26" x14ac:dyDescent="0.3">
      <c r="A669">
        <v>668</v>
      </c>
      <c r="B669" t="s">
        <v>1574</v>
      </c>
      <c r="C669" t="s">
        <v>34</v>
      </c>
      <c r="D669" t="s">
        <v>67</v>
      </c>
      <c r="E669" t="s">
        <v>6354</v>
      </c>
      <c r="F669" t="s">
        <v>6387</v>
      </c>
      <c r="G669" t="s">
        <v>6377</v>
      </c>
      <c r="J669">
        <f>AVERAGE(ai_job_market[[#This Row],[min_salary]],ai_job_market[[#This Row],[max_salary]])</f>
        <v>98471.5</v>
      </c>
      <c r="K669"/>
      <c r="L669" t="s">
        <v>22</v>
      </c>
      <c r="M669" t="s">
        <v>42</v>
      </c>
      <c r="N669" t="s">
        <v>5120</v>
      </c>
      <c r="O669" t="s">
        <v>4437</v>
      </c>
      <c r="P669">
        <v>50662</v>
      </c>
      <c r="Q669">
        <v>146281</v>
      </c>
      <c r="R669" s="2">
        <v>45609</v>
      </c>
      <c r="S669" t="s">
        <v>16</v>
      </c>
      <c r="T669" t="s">
        <v>52</v>
      </c>
      <c r="U669" t="s">
        <v>6383</v>
      </c>
      <c r="W669" t="s">
        <v>6354</v>
      </c>
      <c r="X669">
        <v>75</v>
      </c>
      <c r="Y669" t="s">
        <v>52</v>
      </c>
      <c r="Z669">
        <v>238</v>
      </c>
    </row>
    <row r="670" spans="1:26" x14ac:dyDescent="0.3">
      <c r="A670">
        <v>669</v>
      </c>
      <c r="B670" t="s">
        <v>1576</v>
      </c>
      <c r="C670" t="s">
        <v>49</v>
      </c>
      <c r="D670" t="s">
        <v>12</v>
      </c>
      <c r="E670" t="s">
        <v>77</v>
      </c>
      <c r="F670" t="s">
        <v>6385</v>
      </c>
      <c r="G670" t="s">
        <v>6391</v>
      </c>
      <c r="H670" t="s">
        <v>6374</v>
      </c>
      <c r="I670" t="s">
        <v>6380</v>
      </c>
      <c r="J670" s="6">
        <f>AVERAGE(ai_job_market[[#This Row],[min_salary]],ai_job_market[[#This Row],[max_salary]])</f>
        <v>97053.5</v>
      </c>
      <c r="K670"/>
      <c r="L670" t="s">
        <v>22</v>
      </c>
      <c r="M670" t="s">
        <v>51</v>
      </c>
      <c r="N670" t="s">
        <v>5121</v>
      </c>
      <c r="O670" t="s">
        <v>4325</v>
      </c>
      <c r="P670" s="5">
        <v>75939</v>
      </c>
      <c r="Q670" s="5">
        <v>118168</v>
      </c>
      <c r="R670" s="2">
        <v>45698</v>
      </c>
      <c r="S670" t="s">
        <v>16</v>
      </c>
      <c r="T670" t="s">
        <v>128</v>
      </c>
      <c r="U670" t="s">
        <v>6388</v>
      </c>
      <c r="W670" t="s">
        <v>77</v>
      </c>
      <c r="X670">
        <v>111</v>
      </c>
      <c r="Y670" t="s">
        <v>128</v>
      </c>
      <c r="Z670">
        <v>233</v>
      </c>
    </row>
    <row r="671" spans="1:26" x14ac:dyDescent="0.3">
      <c r="A671">
        <v>670</v>
      </c>
      <c r="B671" t="s">
        <v>1578</v>
      </c>
      <c r="C671" t="s">
        <v>45</v>
      </c>
      <c r="D671" t="s">
        <v>54</v>
      </c>
      <c r="E671" t="s">
        <v>70</v>
      </c>
      <c r="F671" t="s">
        <v>6391</v>
      </c>
      <c r="G671" t="s">
        <v>6380</v>
      </c>
      <c r="H671" t="s">
        <v>6377</v>
      </c>
      <c r="J671">
        <f>AVERAGE(ai_job_market[[#This Row],[min_salary]],ai_job_market[[#This Row],[max_salary]])</f>
        <v>115333.5</v>
      </c>
      <c r="K671"/>
      <c r="L671" t="s">
        <v>27</v>
      </c>
      <c r="M671" t="s">
        <v>15</v>
      </c>
      <c r="N671" t="s">
        <v>5122</v>
      </c>
      <c r="O671" t="s">
        <v>5011</v>
      </c>
      <c r="P671">
        <v>75976</v>
      </c>
      <c r="Q671">
        <v>154691</v>
      </c>
      <c r="R671" s="2">
        <v>45514</v>
      </c>
      <c r="S671" t="s">
        <v>14</v>
      </c>
      <c r="T671" t="s">
        <v>157</v>
      </c>
      <c r="U671" t="s">
        <v>6379</v>
      </c>
      <c r="V671" t="s">
        <v>6375</v>
      </c>
      <c r="W671" t="s">
        <v>70</v>
      </c>
      <c r="X671">
        <v>100</v>
      </c>
      <c r="Y671" t="s">
        <v>157</v>
      </c>
      <c r="Z671">
        <v>247</v>
      </c>
    </row>
    <row r="672" spans="1:26" x14ac:dyDescent="0.3">
      <c r="A672">
        <v>671</v>
      </c>
      <c r="B672" t="s">
        <v>1581</v>
      </c>
      <c r="C672" t="s">
        <v>45</v>
      </c>
      <c r="D672" t="s">
        <v>35</v>
      </c>
      <c r="E672" t="s">
        <v>6355</v>
      </c>
      <c r="F672" t="s">
        <v>6375</v>
      </c>
      <c r="G672" t="s">
        <v>6396</v>
      </c>
      <c r="H672" t="s">
        <v>6387</v>
      </c>
      <c r="I672" t="s">
        <v>6394</v>
      </c>
      <c r="J672">
        <f>AVERAGE(ai_job_market[[#This Row],[min_salary]],ai_job_market[[#This Row],[max_salary]])</f>
        <v>79436.5</v>
      </c>
      <c r="K672"/>
      <c r="L672" t="s">
        <v>27</v>
      </c>
      <c r="M672" t="s">
        <v>42</v>
      </c>
      <c r="N672" t="s">
        <v>5123</v>
      </c>
      <c r="O672" t="s">
        <v>4506</v>
      </c>
      <c r="P672">
        <v>58623</v>
      </c>
      <c r="Q672">
        <v>100250</v>
      </c>
      <c r="R672" s="2">
        <v>45214</v>
      </c>
      <c r="S672" t="s">
        <v>69</v>
      </c>
      <c r="T672" t="s">
        <v>128</v>
      </c>
      <c r="U672" t="s">
        <v>6376</v>
      </c>
      <c r="V672" t="s">
        <v>6383</v>
      </c>
      <c r="W672" t="s">
        <v>6355</v>
      </c>
      <c r="X672">
        <v>90</v>
      </c>
      <c r="Y672" t="s">
        <v>128</v>
      </c>
      <c r="Z672">
        <v>233</v>
      </c>
    </row>
    <row r="673" spans="1:26" x14ac:dyDescent="0.3">
      <c r="A673">
        <v>672</v>
      </c>
      <c r="B673" t="s">
        <v>1583</v>
      </c>
      <c r="C673" t="s">
        <v>40</v>
      </c>
      <c r="D673" t="s">
        <v>20</v>
      </c>
      <c r="E673" t="s">
        <v>6353</v>
      </c>
      <c r="F673" t="s">
        <v>6389</v>
      </c>
      <c r="G673" t="s">
        <v>6386</v>
      </c>
      <c r="H673" t="s">
        <v>6392</v>
      </c>
      <c r="I673" t="s">
        <v>6385</v>
      </c>
      <c r="J673">
        <f>AVERAGE(ai_job_market[[#This Row],[min_salary]],ai_job_market[[#This Row],[max_salary]])</f>
        <v>108357.5</v>
      </c>
      <c r="K673"/>
      <c r="L673" t="s">
        <v>22</v>
      </c>
      <c r="M673" t="s">
        <v>51</v>
      </c>
      <c r="N673" t="s">
        <v>5124</v>
      </c>
      <c r="O673" t="s">
        <v>4521</v>
      </c>
      <c r="P673">
        <v>95737</v>
      </c>
      <c r="Q673">
        <v>120978</v>
      </c>
      <c r="R673" s="2">
        <v>45865</v>
      </c>
      <c r="S673" t="s">
        <v>16</v>
      </c>
      <c r="T673" t="s">
        <v>80</v>
      </c>
      <c r="U673" t="s">
        <v>6378</v>
      </c>
      <c r="W673" t="s">
        <v>6353</v>
      </c>
      <c r="X673">
        <v>86</v>
      </c>
      <c r="Y673" t="s">
        <v>80</v>
      </c>
      <c r="Z673">
        <v>249</v>
      </c>
    </row>
    <row r="674" spans="1:26" x14ac:dyDescent="0.3">
      <c r="A674">
        <v>673</v>
      </c>
      <c r="B674" t="s">
        <v>1585</v>
      </c>
      <c r="C674" t="s">
        <v>40</v>
      </c>
      <c r="D674" t="s">
        <v>25</v>
      </c>
      <c r="E674" t="s">
        <v>6352</v>
      </c>
      <c r="F674" t="s">
        <v>6374</v>
      </c>
      <c r="G674" t="s">
        <v>6384</v>
      </c>
      <c r="H674" t="s">
        <v>6378</v>
      </c>
      <c r="I674" t="s">
        <v>6381</v>
      </c>
      <c r="J674">
        <f>AVERAGE(ai_job_market[[#This Row],[min_salary]],ai_job_market[[#This Row],[max_salary]])</f>
        <v>101626</v>
      </c>
      <c r="K674" t="s">
        <v>6395</v>
      </c>
      <c r="L674" t="s">
        <v>22</v>
      </c>
      <c r="M674" t="s">
        <v>42</v>
      </c>
      <c r="N674" t="s">
        <v>5125</v>
      </c>
      <c r="O674" t="s">
        <v>4536</v>
      </c>
      <c r="P674">
        <v>86038</v>
      </c>
      <c r="Q674">
        <v>117214</v>
      </c>
      <c r="R674" s="2">
        <v>45669</v>
      </c>
      <c r="S674" t="s">
        <v>69</v>
      </c>
      <c r="T674" t="s">
        <v>70</v>
      </c>
      <c r="U674" t="s">
        <v>6375</v>
      </c>
      <c r="V674" t="s">
        <v>6388</v>
      </c>
      <c r="W674" t="s">
        <v>6352</v>
      </c>
      <c r="X674">
        <v>97</v>
      </c>
      <c r="Y674" t="s">
        <v>70</v>
      </c>
      <c r="Z674">
        <v>268</v>
      </c>
    </row>
    <row r="675" spans="1:26" x14ac:dyDescent="0.3">
      <c r="A675">
        <v>674</v>
      </c>
      <c r="B675" t="s">
        <v>1588</v>
      </c>
      <c r="C675" t="s">
        <v>19</v>
      </c>
      <c r="D675" t="s">
        <v>67</v>
      </c>
      <c r="E675" t="s">
        <v>6354</v>
      </c>
      <c r="F675" t="s">
        <v>6394</v>
      </c>
      <c r="G675" t="s">
        <v>6395</v>
      </c>
      <c r="H675" t="s">
        <v>6391</v>
      </c>
      <c r="I675" t="s">
        <v>6385</v>
      </c>
      <c r="J675">
        <f>AVERAGE(ai_job_market[[#This Row],[min_salary]],ai_job_market[[#This Row],[max_salary]])</f>
        <v>100551.5</v>
      </c>
      <c r="K675"/>
      <c r="L675" t="s">
        <v>27</v>
      </c>
      <c r="M675" t="s">
        <v>51</v>
      </c>
      <c r="N675" t="s">
        <v>5126</v>
      </c>
      <c r="O675" t="s">
        <v>4495</v>
      </c>
      <c r="P675">
        <v>52929</v>
      </c>
      <c r="Q675">
        <v>148174</v>
      </c>
      <c r="R675" s="2">
        <v>45656</v>
      </c>
      <c r="S675" t="s">
        <v>69</v>
      </c>
      <c r="T675" t="s">
        <v>128</v>
      </c>
      <c r="U675" t="s">
        <v>6389</v>
      </c>
      <c r="V675" t="s">
        <v>6383</v>
      </c>
      <c r="W675" t="s">
        <v>6354</v>
      </c>
      <c r="X675">
        <v>75</v>
      </c>
      <c r="Y675" t="s">
        <v>128</v>
      </c>
      <c r="Z675">
        <v>233</v>
      </c>
    </row>
    <row r="676" spans="1:26" x14ac:dyDescent="0.3">
      <c r="A676">
        <v>675</v>
      </c>
      <c r="B676" t="s">
        <v>1591</v>
      </c>
      <c r="C676" t="s">
        <v>72</v>
      </c>
      <c r="D676" t="s">
        <v>20</v>
      </c>
      <c r="E676" t="s">
        <v>6357</v>
      </c>
      <c r="F676" t="s">
        <v>6392</v>
      </c>
      <c r="G676" t="s">
        <v>6378</v>
      </c>
      <c r="H676" t="s">
        <v>6382</v>
      </c>
      <c r="I676" t="s">
        <v>6395</v>
      </c>
      <c r="J676">
        <f>AVERAGE(ai_job_market[[#This Row],[min_salary]],ai_job_market[[#This Row],[max_salary]])</f>
        <v>137700.5</v>
      </c>
      <c r="K676"/>
      <c r="L676" t="s">
        <v>22</v>
      </c>
      <c r="M676" t="s">
        <v>37</v>
      </c>
      <c r="N676" t="s">
        <v>5127</v>
      </c>
      <c r="O676" t="s">
        <v>4559</v>
      </c>
      <c r="P676">
        <v>94926</v>
      </c>
      <c r="Q676">
        <v>180475</v>
      </c>
      <c r="R676" s="2">
        <v>45881</v>
      </c>
      <c r="S676" t="s">
        <v>14</v>
      </c>
      <c r="T676" t="s">
        <v>77</v>
      </c>
      <c r="U676" t="s">
        <v>6375</v>
      </c>
      <c r="V676" t="s">
        <v>6389</v>
      </c>
      <c r="W676" t="s">
        <v>6357</v>
      </c>
      <c r="X676">
        <v>88</v>
      </c>
      <c r="Y676" t="s">
        <v>77</v>
      </c>
      <c r="Z676">
        <v>251</v>
      </c>
    </row>
    <row r="677" spans="1:26" x14ac:dyDescent="0.3">
      <c r="A677">
        <v>676</v>
      </c>
      <c r="B677" t="s">
        <v>1594</v>
      </c>
      <c r="C677" t="s">
        <v>49</v>
      </c>
      <c r="D677" t="s">
        <v>67</v>
      </c>
      <c r="E677" t="s">
        <v>6346</v>
      </c>
      <c r="F677" t="s">
        <v>6396</v>
      </c>
      <c r="G677" t="s">
        <v>6394</v>
      </c>
      <c r="H677" t="s">
        <v>6391</v>
      </c>
      <c r="I677" t="s">
        <v>6387</v>
      </c>
      <c r="J677">
        <f>AVERAGE(ai_job_market[[#This Row],[min_salary]],ai_job_market[[#This Row],[max_salary]])</f>
        <v>102361.5</v>
      </c>
      <c r="K677" t="s">
        <v>6382</v>
      </c>
      <c r="L677" t="s">
        <v>14</v>
      </c>
      <c r="M677" t="s">
        <v>51</v>
      </c>
      <c r="N677" t="s">
        <v>5128</v>
      </c>
      <c r="O677" t="s">
        <v>4476</v>
      </c>
      <c r="P677">
        <v>80350</v>
      </c>
      <c r="Q677">
        <v>124373</v>
      </c>
      <c r="R677" s="2">
        <v>45317</v>
      </c>
      <c r="S677" t="s">
        <v>16</v>
      </c>
      <c r="T677" t="s">
        <v>90</v>
      </c>
      <c r="U677" t="s">
        <v>6388</v>
      </c>
      <c r="W677" t="s">
        <v>6346</v>
      </c>
      <c r="X677">
        <v>78</v>
      </c>
      <c r="Y677" t="s">
        <v>90</v>
      </c>
      <c r="Z677">
        <v>259</v>
      </c>
    </row>
    <row r="678" spans="1:26" x14ac:dyDescent="0.3">
      <c r="A678">
        <v>677</v>
      </c>
      <c r="B678" t="s">
        <v>1596</v>
      </c>
      <c r="C678" t="s">
        <v>72</v>
      </c>
      <c r="D678" t="s">
        <v>54</v>
      </c>
      <c r="E678" t="s">
        <v>6347</v>
      </c>
      <c r="F678" t="s">
        <v>6389</v>
      </c>
      <c r="G678" t="s">
        <v>6374</v>
      </c>
      <c r="H678" t="s">
        <v>6395</v>
      </c>
      <c r="I678" t="s">
        <v>6392</v>
      </c>
      <c r="J678" s="6">
        <f>AVERAGE(ai_job_market[[#This Row],[min_salary]],ai_job_market[[#This Row],[max_salary]])</f>
        <v>165557</v>
      </c>
      <c r="K678"/>
      <c r="L678" t="s">
        <v>14</v>
      </c>
      <c r="M678" t="s">
        <v>51</v>
      </c>
      <c r="N678" t="s">
        <v>5129</v>
      </c>
      <c r="O678" t="s">
        <v>4554</v>
      </c>
      <c r="P678" s="5">
        <v>141317</v>
      </c>
      <c r="Q678" s="5">
        <v>189797</v>
      </c>
      <c r="R678" s="2">
        <v>45869</v>
      </c>
      <c r="S678" t="s">
        <v>16</v>
      </c>
      <c r="T678" t="s">
        <v>70</v>
      </c>
      <c r="W678" t="s">
        <v>6347</v>
      </c>
      <c r="X678">
        <v>94</v>
      </c>
      <c r="Y678" t="s">
        <v>70</v>
      </c>
      <c r="Z678">
        <v>268</v>
      </c>
    </row>
    <row r="679" spans="1:26" x14ac:dyDescent="0.3">
      <c r="A679">
        <v>678</v>
      </c>
      <c r="B679" t="s">
        <v>1598</v>
      </c>
      <c r="C679" t="s">
        <v>19</v>
      </c>
      <c r="D679" t="s">
        <v>35</v>
      </c>
      <c r="E679" t="s">
        <v>6356</v>
      </c>
      <c r="F679" t="s">
        <v>6377</v>
      </c>
      <c r="G679" t="s">
        <v>6389</v>
      </c>
      <c r="H679" t="s">
        <v>6390</v>
      </c>
      <c r="I679" t="s">
        <v>6380</v>
      </c>
      <c r="J679">
        <f>AVERAGE(ai_job_market[[#This Row],[min_salary]],ai_job_market[[#This Row],[max_salary]])</f>
        <v>193761</v>
      </c>
      <c r="K679" t="s">
        <v>6386</v>
      </c>
      <c r="L679" t="s">
        <v>14</v>
      </c>
      <c r="M679" t="s">
        <v>51</v>
      </c>
      <c r="N679" t="s">
        <v>5130</v>
      </c>
      <c r="O679" t="s">
        <v>4387</v>
      </c>
      <c r="P679">
        <v>144921</v>
      </c>
      <c r="Q679">
        <v>242601</v>
      </c>
      <c r="R679" s="2">
        <v>45316</v>
      </c>
      <c r="S679" t="s">
        <v>16</v>
      </c>
      <c r="T679" t="s">
        <v>157</v>
      </c>
      <c r="W679" t="s">
        <v>6356</v>
      </c>
      <c r="X679">
        <v>86</v>
      </c>
      <c r="Y679" t="s">
        <v>157</v>
      </c>
      <c r="Z679">
        <v>247</v>
      </c>
    </row>
    <row r="680" spans="1:26" x14ac:dyDescent="0.3">
      <c r="A680">
        <v>679</v>
      </c>
      <c r="B680" t="s">
        <v>1600</v>
      </c>
      <c r="C680" t="s">
        <v>45</v>
      </c>
      <c r="D680" t="s">
        <v>135</v>
      </c>
      <c r="E680" t="s">
        <v>80</v>
      </c>
      <c r="F680" t="s">
        <v>6385</v>
      </c>
      <c r="G680" t="s">
        <v>6386</v>
      </c>
      <c r="H680" t="s">
        <v>6377</v>
      </c>
      <c r="J680">
        <f>AVERAGE(ai_job_market[[#This Row],[min_salary]],ai_job_market[[#This Row],[max_salary]])</f>
        <v>108195</v>
      </c>
      <c r="K680"/>
      <c r="L680" t="s">
        <v>27</v>
      </c>
      <c r="M680" t="s">
        <v>37</v>
      </c>
      <c r="N680" t="s">
        <v>5131</v>
      </c>
      <c r="O680" t="s">
        <v>4797</v>
      </c>
      <c r="P680">
        <v>78021</v>
      </c>
      <c r="Q680">
        <v>138369</v>
      </c>
      <c r="R680" s="2">
        <v>45473</v>
      </c>
      <c r="S680" t="s">
        <v>16</v>
      </c>
      <c r="T680" t="s">
        <v>52</v>
      </c>
      <c r="U680" t="s">
        <v>6389</v>
      </c>
      <c r="W680" t="s">
        <v>80</v>
      </c>
      <c r="X680">
        <v>95</v>
      </c>
      <c r="Y680" t="s">
        <v>52</v>
      </c>
      <c r="Z680">
        <v>238</v>
      </c>
    </row>
    <row r="681" spans="1:26" x14ac:dyDescent="0.3">
      <c r="A681">
        <v>680</v>
      </c>
      <c r="B681" t="s">
        <v>1602</v>
      </c>
      <c r="C681" t="s">
        <v>49</v>
      </c>
      <c r="D681" t="s">
        <v>30</v>
      </c>
      <c r="E681" t="s">
        <v>6355</v>
      </c>
      <c r="F681" t="s">
        <v>6379</v>
      </c>
      <c r="G681" t="s">
        <v>6385</v>
      </c>
      <c r="H681" t="s">
        <v>6394</v>
      </c>
      <c r="I681" t="s">
        <v>6389</v>
      </c>
      <c r="J681">
        <f>AVERAGE(ai_job_market[[#This Row],[min_salary]],ai_job_market[[#This Row],[max_salary]])</f>
        <v>117295</v>
      </c>
      <c r="K681"/>
      <c r="L681" t="s">
        <v>22</v>
      </c>
      <c r="M681" t="s">
        <v>37</v>
      </c>
      <c r="N681" t="s">
        <v>5132</v>
      </c>
      <c r="O681" t="s">
        <v>4643</v>
      </c>
      <c r="P681">
        <v>69902</v>
      </c>
      <c r="Q681">
        <v>164688</v>
      </c>
      <c r="R681" s="2">
        <v>45731</v>
      </c>
      <c r="S681" t="s">
        <v>16</v>
      </c>
      <c r="T681" t="s">
        <v>101</v>
      </c>
      <c r="U681" t="s">
        <v>6379</v>
      </c>
      <c r="V681" t="s">
        <v>6384</v>
      </c>
      <c r="W681" t="s">
        <v>6355</v>
      </c>
      <c r="X681">
        <v>90</v>
      </c>
      <c r="Y681" t="s">
        <v>101</v>
      </c>
      <c r="Z681">
        <v>255</v>
      </c>
    </row>
    <row r="682" spans="1:26" x14ac:dyDescent="0.3">
      <c r="A682">
        <v>681</v>
      </c>
      <c r="B682" t="s">
        <v>1604</v>
      </c>
      <c r="C682" t="s">
        <v>72</v>
      </c>
      <c r="D682" t="s">
        <v>20</v>
      </c>
      <c r="E682" t="s">
        <v>101</v>
      </c>
      <c r="F682" t="s">
        <v>6385</v>
      </c>
      <c r="G682" t="s">
        <v>6379</v>
      </c>
      <c r="H682" t="s">
        <v>6380</v>
      </c>
      <c r="I682" t="s">
        <v>6396</v>
      </c>
      <c r="J682" s="6">
        <f>AVERAGE(ai_job_market[[#This Row],[min_salary]],ai_job_market[[#This Row],[max_salary]])</f>
        <v>185144</v>
      </c>
      <c r="K682" t="s">
        <v>6392</v>
      </c>
      <c r="L682" t="s">
        <v>27</v>
      </c>
      <c r="M682" t="s">
        <v>42</v>
      </c>
      <c r="N682" t="s">
        <v>5133</v>
      </c>
      <c r="O682" t="s">
        <v>4397</v>
      </c>
      <c r="P682" s="5">
        <v>149757</v>
      </c>
      <c r="Q682" s="5">
        <v>220531</v>
      </c>
      <c r="R682" s="2">
        <v>45696</v>
      </c>
      <c r="S682" t="s">
        <v>69</v>
      </c>
      <c r="T682" t="s">
        <v>128</v>
      </c>
      <c r="W682" t="s">
        <v>101</v>
      </c>
      <c r="X682">
        <v>76</v>
      </c>
      <c r="Y682" t="s">
        <v>128</v>
      </c>
      <c r="Z682">
        <v>233</v>
      </c>
    </row>
    <row r="683" spans="1:26" x14ac:dyDescent="0.3">
      <c r="A683">
        <v>682</v>
      </c>
      <c r="B683" t="s">
        <v>1606</v>
      </c>
      <c r="C683" t="s">
        <v>11</v>
      </c>
      <c r="D683" t="s">
        <v>135</v>
      </c>
      <c r="E683" t="s">
        <v>6345</v>
      </c>
      <c r="F683" t="s">
        <v>6386</v>
      </c>
      <c r="G683" t="s">
        <v>6392</v>
      </c>
      <c r="H683" t="s">
        <v>6394</v>
      </c>
      <c r="J683">
        <f>AVERAGE(ai_job_market[[#This Row],[min_salary]],ai_job_market[[#This Row],[max_salary]])</f>
        <v>131284</v>
      </c>
      <c r="K683"/>
      <c r="L683" t="s">
        <v>27</v>
      </c>
      <c r="M683" t="s">
        <v>42</v>
      </c>
      <c r="N683" t="s">
        <v>5134</v>
      </c>
      <c r="O683" t="s">
        <v>4544</v>
      </c>
      <c r="P683">
        <v>115186</v>
      </c>
      <c r="Q683">
        <v>147382</v>
      </c>
      <c r="R683" s="2">
        <v>45786</v>
      </c>
      <c r="S683" t="s">
        <v>14</v>
      </c>
      <c r="T683" t="s">
        <v>70</v>
      </c>
      <c r="W683" t="s">
        <v>6345</v>
      </c>
      <c r="X683">
        <v>101</v>
      </c>
      <c r="Y683" t="s">
        <v>70</v>
      </c>
      <c r="Z683">
        <v>268</v>
      </c>
    </row>
    <row r="684" spans="1:26" x14ac:dyDescent="0.3">
      <c r="A684">
        <v>683</v>
      </c>
      <c r="B684" t="s">
        <v>1608</v>
      </c>
      <c r="C684" t="s">
        <v>11</v>
      </c>
      <c r="D684" t="s">
        <v>30</v>
      </c>
      <c r="E684" t="s">
        <v>77</v>
      </c>
      <c r="F684" t="s">
        <v>6390</v>
      </c>
      <c r="G684" t="s">
        <v>6389</v>
      </c>
      <c r="J684">
        <f>AVERAGE(ai_job_market[[#This Row],[min_salary]],ai_job_market[[#This Row],[max_salary]])</f>
        <v>70332.5</v>
      </c>
      <c r="K684"/>
      <c r="L684" t="s">
        <v>14</v>
      </c>
      <c r="M684" t="s">
        <v>15</v>
      </c>
      <c r="N684" t="s">
        <v>5135</v>
      </c>
      <c r="O684" t="s">
        <v>4596</v>
      </c>
      <c r="P684">
        <v>48248</v>
      </c>
      <c r="Q684">
        <v>92417</v>
      </c>
      <c r="R684" s="2">
        <v>45217</v>
      </c>
      <c r="S684" t="s">
        <v>16</v>
      </c>
      <c r="T684" t="s">
        <v>77</v>
      </c>
      <c r="W684" t="s">
        <v>77</v>
      </c>
      <c r="X684">
        <v>111</v>
      </c>
      <c r="Y684" t="s">
        <v>77</v>
      </c>
      <c r="Z684">
        <v>251</v>
      </c>
    </row>
    <row r="685" spans="1:26" x14ac:dyDescent="0.3">
      <c r="A685">
        <v>684</v>
      </c>
      <c r="B685" t="s">
        <v>1610</v>
      </c>
      <c r="C685" t="s">
        <v>11</v>
      </c>
      <c r="D685" t="s">
        <v>20</v>
      </c>
      <c r="E685" t="s">
        <v>6349</v>
      </c>
      <c r="F685" t="s">
        <v>6375</v>
      </c>
      <c r="G685" t="s">
        <v>6384</v>
      </c>
      <c r="H685" t="s">
        <v>6376</v>
      </c>
      <c r="I685" t="s">
        <v>6391</v>
      </c>
      <c r="J685">
        <f>AVERAGE(ai_job_market[[#This Row],[min_salary]],ai_job_market[[#This Row],[max_salary]])</f>
        <v>125729</v>
      </c>
      <c r="K685"/>
      <c r="L685" t="s">
        <v>14</v>
      </c>
      <c r="M685" t="s">
        <v>15</v>
      </c>
      <c r="N685" t="s">
        <v>5136</v>
      </c>
      <c r="O685" t="s">
        <v>4446</v>
      </c>
      <c r="P685">
        <v>111819</v>
      </c>
      <c r="Q685">
        <v>139639</v>
      </c>
      <c r="R685" s="2">
        <v>45331</v>
      </c>
      <c r="S685" t="s">
        <v>16</v>
      </c>
      <c r="T685" t="s">
        <v>157</v>
      </c>
      <c r="W685" t="s">
        <v>6349</v>
      </c>
      <c r="X685">
        <v>96</v>
      </c>
      <c r="Y685" t="s">
        <v>157</v>
      </c>
      <c r="Z685">
        <v>247</v>
      </c>
    </row>
    <row r="686" spans="1:26" x14ac:dyDescent="0.3">
      <c r="A686">
        <v>685</v>
      </c>
      <c r="B686" t="s">
        <v>1612</v>
      </c>
      <c r="C686" t="s">
        <v>72</v>
      </c>
      <c r="D686" t="s">
        <v>25</v>
      </c>
      <c r="E686" t="s">
        <v>6345</v>
      </c>
      <c r="F686" t="s">
        <v>6380</v>
      </c>
      <c r="G686" t="s">
        <v>6374</v>
      </c>
      <c r="J686">
        <f>AVERAGE(ai_job_market[[#This Row],[min_salary]],ai_job_market[[#This Row],[max_salary]])</f>
        <v>146478</v>
      </c>
      <c r="K686"/>
      <c r="L686" t="s">
        <v>14</v>
      </c>
      <c r="M686" t="s">
        <v>15</v>
      </c>
      <c r="N686" t="s">
        <v>5137</v>
      </c>
      <c r="O686" t="s">
        <v>4435</v>
      </c>
      <c r="P686">
        <v>129844</v>
      </c>
      <c r="Q686">
        <v>163112</v>
      </c>
      <c r="R686" s="2">
        <v>45578</v>
      </c>
      <c r="S686" t="s">
        <v>69</v>
      </c>
      <c r="T686" t="s">
        <v>80</v>
      </c>
      <c r="U686" t="s">
        <v>6379</v>
      </c>
      <c r="V686" t="s">
        <v>6375</v>
      </c>
      <c r="W686" t="s">
        <v>6345</v>
      </c>
      <c r="X686">
        <v>101</v>
      </c>
      <c r="Y686" t="s">
        <v>80</v>
      </c>
      <c r="Z686">
        <v>249</v>
      </c>
    </row>
    <row r="687" spans="1:26" x14ac:dyDescent="0.3">
      <c r="A687">
        <v>686</v>
      </c>
      <c r="B687" t="s">
        <v>1614</v>
      </c>
      <c r="C687" t="s">
        <v>45</v>
      </c>
      <c r="D687" t="s">
        <v>135</v>
      </c>
      <c r="E687" t="s">
        <v>6351</v>
      </c>
      <c r="F687" t="s">
        <v>6377</v>
      </c>
      <c r="G687" t="s">
        <v>6391</v>
      </c>
      <c r="J687">
        <f>AVERAGE(ai_job_market[[#This Row],[min_salary]],ai_job_market[[#This Row],[max_salary]])</f>
        <v>161360.5</v>
      </c>
      <c r="K687"/>
      <c r="L687" t="s">
        <v>27</v>
      </c>
      <c r="M687" t="s">
        <v>15</v>
      </c>
      <c r="N687" t="s">
        <v>5138</v>
      </c>
      <c r="O687" t="s">
        <v>4369</v>
      </c>
      <c r="P687">
        <v>121208</v>
      </c>
      <c r="Q687">
        <v>201513</v>
      </c>
      <c r="R687" s="2">
        <v>45545</v>
      </c>
      <c r="S687" t="s">
        <v>14</v>
      </c>
      <c r="T687" t="s">
        <v>90</v>
      </c>
      <c r="W687" t="s">
        <v>6351</v>
      </c>
      <c r="X687">
        <v>89</v>
      </c>
      <c r="Y687" t="s">
        <v>90</v>
      </c>
      <c r="Z687">
        <v>259</v>
      </c>
    </row>
    <row r="688" spans="1:26" x14ac:dyDescent="0.3">
      <c r="A688">
        <v>687</v>
      </c>
      <c r="B688" t="s">
        <v>1616</v>
      </c>
      <c r="C688" t="s">
        <v>11</v>
      </c>
      <c r="D688" t="s">
        <v>25</v>
      </c>
      <c r="E688" t="s">
        <v>70</v>
      </c>
      <c r="F688" t="s">
        <v>6386</v>
      </c>
      <c r="G688" t="s">
        <v>6394</v>
      </c>
      <c r="H688" t="s">
        <v>6392</v>
      </c>
      <c r="I688" t="s">
        <v>6377</v>
      </c>
      <c r="J688">
        <f>AVERAGE(ai_job_market[[#This Row],[min_salary]],ai_job_market[[#This Row],[max_salary]])</f>
        <v>151997</v>
      </c>
      <c r="K688" t="s">
        <v>6396</v>
      </c>
      <c r="L688" t="s">
        <v>22</v>
      </c>
      <c r="M688" t="s">
        <v>15</v>
      </c>
      <c r="N688" t="s">
        <v>5139</v>
      </c>
      <c r="O688" t="s">
        <v>4743</v>
      </c>
      <c r="P688">
        <v>107216</v>
      </c>
      <c r="Q688">
        <v>196778</v>
      </c>
      <c r="R688" s="2">
        <v>45669</v>
      </c>
      <c r="S688" t="s">
        <v>69</v>
      </c>
      <c r="T688" t="s">
        <v>70</v>
      </c>
      <c r="W688" t="s">
        <v>70</v>
      </c>
      <c r="X688">
        <v>100</v>
      </c>
      <c r="Y688" t="s">
        <v>70</v>
      </c>
      <c r="Z688">
        <v>268</v>
      </c>
    </row>
    <row r="689" spans="1:26" x14ac:dyDescent="0.3">
      <c r="A689">
        <v>688</v>
      </c>
      <c r="B689" t="s">
        <v>1618</v>
      </c>
      <c r="C689" t="s">
        <v>72</v>
      </c>
      <c r="D689" t="s">
        <v>135</v>
      </c>
      <c r="E689" t="s">
        <v>6357</v>
      </c>
      <c r="F689" t="s">
        <v>6394</v>
      </c>
      <c r="G689" t="s">
        <v>6396</v>
      </c>
      <c r="H689" t="s">
        <v>6382</v>
      </c>
      <c r="I689" t="s">
        <v>6397</v>
      </c>
      <c r="J689">
        <f>AVERAGE(ai_job_market[[#This Row],[min_salary]],ai_job_market[[#This Row],[max_salary]])</f>
        <v>89251.5</v>
      </c>
      <c r="K689"/>
      <c r="L689" t="s">
        <v>14</v>
      </c>
      <c r="M689" t="s">
        <v>51</v>
      </c>
      <c r="N689" t="s">
        <v>5140</v>
      </c>
      <c r="O689" t="s">
        <v>4973</v>
      </c>
      <c r="P689">
        <v>41764</v>
      </c>
      <c r="Q689">
        <v>136739</v>
      </c>
      <c r="R689" s="2">
        <v>45849</v>
      </c>
      <c r="S689" t="s">
        <v>69</v>
      </c>
      <c r="T689" t="s">
        <v>70</v>
      </c>
      <c r="W689" t="s">
        <v>6357</v>
      </c>
      <c r="X689">
        <v>88</v>
      </c>
      <c r="Y689" t="s">
        <v>70</v>
      </c>
      <c r="Z689">
        <v>268</v>
      </c>
    </row>
    <row r="690" spans="1:26" x14ac:dyDescent="0.3">
      <c r="A690">
        <v>689</v>
      </c>
      <c r="B690" t="s">
        <v>1620</v>
      </c>
      <c r="C690" t="s">
        <v>19</v>
      </c>
      <c r="D690" t="s">
        <v>12</v>
      </c>
      <c r="E690" t="s">
        <v>6359</v>
      </c>
      <c r="F690" t="s">
        <v>6392</v>
      </c>
      <c r="G690" t="s">
        <v>6380</v>
      </c>
      <c r="J690" s="6">
        <f>AVERAGE(ai_job_market[[#This Row],[min_salary]],ai_job_market[[#This Row],[max_salary]])</f>
        <v>172014.5</v>
      </c>
      <c r="K690"/>
      <c r="L690" t="s">
        <v>22</v>
      </c>
      <c r="M690" t="s">
        <v>37</v>
      </c>
      <c r="N690" t="s">
        <v>5141</v>
      </c>
      <c r="O690" t="s">
        <v>4536</v>
      </c>
      <c r="P690" s="5">
        <v>147895</v>
      </c>
      <c r="Q690" s="5">
        <v>196134</v>
      </c>
      <c r="R690" s="2">
        <v>45306</v>
      </c>
      <c r="S690" t="s">
        <v>16</v>
      </c>
      <c r="T690" t="s">
        <v>52</v>
      </c>
      <c r="W690" t="s">
        <v>6359</v>
      </c>
      <c r="X690">
        <v>104</v>
      </c>
      <c r="Y690" t="s">
        <v>52</v>
      </c>
      <c r="Z690">
        <v>238</v>
      </c>
    </row>
    <row r="691" spans="1:26" x14ac:dyDescent="0.3">
      <c r="A691">
        <v>690</v>
      </c>
      <c r="B691" t="s">
        <v>1622</v>
      </c>
      <c r="C691" t="s">
        <v>72</v>
      </c>
      <c r="D691" t="s">
        <v>67</v>
      </c>
      <c r="E691" t="s">
        <v>6350</v>
      </c>
      <c r="F691" t="s">
        <v>6377</v>
      </c>
      <c r="G691" t="s">
        <v>6382</v>
      </c>
      <c r="H691" t="s">
        <v>6389</v>
      </c>
      <c r="I691" t="s">
        <v>6384</v>
      </c>
      <c r="J691">
        <f>AVERAGE(ai_job_market[[#This Row],[min_salary]],ai_job_market[[#This Row],[max_salary]])</f>
        <v>96135</v>
      </c>
      <c r="K691"/>
      <c r="L691" t="s">
        <v>22</v>
      </c>
      <c r="M691" t="s">
        <v>15</v>
      </c>
      <c r="N691" t="s">
        <v>5142</v>
      </c>
      <c r="O691" t="s">
        <v>4281</v>
      </c>
      <c r="P691">
        <v>47192</v>
      </c>
      <c r="Q691">
        <v>145078</v>
      </c>
      <c r="R691" s="2">
        <v>45837</v>
      </c>
      <c r="S691" t="s">
        <v>16</v>
      </c>
      <c r="T691" t="s">
        <v>80</v>
      </c>
      <c r="W691" t="s">
        <v>6350</v>
      </c>
      <c r="X691">
        <v>84</v>
      </c>
      <c r="Y691" t="s">
        <v>80</v>
      </c>
      <c r="Z691">
        <v>249</v>
      </c>
    </row>
    <row r="692" spans="1:26" x14ac:dyDescent="0.3">
      <c r="A692">
        <v>691</v>
      </c>
      <c r="B692" t="s">
        <v>1624</v>
      </c>
      <c r="C692" t="s">
        <v>45</v>
      </c>
      <c r="D692" t="s">
        <v>30</v>
      </c>
      <c r="E692" t="s">
        <v>6359</v>
      </c>
      <c r="F692" t="s">
        <v>6385</v>
      </c>
      <c r="G692" t="s">
        <v>6375</v>
      </c>
      <c r="H692" t="s">
        <v>6386</v>
      </c>
      <c r="I692" t="s">
        <v>6391</v>
      </c>
      <c r="J692">
        <f>AVERAGE(ai_job_market[[#This Row],[min_salary]],ai_job_market[[#This Row],[max_salary]])</f>
        <v>67997</v>
      </c>
      <c r="K692"/>
      <c r="L692" t="s">
        <v>14</v>
      </c>
      <c r="M692" t="s">
        <v>51</v>
      </c>
      <c r="N692" t="s">
        <v>5143</v>
      </c>
      <c r="O692" t="s">
        <v>4309</v>
      </c>
      <c r="P692">
        <v>48979</v>
      </c>
      <c r="Q692">
        <v>87015</v>
      </c>
      <c r="R692" s="2">
        <v>45501</v>
      </c>
      <c r="S692" t="s">
        <v>16</v>
      </c>
      <c r="T692" t="s">
        <v>77</v>
      </c>
      <c r="U692" t="s">
        <v>6379</v>
      </c>
      <c r="V692" t="s">
        <v>6383</v>
      </c>
      <c r="W692" t="s">
        <v>6359</v>
      </c>
      <c r="X692">
        <v>104</v>
      </c>
      <c r="Y692" t="s">
        <v>77</v>
      </c>
      <c r="Z692">
        <v>251</v>
      </c>
    </row>
    <row r="693" spans="1:26" x14ac:dyDescent="0.3">
      <c r="A693">
        <v>692</v>
      </c>
      <c r="B693" t="s">
        <v>1627</v>
      </c>
      <c r="C693" t="s">
        <v>45</v>
      </c>
      <c r="D693" t="s">
        <v>20</v>
      </c>
      <c r="E693" t="s">
        <v>70</v>
      </c>
      <c r="F693" t="s">
        <v>6375</v>
      </c>
      <c r="G693" t="s">
        <v>6377</v>
      </c>
      <c r="H693" t="s">
        <v>6386</v>
      </c>
      <c r="I693" t="s">
        <v>6385</v>
      </c>
      <c r="J693">
        <f>AVERAGE(ai_job_market[[#This Row],[min_salary]],ai_job_market[[#This Row],[max_salary]])</f>
        <v>103639</v>
      </c>
      <c r="K693" t="s">
        <v>6391</v>
      </c>
      <c r="L693" t="s">
        <v>14</v>
      </c>
      <c r="M693" t="s">
        <v>15</v>
      </c>
      <c r="N693" t="s">
        <v>5144</v>
      </c>
      <c r="O693" t="s">
        <v>4743</v>
      </c>
      <c r="P693">
        <v>70473</v>
      </c>
      <c r="Q693">
        <v>136805</v>
      </c>
      <c r="R693" s="2">
        <v>45732</v>
      </c>
      <c r="S693" t="s">
        <v>69</v>
      </c>
      <c r="T693" t="s">
        <v>80</v>
      </c>
      <c r="U693" t="s">
        <v>6375</v>
      </c>
      <c r="W693" t="s">
        <v>70</v>
      </c>
      <c r="X693">
        <v>100</v>
      </c>
      <c r="Y693" t="s">
        <v>80</v>
      </c>
      <c r="Z693">
        <v>249</v>
      </c>
    </row>
    <row r="694" spans="1:26" x14ac:dyDescent="0.3">
      <c r="A694">
        <v>693</v>
      </c>
      <c r="B694" t="s">
        <v>1629</v>
      </c>
      <c r="C694" t="s">
        <v>72</v>
      </c>
      <c r="D694" t="s">
        <v>20</v>
      </c>
      <c r="E694" t="s">
        <v>6351</v>
      </c>
      <c r="F694" t="s">
        <v>6392</v>
      </c>
      <c r="G694" t="s">
        <v>6379</v>
      </c>
      <c r="H694" t="s">
        <v>6384</v>
      </c>
      <c r="I694" t="s">
        <v>6382</v>
      </c>
      <c r="J694">
        <f>AVERAGE(ai_job_market[[#This Row],[min_salary]],ai_job_market[[#This Row],[max_salary]])</f>
        <v>126795</v>
      </c>
      <c r="K694" t="s">
        <v>6378</v>
      </c>
      <c r="L694" t="s">
        <v>27</v>
      </c>
      <c r="M694" t="s">
        <v>15</v>
      </c>
      <c r="N694" t="s">
        <v>5145</v>
      </c>
      <c r="O694" t="s">
        <v>4596</v>
      </c>
      <c r="P694">
        <v>101941</v>
      </c>
      <c r="Q694">
        <v>151649</v>
      </c>
      <c r="R694" s="2">
        <v>45537</v>
      </c>
      <c r="S694" t="s">
        <v>14</v>
      </c>
      <c r="T694" t="s">
        <v>80</v>
      </c>
      <c r="U694" t="s">
        <v>6388</v>
      </c>
      <c r="V694" t="s">
        <v>6378</v>
      </c>
      <c r="W694" t="s">
        <v>6351</v>
      </c>
      <c r="X694">
        <v>89</v>
      </c>
      <c r="Y694" t="s">
        <v>80</v>
      </c>
      <c r="Z694">
        <v>249</v>
      </c>
    </row>
    <row r="695" spans="1:26" x14ac:dyDescent="0.3">
      <c r="A695">
        <v>694</v>
      </c>
      <c r="B695" t="s">
        <v>1632</v>
      </c>
      <c r="C695" t="s">
        <v>19</v>
      </c>
      <c r="D695" t="s">
        <v>20</v>
      </c>
      <c r="E695" t="s">
        <v>128</v>
      </c>
      <c r="F695" t="s">
        <v>6385</v>
      </c>
      <c r="G695" t="s">
        <v>6397</v>
      </c>
      <c r="H695" t="s">
        <v>6384</v>
      </c>
      <c r="I695" t="s">
        <v>6395</v>
      </c>
      <c r="J695">
        <f>AVERAGE(ai_job_market[[#This Row],[min_salary]],ai_job_market[[#This Row],[max_salary]])</f>
        <v>105224.5</v>
      </c>
      <c r="K695"/>
      <c r="L695" t="s">
        <v>14</v>
      </c>
      <c r="M695" t="s">
        <v>37</v>
      </c>
      <c r="N695" t="s">
        <v>5146</v>
      </c>
      <c r="O695" t="s">
        <v>4331</v>
      </c>
      <c r="P695">
        <v>79422</v>
      </c>
      <c r="Q695">
        <v>131027</v>
      </c>
      <c r="R695" s="2">
        <v>45740</v>
      </c>
      <c r="S695" t="s">
        <v>16</v>
      </c>
      <c r="T695" t="s">
        <v>101</v>
      </c>
      <c r="U695" t="s">
        <v>6388</v>
      </c>
      <c r="W695" t="s">
        <v>128</v>
      </c>
      <c r="X695">
        <v>92</v>
      </c>
      <c r="Y695" t="s">
        <v>101</v>
      </c>
      <c r="Z695">
        <v>255</v>
      </c>
    </row>
    <row r="696" spans="1:26" x14ac:dyDescent="0.3">
      <c r="A696">
        <v>695</v>
      </c>
      <c r="B696" t="s">
        <v>1634</v>
      </c>
      <c r="C696" t="s">
        <v>45</v>
      </c>
      <c r="D696" t="s">
        <v>67</v>
      </c>
      <c r="E696" t="s">
        <v>77</v>
      </c>
      <c r="F696" t="s">
        <v>6396</v>
      </c>
      <c r="G696" t="s">
        <v>6384</v>
      </c>
      <c r="J696">
        <f>AVERAGE(ai_job_market[[#This Row],[min_salary]],ai_job_market[[#This Row],[max_salary]])</f>
        <v>151434</v>
      </c>
      <c r="K696"/>
      <c r="L696" t="s">
        <v>22</v>
      </c>
      <c r="M696" t="s">
        <v>15</v>
      </c>
      <c r="N696" t="s">
        <v>5147</v>
      </c>
      <c r="O696" t="s">
        <v>4714</v>
      </c>
      <c r="P696">
        <v>104607</v>
      </c>
      <c r="Q696">
        <v>198261</v>
      </c>
      <c r="R696" s="2">
        <v>45310</v>
      </c>
      <c r="S696" t="s">
        <v>16</v>
      </c>
      <c r="T696" t="s">
        <v>70</v>
      </c>
      <c r="U696" t="s">
        <v>6376</v>
      </c>
      <c r="V696" t="s">
        <v>6383</v>
      </c>
      <c r="W696" t="s">
        <v>77</v>
      </c>
      <c r="X696">
        <v>111</v>
      </c>
      <c r="Y696" t="s">
        <v>70</v>
      </c>
      <c r="Z696">
        <v>268</v>
      </c>
    </row>
    <row r="697" spans="1:26" x14ac:dyDescent="0.3">
      <c r="A697">
        <v>696</v>
      </c>
      <c r="B697" t="s">
        <v>1637</v>
      </c>
      <c r="C697" t="s">
        <v>49</v>
      </c>
      <c r="D697" t="s">
        <v>12</v>
      </c>
      <c r="E697" t="s">
        <v>6358</v>
      </c>
      <c r="F697" t="s">
        <v>6384</v>
      </c>
      <c r="G697" t="s">
        <v>6390</v>
      </c>
      <c r="J697">
        <f>AVERAGE(ai_job_market[[#This Row],[min_salary]],ai_job_market[[#This Row],[max_salary]])</f>
        <v>186466</v>
      </c>
      <c r="K697"/>
      <c r="L697" t="s">
        <v>27</v>
      </c>
      <c r="M697" t="s">
        <v>15</v>
      </c>
      <c r="N697" t="s">
        <v>5148</v>
      </c>
      <c r="O697" t="s">
        <v>4303</v>
      </c>
      <c r="P697">
        <v>142297</v>
      </c>
      <c r="Q697">
        <v>230635</v>
      </c>
      <c r="R697" s="2">
        <v>45255</v>
      </c>
      <c r="S697" t="s">
        <v>16</v>
      </c>
      <c r="T697" t="s">
        <v>77</v>
      </c>
      <c r="W697" t="s">
        <v>6358</v>
      </c>
      <c r="X697">
        <v>96</v>
      </c>
      <c r="Y697" t="s">
        <v>77</v>
      </c>
      <c r="Z697">
        <v>251</v>
      </c>
    </row>
    <row r="698" spans="1:26" x14ac:dyDescent="0.3">
      <c r="A698">
        <v>697</v>
      </c>
      <c r="B698" t="s">
        <v>1639</v>
      </c>
      <c r="C698" t="s">
        <v>11</v>
      </c>
      <c r="D698" t="s">
        <v>12</v>
      </c>
      <c r="E698" t="s">
        <v>6348</v>
      </c>
      <c r="F698" t="s">
        <v>6384</v>
      </c>
      <c r="G698" t="s">
        <v>6390</v>
      </c>
      <c r="H698" t="s">
        <v>6397</v>
      </c>
      <c r="I698" t="s">
        <v>6396</v>
      </c>
      <c r="J698">
        <f>AVERAGE(ai_job_market[[#This Row],[min_salary]],ai_job_market[[#This Row],[max_salary]])</f>
        <v>156624.5</v>
      </c>
      <c r="K698"/>
      <c r="L698" t="s">
        <v>14</v>
      </c>
      <c r="M698" t="s">
        <v>15</v>
      </c>
      <c r="N698" t="s">
        <v>5149</v>
      </c>
      <c r="O698" t="s">
        <v>4929</v>
      </c>
      <c r="P698">
        <v>129959</v>
      </c>
      <c r="Q698">
        <v>183290</v>
      </c>
      <c r="R698" s="2">
        <v>45607</v>
      </c>
      <c r="S698" t="s">
        <v>14</v>
      </c>
      <c r="T698" t="s">
        <v>52</v>
      </c>
      <c r="W698" t="s">
        <v>6348</v>
      </c>
      <c r="X698">
        <v>78</v>
      </c>
      <c r="Y698" t="s">
        <v>52</v>
      </c>
      <c r="Z698">
        <v>238</v>
      </c>
    </row>
    <row r="699" spans="1:26" x14ac:dyDescent="0.3">
      <c r="A699">
        <v>698</v>
      </c>
      <c r="B699" t="s">
        <v>1641</v>
      </c>
      <c r="C699" t="s">
        <v>45</v>
      </c>
      <c r="D699" t="s">
        <v>67</v>
      </c>
      <c r="E699" t="s">
        <v>90</v>
      </c>
      <c r="F699" t="s">
        <v>6385</v>
      </c>
      <c r="G699" t="s">
        <v>6396</v>
      </c>
      <c r="J699" s="6">
        <f>AVERAGE(ai_job_market[[#This Row],[min_salary]],ai_job_market[[#This Row],[max_salary]])</f>
        <v>85619</v>
      </c>
      <c r="K699"/>
      <c r="L699" t="s">
        <v>22</v>
      </c>
      <c r="M699" t="s">
        <v>42</v>
      </c>
      <c r="N699" t="s">
        <v>5150</v>
      </c>
      <c r="O699" t="s">
        <v>4314</v>
      </c>
      <c r="P699" s="5">
        <v>78350</v>
      </c>
      <c r="Q699" s="5">
        <v>92888</v>
      </c>
      <c r="R699" s="2">
        <v>45707</v>
      </c>
      <c r="S699" t="s">
        <v>69</v>
      </c>
      <c r="T699" t="s">
        <v>77</v>
      </c>
      <c r="W699" t="s">
        <v>90</v>
      </c>
      <c r="X699">
        <v>80</v>
      </c>
      <c r="Y699" t="s">
        <v>77</v>
      </c>
      <c r="Z699">
        <v>251</v>
      </c>
    </row>
    <row r="700" spans="1:26" x14ac:dyDescent="0.3">
      <c r="A700">
        <v>699</v>
      </c>
      <c r="B700" t="s">
        <v>1643</v>
      </c>
      <c r="C700" t="s">
        <v>49</v>
      </c>
      <c r="D700" t="s">
        <v>30</v>
      </c>
      <c r="E700" t="s">
        <v>6355</v>
      </c>
      <c r="F700" t="s">
        <v>6392</v>
      </c>
      <c r="G700" t="s">
        <v>6390</v>
      </c>
      <c r="H700" t="s">
        <v>6376</v>
      </c>
      <c r="I700" t="s">
        <v>6374</v>
      </c>
      <c r="J700">
        <f>AVERAGE(ai_job_market[[#This Row],[min_salary]],ai_job_market[[#This Row],[max_salary]])</f>
        <v>120475</v>
      </c>
      <c r="K700" t="s">
        <v>6377</v>
      </c>
      <c r="L700" t="s">
        <v>14</v>
      </c>
      <c r="M700" t="s">
        <v>15</v>
      </c>
      <c r="N700" t="s">
        <v>5151</v>
      </c>
      <c r="O700" t="s">
        <v>4706</v>
      </c>
      <c r="P700">
        <v>76271</v>
      </c>
      <c r="Q700">
        <v>164679</v>
      </c>
      <c r="R700" s="2">
        <v>45454</v>
      </c>
      <c r="S700" t="s">
        <v>69</v>
      </c>
      <c r="T700" t="s">
        <v>157</v>
      </c>
      <c r="U700" t="s">
        <v>6389</v>
      </c>
      <c r="V700" t="s">
        <v>6376</v>
      </c>
      <c r="W700" t="s">
        <v>6355</v>
      </c>
      <c r="X700">
        <v>90</v>
      </c>
      <c r="Y700" t="s">
        <v>157</v>
      </c>
      <c r="Z700">
        <v>247</v>
      </c>
    </row>
    <row r="701" spans="1:26" x14ac:dyDescent="0.3">
      <c r="A701">
        <v>700</v>
      </c>
      <c r="B701" t="s">
        <v>1646</v>
      </c>
      <c r="C701" t="s">
        <v>19</v>
      </c>
      <c r="D701" t="s">
        <v>25</v>
      </c>
      <c r="E701" t="s">
        <v>6344</v>
      </c>
      <c r="F701" t="s">
        <v>6375</v>
      </c>
      <c r="G701" t="s">
        <v>6387</v>
      </c>
      <c r="H701" t="s">
        <v>6392</v>
      </c>
      <c r="I701" t="s">
        <v>6397</v>
      </c>
      <c r="J701">
        <f>AVERAGE(ai_job_market[[#This Row],[min_salary]],ai_job_market[[#This Row],[max_salary]])</f>
        <v>76767</v>
      </c>
      <c r="K701" t="s">
        <v>6390</v>
      </c>
      <c r="L701" t="s">
        <v>22</v>
      </c>
      <c r="M701" t="s">
        <v>51</v>
      </c>
      <c r="N701" t="s">
        <v>5152</v>
      </c>
      <c r="O701" t="s">
        <v>4349</v>
      </c>
      <c r="P701">
        <v>55587</v>
      </c>
      <c r="Q701">
        <v>97947</v>
      </c>
      <c r="R701" s="2">
        <v>45400</v>
      </c>
      <c r="S701" t="s">
        <v>69</v>
      </c>
      <c r="T701" t="s">
        <v>128</v>
      </c>
      <c r="W701" t="s">
        <v>6344</v>
      </c>
      <c r="X701">
        <v>104</v>
      </c>
      <c r="Y701" t="s">
        <v>128</v>
      </c>
      <c r="Z701">
        <v>233</v>
      </c>
    </row>
    <row r="702" spans="1:26" x14ac:dyDescent="0.3">
      <c r="A702">
        <v>701</v>
      </c>
      <c r="B702" t="s">
        <v>1648</v>
      </c>
      <c r="C702" t="s">
        <v>11</v>
      </c>
      <c r="D702" t="s">
        <v>25</v>
      </c>
      <c r="E702" t="s">
        <v>6354</v>
      </c>
      <c r="F702" t="s">
        <v>6396</v>
      </c>
      <c r="G702" t="s">
        <v>6391</v>
      </c>
      <c r="H702" t="s">
        <v>6394</v>
      </c>
      <c r="J702">
        <f>AVERAGE(ai_job_market[[#This Row],[min_salary]],ai_job_market[[#This Row],[max_salary]])</f>
        <v>137389</v>
      </c>
      <c r="K702"/>
      <c r="L702" t="s">
        <v>22</v>
      </c>
      <c r="M702" t="s">
        <v>51</v>
      </c>
      <c r="N702" t="s">
        <v>5153</v>
      </c>
      <c r="O702" t="s">
        <v>4701</v>
      </c>
      <c r="P702">
        <v>127145</v>
      </c>
      <c r="Q702">
        <v>147633</v>
      </c>
      <c r="R702" s="2">
        <v>45298</v>
      </c>
      <c r="S702" t="s">
        <v>14</v>
      </c>
      <c r="T702" t="s">
        <v>80</v>
      </c>
      <c r="U702" t="s">
        <v>6389</v>
      </c>
      <c r="V702" t="s">
        <v>6383</v>
      </c>
      <c r="W702" t="s">
        <v>6354</v>
      </c>
      <c r="X702">
        <v>75</v>
      </c>
      <c r="Y702" t="s">
        <v>80</v>
      </c>
      <c r="Z702">
        <v>249</v>
      </c>
    </row>
    <row r="703" spans="1:26" x14ac:dyDescent="0.3">
      <c r="A703">
        <v>702</v>
      </c>
      <c r="B703" t="s">
        <v>1651</v>
      </c>
      <c r="C703" t="s">
        <v>19</v>
      </c>
      <c r="D703" t="s">
        <v>12</v>
      </c>
      <c r="E703" t="s">
        <v>6344</v>
      </c>
      <c r="F703" t="s">
        <v>6382</v>
      </c>
      <c r="G703" t="s">
        <v>6396</v>
      </c>
      <c r="J703" s="6">
        <f>AVERAGE(ai_job_market[[#This Row],[min_salary]],ai_job_market[[#This Row],[max_salary]])</f>
        <v>185318</v>
      </c>
      <c r="K703"/>
      <c r="L703" t="s">
        <v>14</v>
      </c>
      <c r="M703" t="s">
        <v>42</v>
      </c>
      <c r="N703" t="s">
        <v>5154</v>
      </c>
      <c r="O703" t="s">
        <v>4285</v>
      </c>
      <c r="P703" s="5">
        <v>143724</v>
      </c>
      <c r="Q703" s="5">
        <v>226912</v>
      </c>
      <c r="R703" s="2">
        <v>45494</v>
      </c>
      <c r="S703" t="s">
        <v>14</v>
      </c>
      <c r="T703" t="s">
        <v>128</v>
      </c>
      <c r="U703" t="s">
        <v>6378</v>
      </c>
      <c r="V703" t="s">
        <v>6388</v>
      </c>
      <c r="W703" t="s">
        <v>6344</v>
      </c>
      <c r="X703">
        <v>104</v>
      </c>
      <c r="Y703" t="s">
        <v>128</v>
      </c>
      <c r="Z703">
        <v>233</v>
      </c>
    </row>
    <row r="704" spans="1:26" x14ac:dyDescent="0.3">
      <c r="A704">
        <v>703</v>
      </c>
      <c r="B704" t="s">
        <v>1654</v>
      </c>
      <c r="C704" t="s">
        <v>40</v>
      </c>
      <c r="D704" t="s">
        <v>67</v>
      </c>
      <c r="E704" t="s">
        <v>6344</v>
      </c>
      <c r="F704" t="s">
        <v>6386</v>
      </c>
      <c r="G704" t="s">
        <v>6374</v>
      </c>
      <c r="H704" t="s">
        <v>6376</v>
      </c>
      <c r="I704" t="s">
        <v>6389</v>
      </c>
      <c r="J704">
        <f>AVERAGE(ai_job_market[[#This Row],[min_salary]],ai_job_market[[#This Row],[max_salary]])</f>
        <v>116557</v>
      </c>
      <c r="K704"/>
      <c r="L704" t="s">
        <v>27</v>
      </c>
      <c r="M704" t="s">
        <v>37</v>
      </c>
      <c r="N704" t="s">
        <v>5155</v>
      </c>
      <c r="O704" t="s">
        <v>4564</v>
      </c>
      <c r="P704">
        <v>89162</v>
      </c>
      <c r="Q704">
        <v>143952</v>
      </c>
      <c r="R704" s="2">
        <v>45652</v>
      </c>
      <c r="S704" t="s">
        <v>14</v>
      </c>
      <c r="T704" t="s">
        <v>77</v>
      </c>
      <c r="W704" t="s">
        <v>6344</v>
      </c>
      <c r="X704">
        <v>104</v>
      </c>
      <c r="Y704" t="s">
        <v>77</v>
      </c>
      <c r="Z704">
        <v>251</v>
      </c>
    </row>
    <row r="705" spans="1:26" x14ac:dyDescent="0.3">
      <c r="A705">
        <v>704</v>
      </c>
      <c r="B705" t="s">
        <v>1656</v>
      </c>
      <c r="C705" t="s">
        <v>49</v>
      </c>
      <c r="D705" t="s">
        <v>25</v>
      </c>
      <c r="E705" t="s">
        <v>6356</v>
      </c>
      <c r="F705" t="s">
        <v>6390</v>
      </c>
      <c r="G705" t="s">
        <v>6378</v>
      </c>
      <c r="H705" t="s">
        <v>6391</v>
      </c>
      <c r="I705" t="s">
        <v>6384</v>
      </c>
      <c r="J705">
        <f>AVERAGE(ai_job_market[[#This Row],[min_salary]],ai_job_market[[#This Row],[max_salary]])</f>
        <v>104128</v>
      </c>
      <c r="K705"/>
      <c r="L705" t="s">
        <v>14</v>
      </c>
      <c r="M705" t="s">
        <v>51</v>
      </c>
      <c r="N705" t="s">
        <v>5156</v>
      </c>
      <c r="O705" t="s">
        <v>4783</v>
      </c>
      <c r="P705">
        <v>91063</v>
      </c>
      <c r="Q705">
        <v>117193</v>
      </c>
      <c r="R705" s="2">
        <v>45407</v>
      </c>
      <c r="S705" t="s">
        <v>14</v>
      </c>
      <c r="T705" t="s">
        <v>128</v>
      </c>
      <c r="U705" t="s">
        <v>6383</v>
      </c>
      <c r="V705" t="s">
        <v>6389</v>
      </c>
      <c r="W705" t="s">
        <v>6356</v>
      </c>
      <c r="X705">
        <v>86</v>
      </c>
      <c r="Y705" t="s">
        <v>128</v>
      </c>
      <c r="Z705">
        <v>233</v>
      </c>
    </row>
    <row r="706" spans="1:26" x14ac:dyDescent="0.3">
      <c r="A706">
        <v>705</v>
      </c>
      <c r="B706" t="s">
        <v>1659</v>
      </c>
      <c r="C706" t="s">
        <v>45</v>
      </c>
      <c r="D706" t="s">
        <v>25</v>
      </c>
      <c r="E706" t="s">
        <v>6357</v>
      </c>
      <c r="F706" t="s">
        <v>6396</v>
      </c>
      <c r="G706" t="s">
        <v>6377</v>
      </c>
      <c r="H706" t="s">
        <v>6390</v>
      </c>
      <c r="I706" t="s">
        <v>6378</v>
      </c>
      <c r="J706" s="6">
        <f>AVERAGE(ai_job_market[[#This Row],[min_salary]],ai_job_market[[#This Row],[max_salary]])</f>
        <v>153512</v>
      </c>
      <c r="K706" t="s">
        <v>6389</v>
      </c>
      <c r="L706" t="s">
        <v>14</v>
      </c>
      <c r="M706" t="s">
        <v>42</v>
      </c>
      <c r="N706" t="s">
        <v>5157</v>
      </c>
      <c r="O706" t="s">
        <v>4495</v>
      </c>
      <c r="P706" s="5">
        <v>141577</v>
      </c>
      <c r="Q706" s="5">
        <v>165447</v>
      </c>
      <c r="R706" s="2">
        <v>45642</v>
      </c>
      <c r="S706" t="s">
        <v>69</v>
      </c>
      <c r="T706" t="s">
        <v>157</v>
      </c>
      <c r="U706" t="s">
        <v>6389</v>
      </c>
      <c r="V706" t="s">
        <v>6384</v>
      </c>
      <c r="W706" t="s">
        <v>6357</v>
      </c>
      <c r="X706">
        <v>88</v>
      </c>
      <c r="Y706" t="s">
        <v>157</v>
      </c>
      <c r="Z706">
        <v>247</v>
      </c>
    </row>
    <row r="707" spans="1:26" x14ac:dyDescent="0.3">
      <c r="A707">
        <v>706</v>
      </c>
      <c r="B707" t="s">
        <v>39</v>
      </c>
      <c r="C707" t="s">
        <v>11</v>
      </c>
      <c r="D707" t="s">
        <v>25</v>
      </c>
      <c r="E707" t="s">
        <v>6351</v>
      </c>
      <c r="F707" t="s">
        <v>6389</v>
      </c>
      <c r="G707" t="s">
        <v>6374</v>
      </c>
      <c r="J707">
        <f>AVERAGE(ai_job_market[[#This Row],[min_salary]],ai_job_market[[#This Row],[max_salary]])</f>
        <v>71333.5</v>
      </c>
      <c r="K707"/>
      <c r="L707" t="s">
        <v>27</v>
      </c>
      <c r="M707" t="s">
        <v>37</v>
      </c>
      <c r="N707" t="s">
        <v>5158</v>
      </c>
      <c r="O707" t="s">
        <v>4743</v>
      </c>
      <c r="P707">
        <v>54193</v>
      </c>
      <c r="Q707">
        <v>88474</v>
      </c>
      <c r="R707" s="2">
        <v>45205</v>
      </c>
      <c r="S707" t="s">
        <v>16</v>
      </c>
      <c r="T707" t="s">
        <v>70</v>
      </c>
      <c r="W707" t="s">
        <v>6351</v>
      </c>
      <c r="X707">
        <v>89</v>
      </c>
      <c r="Y707" t="s">
        <v>70</v>
      </c>
      <c r="Z707">
        <v>268</v>
      </c>
    </row>
    <row r="708" spans="1:26" x14ac:dyDescent="0.3">
      <c r="A708">
        <v>707</v>
      </c>
      <c r="B708" t="s">
        <v>1662</v>
      </c>
      <c r="C708" t="s">
        <v>19</v>
      </c>
      <c r="D708" t="s">
        <v>54</v>
      </c>
      <c r="E708" t="s">
        <v>77</v>
      </c>
      <c r="F708" t="s">
        <v>6374</v>
      </c>
      <c r="G708" t="s">
        <v>6375</v>
      </c>
      <c r="J708">
        <f>AVERAGE(ai_job_market[[#This Row],[min_salary]],ai_job_market[[#This Row],[max_salary]])</f>
        <v>148202.5</v>
      </c>
      <c r="K708"/>
      <c r="L708" t="s">
        <v>22</v>
      </c>
      <c r="M708" t="s">
        <v>37</v>
      </c>
      <c r="N708" t="s">
        <v>5159</v>
      </c>
      <c r="O708" t="s">
        <v>4285</v>
      </c>
      <c r="P708">
        <v>112652</v>
      </c>
      <c r="Q708">
        <v>183753</v>
      </c>
      <c r="R708" s="2">
        <v>45760</v>
      </c>
      <c r="S708" t="s">
        <v>69</v>
      </c>
      <c r="T708" t="s">
        <v>101</v>
      </c>
      <c r="U708" t="s">
        <v>6384</v>
      </c>
      <c r="W708" t="s">
        <v>77</v>
      </c>
      <c r="X708">
        <v>111</v>
      </c>
      <c r="Y708" t="s">
        <v>101</v>
      </c>
      <c r="Z708">
        <v>255</v>
      </c>
    </row>
    <row r="709" spans="1:26" x14ac:dyDescent="0.3">
      <c r="A709">
        <v>708</v>
      </c>
      <c r="B709" t="s">
        <v>1664</v>
      </c>
      <c r="C709" t="s">
        <v>19</v>
      </c>
      <c r="D709" t="s">
        <v>25</v>
      </c>
      <c r="E709" t="s">
        <v>6354</v>
      </c>
      <c r="F709" t="s">
        <v>6394</v>
      </c>
      <c r="G709" t="s">
        <v>6392</v>
      </c>
      <c r="H709" t="s">
        <v>6379</v>
      </c>
      <c r="I709" t="s">
        <v>6395</v>
      </c>
      <c r="J709">
        <f>AVERAGE(ai_job_market[[#This Row],[min_salary]],ai_job_market[[#This Row],[max_salary]])</f>
        <v>106785.5</v>
      </c>
      <c r="K709" t="s">
        <v>6391</v>
      </c>
      <c r="L709" t="s">
        <v>22</v>
      </c>
      <c r="M709" t="s">
        <v>15</v>
      </c>
      <c r="N709" t="s">
        <v>5160</v>
      </c>
      <c r="O709" t="s">
        <v>4791</v>
      </c>
      <c r="P709">
        <v>92645</v>
      </c>
      <c r="Q709">
        <v>120926</v>
      </c>
      <c r="R709" s="2">
        <v>45697</v>
      </c>
      <c r="S709" t="s">
        <v>69</v>
      </c>
      <c r="T709" t="s">
        <v>70</v>
      </c>
      <c r="W709" t="s">
        <v>6354</v>
      </c>
      <c r="X709">
        <v>75</v>
      </c>
      <c r="Y709" t="s">
        <v>70</v>
      </c>
      <c r="Z709">
        <v>268</v>
      </c>
    </row>
    <row r="710" spans="1:26" x14ac:dyDescent="0.3">
      <c r="A710">
        <v>709</v>
      </c>
      <c r="B710" t="s">
        <v>1666</v>
      </c>
      <c r="C710" t="s">
        <v>40</v>
      </c>
      <c r="D710" t="s">
        <v>12</v>
      </c>
      <c r="E710" t="s">
        <v>6358</v>
      </c>
      <c r="F710" t="s">
        <v>6382</v>
      </c>
      <c r="G710" t="s">
        <v>6380</v>
      </c>
      <c r="J710">
        <f>AVERAGE(ai_job_market[[#This Row],[min_salary]],ai_job_market[[#This Row],[max_salary]])</f>
        <v>92000</v>
      </c>
      <c r="K710"/>
      <c r="L710" t="s">
        <v>14</v>
      </c>
      <c r="M710" t="s">
        <v>15</v>
      </c>
      <c r="N710" t="s">
        <v>5161</v>
      </c>
      <c r="O710" t="s">
        <v>4405</v>
      </c>
      <c r="P710">
        <v>64523</v>
      </c>
      <c r="Q710">
        <v>119477</v>
      </c>
      <c r="R710" s="2">
        <v>45671</v>
      </c>
      <c r="S710" t="s">
        <v>16</v>
      </c>
      <c r="T710" t="s">
        <v>77</v>
      </c>
      <c r="W710" t="s">
        <v>6358</v>
      </c>
      <c r="X710">
        <v>96</v>
      </c>
      <c r="Y710" t="s">
        <v>77</v>
      </c>
      <c r="Z710">
        <v>251</v>
      </c>
    </row>
    <row r="711" spans="1:26" x14ac:dyDescent="0.3">
      <c r="A711">
        <v>710</v>
      </c>
      <c r="B711" t="s">
        <v>1667</v>
      </c>
      <c r="C711" t="s">
        <v>49</v>
      </c>
      <c r="D711" t="s">
        <v>20</v>
      </c>
      <c r="E711" t="s">
        <v>6351</v>
      </c>
      <c r="F711" t="s">
        <v>6392</v>
      </c>
      <c r="G711" t="s">
        <v>6395</v>
      </c>
      <c r="H711" t="s">
        <v>6382</v>
      </c>
      <c r="I711" t="s">
        <v>6396</v>
      </c>
      <c r="J711">
        <f>AVERAGE(ai_job_market[[#This Row],[min_salary]],ai_job_market[[#This Row],[max_salary]])</f>
        <v>128558.5</v>
      </c>
      <c r="K711"/>
      <c r="L711" t="s">
        <v>22</v>
      </c>
      <c r="M711" t="s">
        <v>15</v>
      </c>
      <c r="N711" t="s">
        <v>5162</v>
      </c>
      <c r="O711" t="s">
        <v>4433</v>
      </c>
      <c r="P711">
        <v>118063</v>
      </c>
      <c r="Q711">
        <v>139054</v>
      </c>
      <c r="R711" s="2">
        <v>45598</v>
      </c>
      <c r="S711" t="s">
        <v>69</v>
      </c>
      <c r="T711" t="s">
        <v>101</v>
      </c>
      <c r="W711" t="s">
        <v>6351</v>
      </c>
      <c r="X711">
        <v>89</v>
      </c>
      <c r="Y711" t="s">
        <v>101</v>
      </c>
      <c r="Z711">
        <v>255</v>
      </c>
    </row>
    <row r="712" spans="1:26" x14ac:dyDescent="0.3">
      <c r="A712">
        <v>711</v>
      </c>
      <c r="B712" t="s">
        <v>1669</v>
      </c>
      <c r="C712" t="s">
        <v>45</v>
      </c>
      <c r="D712" t="s">
        <v>20</v>
      </c>
      <c r="E712" t="s">
        <v>6353</v>
      </c>
      <c r="F712" t="s">
        <v>6375</v>
      </c>
      <c r="G712" t="s">
        <v>6392</v>
      </c>
      <c r="H712" t="s">
        <v>6377</v>
      </c>
      <c r="I712" t="s">
        <v>6393</v>
      </c>
      <c r="J712">
        <f>AVERAGE(ai_job_market[[#This Row],[min_salary]],ai_job_market[[#This Row],[max_salary]])</f>
        <v>153933</v>
      </c>
      <c r="K712"/>
      <c r="L712" t="s">
        <v>22</v>
      </c>
      <c r="M712" t="s">
        <v>15</v>
      </c>
      <c r="N712" t="s">
        <v>5163</v>
      </c>
      <c r="O712" t="s">
        <v>4511</v>
      </c>
      <c r="P712">
        <v>136125</v>
      </c>
      <c r="Q712">
        <v>171741</v>
      </c>
      <c r="R712" s="2">
        <v>45531</v>
      </c>
      <c r="S712" t="s">
        <v>14</v>
      </c>
      <c r="T712" t="s">
        <v>90</v>
      </c>
      <c r="U712" t="s">
        <v>6383</v>
      </c>
      <c r="W712" t="s">
        <v>6353</v>
      </c>
      <c r="X712">
        <v>86</v>
      </c>
      <c r="Y712" t="s">
        <v>90</v>
      </c>
      <c r="Z712">
        <v>259</v>
      </c>
    </row>
    <row r="713" spans="1:26" x14ac:dyDescent="0.3">
      <c r="A713">
        <v>712</v>
      </c>
      <c r="B713" t="s">
        <v>1671</v>
      </c>
      <c r="C713" t="s">
        <v>72</v>
      </c>
      <c r="D713" t="s">
        <v>67</v>
      </c>
      <c r="E713" t="s">
        <v>128</v>
      </c>
      <c r="F713" t="s">
        <v>6376</v>
      </c>
      <c r="G713" t="s">
        <v>6385</v>
      </c>
      <c r="H713" t="s">
        <v>6391</v>
      </c>
      <c r="J713">
        <f>AVERAGE(ai_job_market[[#This Row],[min_salary]],ai_job_market[[#This Row],[max_salary]])</f>
        <v>129082</v>
      </c>
      <c r="K713"/>
      <c r="L713" t="s">
        <v>22</v>
      </c>
      <c r="M713" t="s">
        <v>42</v>
      </c>
      <c r="N713" t="s">
        <v>5164</v>
      </c>
      <c r="O713" t="s">
        <v>4303</v>
      </c>
      <c r="P713">
        <v>89832</v>
      </c>
      <c r="Q713">
        <v>168332</v>
      </c>
      <c r="R713" s="2">
        <v>45281</v>
      </c>
      <c r="S713" t="s">
        <v>14</v>
      </c>
      <c r="T713" t="s">
        <v>70</v>
      </c>
      <c r="U713" t="s">
        <v>6389</v>
      </c>
      <c r="W713" t="s">
        <v>128</v>
      </c>
      <c r="X713">
        <v>92</v>
      </c>
      <c r="Y713" t="s">
        <v>70</v>
      </c>
      <c r="Z713">
        <v>268</v>
      </c>
    </row>
    <row r="714" spans="1:26" x14ac:dyDescent="0.3">
      <c r="A714">
        <v>713</v>
      </c>
      <c r="B714" t="s">
        <v>1673</v>
      </c>
      <c r="C714" t="s">
        <v>45</v>
      </c>
      <c r="D714" t="s">
        <v>25</v>
      </c>
      <c r="E714" t="s">
        <v>128</v>
      </c>
      <c r="F714" t="s">
        <v>6389</v>
      </c>
      <c r="G714" t="s">
        <v>6376</v>
      </c>
      <c r="J714">
        <f>AVERAGE(ai_job_market[[#This Row],[min_salary]],ai_job_market[[#This Row],[max_salary]])</f>
        <v>65242</v>
      </c>
      <c r="K714"/>
      <c r="L714" t="s">
        <v>27</v>
      </c>
      <c r="M714" t="s">
        <v>51</v>
      </c>
      <c r="N714" t="s">
        <v>5165</v>
      </c>
      <c r="O714" t="s">
        <v>4309</v>
      </c>
      <c r="P714">
        <v>58051</v>
      </c>
      <c r="Q714">
        <v>72433</v>
      </c>
      <c r="R714" s="2">
        <v>45392</v>
      </c>
      <c r="S714" t="s">
        <v>69</v>
      </c>
      <c r="T714" t="s">
        <v>90</v>
      </c>
      <c r="U714" t="s">
        <v>6379</v>
      </c>
      <c r="V714" t="s">
        <v>6375</v>
      </c>
      <c r="W714" t="s">
        <v>128</v>
      </c>
      <c r="X714">
        <v>92</v>
      </c>
      <c r="Y714" t="s">
        <v>90</v>
      </c>
      <c r="Z714">
        <v>259</v>
      </c>
    </row>
    <row r="715" spans="1:26" x14ac:dyDescent="0.3">
      <c r="A715">
        <v>714</v>
      </c>
      <c r="B715" t="s">
        <v>1676</v>
      </c>
      <c r="C715" t="s">
        <v>49</v>
      </c>
      <c r="D715" t="s">
        <v>135</v>
      </c>
      <c r="E715" t="s">
        <v>6355</v>
      </c>
      <c r="F715" t="s">
        <v>6374</v>
      </c>
      <c r="G715" t="s">
        <v>6381</v>
      </c>
      <c r="H715" t="s">
        <v>6379</v>
      </c>
      <c r="J715">
        <f>AVERAGE(ai_job_market[[#This Row],[min_salary]],ai_job_market[[#This Row],[max_salary]])</f>
        <v>149251.5</v>
      </c>
      <c r="K715"/>
      <c r="L715" t="s">
        <v>27</v>
      </c>
      <c r="M715" t="s">
        <v>42</v>
      </c>
      <c r="N715" t="s">
        <v>5166</v>
      </c>
      <c r="O715" t="s">
        <v>4420</v>
      </c>
      <c r="P715">
        <v>118098</v>
      </c>
      <c r="Q715">
        <v>180405</v>
      </c>
      <c r="R715" s="2">
        <v>45364</v>
      </c>
      <c r="S715" t="s">
        <v>69</v>
      </c>
      <c r="T715" t="s">
        <v>90</v>
      </c>
      <c r="U715" t="s">
        <v>6388</v>
      </c>
      <c r="W715" t="s">
        <v>6355</v>
      </c>
      <c r="X715">
        <v>90</v>
      </c>
      <c r="Y715" t="s">
        <v>90</v>
      </c>
      <c r="Z715">
        <v>259</v>
      </c>
    </row>
    <row r="716" spans="1:26" x14ac:dyDescent="0.3">
      <c r="A716">
        <v>715</v>
      </c>
      <c r="B716" t="s">
        <v>1678</v>
      </c>
      <c r="C716" t="s">
        <v>40</v>
      </c>
      <c r="D716" t="s">
        <v>67</v>
      </c>
      <c r="E716" t="s">
        <v>6353</v>
      </c>
      <c r="F716" t="s">
        <v>6385</v>
      </c>
      <c r="G716" t="s">
        <v>6390</v>
      </c>
      <c r="J716">
        <f>AVERAGE(ai_job_market[[#This Row],[min_salary]],ai_job_market[[#This Row],[max_salary]])</f>
        <v>146476</v>
      </c>
      <c r="K716"/>
      <c r="L716" t="s">
        <v>14</v>
      </c>
      <c r="M716" t="s">
        <v>15</v>
      </c>
      <c r="N716" t="s">
        <v>5167</v>
      </c>
      <c r="O716" t="s">
        <v>4786</v>
      </c>
      <c r="P716">
        <v>130644</v>
      </c>
      <c r="Q716">
        <v>162308</v>
      </c>
      <c r="R716" s="2">
        <v>45778</v>
      </c>
      <c r="S716" t="s">
        <v>69</v>
      </c>
      <c r="T716" t="s">
        <v>128</v>
      </c>
      <c r="U716" t="s">
        <v>6378</v>
      </c>
      <c r="V716" t="s">
        <v>6384</v>
      </c>
      <c r="W716" t="s">
        <v>6353</v>
      </c>
      <c r="X716">
        <v>86</v>
      </c>
      <c r="Y716" t="s">
        <v>128</v>
      </c>
      <c r="Z716">
        <v>233</v>
      </c>
    </row>
    <row r="717" spans="1:26" x14ac:dyDescent="0.3">
      <c r="A717">
        <v>716</v>
      </c>
      <c r="B717" t="s">
        <v>1681</v>
      </c>
      <c r="C717" t="s">
        <v>34</v>
      </c>
      <c r="D717" t="s">
        <v>67</v>
      </c>
      <c r="E717" t="s">
        <v>6350</v>
      </c>
      <c r="F717" t="s">
        <v>6382</v>
      </c>
      <c r="G717" t="s">
        <v>6378</v>
      </c>
      <c r="H717" t="s">
        <v>6389</v>
      </c>
      <c r="I717" t="s">
        <v>6396</v>
      </c>
      <c r="J717">
        <f>AVERAGE(ai_job_market[[#This Row],[min_salary]],ai_job_market[[#This Row],[max_salary]])</f>
        <v>90608.5</v>
      </c>
      <c r="K717"/>
      <c r="L717" t="s">
        <v>27</v>
      </c>
      <c r="M717" t="s">
        <v>51</v>
      </c>
      <c r="N717" t="s">
        <v>5168</v>
      </c>
      <c r="O717" t="s">
        <v>4446</v>
      </c>
      <c r="P717">
        <v>44826</v>
      </c>
      <c r="Q717">
        <v>136391</v>
      </c>
      <c r="R717" s="2">
        <v>45573</v>
      </c>
      <c r="S717" t="s">
        <v>16</v>
      </c>
      <c r="T717" t="s">
        <v>80</v>
      </c>
      <c r="W717" t="s">
        <v>6350</v>
      </c>
      <c r="X717">
        <v>84</v>
      </c>
      <c r="Y717" t="s">
        <v>80</v>
      </c>
      <c r="Z717">
        <v>249</v>
      </c>
    </row>
    <row r="718" spans="1:26" x14ac:dyDescent="0.3">
      <c r="A718">
        <v>717</v>
      </c>
      <c r="B718" t="s">
        <v>1683</v>
      </c>
      <c r="C718" t="s">
        <v>72</v>
      </c>
      <c r="D718" t="s">
        <v>35</v>
      </c>
      <c r="E718" t="s">
        <v>6352</v>
      </c>
      <c r="F718" t="s">
        <v>6392</v>
      </c>
      <c r="G718" t="s">
        <v>6390</v>
      </c>
      <c r="H718" t="s">
        <v>6393</v>
      </c>
      <c r="I718" t="s">
        <v>6394</v>
      </c>
      <c r="J718">
        <f>AVERAGE(ai_job_market[[#This Row],[min_salary]],ai_job_market[[#This Row],[max_salary]])</f>
        <v>166578.5</v>
      </c>
      <c r="K718" t="s">
        <v>6376</v>
      </c>
      <c r="L718" t="s">
        <v>22</v>
      </c>
      <c r="M718" t="s">
        <v>51</v>
      </c>
      <c r="N718" t="s">
        <v>5169</v>
      </c>
      <c r="O718" t="s">
        <v>5170</v>
      </c>
      <c r="P718">
        <v>143864</v>
      </c>
      <c r="Q718">
        <v>189293</v>
      </c>
      <c r="R718" s="2">
        <v>45229</v>
      </c>
      <c r="S718" t="s">
        <v>16</v>
      </c>
      <c r="T718" t="s">
        <v>70</v>
      </c>
      <c r="W718" t="s">
        <v>6352</v>
      </c>
      <c r="X718">
        <v>97</v>
      </c>
      <c r="Y718" t="s">
        <v>70</v>
      </c>
      <c r="Z718">
        <v>268</v>
      </c>
    </row>
    <row r="719" spans="1:26" x14ac:dyDescent="0.3">
      <c r="A719">
        <v>718</v>
      </c>
      <c r="B719" t="s">
        <v>1685</v>
      </c>
      <c r="C719" t="s">
        <v>72</v>
      </c>
      <c r="D719" t="s">
        <v>135</v>
      </c>
      <c r="E719" t="s">
        <v>6352</v>
      </c>
      <c r="F719" t="s">
        <v>6393</v>
      </c>
      <c r="G719" t="s">
        <v>6377</v>
      </c>
      <c r="H719" t="s">
        <v>6395</v>
      </c>
      <c r="I719" t="s">
        <v>6390</v>
      </c>
      <c r="J719">
        <f>AVERAGE(ai_job_market[[#This Row],[min_salary]],ai_job_market[[#This Row],[max_salary]])</f>
        <v>145066.5</v>
      </c>
      <c r="K719"/>
      <c r="L719" t="s">
        <v>14</v>
      </c>
      <c r="M719" t="s">
        <v>51</v>
      </c>
      <c r="N719" t="s">
        <v>5171</v>
      </c>
      <c r="O719" t="s">
        <v>4518</v>
      </c>
      <c r="P719">
        <v>119984</v>
      </c>
      <c r="Q719">
        <v>170149</v>
      </c>
      <c r="R719" s="2">
        <v>45550</v>
      </c>
      <c r="S719" t="s">
        <v>16</v>
      </c>
      <c r="T719" t="s">
        <v>80</v>
      </c>
      <c r="U719" t="s">
        <v>6375</v>
      </c>
      <c r="V719" t="s">
        <v>6378</v>
      </c>
      <c r="W719" t="s">
        <v>6352</v>
      </c>
      <c r="X719">
        <v>97</v>
      </c>
      <c r="Y719" t="s">
        <v>80</v>
      </c>
      <c r="Z719">
        <v>249</v>
      </c>
    </row>
    <row r="720" spans="1:26" x14ac:dyDescent="0.3">
      <c r="A720">
        <v>719</v>
      </c>
      <c r="B720" t="s">
        <v>1688</v>
      </c>
      <c r="C720" t="s">
        <v>40</v>
      </c>
      <c r="D720" t="s">
        <v>12</v>
      </c>
      <c r="E720" t="s">
        <v>6346</v>
      </c>
      <c r="F720" t="s">
        <v>6387</v>
      </c>
      <c r="G720" t="s">
        <v>6374</v>
      </c>
      <c r="H720" t="s">
        <v>6375</v>
      </c>
      <c r="I720" t="s">
        <v>6393</v>
      </c>
      <c r="J720">
        <f>AVERAGE(ai_job_market[[#This Row],[min_salary]],ai_job_market[[#This Row],[max_salary]])</f>
        <v>118037.5</v>
      </c>
      <c r="K720" t="s">
        <v>6396</v>
      </c>
      <c r="L720" t="s">
        <v>22</v>
      </c>
      <c r="M720" t="s">
        <v>15</v>
      </c>
      <c r="N720" t="s">
        <v>5172</v>
      </c>
      <c r="O720" t="s">
        <v>4444</v>
      </c>
      <c r="P720">
        <v>84432</v>
      </c>
      <c r="Q720">
        <v>151643</v>
      </c>
      <c r="R720" s="2">
        <v>45503</v>
      </c>
      <c r="S720" t="s">
        <v>69</v>
      </c>
      <c r="T720" t="s">
        <v>90</v>
      </c>
      <c r="W720" t="s">
        <v>6346</v>
      </c>
      <c r="X720">
        <v>78</v>
      </c>
      <c r="Y720" t="s">
        <v>90</v>
      </c>
      <c r="Z720">
        <v>259</v>
      </c>
    </row>
    <row r="721" spans="1:26" x14ac:dyDescent="0.3">
      <c r="A721">
        <v>720</v>
      </c>
      <c r="B721" t="s">
        <v>1690</v>
      </c>
      <c r="C721" t="s">
        <v>19</v>
      </c>
      <c r="D721" t="s">
        <v>67</v>
      </c>
      <c r="E721" t="s">
        <v>128</v>
      </c>
      <c r="F721" t="s">
        <v>6377</v>
      </c>
      <c r="G721" t="s">
        <v>6390</v>
      </c>
      <c r="H721" t="s">
        <v>6394</v>
      </c>
      <c r="I721" t="s">
        <v>6392</v>
      </c>
      <c r="J721">
        <f>AVERAGE(ai_job_market[[#This Row],[min_salary]],ai_job_market[[#This Row],[max_salary]])</f>
        <v>107905</v>
      </c>
      <c r="K721"/>
      <c r="L721" t="s">
        <v>27</v>
      </c>
      <c r="M721" t="s">
        <v>15</v>
      </c>
      <c r="N721" t="s">
        <v>5173</v>
      </c>
      <c r="O721" t="s">
        <v>4743</v>
      </c>
      <c r="P721">
        <v>78737</v>
      </c>
      <c r="Q721">
        <v>137073</v>
      </c>
      <c r="R721" s="2">
        <v>45782</v>
      </c>
      <c r="S721" t="s">
        <v>69</v>
      </c>
      <c r="T721" t="s">
        <v>90</v>
      </c>
      <c r="U721" t="s">
        <v>6384</v>
      </c>
      <c r="W721" t="s">
        <v>128</v>
      </c>
      <c r="X721">
        <v>92</v>
      </c>
      <c r="Y721" t="s">
        <v>90</v>
      </c>
      <c r="Z721">
        <v>259</v>
      </c>
    </row>
    <row r="722" spans="1:26" x14ac:dyDescent="0.3">
      <c r="A722">
        <v>721</v>
      </c>
      <c r="B722" t="s">
        <v>1692</v>
      </c>
      <c r="C722" t="s">
        <v>45</v>
      </c>
      <c r="D722" t="s">
        <v>12</v>
      </c>
      <c r="E722" t="s">
        <v>80</v>
      </c>
      <c r="F722" t="s">
        <v>6389</v>
      </c>
      <c r="G722" t="s">
        <v>6385</v>
      </c>
      <c r="H722" t="s">
        <v>6392</v>
      </c>
      <c r="I722" t="s">
        <v>6381</v>
      </c>
      <c r="J722">
        <f>AVERAGE(ai_job_market[[#This Row],[min_salary]],ai_job_market[[#This Row],[max_salary]])</f>
        <v>168659</v>
      </c>
      <c r="K722" t="s">
        <v>6377</v>
      </c>
      <c r="L722" t="s">
        <v>27</v>
      </c>
      <c r="M722" t="s">
        <v>51</v>
      </c>
      <c r="N722" t="s">
        <v>5174</v>
      </c>
      <c r="O722" t="s">
        <v>4309</v>
      </c>
      <c r="P722">
        <v>125708</v>
      </c>
      <c r="Q722">
        <v>211610</v>
      </c>
      <c r="R722" s="2">
        <v>45561</v>
      </c>
      <c r="S722" t="s">
        <v>14</v>
      </c>
      <c r="T722" t="s">
        <v>52</v>
      </c>
      <c r="U722" t="s">
        <v>6389</v>
      </c>
      <c r="W722" t="s">
        <v>80</v>
      </c>
      <c r="X722">
        <v>95</v>
      </c>
      <c r="Y722" t="s">
        <v>52</v>
      </c>
      <c r="Z722">
        <v>238</v>
      </c>
    </row>
    <row r="723" spans="1:26" x14ac:dyDescent="0.3">
      <c r="A723">
        <v>722</v>
      </c>
      <c r="B723" t="s">
        <v>1694</v>
      </c>
      <c r="C723" t="s">
        <v>11</v>
      </c>
      <c r="D723" t="s">
        <v>54</v>
      </c>
      <c r="E723" t="s">
        <v>6350</v>
      </c>
      <c r="F723" t="s">
        <v>6382</v>
      </c>
      <c r="G723" t="s">
        <v>6392</v>
      </c>
      <c r="H723" t="s">
        <v>6393</v>
      </c>
      <c r="I723" t="s">
        <v>6396</v>
      </c>
      <c r="J723">
        <f>AVERAGE(ai_job_market[[#This Row],[min_salary]],ai_job_market[[#This Row],[max_salary]])</f>
        <v>108499</v>
      </c>
      <c r="K723"/>
      <c r="L723" t="s">
        <v>14</v>
      </c>
      <c r="M723" t="s">
        <v>42</v>
      </c>
      <c r="N723" t="s">
        <v>5175</v>
      </c>
      <c r="O723" t="s">
        <v>5030</v>
      </c>
      <c r="P723">
        <v>66588</v>
      </c>
      <c r="Q723">
        <v>150410</v>
      </c>
      <c r="R723" s="2">
        <v>45339</v>
      </c>
      <c r="S723" t="s">
        <v>16</v>
      </c>
      <c r="T723" t="s">
        <v>90</v>
      </c>
      <c r="U723" t="s">
        <v>6388</v>
      </c>
      <c r="W723" t="s">
        <v>6350</v>
      </c>
      <c r="X723">
        <v>84</v>
      </c>
      <c r="Y723" t="s">
        <v>90</v>
      </c>
      <c r="Z723">
        <v>259</v>
      </c>
    </row>
    <row r="724" spans="1:26" x14ac:dyDescent="0.3">
      <c r="A724">
        <v>723</v>
      </c>
      <c r="B724" t="s">
        <v>1696</v>
      </c>
      <c r="C724" t="s">
        <v>49</v>
      </c>
      <c r="D724" t="s">
        <v>12</v>
      </c>
      <c r="E724" t="s">
        <v>6353</v>
      </c>
      <c r="F724" t="s">
        <v>6380</v>
      </c>
      <c r="G724" t="s">
        <v>6382</v>
      </c>
      <c r="H724" t="s">
        <v>6384</v>
      </c>
      <c r="I724" t="s">
        <v>6391</v>
      </c>
      <c r="J724">
        <f>AVERAGE(ai_job_market[[#This Row],[min_salary]],ai_job_market[[#This Row],[max_salary]])</f>
        <v>91813</v>
      </c>
      <c r="K724" t="s">
        <v>6375</v>
      </c>
      <c r="L724" t="s">
        <v>22</v>
      </c>
      <c r="M724" t="s">
        <v>37</v>
      </c>
      <c r="N724" t="s">
        <v>5176</v>
      </c>
      <c r="O724" t="s">
        <v>4538</v>
      </c>
      <c r="P724">
        <v>54873</v>
      </c>
      <c r="Q724">
        <v>128753</v>
      </c>
      <c r="R724" s="2">
        <v>45264</v>
      </c>
      <c r="S724" t="s">
        <v>16</v>
      </c>
      <c r="T724" t="s">
        <v>157</v>
      </c>
      <c r="U724" t="s">
        <v>6379</v>
      </c>
      <c r="W724" t="s">
        <v>6353</v>
      </c>
      <c r="X724">
        <v>86</v>
      </c>
      <c r="Y724" t="s">
        <v>157</v>
      </c>
      <c r="Z724">
        <v>247</v>
      </c>
    </row>
    <row r="725" spans="1:26" x14ac:dyDescent="0.3">
      <c r="A725">
        <v>724</v>
      </c>
      <c r="B725" t="s">
        <v>1698</v>
      </c>
      <c r="C725" t="s">
        <v>45</v>
      </c>
      <c r="D725" t="s">
        <v>20</v>
      </c>
      <c r="E725" t="s">
        <v>101</v>
      </c>
      <c r="F725" t="s">
        <v>6384</v>
      </c>
      <c r="G725" t="s">
        <v>6375</v>
      </c>
      <c r="H725" t="s">
        <v>6397</v>
      </c>
      <c r="J725">
        <f>AVERAGE(ai_job_market[[#This Row],[min_salary]],ai_job_market[[#This Row],[max_salary]])</f>
        <v>158500.5</v>
      </c>
      <c r="K725"/>
      <c r="L725" t="s">
        <v>22</v>
      </c>
      <c r="M725" t="s">
        <v>51</v>
      </c>
      <c r="N725" t="s">
        <v>5177</v>
      </c>
      <c r="O725" t="s">
        <v>4678</v>
      </c>
      <c r="P725">
        <v>148303</v>
      </c>
      <c r="Q725">
        <v>168698</v>
      </c>
      <c r="R725" s="2">
        <v>45829</v>
      </c>
      <c r="S725" t="s">
        <v>14</v>
      </c>
      <c r="T725" t="s">
        <v>90</v>
      </c>
      <c r="U725" t="s">
        <v>6378</v>
      </c>
      <c r="W725" t="s">
        <v>101</v>
      </c>
      <c r="X725">
        <v>76</v>
      </c>
      <c r="Y725" t="s">
        <v>90</v>
      </c>
      <c r="Z725">
        <v>259</v>
      </c>
    </row>
    <row r="726" spans="1:26" x14ac:dyDescent="0.3">
      <c r="A726">
        <v>725</v>
      </c>
      <c r="B726" t="s">
        <v>1700</v>
      </c>
      <c r="C726" t="s">
        <v>19</v>
      </c>
      <c r="D726" t="s">
        <v>135</v>
      </c>
      <c r="E726" t="s">
        <v>80</v>
      </c>
      <c r="F726" t="s">
        <v>6377</v>
      </c>
      <c r="G726" t="s">
        <v>6397</v>
      </c>
      <c r="J726">
        <f>AVERAGE(ai_job_market[[#This Row],[min_salary]],ai_job_market[[#This Row],[max_salary]])</f>
        <v>82159</v>
      </c>
      <c r="K726"/>
      <c r="L726" t="s">
        <v>14</v>
      </c>
      <c r="M726" t="s">
        <v>15</v>
      </c>
      <c r="N726" t="s">
        <v>5178</v>
      </c>
      <c r="O726" t="s">
        <v>4442</v>
      </c>
      <c r="P726">
        <v>41869</v>
      </c>
      <c r="Q726">
        <v>122449</v>
      </c>
      <c r="R726" s="2">
        <v>45315</v>
      </c>
      <c r="S726" t="s">
        <v>14</v>
      </c>
      <c r="T726" t="s">
        <v>52</v>
      </c>
      <c r="W726" t="s">
        <v>80</v>
      </c>
      <c r="X726">
        <v>95</v>
      </c>
      <c r="Y726" t="s">
        <v>52</v>
      </c>
      <c r="Z726">
        <v>238</v>
      </c>
    </row>
    <row r="727" spans="1:26" x14ac:dyDescent="0.3">
      <c r="A727">
        <v>726</v>
      </c>
      <c r="B727" t="s">
        <v>1702</v>
      </c>
      <c r="C727" t="s">
        <v>72</v>
      </c>
      <c r="D727" t="s">
        <v>12</v>
      </c>
      <c r="E727" t="s">
        <v>77</v>
      </c>
      <c r="F727" t="s">
        <v>6393</v>
      </c>
      <c r="G727" t="s">
        <v>6387</v>
      </c>
      <c r="H727" t="s">
        <v>6390</v>
      </c>
      <c r="I727" t="s">
        <v>6394</v>
      </c>
      <c r="J727">
        <f>AVERAGE(ai_job_market[[#This Row],[min_salary]],ai_job_market[[#This Row],[max_salary]])</f>
        <v>139855</v>
      </c>
      <c r="K727" t="s">
        <v>6375</v>
      </c>
      <c r="L727" t="s">
        <v>27</v>
      </c>
      <c r="M727" t="s">
        <v>15</v>
      </c>
      <c r="N727" t="s">
        <v>5179</v>
      </c>
      <c r="O727" t="s">
        <v>4509</v>
      </c>
      <c r="P727">
        <v>108841</v>
      </c>
      <c r="Q727">
        <v>170869</v>
      </c>
      <c r="R727" s="2">
        <v>45607</v>
      </c>
      <c r="S727" t="s">
        <v>16</v>
      </c>
      <c r="T727" t="s">
        <v>52</v>
      </c>
      <c r="U727" t="s">
        <v>6383</v>
      </c>
      <c r="W727" t="s">
        <v>77</v>
      </c>
      <c r="X727">
        <v>111</v>
      </c>
      <c r="Y727" t="s">
        <v>52</v>
      </c>
      <c r="Z727">
        <v>238</v>
      </c>
    </row>
    <row r="728" spans="1:26" x14ac:dyDescent="0.3">
      <c r="A728">
        <v>727</v>
      </c>
      <c r="B728" t="s">
        <v>1704</v>
      </c>
      <c r="C728" t="s">
        <v>11</v>
      </c>
      <c r="D728" t="s">
        <v>54</v>
      </c>
      <c r="E728" t="s">
        <v>6349</v>
      </c>
      <c r="F728" t="s">
        <v>6376</v>
      </c>
      <c r="G728" t="s">
        <v>6387</v>
      </c>
      <c r="H728" t="s">
        <v>6392</v>
      </c>
      <c r="I728" t="s">
        <v>6397</v>
      </c>
      <c r="J728">
        <f>AVERAGE(ai_job_market[[#This Row],[min_salary]],ai_job_market[[#This Row],[max_salary]])</f>
        <v>141618.5</v>
      </c>
      <c r="K728" t="s">
        <v>6378</v>
      </c>
      <c r="L728" t="s">
        <v>14</v>
      </c>
      <c r="M728" t="s">
        <v>42</v>
      </c>
      <c r="N728" t="s">
        <v>5180</v>
      </c>
      <c r="O728" t="s">
        <v>4668</v>
      </c>
      <c r="P728">
        <v>114726</v>
      </c>
      <c r="Q728">
        <v>168511</v>
      </c>
      <c r="R728" s="2">
        <v>45543</v>
      </c>
      <c r="S728" t="s">
        <v>16</v>
      </c>
      <c r="T728" t="s">
        <v>157</v>
      </c>
      <c r="U728" t="s">
        <v>6375</v>
      </c>
      <c r="V728" t="s">
        <v>6378</v>
      </c>
      <c r="W728" t="s">
        <v>6349</v>
      </c>
      <c r="X728">
        <v>96</v>
      </c>
      <c r="Y728" t="s">
        <v>157</v>
      </c>
      <c r="Z728">
        <v>247</v>
      </c>
    </row>
    <row r="729" spans="1:26" x14ac:dyDescent="0.3">
      <c r="A729">
        <v>728</v>
      </c>
      <c r="B729" t="s">
        <v>1706</v>
      </c>
      <c r="C729" t="s">
        <v>11</v>
      </c>
      <c r="D729" t="s">
        <v>25</v>
      </c>
      <c r="E729" t="s">
        <v>6355</v>
      </c>
      <c r="F729" t="s">
        <v>6375</v>
      </c>
      <c r="G729" t="s">
        <v>6380</v>
      </c>
      <c r="H729" t="s">
        <v>6384</v>
      </c>
      <c r="I729" t="s">
        <v>6392</v>
      </c>
      <c r="J729">
        <f>AVERAGE(ai_job_market[[#This Row],[min_salary]],ai_job_market[[#This Row],[max_salary]])</f>
        <v>124161</v>
      </c>
      <c r="K729"/>
      <c r="L729" t="s">
        <v>22</v>
      </c>
      <c r="M729" t="s">
        <v>51</v>
      </c>
      <c r="N729" t="s">
        <v>5181</v>
      </c>
      <c r="O729" t="s">
        <v>5098</v>
      </c>
      <c r="P729">
        <v>80878</v>
      </c>
      <c r="Q729">
        <v>167444</v>
      </c>
      <c r="R729" s="2">
        <v>45677</v>
      </c>
      <c r="S729" t="s">
        <v>14</v>
      </c>
      <c r="T729" t="s">
        <v>128</v>
      </c>
      <c r="U729" t="s">
        <v>6384</v>
      </c>
      <c r="W729" t="s">
        <v>6355</v>
      </c>
      <c r="X729">
        <v>90</v>
      </c>
      <c r="Y729" t="s">
        <v>128</v>
      </c>
      <c r="Z729">
        <v>233</v>
      </c>
    </row>
    <row r="730" spans="1:26" x14ac:dyDescent="0.3">
      <c r="A730">
        <v>729</v>
      </c>
      <c r="B730" t="s">
        <v>1708</v>
      </c>
      <c r="C730" t="s">
        <v>45</v>
      </c>
      <c r="D730" t="s">
        <v>67</v>
      </c>
      <c r="E730" t="s">
        <v>6348</v>
      </c>
      <c r="F730" t="s">
        <v>6391</v>
      </c>
      <c r="G730" t="s">
        <v>6395</v>
      </c>
      <c r="J730">
        <f>AVERAGE(ai_job_market[[#This Row],[min_salary]],ai_job_market[[#This Row],[max_salary]])</f>
        <v>85044.5</v>
      </c>
      <c r="K730"/>
      <c r="L730" t="s">
        <v>14</v>
      </c>
      <c r="M730" t="s">
        <v>42</v>
      </c>
      <c r="N730" t="s">
        <v>5182</v>
      </c>
      <c r="O730" t="s">
        <v>4454</v>
      </c>
      <c r="P730">
        <v>58935</v>
      </c>
      <c r="Q730">
        <v>111154</v>
      </c>
      <c r="R730" s="2">
        <v>45911</v>
      </c>
      <c r="S730" t="s">
        <v>14</v>
      </c>
      <c r="T730" t="s">
        <v>128</v>
      </c>
      <c r="U730" t="s">
        <v>6376</v>
      </c>
      <c r="V730" t="s">
        <v>6389</v>
      </c>
      <c r="W730" t="s">
        <v>6348</v>
      </c>
      <c r="X730">
        <v>78</v>
      </c>
      <c r="Y730" t="s">
        <v>128</v>
      </c>
      <c r="Z730">
        <v>233</v>
      </c>
    </row>
    <row r="731" spans="1:26" x14ac:dyDescent="0.3">
      <c r="A731">
        <v>730</v>
      </c>
      <c r="B731" t="s">
        <v>1711</v>
      </c>
      <c r="C731" t="s">
        <v>40</v>
      </c>
      <c r="D731" t="s">
        <v>54</v>
      </c>
      <c r="E731" t="s">
        <v>6359</v>
      </c>
      <c r="F731" t="s">
        <v>6394</v>
      </c>
      <c r="G731" t="s">
        <v>6379</v>
      </c>
      <c r="H731" t="s">
        <v>6377</v>
      </c>
      <c r="J731">
        <f>AVERAGE(ai_job_market[[#This Row],[min_salary]],ai_job_market[[#This Row],[max_salary]])</f>
        <v>166231.5</v>
      </c>
      <c r="K731"/>
      <c r="L731" t="s">
        <v>27</v>
      </c>
      <c r="M731" t="s">
        <v>15</v>
      </c>
      <c r="N731" t="s">
        <v>5183</v>
      </c>
      <c r="O731" t="s">
        <v>4497</v>
      </c>
      <c r="P731">
        <v>122431</v>
      </c>
      <c r="Q731">
        <v>210032</v>
      </c>
      <c r="R731" s="2">
        <v>45382</v>
      </c>
      <c r="S731" t="s">
        <v>69</v>
      </c>
      <c r="T731" t="s">
        <v>128</v>
      </c>
      <c r="U731" t="s">
        <v>6383</v>
      </c>
      <c r="W731" t="s">
        <v>6359</v>
      </c>
      <c r="X731">
        <v>104</v>
      </c>
      <c r="Y731" t="s">
        <v>128</v>
      </c>
      <c r="Z731">
        <v>233</v>
      </c>
    </row>
    <row r="732" spans="1:26" x14ac:dyDescent="0.3">
      <c r="A732">
        <v>731</v>
      </c>
      <c r="B732" t="s">
        <v>329</v>
      </c>
      <c r="C732" t="s">
        <v>49</v>
      </c>
      <c r="D732" t="s">
        <v>25</v>
      </c>
      <c r="E732" t="s">
        <v>6345</v>
      </c>
      <c r="F732" t="s">
        <v>6393</v>
      </c>
      <c r="G732" t="s">
        <v>6384</v>
      </c>
      <c r="J732">
        <f>AVERAGE(ai_job_market[[#This Row],[min_salary]],ai_job_market[[#This Row],[max_salary]])</f>
        <v>109310.5</v>
      </c>
      <c r="K732"/>
      <c r="L732" t="s">
        <v>14</v>
      </c>
      <c r="M732" t="s">
        <v>15</v>
      </c>
      <c r="N732" t="s">
        <v>5184</v>
      </c>
      <c r="O732" t="s">
        <v>4988</v>
      </c>
      <c r="P732">
        <v>102648</v>
      </c>
      <c r="Q732">
        <v>115973</v>
      </c>
      <c r="R732" s="2">
        <v>45831</v>
      </c>
      <c r="S732" t="s">
        <v>14</v>
      </c>
      <c r="T732" t="s">
        <v>70</v>
      </c>
      <c r="U732" t="s">
        <v>6375</v>
      </c>
      <c r="W732" t="s">
        <v>6345</v>
      </c>
      <c r="X732">
        <v>101</v>
      </c>
      <c r="Y732" t="s">
        <v>70</v>
      </c>
      <c r="Z732">
        <v>268</v>
      </c>
    </row>
    <row r="733" spans="1:26" x14ac:dyDescent="0.3">
      <c r="A733">
        <v>732</v>
      </c>
      <c r="B733" t="s">
        <v>1714</v>
      </c>
      <c r="C733" t="s">
        <v>72</v>
      </c>
      <c r="D733" t="s">
        <v>30</v>
      </c>
      <c r="E733" t="s">
        <v>6352</v>
      </c>
      <c r="F733" t="s">
        <v>6389</v>
      </c>
      <c r="G733" t="s">
        <v>6380</v>
      </c>
      <c r="H733" t="s">
        <v>6378</v>
      </c>
      <c r="I733" t="s">
        <v>6390</v>
      </c>
      <c r="J733">
        <f>AVERAGE(ai_job_market[[#This Row],[min_salary]],ai_job_market[[#This Row],[max_salary]])</f>
        <v>70297.5</v>
      </c>
      <c r="K733" t="s">
        <v>6374</v>
      </c>
      <c r="L733" t="s">
        <v>22</v>
      </c>
      <c r="M733" t="s">
        <v>15</v>
      </c>
      <c r="N733" t="s">
        <v>5185</v>
      </c>
      <c r="O733" t="s">
        <v>4490</v>
      </c>
      <c r="P733">
        <v>61585</v>
      </c>
      <c r="Q733">
        <v>79010</v>
      </c>
      <c r="R733" s="2">
        <v>45799</v>
      </c>
      <c r="S733" t="s">
        <v>16</v>
      </c>
      <c r="T733" t="s">
        <v>128</v>
      </c>
      <c r="U733" t="s">
        <v>6383</v>
      </c>
      <c r="W733" t="s">
        <v>6352</v>
      </c>
      <c r="X733">
        <v>97</v>
      </c>
      <c r="Y733" t="s">
        <v>128</v>
      </c>
      <c r="Z733">
        <v>233</v>
      </c>
    </row>
    <row r="734" spans="1:26" x14ac:dyDescent="0.3">
      <c r="A734">
        <v>733</v>
      </c>
      <c r="B734" t="s">
        <v>1716</v>
      </c>
      <c r="C734" t="s">
        <v>49</v>
      </c>
      <c r="D734" t="s">
        <v>30</v>
      </c>
      <c r="E734" t="s">
        <v>6348</v>
      </c>
      <c r="F734" t="s">
        <v>6384</v>
      </c>
      <c r="G734" t="s">
        <v>6394</v>
      </c>
      <c r="J734">
        <f>AVERAGE(ai_job_market[[#This Row],[min_salary]],ai_job_market[[#This Row],[max_salary]])</f>
        <v>87973</v>
      </c>
      <c r="K734"/>
      <c r="L734" t="s">
        <v>27</v>
      </c>
      <c r="M734" t="s">
        <v>42</v>
      </c>
      <c r="N734" t="s">
        <v>5186</v>
      </c>
      <c r="O734" t="s">
        <v>4907</v>
      </c>
      <c r="P734">
        <v>53822</v>
      </c>
      <c r="Q734">
        <v>122124</v>
      </c>
      <c r="R734" s="2">
        <v>45296</v>
      </c>
      <c r="S734" t="s">
        <v>14</v>
      </c>
      <c r="T734" t="s">
        <v>80</v>
      </c>
      <c r="U734" t="s">
        <v>6378</v>
      </c>
      <c r="V734" t="s">
        <v>6379</v>
      </c>
      <c r="W734" t="s">
        <v>6348</v>
      </c>
      <c r="X734">
        <v>78</v>
      </c>
      <c r="Y734" t="s">
        <v>80</v>
      </c>
      <c r="Z734">
        <v>249</v>
      </c>
    </row>
    <row r="735" spans="1:26" x14ac:dyDescent="0.3">
      <c r="A735">
        <v>734</v>
      </c>
      <c r="B735" t="s">
        <v>1718</v>
      </c>
      <c r="C735" t="s">
        <v>40</v>
      </c>
      <c r="D735" t="s">
        <v>54</v>
      </c>
      <c r="E735" t="s">
        <v>6344</v>
      </c>
      <c r="F735" t="s">
        <v>6381</v>
      </c>
      <c r="G735" t="s">
        <v>6392</v>
      </c>
      <c r="H735" t="s">
        <v>6395</v>
      </c>
      <c r="I735" t="s">
        <v>6377</v>
      </c>
      <c r="J735">
        <f>AVERAGE(ai_job_market[[#This Row],[min_salary]],ai_job_market[[#This Row],[max_salary]])</f>
        <v>143268.5</v>
      </c>
      <c r="K735"/>
      <c r="L735" t="s">
        <v>22</v>
      </c>
      <c r="M735" t="s">
        <v>42</v>
      </c>
      <c r="N735" t="s">
        <v>5187</v>
      </c>
      <c r="O735" t="s">
        <v>4582</v>
      </c>
      <c r="P735">
        <v>107790</v>
      </c>
      <c r="Q735">
        <v>178747</v>
      </c>
      <c r="R735" s="2">
        <v>45252</v>
      </c>
      <c r="S735" t="s">
        <v>69</v>
      </c>
      <c r="T735" t="s">
        <v>101</v>
      </c>
      <c r="U735" t="s">
        <v>6389</v>
      </c>
      <c r="V735" t="s">
        <v>6388</v>
      </c>
      <c r="W735" t="s">
        <v>6344</v>
      </c>
      <c r="X735">
        <v>104</v>
      </c>
      <c r="Y735" t="s">
        <v>101</v>
      </c>
      <c r="Z735">
        <v>255</v>
      </c>
    </row>
    <row r="736" spans="1:26" x14ac:dyDescent="0.3">
      <c r="A736">
        <v>735</v>
      </c>
      <c r="B736" t="s">
        <v>1720</v>
      </c>
      <c r="C736" t="s">
        <v>11</v>
      </c>
      <c r="D736" t="s">
        <v>35</v>
      </c>
      <c r="E736" t="s">
        <v>128</v>
      </c>
      <c r="F736" t="s">
        <v>6386</v>
      </c>
      <c r="G736" t="s">
        <v>6392</v>
      </c>
      <c r="H736" t="s">
        <v>6376</v>
      </c>
      <c r="J736">
        <f>AVERAGE(ai_job_market[[#This Row],[min_salary]],ai_job_market[[#This Row],[max_salary]])</f>
        <v>146321.5</v>
      </c>
      <c r="K736"/>
      <c r="L736" t="s">
        <v>27</v>
      </c>
      <c r="M736" t="s">
        <v>15</v>
      </c>
      <c r="N736" t="s">
        <v>5188</v>
      </c>
      <c r="O736" t="s">
        <v>4566</v>
      </c>
      <c r="P736">
        <v>138168</v>
      </c>
      <c r="Q736">
        <v>154475</v>
      </c>
      <c r="R736" s="2">
        <v>45642</v>
      </c>
      <c r="S736" t="s">
        <v>14</v>
      </c>
      <c r="T736" t="s">
        <v>52</v>
      </c>
      <c r="U736" t="s">
        <v>6384</v>
      </c>
      <c r="W736" t="s">
        <v>128</v>
      </c>
      <c r="X736">
        <v>92</v>
      </c>
      <c r="Y736" t="s">
        <v>52</v>
      </c>
      <c r="Z736">
        <v>238</v>
      </c>
    </row>
    <row r="737" spans="1:26" x14ac:dyDescent="0.3">
      <c r="A737">
        <v>736</v>
      </c>
      <c r="B737" t="s">
        <v>1722</v>
      </c>
      <c r="C737" t="s">
        <v>34</v>
      </c>
      <c r="D737" t="s">
        <v>20</v>
      </c>
      <c r="E737" t="s">
        <v>6345</v>
      </c>
      <c r="F737" t="s">
        <v>6395</v>
      </c>
      <c r="G737" t="s">
        <v>6385</v>
      </c>
      <c r="H737" t="s">
        <v>6387</v>
      </c>
      <c r="I737" t="s">
        <v>6393</v>
      </c>
      <c r="J737">
        <f>AVERAGE(ai_job_market[[#This Row],[min_salary]],ai_job_market[[#This Row],[max_salary]])</f>
        <v>142389</v>
      </c>
      <c r="K737" t="s">
        <v>6381</v>
      </c>
      <c r="L737" t="s">
        <v>27</v>
      </c>
      <c r="M737" t="s">
        <v>42</v>
      </c>
      <c r="N737" t="s">
        <v>5189</v>
      </c>
      <c r="O737" t="s">
        <v>4684</v>
      </c>
      <c r="P737">
        <v>129072</v>
      </c>
      <c r="Q737">
        <v>155706</v>
      </c>
      <c r="R737" s="2">
        <v>45376</v>
      </c>
      <c r="S737" t="s">
        <v>69</v>
      </c>
      <c r="T737" t="s">
        <v>77</v>
      </c>
      <c r="U737" t="s">
        <v>6388</v>
      </c>
      <c r="W737" t="s">
        <v>6345</v>
      </c>
      <c r="X737">
        <v>101</v>
      </c>
      <c r="Y737" t="s">
        <v>77</v>
      </c>
      <c r="Z737">
        <v>251</v>
      </c>
    </row>
    <row r="738" spans="1:26" x14ac:dyDescent="0.3">
      <c r="A738">
        <v>737</v>
      </c>
      <c r="B738" t="s">
        <v>1724</v>
      </c>
      <c r="C738" t="s">
        <v>34</v>
      </c>
      <c r="D738" t="s">
        <v>20</v>
      </c>
      <c r="E738" t="s">
        <v>6347</v>
      </c>
      <c r="F738" t="s">
        <v>6387</v>
      </c>
      <c r="G738" t="s">
        <v>6392</v>
      </c>
      <c r="J738">
        <f>AVERAGE(ai_job_market[[#This Row],[min_salary]],ai_job_market[[#This Row],[max_salary]])</f>
        <v>137609</v>
      </c>
      <c r="K738"/>
      <c r="L738" t="s">
        <v>14</v>
      </c>
      <c r="M738" t="s">
        <v>37</v>
      </c>
      <c r="N738" t="s">
        <v>5190</v>
      </c>
      <c r="O738" t="s">
        <v>4355</v>
      </c>
      <c r="P738">
        <v>117435</v>
      </c>
      <c r="Q738">
        <v>157783</v>
      </c>
      <c r="R738" s="2">
        <v>45466</v>
      </c>
      <c r="S738" t="s">
        <v>69</v>
      </c>
      <c r="T738" t="s">
        <v>80</v>
      </c>
      <c r="U738" t="s">
        <v>6383</v>
      </c>
      <c r="W738" t="s">
        <v>6347</v>
      </c>
      <c r="X738">
        <v>94</v>
      </c>
      <c r="Y738" t="s">
        <v>80</v>
      </c>
      <c r="Z738">
        <v>249</v>
      </c>
    </row>
    <row r="739" spans="1:26" x14ac:dyDescent="0.3">
      <c r="A739">
        <v>738</v>
      </c>
      <c r="B739" t="s">
        <v>1726</v>
      </c>
      <c r="C739" t="s">
        <v>49</v>
      </c>
      <c r="D739" t="s">
        <v>35</v>
      </c>
      <c r="E739" t="s">
        <v>128</v>
      </c>
      <c r="F739" t="s">
        <v>6381</v>
      </c>
      <c r="G739" t="s">
        <v>6380</v>
      </c>
      <c r="H739" t="s">
        <v>6396</v>
      </c>
      <c r="J739">
        <f>AVERAGE(ai_job_market[[#This Row],[min_salary]],ai_job_market[[#This Row],[max_salary]])</f>
        <v>121002</v>
      </c>
      <c r="K739"/>
      <c r="L739" t="s">
        <v>14</v>
      </c>
      <c r="M739" t="s">
        <v>15</v>
      </c>
      <c r="N739" t="s">
        <v>5191</v>
      </c>
      <c r="O739" t="s">
        <v>5192</v>
      </c>
      <c r="P739">
        <v>104274</v>
      </c>
      <c r="Q739">
        <v>137730</v>
      </c>
      <c r="R739" s="2">
        <v>45425</v>
      </c>
      <c r="S739" t="s">
        <v>16</v>
      </c>
      <c r="T739" t="s">
        <v>157</v>
      </c>
      <c r="U739" t="s">
        <v>6388</v>
      </c>
      <c r="W739" t="s">
        <v>128</v>
      </c>
      <c r="X739">
        <v>92</v>
      </c>
      <c r="Y739" t="s">
        <v>157</v>
      </c>
      <c r="Z739">
        <v>247</v>
      </c>
    </row>
    <row r="740" spans="1:26" x14ac:dyDescent="0.3">
      <c r="A740">
        <v>739</v>
      </c>
      <c r="B740" t="s">
        <v>1728</v>
      </c>
      <c r="C740" t="s">
        <v>72</v>
      </c>
      <c r="D740" t="s">
        <v>54</v>
      </c>
      <c r="E740" t="s">
        <v>6347</v>
      </c>
      <c r="F740" t="s">
        <v>6396</v>
      </c>
      <c r="G740" t="s">
        <v>6389</v>
      </c>
      <c r="J740">
        <f>AVERAGE(ai_job_market[[#This Row],[min_salary]],ai_job_market[[#This Row],[max_salary]])</f>
        <v>84285.5</v>
      </c>
      <c r="K740"/>
      <c r="L740" t="s">
        <v>22</v>
      </c>
      <c r="M740" t="s">
        <v>37</v>
      </c>
      <c r="N740" t="s">
        <v>5193</v>
      </c>
      <c r="O740" t="s">
        <v>4835</v>
      </c>
      <c r="P740">
        <v>72786</v>
      </c>
      <c r="Q740">
        <v>95785</v>
      </c>
      <c r="R740" s="2">
        <v>45745</v>
      </c>
      <c r="S740" t="s">
        <v>69</v>
      </c>
      <c r="T740" t="s">
        <v>80</v>
      </c>
      <c r="U740" t="s">
        <v>6379</v>
      </c>
      <c r="W740" t="s">
        <v>6347</v>
      </c>
      <c r="X740">
        <v>94</v>
      </c>
      <c r="Y740" t="s">
        <v>80</v>
      </c>
      <c r="Z740">
        <v>249</v>
      </c>
    </row>
    <row r="741" spans="1:26" x14ac:dyDescent="0.3">
      <c r="A741">
        <v>740</v>
      </c>
      <c r="B741" t="s">
        <v>1730</v>
      </c>
      <c r="C741" t="s">
        <v>40</v>
      </c>
      <c r="D741" t="s">
        <v>30</v>
      </c>
      <c r="E741" t="s">
        <v>6344</v>
      </c>
      <c r="F741" t="s">
        <v>6387</v>
      </c>
      <c r="G741" t="s">
        <v>6374</v>
      </c>
      <c r="H741" t="s">
        <v>6382</v>
      </c>
      <c r="I741" t="s">
        <v>6386</v>
      </c>
      <c r="J741">
        <f>AVERAGE(ai_job_market[[#This Row],[min_salary]],ai_job_market[[#This Row],[max_salary]])</f>
        <v>140386.5</v>
      </c>
      <c r="K741" t="s">
        <v>6381</v>
      </c>
      <c r="L741" t="s">
        <v>14</v>
      </c>
      <c r="M741" t="s">
        <v>42</v>
      </c>
      <c r="N741" t="s">
        <v>5194</v>
      </c>
      <c r="O741" t="s">
        <v>4506</v>
      </c>
      <c r="P741">
        <v>108949</v>
      </c>
      <c r="Q741">
        <v>171824</v>
      </c>
      <c r="R741" s="2">
        <v>45396</v>
      </c>
      <c r="S741" t="s">
        <v>16</v>
      </c>
      <c r="T741" t="s">
        <v>90</v>
      </c>
      <c r="U741" t="s">
        <v>6388</v>
      </c>
      <c r="V741" t="s">
        <v>6383</v>
      </c>
      <c r="W741" t="s">
        <v>6344</v>
      </c>
      <c r="X741">
        <v>104</v>
      </c>
      <c r="Y741" t="s">
        <v>90</v>
      </c>
      <c r="Z741">
        <v>259</v>
      </c>
    </row>
    <row r="742" spans="1:26" x14ac:dyDescent="0.3">
      <c r="A742">
        <v>741</v>
      </c>
      <c r="B742" t="s">
        <v>1732</v>
      </c>
      <c r="C742" t="s">
        <v>34</v>
      </c>
      <c r="D742" t="s">
        <v>135</v>
      </c>
      <c r="E742" t="s">
        <v>6354</v>
      </c>
      <c r="F742" t="s">
        <v>6377</v>
      </c>
      <c r="G742" t="s">
        <v>6392</v>
      </c>
      <c r="H742" t="s">
        <v>6396</v>
      </c>
      <c r="J742">
        <f>AVERAGE(ai_job_market[[#This Row],[min_salary]],ai_job_market[[#This Row],[max_salary]])</f>
        <v>100212</v>
      </c>
      <c r="K742"/>
      <c r="L742" t="s">
        <v>22</v>
      </c>
      <c r="M742" t="s">
        <v>37</v>
      </c>
      <c r="N742" t="s">
        <v>5195</v>
      </c>
      <c r="O742" t="s">
        <v>4640</v>
      </c>
      <c r="P742">
        <v>89875</v>
      </c>
      <c r="Q742">
        <v>110549</v>
      </c>
      <c r="R742" s="2">
        <v>45396</v>
      </c>
      <c r="S742" t="s">
        <v>69</v>
      </c>
      <c r="T742" t="s">
        <v>52</v>
      </c>
      <c r="U742" t="s">
        <v>6379</v>
      </c>
      <c r="W742" t="s">
        <v>6354</v>
      </c>
      <c r="X742">
        <v>75</v>
      </c>
      <c r="Y742" t="s">
        <v>52</v>
      </c>
      <c r="Z742">
        <v>238</v>
      </c>
    </row>
    <row r="743" spans="1:26" x14ac:dyDescent="0.3">
      <c r="A743">
        <v>742</v>
      </c>
      <c r="B743" t="s">
        <v>1734</v>
      </c>
      <c r="C743" t="s">
        <v>34</v>
      </c>
      <c r="D743" t="s">
        <v>54</v>
      </c>
      <c r="E743" t="s">
        <v>80</v>
      </c>
      <c r="F743" t="s">
        <v>6385</v>
      </c>
      <c r="G743" t="s">
        <v>6396</v>
      </c>
      <c r="H743" t="s">
        <v>6379</v>
      </c>
      <c r="I743" t="s">
        <v>6395</v>
      </c>
      <c r="J743">
        <f>AVERAGE(ai_job_market[[#This Row],[min_salary]],ai_job_market[[#This Row],[max_salary]])</f>
        <v>183423</v>
      </c>
      <c r="K743" t="s">
        <v>6391</v>
      </c>
      <c r="L743" t="s">
        <v>22</v>
      </c>
      <c r="M743" t="s">
        <v>51</v>
      </c>
      <c r="N743" t="s">
        <v>5196</v>
      </c>
      <c r="O743" t="s">
        <v>4773</v>
      </c>
      <c r="P743">
        <v>146648</v>
      </c>
      <c r="Q743">
        <v>220198</v>
      </c>
      <c r="R743" s="2">
        <v>45379</v>
      </c>
      <c r="S743" t="s">
        <v>16</v>
      </c>
      <c r="T743" t="s">
        <v>77</v>
      </c>
      <c r="W743" t="s">
        <v>80</v>
      </c>
      <c r="X743">
        <v>95</v>
      </c>
      <c r="Y743" t="s">
        <v>77</v>
      </c>
      <c r="Z743">
        <v>251</v>
      </c>
    </row>
    <row r="744" spans="1:26" x14ac:dyDescent="0.3">
      <c r="A744">
        <v>743</v>
      </c>
      <c r="B744" t="s">
        <v>1736</v>
      </c>
      <c r="C744" t="s">
        <v>45</v>
      </c>
      <c r="D744" t="s">
        <v>20</v>
      </c>
      <c r="E744" t="s">
        <v>128</v>
      </c>
      <c r="F744" t="s">
        <v>6395</v>
      </c>
      <c r="G744" t="s">
        <v>6379</v>
      </c>
      <c r="H744" t="s">
        <v>6390</v>
      </c>
      <c r="J744">
        <f>AVERAGE(ai_job_market[[#This Row],[min_salary]],ai_job_market[[#This Row],[max_salary]])</f>
        <v>73990</v>
      </c>
      <c r="K744"/>
      <c r="L744" t="s">
        <v>22</v>
      </c>
      <c r="M744" t="s">
        <v>37</v>
      </c>
      <c r="N744" t="s">
        <v>5197</v>
      </c>
      <c r="O744" t="s">
        <v>4385</v>
      </c>
      <c r="P744">
        <v>55334</v>
      </c>
      <c r="Q744">
        <v>92646</v>
      </c>
      <c r="R744" s="2">
        <v>45368</v>
      </c>
      <c r="S744" t="s">
        <v>69</v>
      </c>
      <c r="T744" t="s">
        <v>70</v>
      </c>
      <c r="U744" t="s">
        <v>6389</v>
      </c>
      <c r="V744" t="s">
        <v>6378</v>
      </c>
      <c r="W744" t="s">
        <v>128</v>
      </c>
      <c r="X744">
        <v>92</v>
      </c>
      <c r="Y744" t="s">
        <v>70</v>
      </c>
      <c r="Z744">
        <v>268</v>
      </c>
    </row>
    <row r="745" spans="1:26" x14ac:dyDescent="0.3">
      <c r="A745">
        <v>744</v>
      </c>
      <c r="B745" t="s">
        <v>1739</v>
      </c>
      <c r="C745" t="s">
        <v>11</v>
      </c>
      <c r="D745" t="s">
        <v>135</v>
      </c>
      <c r="E745" t="s">
        <v>77</v>
      </c>
      <c r="F745" t="s">
        <v>6382</v>
      </c>
      <c r="G745" t="s">
        <v>6380</v>
      </c>
      <c r="H745" t="s">
        <v>6385</v>
      </c>
      <c r="I745" t="s">
        <v>6386</v>
      </c>
      <c r="J745">
        <f>AVERAGE(ai_job_market[[#This Row],[min_salary]],ai_job_market[[#This Row],[max_salary]])</f>
        <v>169497.5</v>
      </c>
      <c r="K745" t="s">
        <v>6393</v>
      </c>
      <c r="L745" t="s">
        <v>27</v>
      </c>
      <c r="M745" t="s">
        <v>42</v>
      </c>
      <c r="N745" t="s">
        <v>5198</v>
      </c>
      <c r="O745" t="s">
        <v>4353</v>
      </c>
      <c r="P745">
        <v>121991</v>
      </c>
      <c r="Q745">
        <v>217004</v>
      </c>
      <c r="R745" s="2">
        <v>45536</v>
      </c>
      <c r="S745" t="s">
        <v>69</v>
      </c>
      <c r="T745" t="s">
        <v>90</v>
      </c>
      <c r="U745" t="s">
        <v>6375</v>
      </c>
      <c r="V745" t="s">
        <v>6384</v>
      </c>
      <c r="W745" t="s">
        <v>77</v>
      </c>
      <c r="X745">
        <v>111</v>
      </c>
      <c r="Y745" t="s">
        <v>90</v>
      </c>
      <c r="Z745">
        <v>259</v>
      </c>
    </row>
    <row r="746" spans="1:26" x14ac:dyDescent="0.3">
      <c r="A746">
        <v>745</v>
      </c>
      <c r="B746" t="s">
        <v>1741</v>
      </c>
      <c r="C746" t="s">
        <v>11</v>
      </c>
      <c r="D746" t="s">
        <v>30</v>
      </c>
      <c r="E746" t="s">
        <v>6345</v>
      </c>
      <c r="F746" t="s">
        <v>6394</v>
      </c>
      <c r="G746" t="s">
        <v>6385</v>
      </c>
      <c r="H746" t="s">
        <v>6382</v>
      </c>
      <c r="J746">
        <f>AVERAGE(ai_job_market[[#This Row],[min_salary]],ai_job_market[[#This Row],[max_salary]])</f>
        <v>168249</v>
      </c>
      <c r="K746"/>
      <c r="L746" t="s">
        <v>27</v>
      </c>
      <c r="M746" t="s">
        <v>51</v>
      </c>
      <c r="N746" t="s">
        <v>5199</v>
      </c>
      <c r="O746" t="s">
        <v>4783</v>
      </c>
      <c r="P746">
        <v>137005</v>
      </c>
      <c r="Q746">
        <v>199493</v>
      </c>
      <c r="R746" s="2">
        <v>45797</v>
      </c>
      <c r="S746" t="s">
        <v>69</v>
      </c>
      <c r="T746" t="s">
        <v>157</v>
      </c>
      <c r="U746" t="s">
        <v>6375</v>
      </c>
      <c r="W746" t="s">
        <v>6345</v>
      </c>
      <c r="X746">
        <v>101</v>
      </c>
      <c r="Y746" t="s">
        <v>157</v>
      </c>
      <c r="Z746">
        <v>247</v>
      </c>
    </row>
    <row r="747" spans="1:26" x14ac:dyDescent="0.3">
      <c r="A747">
        <v>746</v>
      </c>
      <c r="B747" t="s">
        <v>1743</v>
      </c>
      <c r="C747" t="s">
        <v>72</v>
      </c>
      <c r="D747" t="s">
        <v>54</v>
      </c>
      <c r="E747" t="s">
        <v>80</v>
      </c>
      <c r="F747" t="s">
        <v>6393</v>
      </c>
      <c r="G747" t="s">
        <v>6387</v>
      </c>
      <c r="J747">
        <f>AVERAGE(ai_job_market[[#This Row],[min_salary]],ai_job_market[[#This Row],[max_salary]])</f>
        <v>175712</v>
      </c>
      <c r="K747"/>
      <c r="L747" t="s">
        <v>14</v>
      </c>
      <c r="M747" t="s">
        <v>42</v>
      </c>
      <c r="N747" t="s">
        <v>5200</v>
      </c>
      <c r="O747" t="s">
        <v>4495</v>
      </c>
      <c r="P747">
        <v>137915</v>
      </c>
      <c r="Q747">
        <v>213509</v>
      </c>
      <c r="R747" s="2">
        <v>45639</v>
      </c>
      <c r="S747" t="s">
        <v>14</v>
      </c>
      <c r="T747" t="s">
        <v>101</v>
      </c>
      <c r="W747" t="s">
        <v>80</v>
      </c>
      <c r="X747">
        <v>95</v>
      </c>
      <c r="Y747" t="s">
        <v>101</v>
      </c>
      <c r="Z747">
        <v>255</v>
      </c>
    </row>
    <row r="748" spans="1:26" x14ac:dyDescent="0.3">
      <c r="A748">
        <v>747</v>
      </c>
      <c r="B748" t="s">
        <v>1745</v>
      </c>
      <c r="C748" t="s">
        <v>49</v>
      </c>
      <c r="D748" t="s">
        <v>35</v>
      </c>
      <c r="E748" t="s">
        <v>6346</v>
      </c>
      <c r="F748" t="s">
        <v>6381</v>
      </c>
      <c r="G748" t="s">
        <v>6394</v>
      </c>
      <c r="H748" t="s">
        <v>6397</v>
      </c>
      <c r="I748" t="s">
        <v>6391</v>
      </c>
      <c r="J748" s="6">
        <f>AVERAGE(ai_job_market[[#This Row],[min_salary]],ai_job_market[[#This Row],[max_salary]])</f>
        <v>138795</v>
      </c>
      <c r="K748"/>
      <c r="L748" t="s">
        <v>14</v>
      </c>
      <c r="M748" t="s">
        <v>42</v>
      </c>
      <c r="N748" t="s">
        <v>5201</v>
      </c>
      <c r="O748" t="s">
        <v>4610</v>
      </c>
      <c r="P748" s="5">
        <v>93505</v>
      </c>
      <c r="Q748" s="5">
        <v>184085</v>
      </c>
      <c r="R748" s="2">
        <v>45873</v>
      </c>
      <c r="S748" t="s">
        <v>69</v>
      </c>
      <c r="T748" t="s">
        <v>90</v>
      </c>
      <c r="U748" t="s">
        <v>6378</v>
      </c>
      <c r="V748" t="s">
        <v>6375</v>
      </c>
      <c r="W748" t="s">
        <v>6346</v>
      </c>
      <c r="X748">
        <v>78</v>
      </c>
      <c r="Y748" t="s">
        <v>90</v>
      </c>
      <c r="Z748">
        <v>259</v>
      </c>
    </row>
    <row r="749" spans="1:26" x14ac:dyDescent="0.3">
      <c r="A749">
        <v>748</v>
      </c>
      <c r="B749" t="s">
        <v>1748</v>
      </c>
      <c r="C749" t="s">
        <v>34</v>
      </c>
      <c r="D749" t="s">
        <v>67</v>
      </c>
      <c r="E749" t="s">
        <v>6351</v>
      </c>
      <c r="F749" t="s">
        <v>6381</v>
      </c>
      <c r="G749" t="s">
        <v>6391</v>
      </c>
      <c r="H749" t="s">
        <v>6379</v>
      </c>
      <c r="I749" t="s">
        <v>6386</v>
      </c>
      <c r="J749">
        <f>AVERAGE(ai_job_market[[#This Row],[min_salary]],ai_job_market[[#This Row],[max_salary]])</f>
        <v>170289</v>
      </c>
      <c r="K749" t="s">
        <v>6394</v>
      </c>
      <c r="L749" t="s">
        <v>22</v>
      </c>
      <c r="M749" t="s">
        <v>42</v>
      </c>
      <c r="N749" t="s">
        <v>5202</v>
      </c>
      <c r="O749" t="s">
        <v>4293</v>
      </c>
      <c r="P749">
        <v>146642</v>
      </c>
      <c r="Q749">
        <v>193936</v>
      </c>
      <c r="R749" s="2">
        <v>45601</v>
      </c>
      <c r="S749" t="s">
        <v>14</v>
      </c>
      <c r="T749" t="s">
        <v>52</v>
      </c>
      <c r="U749" t="s">
        <v>6384</v>
      </c>
      <c r="W749" t="s">
        <v>6351</v>
      </c>
      <c r="X749">
        <v>89</v>
      </c>
      <c r="Y749" t="s">
        <v>52</v>
      </c>
      <c r="Z749">
        <v>238</v>
      </c>
    </row>
    <row r="750" spans="1:26" x14ac:dyDescent="0.3">
      <c r="A750">
        <v>749</v>
      </c>
      <c r="B750" t="s">
        <v>1750</v>
      </c>
      <c r="C750" t="s">
        <v>72</v>
      </c>
      <c r="D750" t="s">
        <v>135</v>
      </c>
      <c r="E750" t="s">
        <v>6350</v>
      </c>
      <c r="F750" t="s">
        <v>6390</v>
      </c>
      <c r="G750" t="s">
        <v>6381</v>
      </c>
      <c r="H750" t="s">
        <v>6387</v>
      </c>
      <c r="I750" t="s">
        <v>6386</v>
      </c>
      <c r="J750">
        <f>AVERAGE(ai_job_market[[#This Row],[min_salary]],ai_job_market[[#This Row],[max_salary]])</f>
        <v>80668.5</v>
      </c>
      <c r="K750"/>
      <c r="L750" t="s">
        <v>22</v>
      </c>
      <c r="M750" t="s">
        <v>37</v>
      </c>
      <c r="N750" t="s">
        <v>5203</v>
      </c>
      <c r="O750" t="s">
        <v>4538</v>
      </c>
      <c r="P750">
        <v>53382</v>
      </c>
      <c r="Q750">
        <v>107955</v>
      </c>
      <c r="R750" s="2">
        <v>45709</v>
      </c>
      <c r="S750" t="s">
        <v>14</v>
      </c>
      <c r="T750" t="s">
        <v>157</v>
      </c>
      <c r="U750" t="s">
        <v>6376</v>
      </c>
      <c r="W750" t="s">
        <v>6350</v>
      </c>
      <c r="X750">
        <v>84</v>
      </c>
      <c r="Y750" t="s">
        <v>157</v>
      </c>
      <c r="Z750">
        <v>247</v>
      </c>
    </row>
    <row r="751" spans="1:26" x14ac:dyDescent="0.3">
      <c r="A751">
        <v>750</v>
      </c>
      <c r="B751" t="s">
        <v>1752</v>
      </c>
      <c r="C751" t="s">
        <v>49</v>
      </c>
      <c r="D751" t="s">
        <v>30</v>
      </c>
      <c r="E751" t="s">
        <v>6348</v>
      </c>
      <c r="F751" t="s">
        <v>6377</v>
      </c>
      <c r="G751" t="s">
        <v>6391</v>
      </c>
      <c r="H751" t="s">
        <v>6379</v>
      </c>
      <c r="I751" t="s">
        <v>6380</v>
      </c>
      <c r="J751">
        <f>AVERAGE(ai_job_market[[#This Row],[min_salary]],ai_job_market[[#This Row],[max_salary]])</f>
        <v>145588</v>
      </c>
      <c r="K751"/>
      <c r="L751" t="s">
        <v>14</v>
      </c>
      <c r="M751" t="s">
        <v>15</v>
      </c>
      <c r="N751" t="s">
        <v>5204</v>
      </c>
      <c r="O751" t="s">
        <v>4722</v>
      </c>
      <c r="P751">
        <v>111712</v>
      </c>
      <c r="Q751">
        <v>179464</v>
      </c>
      <c r="R751" s="2">
        <v>45618</v>
      </c>
      <c r="S751" t="s">
        <v>69</v>
      </c>
      <c r="T751" t="s">
        <v>157</v>
      </c>
      <c r="W751" t="s">
        <v>6348</v>
      </c>
      <c r="X751">
        <v>78</v>
      </c>
      <c r="Y751" t="s">
        <v>157</v>
      </c>
      <c r="Z751">
        <v>247</v>
      </c>
    </row>
    <row r="752" spans="1:26" x14ac:dyDescent="0.3">
      <c r="A752">
        <v>751</v>
      </c>
      <c r="B752" t="s">
        <v>1754</v>
      </c>
      <c r="C752" t="s">
        <v>72</v>
      </c>
      <c r="D752" t="s">
        <v>67</v>
      </c>
      <c r="E752" t="s">
        <v>6353</v>
      </c>
      <c r="F752" t="s">
        <v>6391</v>
      </c>
      <c r="G752" t="s">
        <v>6393</v>
      </c>
      <c r="H752" t="s">
        <v>6385</v>
      </c>
      <c r="I752" t="s">
        <v>6375</v>
      </c>
      <c r="J752">
        <f>AVERAGE(ai_job_market[[#This Row],[min_salary]],ai_job_market[[#This Row],[max_salary]])</f>
        <v>64830.5</v>
      </c>
      <c r="K752" t="s">
        <v>6386</v>
      </c>
      <c r="L752" t="s">
        <v>14</v>
      </c>
      <c r="M752" t="s">
        <v>15</v>
      </c>
      <c r="N752" t="s">
        <v>5205</v>
      </c>
      <c r="O752" t="s">
        <v>4603</v>
      </c>
      <c r="P752">
        <v>45412</v>
      </c>
      <c r="Q752">
        <v>84249</v>
      </c>
      <c r="R752" s="2">
        <v>45482</v>
      </c>
      <c r="S752" t="s">
        <v>14</v>
      </c>
      <c r="T752" t="s">
        <v>128</v>
      </c>
      <c r="U752" t="s">
        <v>6388</v>
      </c>
      <c r="V752" t="s">
        <v>6384</v>
      </c>
      <c r="W752" t="s">
        <v>6353</v>
      </c>
      <c r="X752">
        <v>86</v>
      </c>
      <c r="Y752" t="s">
        <v>128</v>
      </c>
      <c r="Z752">
        <v>233</v>
      </c>
    </row>
    <row r="753" spans="1:26" x14ac:dyDescent="0.3">
      <c r="A753">
        <v>752</v>
      </c>
      <c r="B753" t="s">
        <v>1757</v>
      </c>
      <c r="C753" t="s">
        <v>72</v>
      </c>
      <c r="D753" t="s">
        <v>20</v>
      </c>
      <c r="E753" t="s">
        <v>6344</v>
      </c>
      <c r="F753" t="s">
        <v>6391</v>
      </c>
      <c r="G753" t="s">
        <v>6375</v>
      </c>
      <c r="H753" t="s">
        <v>6397</v>
      </c>
      <c r="I753" t="s">
        <v>6382</v>
      </c>
      <c r="J753">
        <f>AVERAGE(ai_job_market[[#This Row],[min_salary]],ai_job_market[[#This Row],[max_salary]])</f>
        <v>144661.5</v>
      </c>
      <c r="K753" t="s">
        <v>6387</v>
      </c>
      <c r="L753" t="s">
        <v>27</v>
      </c>
      <c r="M753" t="s">
        <v>15</v>
      </c>
      <c r="N753" t="s">
        <v>5206</v>
      </c>
      <c r="O753" t="s">
        <v>4780</v>
      </c>
      <c r="P753">
        <v>96319</v>
      </c>
      <c r="Q753">
        <v>193004</v>
      </c>
      <c r="R753" s="2">
        <v>45535</v>
      </c>
      <c r="S753" t="s">
        <v>14</v>
      </c>
      <c r="T753" t="s">
        <v>80</v>
      </c>
      <c r="W753" t="s">
        <v>6344</v>
      </c>
      <c r="X753">
        <v>104</v>
      </c>
      <c r="Y753" t="s">
        <v>80</v>
      </c>
      <c r="Z753">
        <v>249</v>
      </c>
    </row>
    <row r="754" spans="1:26" x14ac:dyDescent="0.3">
      <c r="A754">
        <v>753</v>
      </c>
      <c r="B754" t="s">
        <v>1759</v>
      </c>
      <c r="C754" t="s">
        <v>19</v>
      </c>
      <c r="D754" t="s">
        <v>20</v>
      </c>
      <c r="E754" t="s">
        <v>6358</v>
      </c>
      <c r="F754" t="s">
        <v>6387</v>
      </c>
      <c r="G754" t="s">
        <v>6394</v>
      </c>
      <c r="J754">
        <f>AVERAGE(ai_job_market[[#This Row],[min_salary]],ai_job_market[[#This Row],[max_salary]])</f>
        <v>165585</v>
      </c>
      <c r="K754"/>
      <c r="L754" t="s">
        <v>27</v>
      </c>
      <c r="M754" t="s">
        <v>37</v>
      </c>
      <c r="N754" t="s">
        <v>4328</v>
      </c>
      <c r="O754" t="s">
        <v>4710</v>
      </c>
      <c r="P754">
        <v>132679</v>
      </c>
      <c r="Q754">
        <v>198491</v>
      </c>
      <c r="R754" s="2">
        <v>45802</v>
      </c>
      <c r="S754" t="s">
        <v>14</v>
      </c>
      <c r="T754" t="s">
        <v>128</v>
      </c>
      <c r="U754" t="s">
        <v>6383</v>
      </c>
      <c r="V754" t="s">
        <v>6388</v>
      </c>
      <c r="W754" t="s">
        <v>6358</v>
      </c>
      <c r="X754">
        <v>96</v>
      </c>
      <c r="Y754" t="s">
        <v>128</v>
      </c>
      <c r="Z754">
        <v>233</v>
      </c>
    </row>
    <row r="755" spans="1:26" x14ac:dyDescent="0.3">
      <c r="A755">
        <v>754</v>
      </c>
      <c r="B755" t="s">
        <v>1762</v>
      </c>
      <c r="C755" t="s">
        <v>19</v>
      </c>
      <c r="D755" t="s">
        <v>54</v>
      </c>
      <c r="E755" t="s">
        <v>6355</v>
      </c>
      <c r="F755" t="s">
        <v>6389</v>
      </c>
      <c r="G755" t="s">
        <v>6376</v>
      </c>
      <c r="H755" t="s">
        <v>6384</v>
      </c>
      <c r="J755">
        <f>AVERAGE(ai_job_market[[#This Row],[min_salary]],ai_job_market[[#This Row],[max_salary]])</f>
        <v>146570.5</v>
      </c>
      <c r="K755"/>
      <c r="L755" t="s">
        <v>14</v>
      </c>
      <c r="M755" t="s">
        <v>37</v>
      </c>
      <c r="N755" t="s">
        <v>5207</v>
      </c>
      <c r="O755" t="s">
        <v>4938</v>
      </c>
      <c r="P755">
        <v>108752</v>
      </c>
      <c r="Q755">
        <v>184389</v>
      </c>
      <c r="R755" s="2">
        <v>45777</v>
      </c>
      <c r="S755" t="s">
        <v>16</v>
      </c>
      <c r="T755" t="s">
        <v>157</v>
      </c>
      <c r="U755" t="s">
        <v>6375</v>
      </c>
      <c r="V755" t="s">
        <v>6384</v>
      </c>
      <c r="W755" t="s">
        <v>6355</v>
      </c>
      <c r="X755">
        <v>90</v>
      </c>
      <c r="Y755" t="s">
        <v>157</v>
      </c>
      <c r="Z755">
        <v>247</v>
      </c>
    </row>
    <row r="756" spans="1:26" x14ac:dyDescent="0.3">
      <c r="A756">
        <v>755</v>
      </c>
      <c r="B756" t="s">
        <v>1765</v>
      </c>
      <c r="C756" t="s">
        <v>72</v>
      </c>
      <c r="D756" t="s">
        <v>54</v>
      </c>
      <c r="E756" t="s">
        <v>80</v>
      </c>
      <c r="F756" t="s">
        <v>6379</v>
      </c>
      <c r="G756" t="s">
        <v>6393</v>
      </c>
      <c r="J756">
        <f>AVERAGE(ai_job_market[[#This Row],[min_salary]],ai_job_market[[#This Row],[max_salary]])</f>
        <v>182201</v>
      </c>
      <c r="K756"/>
      <c r="L756" t="s">
        <v>22</v>
      </c>
      <c r="M756" t="s">
        <v>51</v>
      </c>
      <c r="N756" t="s">
        <v>5208</v>
      </c>
      <c r="O756" t="s">
        <v>4660</v>
      </c>
      <c r="P756">
        <v>146465</v>
      </c>
      <c r="Q756">
        <v>217937</v>
      </c>
      <c r="R756" s="2">
        <v>45593</v>
      </c>
      <c r="S756" t="s">
        <v>16</v>
      </c>
      <c r="T756" t="s">
        <v>101</v>
      </c>
      <c r="U756" t="s">
        <v>6383</v>
      </c>
      <c r="V756" t="s">
        <v>6378</v>
      </c>
      <c r="W756" t="s">
        <v>80</v>
      </c>
      <c r="X756">
        <v>95</v>
      </c>
      <c r="Y756" t="s">
        <v>101</v>
      </c>
      <c r="Z756">
        <v>255</v>
      </c>
    </row>
    <row r="757" spans="1:26" x14ac:dyDescent="0.3">
      <c r="A757">
        <v>756</v>
      </c>
      <c r="B757" t="s">
        <v>1768</v>
      </c>
      <c r="C757" t="s">
        <v>40</v>
      </c>
      <c r="D757" t="s">
        <v>20</v>
      </c>
      <c r="E757" t="s">
        <v>101</v>
      </c>
      <c r="F757" t="s">
        <v>6379</v>
      </c>
      <c r="G757" t="s">
        <v>6395</v>
      </c>
      <c r="H757" t="s">
        <v>6384</v>
      </c>
      <c r="J757">
        <f>AVERAGE(ai_job_market[[#This Row],[min_salary]],ai_job_market[[#This Row],[max_salary]])</f>
        <v>181054</v>
      </c>
      <c r="K757"/>
      <c r="L757" t="s">
        <v>27</v>
      </c>
      <c r="M757" t="s">
        <v>37</v>
      </c>
      <c r="N757" t="s">
        <v>5209</v>
      </c>
      <c r="O757" t="s">
        <v>4309</v>
      </c>
      <c r="P757">
        <v>148789</v>
      </c>
      <c r="Q757">
        <v>213319</v>
      </c>
      <c r="R757" s="2">
        <v>45515</v>
      </c>
      <c r="S757" t="s">
        <v>69</v>
      </c>
      <c r="T757" t="s">
        <v>77</v>
      </c>
      <c r="W757" t="s">
        <v>101</v>
      </c>
      <c r="X757">
        <v>76</v>
      </c>
      <c r="Y757" t="s">
        <v>77</v>
      </c>
      <c r="Z757">
        <v>251</v>
      </c>
    </row>
    <row r="758" spans="1:26" x14ac:dyDescent="0.3">
      <c r="A758">
        <v>757</v>
      </c>
      <c r="B758" t="s">
        <v>1770</v>
      </c>
      <c r="C758" t="s">
        <v>49</v>
      </c>
      <c r="D758" t="s">
        <v>54</v>
      </c>
      <c r="E758" t="s">
        <v>80</v>
      </c>
      <c r="F758" t="s">
        <v>6380</v>
      </c>
      <c r="G758" t="s">
        <v>6396</v>
      </c>
      <c r="H758" t="s">
        <v>6385</v>
      </c>
      <c r="I758" t="s">
        <v>6382</v>
      </c>
      <c r="J758">
        <f>AVERAGE(ai_job_market[[#This Row],[min_salary]],ai_job_market[[#This Row],[max_salary]])</f>
        <v>157438</v>
      </c>
      <c r="K758"/>
      <c r="L758" t="s">
        <v>27</v>
      </c>
      <c r="M758" t="s">
        <v>51</v>
      </c>
      <c r="N758" t="s">
        <v>5210</v>
      </c>
      <c r="O758" t="s">
        <v>4849</v>
      </c>
      <c r="P758">
        <v>115045</v>
      </c>
      <c r="Q758">
        <v>199831</v>
      </c>
      <c r="R758" s="2">
        <v>45535</v>
      </c>
      <c r="S758" t="s">
        <v>69</v>
      </c>
      <c r="T758" t="s">
        <v>77</v>
      </c>
      <c r="U758" t="s">
        <v>6389</v>
      </c>
      <c r="W758" t="s">
        <v>80</v>
      </c>
      <c r="X758">
        <v>95</v>
      </c>
      <c r="Y758" t="s">
        <v>77</v>
      </c>
      <c r="Z758">
        <v>251</v>
      </c>
    </row>
    <row r="759" spans="1:26" x14ac:dyDescent="0.3">
      <c r="A759">
        <v>758</v>
      </c>
      <c r="B759" t="s">
        <v>901</v>
      </c>
      <c r="C759" t="s">
        <v>45</v>
      </c>
      <c r="D759" t="s">
        <v>12</v>
      </c>
      <c r="E759" t="s">
        <v>6346</v>
      </c>
      <c r="F759" t="s">
        <v>6390</v>
      </c>
      <c r="G759" t="s">
        <v>6393</v>
      </c>
      <c r="H759" t="s">
        <v>6384</v>
      </c>
      <c r="I759" t="s">
        <v>6381</v>
      </c>
      <c r="J759">
        <f>AVERAGE(ai_job_market[[#This Row],[min_salary]],ai_job_market[[#This Row],[max_salary]])</f>
        <v>179687</v>
      </c>
      <c r="K759"/>
      <c r="L759" t="s">
        <v>22</v>
      </c>
      <c r="M759" t="s">
        <v>51</v>
      </c>
      <c r="N759" t="s">
        <v>5211</v>
      </c>
      <c r="O759" t="s">
        <v>4318</v>
      </c>
      <c r="P759">
        <v>135301</v>
      </c>
      <c r="Q759">
        <v>224073</v>
      </c>
      <c r="R759" s="2">
        <v>45285</v>
      </c>
      <c r="S759" t="s">
        <v>16</v>
      </c>
      <c r="T759" t="s">
        <v>128</v>
      </c>
      <c r="W759" t="s">
        <v>6346</v>
      </c>
      <c r="X759">
        <v>78</v>
      </c>
      <c r="Y759" t="s">
        <v>128</v>
      </c>
      <c r="Z759">
        <v>233</v>
      </c>
    </row>
    <row r="760" spans="1:26" x14ac:dyDescent="0.3">
      <c r="A760">
        <v>759</v>
      </c>
      <c r="B760" t="s">
        <v>505</v>
      </c>
      <c r="C760" t="s">
        <v>49</v>
      </c>
      <c r="D760" t="s">
        <v>67</v>
      </c>
      <c r="E760" t="s">
        <v>70</v>
      </c>
      <c r="F760" t="s">
        <v>6393</v>
      </c>
      <c r="G760" t="s">
        <v>6394</v>
      </c>
      <c r="J760">
        <f>AVERAGE(ai_job_market[[#This Row],[min_salary]],ai_job_market[[#This Row],[max_salary]])</f>
        <v>116729.5</v>
      </c>
      <c r="K760"/>
      <c r="L760" t="s">
        <v>27</v>
      </c>
      <c r="M760" t="s">
        <v>15</v>
      </c>
      <c r="N760" t="s">
        <v>4832</v>
      </c>
      <c r="O760" t="s">
        <v>4506</v>
      </c>
      <c r="P760">
        <v>77322</v>
      </c>
      <c r="Q760">
        <v>156137</v>
      </c>
      <c r="R760" s="2">
        <v>45745</v>
      </c>
      <c r="S760" t="s">
        <v>14</v>
      </c>
      <c r="T760" t="s">
        <v>157</v>
      </c>
      <c r="U760" t="s">
        <v>6376</v>
      </c>
      <c r="W760" t="s">
        <v>70</v>
      </c>
      <c r="X760">
        <v>100</v>
      </c>
      <c r="Y760" t="s">
        <v>157</v>
      </c>
      <c r="Z760">
        <v>247</v>
      </c>
    </row>
    <row r="761" spans="1:26" x14ac:dyDescent="0.3">
      <c r="A761">
        <v>760</v>
      </c>
      <c r="B761" t="s">
        <v>1774</v>
      </c>
      <c r="C761" t="s">
        <v>11</v>
      </c>
      <c r="D761" t="s">
        <v>54</v>
      </c>
      <c r="E761" t="s">
        <v>6345</v>
      </c>
      <c r="F761" t="s">
        <v>6375</v>
      </c>
      <c r="G761" t="s">
        <v>6384</v>
      </c>
      <c r="J761">
        <f>AVERAGE(ai_job_market[[#This Row],[min_salary]],ai_job_market[[#This Row],[max_salary]])</f>
        <v>132515.5</v>
      </c>
      <c r="K761"/>
      <c r="L761" t="s">
        <v>22</v>
      </c>
      <c r="M761" t="s">
        <v>37</v>
      </c>
      <c r="N761" t="s">
        <v>5212</v>
      </c>
      <c r="O761" t="s">
        <v>5192</v>
      </c>
      <c r="P761">
        <v>87528</v>
      </c>
      <c r="Q761">
        <v>177503</v>
      </c>
      <c r="R761" s="2">
        <v>45489</v>
      </c>
      <c r="S761" t="s">
        <v>16</v>
      </c>
      <c r="T761" t="s">
        <v>80</v>
      </c>
      <c r="W761" t="s">
        <v>6345</v>
      </c>
      <c r="X761">
        <v>101</v>
      </c>
      <c r="Y761" t="s">
        <v>80</v>
      </c>
      <c r="Z761">
        <v>249</v>
      </c>
    </row>
    <row r="762" spans="1:26" x14ac:dyDescent="0.3">
      <c r="A762">
        <v>761</v>
      </c>
      <c r="B762" t="s">
        <v>1776</v>
      </c>
      <c r="C762" t="s">
        <v>40</v>
      </c>
      <c r="D762" t="s">
        <v>20</v>
      </c>
      <c r="E762" t="s">
        <v>6347</v>
      </c>
      <c r="F762" t="s">
        <v>6379</v>
      </c>
      <c r="G762" t="s">
        <v>6381</v>
      </c>
      <c r="H762" t="s">
        <v>6384</v>
      </c>
      <c r="I762" t="s">
        <v>6396</v>
      </c>
      <c r="J762">
        <f>AVERAGE(ai_job_market[[#This Row],[min_salary]],ai_job_market[[#This Row],[max_salary]])</f>
        <v>107029</v>
      </c>
      <c r="K762"/>
      <c r="L762" t="s">
        <v>14</v>
      </c>
      <c r="M762" t="s">
        <v>15</v>
      </c>
      <c r="N762" t="s">
        <v>5213</v>
      </c>
      <c r="O762" t="s">
        <v>5214</v>
      </c>
      <c r="P762">
        <v>100842</v>
      </c>
      <c r="Q762">
        <v>113216</v>
      </c>
      <c r="R762" s="2">
        <v>45512</v>
      </c>
      <c r="S762" t="s">
        <v>69</v>
      </c>
      <c r="T762" t="s">
        <v>80</v>
      </c>
      <c r="W762" t="s">
        <v>6347</v>
      </c>
      <c r="X762">
        <v>94</v>
      </c>
      <c r="Y762" t="s">
        <v>80</v>
      </c>
      <c r="Z762">
        <v>249</v>
      </c>
    </row>
    <row r="763" spans="1:26" x14ac:dyDescent="0.3">
      <c r="A763">
        <v>762</v>
      </c>
      <c r="B763" t="s">
        <v>1778</v>
      </c>
      <c r="C763" t="s">
        <v>19</v>
      </c>
      <c r="D763" t="s">
        <v>30</v>
      </c>
      <c r="E763" t="s">
        <v>6357</v>
      </c>
      <c r="F763" t="s">
        <v>6380</v>
      </c>
      <c r="G763" t="s">
        <v>6392</v>
      </c>
      <c r="H763" t="s">
        <v>6389</v>
      </c>
      <c r="I763" t="s">
        <v>6384</v>
      </c>
      <c r="J763">
        <f>AVERAGE(ai_job_market[[#This Row],[min_salary]],ai_job_market[[#This Row],[max_salary]])</f>
        <v>128309</v>
      </c>
      <c r="K763"/>
      <c r="L763" t="s">
        <v>14</v>
      </c>
      <c r="M763" t="s">
        <v>15</v>
      </c>
      <c r="N763" t="s">
        <v>5215</v>
      </c>
      <c r="O763" t="s">
        <v>4480</v>
      </c>
      <c r="P763">
        <v>95461</v>
      </c>
      <c r="Q763">
        <v>161157</v>
      </c>
      <c r="R763" s="2">
        <v>45600</v>
      </c>
      <c r="S763" t="s">
        <v>14</v>
      </c>
      <c r="T763" t="s">
        <v>101</v>
      </c>
      <c r="U763" t="s">
        <v>6378</v>
      </c>
      <c r="V763" t="s">
        <v>6379</v>
      </c>
      <c r="W763" t="s">
        <v>6357</v>
      </c>
      <c r="X763">
        <v>88</v>
      </c>
      <c r="Y763" t="s">
        <v>101</v>
      </c>
      <c r="Z763">
        <v>255</v>
      </c>
    </row>
    <row r="764" spans="1:26" x14ac:dyDescent="0.3">
      <c r="A764">
        <v>763</v>
      </c>
      <c r="B764" t="s">
        <v>1780</v>
      </c>
      <c r="C764" t="s">
        <v>40</v>
      </c>
      <c r="D764" t="s">
        <v>35</v>
      </c>
      <c r="E764" t="s">
        <v>6345</v>
      </c>
      <c r="F764" t="s">
        <v>6391</v>
      </c>
      <c r="G764" t="s">
        <v>6378</v>
      </c>
      <c r="H764" t="s">
        <v>6379</v>
      </c>
      <c r="I764" t="s">
        <v>6377</v>
      </c>
      <c r="J764">
        <f>AVERAGE(ai_job_market[[#This Row],[min_salary]],ai_job_market[[#This Row],[max_salary]])</f>
        <v>87223</v>
      </c>
      <c r="K764"/>
      <c r="L764" t="s">
        <v>27</v>
      </c>
      <c r="M764" t="s">
        <v>42</v>
      </c>
      <c r="N764" t="s">
        <v>5216</v>
      </c>
      <c r="O764" t="s">
        <v>4624</v>
      </c>
      <c r="P764">
        <v>40926</v>
      </c>
      <c r="Q764">
        <v>133520</v>
      </c>
      <c r="R764" s="2">
        <v>45199</v>
      </c>
      <c r="S764" t="s">
        <v>16</v>
      </c>
      <c r="T764" t="s">
        <v>101</v>
      </c>
      <c r="U764" t="s">
        <v>6379</v>
      </c>
      <c r="V764" t="s">
        <v>6378</v>
      </c>
      <c r="W764" t="s">
        <v>6345</v>
      </c>
      <c r="X764">
        <v>101</v>
      </c>
      <c r="Y764" t="s">
        <v>101</v>
      </c>
      <c r="Z764">
        <v>255</v>
      </c>
    </row>
    <row r="765" spans="1:26" x14ac:dyDescent="0.3">
      <c r="A765">
        <v>764</v>
      </c>
      <c r="B765" t="s">
        <v>1783</v>
      </c>
      <c r="C765" t="s">
        <v>45</v>
      </c>
      <c r="D765" t="s">
        <v>135</v>
      </c>
      <c r="E765" t="s">
        <v>128</v>
      </c>
      <c r="F765" t="s">
        <v>6396</v>
      </c>
      <c r="G765" t="s">
        <v>6380</v>
      </c>
      <c r="H765" t="s">
        <v>6390</v>
      </c>
      <c r="J765">
        <f>AVERAGE(ai_job_market[[#This Row],[min_salary]],ai_job_market[[#This Row],[max_salary]])</f>
        <v>176201.5</v>
      </c>
      <c r="K765"/>
      <c r="L765" t="s">
        <v>14</v>
      </c>
      <c r="M765" t="s">
        <v>42</v>
      </c>
      <c r="N765" t="s">
        <v>4728</v>
      </c>
      <c r="O765" t="s">
        <v>4692</v>
      </c>
      <c r="P765">
        <v>145229</v>
      </c>
      <c r="Q765">
        <v>207174</v>
      </c>
      <c r="R765" s="2">
        <v>45383</v>
      </c>
      <c r="S765" t="s">
        <v>14</v>
      </c>
      <c r="T765" t="s">
        <v>70</v>
      </c>
      <c r="U765" t="s">
        <v>6378</v>
      </c>
      <c r="W765" t="s">
        <v>128</v>
      </c>
      <c r="X765">
        <v>92</v>
      </c>
      <c r="Y765" t="s">
        <v>70</v>
      </c>
      <c r="Z765">
        <v>268</v>
      </c>
    </row>
    <row r="766" spans="1:26" x14ac:dyDescent="0.3">
      <c r="A766">
        <v>765</v>
      </c>
      <c r="B766" t="s">
        <v>1785</v>
      </c>
      <c r="C766" t="s">
        <v>19</v>
      </c>
      <c r="D766" t="s">
        <v>67</v>
      </c>
      <c r="E766" t="s">
        <v>90</v>
      </c>
      <c r="F766" t="s">
        <v>6386</v>
      </c>
      <c r="G766" t="s">
        <v>6380</v>
      </c>
      <c r="H766" t="s">
        <v>6393</v>
      </c>
      <c r="I766" t="s">
        <v>6378</v>
      </c>
      <c r="J766">
        <f>AVERAGE(ai_job_market[[#This Row],[min_salary]],ai_job_market[[#This Row],[max_salary]])</f>
        <v>97499.5</v>
      </c>
      <c r="K766" t="s">
        <v>6394</v>
      </c>
      <c r="L766" t="s">
        <v>14</v>
      </c>
      <c r="M766" t="s">
        <v>51</v>
      </c>
      <c r="N766" t="s">
        <v>5217</v>
      </c>
      <c r="O766" t="s">
        <v>4327</v>
      </c>
      <c r="P766">
        <v>56261</v>
      </c>
      <c r="Q766">
        <v>138738</v>
      </c>
      <c r="R766" s="2">
        <v>45326</v>
      </c>
      <c r="S766" t="s">
        <v>14</v>
      </c>
      <c r="T766" t="s">
        <v>77</v>
      </c>
      <c r="U766" t="s">
        <v>6383</v>
      </c>
      <c r="W766" t="s">
        <v>90</v>
      </c>
      <c r="X766">
        <v>80</v>
      </c>
      <c r="Y766" t="s">
        <v>77</v>
      </c>
      <c r="Z766">
        <v>251</v>
      </c>
    </row>
    <row r="767" spans="1:26" x14ac:dyDescent="0.3">
      <c r="A767">
        <v>766</v>
      </c>
      <c r="B767" t="s">
        <v>1787</v>
      </c>
      <c r="C767" t="s">
        <v>34</v>
      </c>
      <c r="D767" t="s">
        <v>30</v>
      </c>
      <c r="E767" t="s">
        <v>128</v>
      </c>
      <c r="F767" t="s">
        <v>6393</v>
      </c>
      <c r="G767" t="s">
        <v>6389</v>
      </c>
      <c r="H767" t="s">
        <v>6387</v>
      </c>
      <c r="I767" t="s">
        <v>6390</v>
      </c>
      <c r="J767">
        <f>AVERAGE(ai_job_market[[#This Row],[min_salary]],ai_job_market[[#This Row],[max_salary]])</f>
        <v>166301</v>
      </c>
      <c r="K767" t="s">
        <v>6374</v>
      </c>
      <c r="L767" t="s">
        <v>27</v>
      </c>
      <c r="M767" t="s">
        <v>37</v>
      </c>
      <c r="N767" t="s">
        <v>5218</v>
      </c>
      <c r="O767" t="s">
        <v>4478</v>
      </c>
      <c r="P767">
        <v>123318</v>
      </c>
      <c r="Q767">
        <v>209284</v>
      </c>
      <c r="R767" s="2">
        <v>45557</v>
      </c>
      <c r="S767" t="s">
        <v>16</v>
      </c>
      <c r="T767" t="s">
        <v>52</v>
      </c>
      <c r="U767" t="s">
        <v>6375</v>
      </c>
      <c r="V767" t="s">
        <v>6384</v>
      </c>
      <c r="W767" t="s">
        <v>128</v>
      </c>
      <c r="X767">
        <v>92</v>
      </c>
      <c r="Y767" t="s">
        <v>52</v>
      </c>
      <c r="Z767">
        <v>238</v>
      </c>
    </row>
    <row r="768" spans="1:26" x14ac:dyDescent="0.3">
      <c r="A768">
        <v>767</v>
      </c>
      <c r="B768" t="s">
        <v>1789</v>
      </c>
      <c r="C768" t="s">
        <v>34</v>
      </c>
      <c r="D768" t="s">
        <v>54</v>
      </c>
      <c r="E768" t="s">
        <v>6348</v>
      </c>
      <c r="F768" t="s">
        <v>6380</v>
      </c>
      <c r="G768" t="s">
        <v>6377</v>
      </c>
      <c r="H768" t="s">
        <v>6384</v>
      </c>
      <c r="J768">
        <f>AVERAGE(ai_job_market[[#This Row],[min_salary]],ai_job_market[[#This Row],[max_salary]])</f>
        <v>63082</v>
      </c>
      <c r="K768"/>
      <c r="L768" t="s">
        <v>27</v>
      </c>
      <c r="M768" t="s">
        <v>37</v>
      </c>
      <c r="N768" t="s">
        <v>5219</v>
      </c>
      <c r="O768" t="s">
        <v>4385</v>
      </c>
      <c r="P768">
        <v>48577</v>
      </c>
      <c r="Q768">
        <v>77587</v>
      </c>
      <c r="R768" s="2">
        <v>45618</v>
      </c>
      <c r="S768" t="s">
        <v>69</v>
      </c>
      <c r="T768" t="s">
        <v>52</v>
      </c>
      <c r="W768" t="s">
        <v>6348</v>
      </c>
      <c r="X768">
        <v>78</v>
      </c>
      <c r="Y768" t="s">
        <v>52</v>
      </c>
      <c r="Z768">
        <v>238</v>
      </c>
    </row>
    <row r="769" spans="1:26" x14ac:dyDescent="0.3">
      <c r="A769">
        <v>768</v>
      </c>
      <c r="B769" t="s">
        <v>1791</v>
      </c>
      <c r="C769" t="s">
        <v>40</v>
      </c>
      <c r="D769" t="s">
        <v>12</v>
      </c>
      <c r="E769" t="s">
        <v>90</v>
      </c>
      <c r="F769" t="s">
        <v>6395</v>
      </c>
      <c r="G769" t="s">
        <v>6382</v>
      </c>
      <c r="H769" t="s">
        <v>6381</v>
      </c>
      <c r="J769">
        <f>AVERAGE(ai_job_market[[#This Row],[min_salary]],ai_job_market[[#This Row],[max_salary]])</f>
        <v>64929</v>
      </c>
      <c r="K769"/>
      <c r="L769" t="s">
        <v>22</v>
      </c>
      <c r="M769" t="s">
        <v>15</v>
      </c>
      <c r="N769" t="s">
        <v>5220</v>
      </c>
      <c r="O769" t="s">
        <v>4312</v>
      </c>
      <c r="P769">
        <v>45866</v>
      </c>
      <c r="Q769">
        <v>83992</v>
      </c>
      <c r="R769" s="2">
        <v>45863</v>
      </c>
      <c r="S769" t="s">
        <v>16</v>
      </c>
      <c r="T769" t="s">
        <v>101</v>
      </c>
      <c r="W769" t="s">
        <v>90</v>
      </c>
      <c r="X769">
        <v>80</v>
      </c>
      <c r="Y769" t="s">
        <v>101</v>
      </c>
      <c r="Z769">
        <v>255</v>
      </c>
    </row>
    <row r="770" spans="1:26" x14ac:dyDescent="0.3">
      <c r="A770">
        <v>769</v>
      </c>
      <c r="B770" t="s">
        <v>1793</v>
      </c>
      <c r="C770" t="s">
        <v>45</v>
      </c>
      <c r="D770" t="s">
        <v>25</v>
      </c>
      <c r="E770" t="s">
        <v>128</v>
      </c>
      <c r="F770" t="s">
        <v>6386</v>
      </c>
      <c r="G770" t="s">
        <v>6381</v>
      </c>
      <c r="J770" s="6">
        <f>AVERAGE(ai_job_market[[#This Row],[min_salary]],ai_job_market[[#This Row],[max_salary]])</f>
        <v>95213.5</v>
      </c>
      <c r="K770"/>
      <c r="L770" t="s">
        <v>22</v>
      </c>
      <c r="M770" t="s">
        <v>42</v>
      </c>
      <c r="N770" t="s">
        <v>5221</v>
      </c>
      <c r="O770" t="s">
        <v>4670</v>
      </c>
      <c r="P770" s="5">
        <v>82486</v>
      </c>
      <c r="Q770" s="5">
        <v>107941</v>
      </c>
      <c r="R770" s="2">
        <v>45196</v>
      </c>
      <c r="S770" t="s">
        <v>14</v>
      </c>
      <c r="T770" t="s">
        <v>77</v>
      </c>
      <c r="U770" t="s">
        <v>6388</v>
      </c>
      <c r="W770" t="s">
        <v>128</v>
      </c>
      <c r="X770">
        <v>92</v>
      </c>
      <c r="Y770" t="s">
        <v>77</v>
      </c>
      <c r="Z770">
        <v>251</v>
      </c>
    </row>
    <row r="771" spans="1:26" x14ac:dyDescent="0.3">
      <c r="A771">
        <v>770</v>
      </c>
      <c r="B771" t="s">
        <v>1794</v>
      </c>
      <c r="C771" t="s">
        <v>19</v>
      </c>
      <c r="D771" t="s">
        <v>12</v>
      </c>
      <c r="E771" t="s">
        <v>6345</v>
      </c>
      <c r="F771" t="s">
        <v>6394</v>
      </c>
      <c r="G771" t="s">
        <v>6387</v>
      </c>
      <c r="H771" t="s">
        <v>6384</v>
      </c>
      <c r="J771">
        <f>AVERAGE(ai_job_market[[#This Row],[min_salary]],ai_job_market[[#This Row],[max_salary]])</f>
        <v>130050</v>
      </c>
      <c r="K771"/>
      <c r="L771" t="s">
        <v>22</v>
      </c>
      <c r="M771" t="s">
        <v>37</v>
      </c>
      <c r="N771" t="s">
        <v>5222</v>
      </c>
      <c r="O771" t="s">
        <v>4437</v>
      </c>
      <c r="P771">
        <v>97109</v>
      </c>
      <c r="Q771">
        <v>162991</v>
      </c>
      <c r="R771" s="2">
        <v>45346</v>
      </c>
      <c r="S771" t="s">
        <v>16</v>
      </c>
      <c r="T771" t="s">
        <v>128</v>
      </c>
      <c r="W771" t="s">
        <v>6345</v>
      </c>
      <c r="X771">
        <v>101</v>
      </c>
      <c r="Y771" t="s">
        <v>128</v>
      </c>
      <c r="Z771">
        <v>233</v>
      </c>
    </row>
    <row r="772" spans="1:26" x14ac:dyDescent="0.3">
      <c r="A772">
        <v>771</v>
      </c>
      <c r="B772" t="s">
        <v>1796</v>
      </c>
      <c r="C772" t="s">
        <v>34</v>
      </c>
      <c r="D772" t="s">
        <v>12</v>
      </c>
      <c r="E772" t="s">
        <v>6345</v>
      </c>
      <c r="F772" t="s">
        <v>6382</v>
      </c>
      <c r="G772" t="s">
        <v>6386</v>
      </c>
      <c r="H772" t="s">
        <v>6389</v>
      </c>
      <c r="J772" s="6">
        <f>AVERAGE(ai_job_market[[#This Row],[min_salary]],ai_job_market[[#This Row],[max_salary]])</f>
        <v>89879.5</v>
      </c>
      <c r="K772"/>
      <c r="L772" t="s">
        <v>22</v>
      </c>
      <c r="M772" t="s">
        <v>15</v>
      </c>
      <c r="N772" t="s">
        <v>5223</v>
      </c>
      <c r="O772" t="s">
        <v>4524</v>
      </c>
      <c r="P772" s="5">
        <v>68376</v>
      </c>
      <c r="Q772" s="5">
        <v>111383</v>
      </c>
      <c r="R772" s="2">
        <v>45269</v>
      </c>
      <c r="S772" t="s">
        <v>14</v>
      </c>
      <c r="T772" t="s">
        <v>157</v>
      </c>
      <c r="U772" t="s">
        <v>6389</v>
      </c>
      <c r="V772" t="s">
        <v>6384</v>
      </c>
      <c r="W772" t="s">
        <v>6345</v>
      </c>
      <c r="X772">
        <v>101</v>
      </c>
      <c r="Y772" t="s">
        <v>157</v>
      </c>
      <c r="Z772">
        <v>247</v>
      </c>
    </row>
    <row r="773" spans="1:26" x14ac:dyDescent="0.3">
      <c r="A773">
        <v>772</v>
      </c>
      <c r="B773" t="s">
        <v>1798</v>
      </c>
      <c r="C773" t="s">
        <v>45</v>
      </c>
      <c r="D773" t="s">
        <v>135</v>
      </c>
      <c r="E773" t="s">
        <v>6349</v>
      </c>
      <c r="F773" t="s">
        <v>6392</v>
      </c>
      <c r="G773" t="s">
        <v>6394</v>
      </c>
      <c r="J773">
        <f>AVERAGE(ai_job_market[[#This Row],[min_salary]],ai_job_market[[#This Row],[max_salary]])</f>
        <v>153727.5</v>
      </c>
      <c r="K773"/>
      <c r="L773" t="s">
        <v>22</v>
      </c>
      <c r="M773" t="s">
        <v>15</v>
      </c>
      <c r="N773" t="s">
        <v>5224</v>
      </c>
      <c r="O773" t="s">
        <v>4312</v>
      </c>
      <c r="P773">
        <v>112752</v>
      </c>
      <c r="Q773">
        <v>194703</v>
      </c>
      <c r="R773" s="2">
        <v>45817</v>
      </c>
      <c r="S773" t="s">
        <v>14</v>
      </c>
      <c r="T773" t="s">
        <v>77</v>
      </c>
      <c r="U773" t="s">
        <v>6383</v>
      </c>
      <c r="V773" t="s">
        <v>6389</v>
      </c>
      <c r="W773" t="s">
        <v>6349</v>
      </c>
      <c r="X773">
        <v>96</v>
      </c>
      <c r="Y773" t="s">
        <v>77</v>
      </c>
      <c r="Z773">
        <v>251</v>
      </c>
    </row>
    <row r="774" spans="1:26" x14ac:dyDescent="0.3">
      <c r="A774">
        <v>773</v>
      </c>
      <c r="B774" t="s">
        <v>222</v>
      </c>
      <c r="C774" t="s">
        <v>45</v>
      </c>
      <c r="D774" t="s">
        <v>25</v>
      </c>
      <c r="E774" t="s">
        <v>6359</v>
      </c>
      <c r="F774" t="s">
        <v>6395</v>
      </c>
      <c r="G774" t="s">
        <v>6381</v>
      </c>
      <c r="H774" t="s">
        <v>6389</v>
      </c>
      <c r="I774" t="s">
        <v>6396</v>
      </c>
      <c r="J774">
        <f>AVERAGE(ai_job_market[[#This Row],[min_salary]],ai_job_market[[#This Row],[max_salary]])</f>
        <v>174465</v>
      </c>
      <c r="K774" t="s">
        <v>6376</v>
      </c>
      <c r="L774" t="s">
        <v>27</v>
      </c>
      <c r="M774" t="s">
        <v>37</v>
      </c>
      <c r="N774" t="s">
        <v>5225</v>
      </c>
      <c r="O774" t="s">
        <v>4365</v>
      </c>
      <c r="P774">
        <v>126011</v>
      </c>
      <c r="Q774">
        <v>222919</v>
      </c>
      <c r="R774" s="2">
        <v>45577</v>
      </c>
      <c r="S774" t="s">
        <v>69</v>
      </c>
      <c r="T774" t="s">
        <v>101</v>
      </c>
      <c r="U774" t="s">
        <v>6389</v>
      </c>
      <c r="W774" t="s">
        <v>6359</v>
      </c>
      <c r="X774">
        <v>104</v>
      </c>
      <c r="Y774" t="s">
        <v>101</v>
      </c>
      <c r="Z774">
        <v>255</v>
      </c>
    </row>
    <row r="775" spans="1:26" x14ac:dyDescent="0.3">
      <c r="A775">
        <v>774</v>
      </c>
      <c r="B775" t="s">
        <v>1232</v>
      </c>
      <c r="C775" t="s">
        <v>19</v>
      </c>
      <c r="D775" t="s">
        <v>30</v>
      </c>
      <c r="E775" t="s">
        <v>6357</v>
      </c>
      <c r="F775" t="s">
        <v>6386</v>
      </c>
      <c r="G775" t="s">
        <v>6397</v>
      </c>
      <c r="J775">
        <f>AVERAGE(ai_job_market[[#This Row],[min_salary]],ai_job_market[[#This Row],[max_salary]])</f>
        <v>170508.5</v>
      </c>
      <c r="K775"/>
      <c r="L775" t="s">
        <v>14</v>
      </c>
      <c r="M775" t="s">
        <v>37</v>
      </c>
      <c r="N775" t="s">
        <v>5226</v>
      </c>
      <c r="O775" t="s">
        <v>4446</v>
      </c>
      <c r="P775">
        <v>143118</v>
      </c>
      <c r="Q775">
        <v>197899</v>
      </c>
      <c r="R775" s="2">
        <v>45878</v>
      </c>
      <c r="S775" t="s">
        <v>69</v>
      </c>
      <c r="T775" t="s">
        <v>101</v>
      </c>
      <c r="U775" t="s">
        <v>6388</v>
      </c>
      <c r="W775" t="s">
        <v>6357</v>
      </c>
      <c r="X775">
        <v>88</v>
      </c>
      <c r="Y775" t="s">
        <v>101</v>
      </c>
      <c r="Z775">
        <v>255</v>
      </c>
    </row>
    <row r="776" spans="1:26" x14ac:dyDescent="0.3">
      <c r="A776">
        <v>775</v>
      </c>
      <c r="B776" t="s">
        <v>1803</v>
      </c>
      <c r="C776" t="s">
        <v>34</v>
      </c>
      <c r="D776" t="s">
        <v>54</v>
      </c>
      <c r="E776" t="s">
        <v>6352</v>
      </c>
      <c r="F776" t="s">
        <v>6377</v>
      </c>
      <c r="G776" t="s">
        <v>6374</v>
      </c>
      <c r="H776" t="s">
        <v>6382</v>
      </c>
      <c r="I776" t="s">
        <v>6385</v>
      </c>
      <c r="J776">
        <f>AVERAGE(ai_job_market[[#This Row],[min_salary]],ai_job_market[[#This Row],[max_salary]])</f>
        <v>122222.5</v>
      </c>
      <c r="K776" t="s">
        <v>6394</v>
      </c>
      <c r="L776" t="s">
        <v>27</v>
      </c>
      <c r="M776" t="s">
        <v>15</v>
      </c>
      <c r="N776" t="s">
        <v>5227</v>
      </c>
      <c r="O776" t="s">
        <v>4503</v>
      </c>
      <c r="P776">
        <v>80005</v>
      </c>
      <c r="Q776">
        <v>164440</v>
      </c>
      <c r="R776" s="2">
        <v>45534</v>
      </c>
      <c r="S776" t="s">
        <v>14</v>
      </c>
      <c r="T776" t="s">
        <v>70</v>
      </c>
      <c r="W776" t="s">
        <v>6352</v>
      </c>
      <c r="X776">
        <v>97</v>
      </c>
      <c r="Y776" t="s">
        <v>70</v>
      </c>
      <c r="Z776">
        <v>268</v>
      </c>
    </row>
    <row r="777" spans="1:26" x14ac:dyDescent="0.3">
      <c r="A777">
        <v>776</v>
      </c>
      <c r="B777" t="s">
        <v>1805</v>
      </c>
      <c r="C777" t="s">
        <v>19</v>
      </c>
      <c r="D777" t="s">
        <v>54</v>
      </c>
      <c r="E777" t="s">
        <v>6353</v>
      </c>
      <c r="F777" t="s">
        <v>6391</v>
      </c>
      <c r="G777" t="s">
        <v>6397</v>
      </c>
      <c r="J777" s="6">
        <f>AVERAGE(ai_job_market[[#This Row],[min_salary]],ai_job_market[[#This Row],[max_salary]])</f>
        <v>88778.5</v>
      </c>
      <c r="K777"/>
      <c r="L777" t="s">
        <v>22</v>
      </c>
      <c r="M777" t="s">
        <v>37</v>
      </c>
      <c r="N777" t="s">
        <v>5228</v>
      </c>
      <c r="O777" t="s">
        <v>4692</v>
      </c>
      <c r="P777" s="5">
        <v>65236</v>
      </c>
      <c r="Q777" s="5">
        <v>112321</v>
      </c>
      <c r="R777" s="2">
        <v>45614</v>
      </c>
      <c r="S777" t="s">
        <v>69</v>
      </c>
      <c r="T777" t="s">
        <v>52</v>
      </c>
      <c r="U777" t="s">
        <v>6383</v>
      </c>
      <c r="W777" t="s">
        <v>6353</v>
      </c>
      <c r="X777">
        <v>86</v>
      </c>
      <c r="Y777" t="s">
        <v>52</v>
      </c>
      <c r="Z777">
        <v>238</v>
      </c>
    </row>
    <row r="778" spans="1:26" x14ac:dyDescent="0.3">
      <c r="A778">
        <v>777</v>
      </c>
      <c r="B778" t="s">
        <v>1807</v>
      </c>
      <c r="C778" t="s">
        <v>72</v>
      </c>
      <c r="D778" t="s">
        <v>25</v>
      </c>
      <c r="E778" t="s">
        <v>101</v>
      </c>
      <c r="F778" t="s">
        <v>6374</v>
      </c>
      <c r="G778" t="s">
        <v>6382</v>
      </c>
      <c r="H778" t="s">
        <v>6379</v>
      </c>
      <c r="I778" t="s">
        <v>6397</v>
      </c>
      <c r="J778">
        <f>AVERAGE(ai_job_market[[#This Row],[min_salary]],ai_job_market[[#This Row],[max_salary]])</f>
        <v>120019</v>
      </c>
      <c r="K778" t="s">
        <v>6380</v>
      </c>
      <c r="L778" t="s">
        <v>22</v>
      </c>
      <c r="M778" t="s">
        <v>15</v>
      </c>
      <c r="N778" t="s">
        <v>5229</v>
      </c>
      <c r="O778" t="s">
        <v>5113</v>
      </c>
      <c r="P778">
        <v>106312</v>
      </c>
      <c r="Q778">
        <v>133726</v>
      </c>
      <c r="R778" s="2">
        <v>45811</v>
      </c>
      <c r="S778" t="s">
        <v>69</v>
      </c>
      <c r="T778" t="s">
        <v>157</v>
      </c>
      <c r="U778" t="s">
        <v>6376</v>
      </c>
      <c r="W778" t="s">
        <v>101</v>
      </c>
      <c r="X778">
        <v>76</v>
      </c>
      <c r="Y778" t="s">
        <v>157</v>
      </c>
      <c r="Z778">
        <v>247</v>
      </c>
    </row>
    <row r="779" spans="1:26" x14ac:dyDescent="0.3">
      <c r="A779">
        <v>778</v>
      </c>
      <c r="B779" t="s">
        <v>1809</v>
      </c>
      <c r="C779" t="s">
        <v>11</v>
      </c>
      <c r="D779" t="s">
        <v>25</v>
      </c>
      <c r="E779" t="s">
        <v>6351</v>
      </c>
      <c r="F779" t="s">
        <v>6379</v>
      </c>
      <c r="G779" t="s">
        <v>6390</v>
      </c>
      <c r="H779" t="s">
        <v>6394</v>
      </c>
      <c r="J779">
        <f>AVERAGE(ai_job_market[[#This Row],[min_salary]],ai_job_market[[#This Row],[max_salary]])</f>
        <v>100569</v>
      </c>
      <c r="K779"/>
      <c r="L779" t="s">
        <v>14</v>
      </c>
      <c r="M779" t="s">
        <v>15</v>
      </c>
      <c r="N779" t="s">
        <v>5230</v>
      </c>
      <c r="O779" t="s">
        <v>4528</v>
      </c>
      <c r="P779">
        <v>70970</v>
      </c>
      <c r="Q779">
        <v>130168</v>
      </c>
      <c r="R779" s="2">
        <v>45195</v>
      </c>
      <c r="S779" t="s">
        <v>69</v>
      </c>
      <c r="T779" t="s">
        <v>77</v>
      </c>
      <c r="U779" t="s">
        <v>6383</v>
      </c>
      <c r="W779" t="s">
        <v>6351</v>
      </c>
      <c r="X779">
        <v>89</v>
      </c>
      <c r="Y779" t="s">
        <v>77</v>
      </c>
      <c r="Z779">
        <v>251</v>
      </c>
    </row>
    <row r="780" spans="1:26" x14ac:dyDescent="0.3">
      <c r="A780">
        <v>779</v>
      </c>
      <c r="B780" t="s">
        <v>1811</v>
      </c>
      <c r="C780" t="s">
        <v>19</v>
      </c>
      <c r="D780" t="s">
        <v>135</v>
      </c>
      <c r="E780" t="s">
        <v>6344</v>
      </c>
      <c r="F780" t="s">
        <v>6379</v>
      </c>
      <c r="G780" t="s">
        <v>6389</v>
      </c>
      <c r="H780" t="s">
        <v>6380</v>
      </c>
      <c r="I780" t="s">
        <v>6384</v>
      </c>
      <c r="J780">
        <f>AVERAGE(ai_job_market[[#This Row],[min_salary]],ai_job_market[[#This Row],[max_salary]])</f>
        <v>120100.5</v>
      </c>
      <c r="K780"/>
      <c r="L780" t="s">
        <v>14</v>
      </c>
      <c r="M780" t="s">
        <v>37</v>
      </c>
      <c r="N780" t="s">
        <v>5231</v>
      </c>
      <c r="O780" t="s">
        <v>5011</v>
      </c>
      <c r="P780">
        <v>79563</v>
      </c>
      <c r="Q780">
        <v>160638</v>
      </c>
      <c r="R780" s="2">
        <v>45312</v>
      </c>
      <c r="S780" t="s">
        <v>69</v>
      </c>
      <c r="T780" t="s">
        <v>90</v>
      </c>
      <c r="W780" t="s">
        <v>6344</v>
      </c>
      <c r="X780">
        <v>104</v>
      </c>
      <c r="Y780" t="s">
        <v>90</v>
      </c>
      <c r="Z780">
        <v>259</v>
      </c>
    </row>
    <row r="781" spans="1:26" x14ac:dyDescent="0.3">
      <c r="A781">
        <v>780</v>
      </c>
      <c r="B781" t="s">
        <v>1813</v>
      </c>
      <c r="C781" t="s">
        <v>40</v>
      </c>
      <c r="D781" t="s">
        <v>12</v>
      </c>
      <c r="E781" t="s">
        <v>6344</v>
      </c>
      <c r="F781" t="s">
        <v>6397</v>
      </c>
      <c r="G781" t="s">
        <v>6382</v>
      </c>
      <c r="J781">
        <f>AVERAGE(ai_job_market[[#This Row],[min_salary]],ai_job_market[[#This Row],[max_salary]])</f>
        <v>188940.5</v>
      </c>
      <c r="K781"/>
      <c r="L781" t="s">
        <v>27</v>
      </c>
      <c r="M781" t="s">
        <v>51</v>
      </c>
      <c r="N781" t="s">
        <v>5232</v>
      </c>
      <c r="O781" t="s">
        <v>4469</v>
      </c>
      <c r="P781">
        <v>142504</v>
      </c>
      <c r="Q781">
        <v>235377</v>
      </c>
      <c r="R781" s="2">
        <v>45803</v>
      </c>
      <c r="S781" t="s">
        <v>14</v>
      </c>
      <c r="T781" t="s">
        <v>128</v>
      </c>
      <c r="U781" t="s">
        <v>6376</v>
      </c>
      <c r="V781" t="s">
        <v>6388</v>
      </c>
      <c r="W781" t="s">
        <v>6344</v>
      </c>
      <c r="X781">
        <v>104</v>
      </c>
      <c r="Y781" t="s">
        <v>128</v>
      </c>
      <c r="Z781">
        <v>233</v>
      </c>
    </row>
    <row r="782" spans="1:26" x14ac:dyDescent="0.3">
      <c r="A782">
        <v>781</v>
      </c>
      <c r="B782" t="s">
        <v>1815</v>
      </c>
      <c r="C782" t="s">
        <v>72</v>
      </c>
      <c r="D782" t="s">
        <v>20</v>
      </c>
      <c r="E782" t="s">
        <v>90</v>
      </c>
      <c r="F782" t="s">
        <v>6390</v>
      </c>
      <c r="G782" t="s">
        <v>6393</v>
      </c>
      <c r="H782" t="s">
        <v>6376</v>
      </c>
      <c r="I782" t="s">
        <v>6387</v>
      </c>
      <c r="J782" s="6">
        <f>AVERAGE(ai_job_market[[#This Row],[min_salary]],ai_job_market[[#This Row],[max_salary]])</f>
        <v>163892</v>
      </c>
      <c r="K782"/>
      <c r="L782" t="s">
        <v>14</v>
      </c>
      <c r="M782" t="s">
        <v>37</v>
      </c>
      <c r="N782" t="s">
        <v>5233</v>
      </c>
      <c r="O782" t="s">
        <v>4482</v>
      </c>
      <c r="P782" s="5">
        <v>134914</v>
      </c>
      <c r="Q782" s="5">
        <v>192870</v>
      </c>
      <c r="R782" s="2">
        <v>45692</v>
      </c>
      <c r="S782" t="s">
        <v>16</v>
      </c>
      <c r="T782" t="s">
        <v>80</v>
      </c>
      <c r="W782" t="s">
        <v>90</v>
      </c>
      <c r="X782">
        <v>80</v>
      </c>
      <c r="Y782" t="s">
        <v>80</v>
      </c>
      <c r="Z782">
        <v>249</v>
      </c>
    </row>
    <row r="783" spans="1:26" x14ac:dyDescent="0.3">
      <c r="A783">
        <v>782</v>
      </c>
      <c r="B783" t="s">
        <v>903</v>
      </c>
      <c r="C783" t="s">
        <v>45</v>
      </c>
      <c r="D783" t="s">
        <v>67</v>
      </c>
      <c r="E783" t="s">
        <v>90</v>
      </c>
      <c r="F783" t="s">
        <v>6376</v>
      </c>
      <c r="G783" t="s">
        <v>6381</v>
      </c>
      <c r="J783">
        <f>AVERAGE(ai_job_market[[#This Row],[min_salary]],ai_job_market[[#This Row],[max_salary]])</f>
        <v>123228</v>
      </c>
      <c r="K783"/>
      <c r="L783" t="s">
        <v>22</v>
      </c>
      <c r="M783" t="s">
        <v>15</v>
      </c>
      <c r="N783" t="s">
        <v>5234</v>
      </c>
      <c r="O783" t="s">
        <v>4514</v>
      </c>
      <c r="P783">
        <v>110442</v>
      </c>
      <c r="Q783">
        <v>136014</v>
      </c>
      <c r="R783" s="2">
        <v>45831</v>
      </c>
      <c r="S783" t="s">
        <v>69</v>
      </c>
      <c r="T783" t="s">
        <v>77</v>
      </c>
      <c r="W783" t="s">
        <v>90</v>
      </c>
      <c r="X783">
        <v>80</v>
      </c>
      <c r="Y783" t="s">
        <v>77</v>
      </c>
      <c r="Z783">
        <v>251</v>
      </c>
    </row>
    <row r="784" spans="1:26" x14ac:dyDescent="0.3">
      <c r="A784">
        <v>783</v>
      </c>
      <c r="B784" t="s">
        <v>1818</v>
      </c>
      <c r="C784" t="s">
        <v>19</v>
      </c>
      <c r="D784" t="s">
        <v>35</v>
      </c>
      <c r="E784" t="s">
        <v>80</v>
      </c>
      <c r="F784" t="s">
        <v>6374</v>
      </c>
      <c r="G784" t="s">
        <v>6397</v>
      </c>
      <c r="H784" t="s">
        <v>6386</v>
      </c>
      <c r="I784" t="s">
        <v>6382</v>
      </c>
      <c r="J784">
        <f>AVERAGE(ai_job_market[[#This Row],[min_salary]],ai_job_market[[#This Row],[max_salary]])</f>
        <v>128609.5</v>
      </c>
      <c r="K784" t="s">
        <v>6395</v>
      </c>
      <c r="L784" t="s">
        <v>14</v>
      </c>
      <c r="M784" t="s">
        <v>15</v>
      </c>
      <c r="N784" t="s">
        <v>5235</v>
      </c>
      <c r="O784" t="s">
        <v>4303</v>
      </c>
      <c r="P784">
        <v>108092</v>
      </c>
      <c r="Q784">
        <v>149127</v>
      </c>
      <c r="R784" s="2">
        <v>45515</v>
      </c>
      <c r="S784" t="s">
        <v>16</v>
      </c>
      <c r="T784" t="s">
        <v>80</v>
      </c>
      <c r="U784" t="s">
        <v>6383</v>
      </c>
      <c r="V784" t="s">
        <v>6376</v>
      </c>
      <c r="W784" t="s">
        <v>80</v>
      </c>
      <c r="X784">
        <v>95</v>
      </c>
      <c r="Y784" t="s">
        <v>80</v>
      </c>
      <c r="Z784">
        <v>249</v>
      </c>
    </row>
    <row r="785" spans="1:26" x14ac:dyDescent="0.3">
      <c r="A785">
        <v>784</v>
      </c>
      <c r="B785" t="s">
        <v>1821</v>
      </c>
      <c r="C785" t="s">
        <v>45</v>
      </c>
      <c r="D785" t="s">
        <v>12</v>
      </c>
      <c r="E785" t="s">
        <v>6344</v>
      </c>
      <c r="F785" t="s">
        <v>6378</v>
      </c>
      <c r="G785" t="s">
        <v>6375</v>
      </c>
      <c r="J785">
        <f>AVERAGE(ai_job_market[[#This Row],[min_salary]],ai_job_market[[#This Row],[max_salary]])</f>
        <v>177117</v>
      </c>
      <c r="K785"/>
      <c r="L785" t="s">
        <v>27</v>
      </c>
      <c r="M785" t="s">
        <v>51</v>
      </c>
      <c r="N785" t="s">
        <v>5236</v>
      </c>
      <c r="O785" t="s">
        <v>4380</v>
      </c>
      <c r="P785">
        <v>130779</v>
      </c>
      <c r="Q785">
        <v>223455</v>
      </c>
      <c r="R785" s="2">
        <v>45244</v>
      </c>
      <c r="S785" t="s">
        <v>69</v>
      </c>
      <c r="T785" t="s">
        <v>157</v>
      </c>
      <c r="U785" t="s">
        <v>6384</v>
      </c>
      <c r="V785" t="s">
        <v>6376</v>
      </c>
      <c r="W785" t="s">
        <v>6344</v>
      </c>
      <c r="X785">
        <v>104</v>
      </c>
      <c r="Y785" t="s">
        <v>157</v>
      </c>
      <c r="Z785">
        <v>247</v>
      </c>
    </row>
    <row r="786" spans="1:26" x14ac:dyDescent="0.3">
      <c r="A786">
        <v>785</v>
      </c>
      <c r="B786" t="s">
        <v>263</v>
      </c>
      <c r="C786" t="s">
        <v>45</v>
      </c>
      <c r="D786" t="s">
        <v>135</v>
      </c>
      <c r="E786" t="s">
        <v>80</v>
      </c>
      <c r="F786" t="s">
        <v>6389</v>
      </c>
      <c r="G786" t="s">
        <v>6381</v>
      </c>
      <c r="H786" t="s">
        <v>6392</v>
      </c>
      <c r="I786" t="s">
        <v>6380</v>
      </c>
      <c r="J786">
        <f>AVERAGE(ai_job_market[[#This Row],[min_salary]],ai_job_market[[#This Row],[max_salary]])</f>
        <v>101853</v>
      </c>
      <c r="K786" t="s">
        <v>6385</v>
      </c>
      <c r="L786" t="s">
        <v>14</v>
      </c>
      <c r="M786" t="s">
        <v>15</v>
      </c>
      <c r="N786" t="s">
        <v>5237</v>
      </c>
      <c r="O786" t="s">
        <v>4648</v>
      </c>
      <c r="P786">
        <v>91255</v>
      </c>
      <c r="Q786">
        <v>112451</v>
      </c>
      <c r="R786" s="2">
        <v>45216</v>
      </c>
      <c r="S786" t="s">
        <v>16</v>
      </c>
      <c r="T786" t="s">
        <v>157</v>
      </c>
      <c r="U786" t="s">
        <v>6375</v>
      </c>
      <c r="W786" t="s">
        <v>80</v>
      </c>
      <c r="X786">
        <v>95</v>
      </c>
      <c r="Y786" t="s">
        <v>157</v>
      </c>
      <c r="Z786">
        <v>247</v>
      </c>
    </row>
    <row r="787" spans="1:26" x14ac:dyDescent="0.3">
      <c r="A787">
        <v>786</v>
      </c>
      <c r="B787" t="s">
        <v>1824</v>
      </c>
      <c r="C787" t="s">
        <v>72</v>
      </c>
      <c r="D787" t="s">
        <v>35</v>
      </c>
      <c r="E787" t="s">
        <v>70</v>
      </c>
      <c r="F787" t="s">
        <v>6393</v>
      </c>
      <c r="G787" t="s">
        <v>6396</v>
      </c>
      <c r="H787" t="s">
        <v>6374</v>
      </c>
      <c r="I787" t="s">
        <v>6397</v>
      </c>
      <c r="J787">
        <f>AVERAGE(ai_job_market[[#This Row],[min_salary]],ai_job_market[[#This Row],[max_salary]])</f>
        <v>113063</v>
      </c>
      <c r="K787"/>
      <c r="L787" t="s">
        <v>27</v>
      </c>
      <c r="M787" t="s">
        <v>51</v>
      </c>
      <c r="N787" t="s">
        <v>5238</v>
      </c>
      <c r="O787" t="s">
        <v>4418</v>
      </c>
      <c r="P787">
        <v>90879</v>
      </c>
      <c r="Q787">
        <v>135247</v>
      </c>
      <c r="R787" s="2">
        <v>45194</v>
      </c>
      <c r="S787" t="s">
        <v>16</v>
      </c>
      <c r="T787" t="s">
        <v>80</v>
      </c>
      <c r="U787" t="s">
        <v>6388</v>
      </c>
      <c r="W787" t="s">
        <v>70</v>
      </c>
      <c r="X787">
        <v>100</v>
      </c>
      <c r="Y787" t="s">
        <v>80</v>
      </c>
      <c r="Z787">
        <v>249</v>
      </c>
    </row>
    <row r="788" spans="1:26" x14ac:dyDescent="0.3">
      <c r="A788">
        <v>787</v>
      </c>
      <c r="B788" t="s">
        <v>1826</v>
      </c>
      <c r="C788" t="s">
        <v>34</v>
      </c>
      <c r="D788" t="s">
        <v>25</v>
      </c>
      <c r="E788" t="s">
        <v>6345</v>
      </c>
      <c r="F788" t="s">
        <v>6382</v>
      </c>
      <c r="G788" t="s">
        <v>6394</v>
      </c>
      <c r="H788" t="s">
        <v>6391</v>
      </c>
      <c r="J788">
        <f>AVERAGE(ai_job_market[[#This Row],[min_salary]],ai_job_market[[#This Row],[max_salary]])</f>
        <v>130677</v>
      </c>
      <c r="K788"/>
      <c r="L788" t="s">
        <v>14</v>
      </c>
      <c r="M788" t="s">
        <v>51</v>
      </c>
      <c r="N788" t="s">
        <v>5239</v>
      </c>
      <c r="O788" t="s">
        <v>4710</v>
      </c>
      <c r="P788">
        <v>115822</v>
      </c>
      <c r="Q788">
        <v>145532</v>
      </c>
      <c r="R788" s="2">
        <v>45551</v>
      </c>
      <c r="S788" t="s">
        <v>14</v>
      </c>
      <c r="T788" t="s">
        <v>77</v>
      </c>
      <c r="W788" t="s">
        <v>6345</v>
      </c>
      <c r="X788">
        <v>101</v>
      </c>
      <c r="Y788" t="s">
        <v>77</v>
      </c>
      <c r="Z788">
        <v>251</v>
      </c>
    </row>
    <row r="789" spans="1:26" x14ac:dyDescent="0.3">
      <c r="A789">
        <v>788</v>
      </c>
      <c r="B789" t="s">
        <v>1828</v>
      </c>
      <c r="C789" t="s">
        <v>72</v>
      </c>
      <c r="D789" t="s">
        <v>135</v>
      </c>
      <c r="E789" t="s">
        <v>6358</v>
      </c>
      <c r="F789" t="s">
        <v>6385</v>
      </c>
      <c r="G789" t="s">
        <v>6396</v>
      </c>
      <c r="H789" t="s">
        <v>6375</v>
      </c>
      <c r="I789" t="s">
        <v>6382</v>
      </c>
      <c r="J789" s="6">
        <f>AVERAGE(ai_job_market[[#This Row],[min_salary]],ai_job_market[[#This Row],[max_salary]])</f>
        <v>104345.5</v>
      </c>
      <c r="K789"/>
      <c r="L789" t="s">
        <v>14</v>
      </c>
      <c r="M789" t="s">
        <v>37</v>
      </c>
      <c r="N789" t="s">
        <v>5240</v>
      </c>
      <c r="O789" t="s">
        <v>4314</v>
      </c>
      <c r="P789" s="5">
        <v>83481</v>
      </c>
      <c r="Q789" s="5">
        <v>125210</v>
      </c>
      <c r="R789" s="2">
        <v>45588</v>
      </c>
      <c r="S789" t="s">
        <v>14</v>
      </c>
      <c r="T789" t="s">
        <v>90</v>
      </c>
      <c r="U789" t="s">
        <v>6379</v>
      </c>
      <c r="V789" t="s">
        <v>6376</v>
      </c>
      <c r="W789" t="s">
        <v>6358</v>
      </c>
      <c r="X789">
        <v>96</v>
      </c>
      <c r="Y789" t="s">
        <v>90</v>
      </c>
      <c r="Z789">
        <v>259</v>
      </c>
    </row>
    <row r="790" spans="1:26" x14ac:dyDescent="0.3">
      <c r="A790">
        <v>789</v>
      </c>
      <c r="B790" t="s">
        <v>1831</v>
      </c>
      <c r="C790" t="s">
        <v>49</v>
      </c>
      <c r="D790" t="s">
        <v>54</v>
      </c>
      <c r="E790" t="s">
        <v>70</v>
      </c>
      <c r="F790" t="s">
        <v>6392</v>
      </c>
      <c r="G790" t="s">
        <v>6382</v>
      </c>
      <c r="J790">
        <f>AVERAGE(ai_job_market[[#This Row],[min_salary]],ai_job_market[[#This Row],[max_salary]])</f>
        <v>138838.5</v>
      </c>
      <c r="K790"/>
      <c r="L790" t="s">
        <v>22</v>
      </c>
      <c r="M790" t="s">
        <v>15</v>
      </c>
      <c r="N790" t="s">
        <v>4715</v>
      </c>
      <c r="O790" t="s">
        <v>4582</v>
      </c>
      <c r="P790">
        <v>99587</v>
      </c>
      <c r="Q790">
        <v>178090</v>
      </c>
      <c r="R790" s="2">
        <v>45541</v>
      </c>
      <c r="S790" t="s">
        <v>69</v>
      </c>
      <c r="T790" t="s">
        <v>52</v>
      </c>
      <c r="W790" t="s">
        <v>70</v>
      </c>
      <c r="X790">
        <v>100</v>
      </c>
      <c r="Y790" t="s">
        <v>52</v>
      </c>
      <c r="Z790">
        <v>238</v>
      </c>
    </row>
    <row r="791" spans="1:26" x14ac:dyDescent="0.3">
      <c r="A791">
        <v>790</v>
      </c>
      <c r="B791" t="s">
        <v>1833</v>
      </c>
      <c r="C791" t="s">
        <v>40</v>
      </c>
      <c r="D791" t="s">
        <v>30</v>
      </c>
      <c r="E791" t="s">
        <v>6344</v>
      </c>
      <c r="F791" t="s">
        <v>6389</v>
      </c>
      <c r="G791" t="s">
        <v>6384</v>
      </c>
      <c r="H791" t="s">
        <v>6377</v>
      </c>
      <c r="I791" t="s">
        <v>6374</v>
      </c>
      <c r="J791">
        <f>AVERAGE(ai_job_market[[#This Row],[min_salary]],ai_job_market[[#This Row],[max_salary]])</f>
        <v>83889.5</v>
      </c>
      <c r="K791" t="s">
        <v>6387</v>
      </c>
      <c r="L791" t="s">
        <v>14</v>
      </c>
      <c r="M791" t="s">
        <v>51</v>
      </c>
      <c r="N791" t="s">
        <v>5241</v>
      </c>
      <c r="O791" t="s">
        <v>4393</v>
      </c>
      <c r="P791">
        <v>58111</v>
      </c>
      <c r="Q791">
        <v>109668</v>
      </c>
      <c r="R791" s="2">
        <v>45250</v>
      </c>
      <c r="S791" t="s">
        <v>14</v>
      </c>
      <c r="T791" t="s">
        <v>101</v>
      </c>
      <c r="U791" t="s">
        <v>6378</v>
      </c>
      <c r="W791" t="s">
        <v>6344</v>
      </c>
      <c r="X791">
        <v>104</v>
      </c>
      <c r="Y791" t="s">
        <v>101</v>
      </c>
      <c r="Z791">
        <v>255</v>
      </c>
    </row>
    <row r="792" spans="1:26" x14ac:dyDescent="0.3">
      <c r="A792">
        <v>791</v>
      </c>
      <c r="B792" t="s">
        <v>1835</v>
      </c>
      <c r="C792" t="s">
        <v>19</v>
      </c>
      <c r="D792" t="s">
        <v>54</v>
      </c>
      <c r="E792" t="s">
        <v>6351</v>
      </c>
      <c r="F792" t="s">
        <v>6375</v>
      </c>
      <c r="G792" t="s">
        <v>6380</v>
      </c>
      <c r="H792" t="s">
        <v>6389</v>
      </c>
      <c r="J792">
        <f>AVERAGE(ai_job_market[[#This Row],[min_salary]],ai_job_market[[#This Row],[max_salary]])</f>
        <v>69921</v>
      </c>
      <c r="K792"/>
      <c r="L792" t="s">
        <v>22</v>
      </c>
      <c r="M792" t="s">
        <v>37</v>
      </c>
      <c r="N792" t="s">
        <v>5242</v>
      </c>
      <c r="O792" t="s">
        <v>4617</v>
      </c>
      <c r="P792">
        <v>43453</v>
      </c>
      <c r="Q792">
        <v>96389</v>
      </c>
      <c r="R792" s="2">
        <v>45748</v>
      </c>
      <c r="S792" t="s">
        <v>16</v>
      </c>
      <c r="T792" t="s">
        <v>101</v>
      </c>
      <c r="U792" t="s">
        <v>6384</v>
      </c>
      <c r="V792" t="s">
        <v>6389</v>
      </c>
      <c r="W792" t="s">
        <v>6351</v>
      </c>
      <c r="X792">
        <v>89</v>
      </c>
      <c r="Y792" t="s">
        <v>101</v>
      </c>
      <c r="Z792">
        <v>255</v>
      </c>
    </row>
    <row r="793" spans="1:26" x14ac:dyDescent="0.3">
      <c r="A793">
        <v>792</v>
      </c>
      <c r="B793" t="s">
        <v>1837</v>
      </c>
      <c r="C793" t="s">
        <v>40</v>
      </c>
      <c r="D793" t="s">
        <v>20</v>
      </c>
      <c r="E793" t="s">
        <v>90</v>
      </c>
      <c r="F793" t="s">
        <v>6382</v>
      </c>
      <c r="G793" t="s">
        <v>6377</v>
      </c>
      <c r="J793">
        <f>AVERAGE(ai_job_market[[#This Row],[min_salary]],ai_job_market[[#This Row],[max_salary]])</f>
        <v>136501.5</v>
      </c>
      <c r="K793"/>
      <c r="L793" t="s">
        <v>27</v>
      </c>
      <c r="M793" t="s">
        <v>42</v>
      </c>
      <c r="N793" t="s">
        <v>5243</v>
      </c>
      <c r="O793" t="s">
        <v>5030</v>
      </c>
      <c r="P793">
        <v>118748</v>
      </c>
      <c r="Q793">
        <v>154255</v>
      </c>
      <c r="R793" s="2">
        <v>45518</v>
      </c>
      <c r="S793" t="s">
        <v>16</v>
      </c>
      <c r="T793" t="s">
        <v>128</v>
      </c>
      <c r="U793" t="s">
        <v>6383</v>
      </c>
      <c r="W793" t="s">
        <v>90</v>
      </c>
      <c r="X793">
        <v>80</v>
      </c>
      <c r="Y793" t="s">
        <v>128</v>
      </c>
      <c r="Z793">
        <v>233</v>
      </c>
    </row>
    <row r="794" spans="1:26" x14ac:dyDescent="0.3">
      <c r="A794">
        <v>793</v>
      </c>
      <c r="B794" t="s">
        <v>1839</v>
      </c>
      <c r="C794" t="s">
        <v>72</v>
      </c>
      <c r="D794" t="s">
        <v>30</v>
      </c>
      <c r="E794" t="s">
        <v>6347</v>
      </c>
      <c r="F794" t="s">
        <v>6385</v>
      </c>
      <c r="G794" t="s">
        <v>6380</v>
      </c>
      <c r="H794" t="s">
        <v>6396</v>
      </c>
      <c r="I794" t="s">
        <v>6381</v>
      </c>
      <c r="J794">
        <f>AVERAGE(ai_job_market[[#This Row],[min_salary]],ai_job_market[[#This Row],[max_salary]])</f>
        <v>92981</v>
      </c>
      <c r="K794" t="s">
        <v>6384</v>
      </c>
      <c r="L794" t="s">
        <v>27</v>
      </c>
      <c r="M794" t="s">
        <v>51</v>
      </c>
      <c r="N794" t="s">
        <v>5244</v>
      </c>
      <c r="O794" t="s">
        <v>4287</v>
      </c>
      <c r="P794">
        <v>78422</v>
      </c>
      <c r="Q794">
        <v>107540</v>
      </c>
      <c r="R794" s="2">
        <v>45911</v>
      </c>
      <c r="S794" t="s">
        <v>16</v>
      </c>
      <c r="T794" t="s">
        <v>70</v>
      </c>
      <c r="U794" t="s">
        <v>6383</v>
      </c>
      <c r="V794" t="s">
        <v>6388</v>
      </c>
      <c r="W794" t="s">
        <v>6347</v>
      </c>
      <c r="X794">
        <v>94</v>
      </c>
      <c r="Y794" t="s">
        <v>70</v>
      </c>
      <c r="Z794">
        <v>268</v>
      </c>
    </row>
    <row r="795" spans="1:26" x14ac:dyDescent="0.3">
      <c r="A795">
        <v>794</v>
      </c>
      <c r="B795" t="s">
        <v>1841</v>
      </c>
      <c r="C795" t="s">
        <v>49</v>
      </c>
      <c r="D795" t="s">
        <v>135</v>
      </c>
      <c r="E795" t="s">
        <v>6344</v>
      </c>
      <c r="F795" t="s">
        <v>6385</v>
      </c>
      <c r="G795" t="s">
        <v>6392</v>
      </c>
      <c r="H795" t="s">
        <v>6386</v>
      </c>
      <c r="I795" t="s">
        <v>6395</v>
      </c>
      <c r="J795">
        <f>AVERAGE(ai_job_market[[#This Row],[min_salary]],ai_job_market[[#This Row],[max_salary]])</f>
        <v>144512.5</v>
      </c>
      <c r="K795"/>
      <c r="L795" t="s">
        <v>27</v>
      </c>
      <c r="M795" t="s">
        <v>51</v>
      </c>
      <c r="N795" t="s">
        <v>5245</v>
      </c>
      <c r="O795" t="s">
        <v>4427</v>
      </c>
      <c r="P795">
        <v>112925</v>
      </c>
      <c r="Q795">
        <v>176100</v>
      </c>
      <c r="R795" s="2">
        <v>45584</v>
      </c>
      <c r="S795" t="s">
        <v>69</v>
      </c>
      <c r="T795" t="s">
        <v>90</v>
      </c>
      <c r="U795" t="s">
        <v>6379</v>
      </c>
      <c r="V795" t="s">
        <v>6376</v>
      </c>
      <c r="W795" t="s">
        <v>6344</v>
      </c>
      <c r="X795">
        <v>104</v>
      </c>
      <c r="Y795" t="s">
        <v>90</v>
      </c>
      <c r="Z795">
        <v>259</v>
      </c>
    </row>
    <row r="796" spans="1:26" x14ac:dyDescent="0.3">
      <c r="A796">
        <v>795</v>
      </c>
      <c r="B796" t="s">
        <v>1843</v>
      </c>
      <c r="C796" t="s">
        <v>72</v>
      </c>
      <c r="D796" t="s">
        <v>12</v>
      </c>
      <c r="E796" t="s">
        <v>6352</v>
      </c>
      <c r="F796" t="s">
        <v>6396</v>
      </c>
      <c r="G796" t="s">
        <v>6394</v>
      </c>
      <c r="H796" t="s">
        <v>6392</v>
      </c>
      <c r="I796" t="s">
        <v>6384</v>
      </c>
      <c r="J796">
        <f>AVERAGE(ai_job_market[[#This Row],[min_salary]],ai_job_market[[#This Row],[max_salary]])</f>
        <v>141099.5</v>
      </c>
      <c r="K796" t="s">
        <v>6390</v>
      </c>
      <c r="L796" t="s">
        <v>27</v>
      </c>
      <c r="M796" t="s">
        <v>51</v>
      </c>
      <c r="N796" t="s">
        <v>5246</v>
      </c>
      <c r="O796" t="s">
        <v>4335</v>
      </c>
      <c r="P796">
        <v>117216</v>
      </c>
      <c r="Q796">
        <v>164983</v>
      </c>
      <c r="R796" s="2">
        <v>45232</v>
      </c>
      <c r="S796" t="s">
        <v>69</v>
      </c>
      <c r="T796" t="s">
        <v>101</v>
      </c>
      <c r="U796" t="s">
        <v>6388</v>
      </c>
      <c r="W796" t="s">
        <v>6352</v>
      </c>
      <c r="X796">
        <v>97</v>
      </c>
      <c r="Y796" t="s">
        <v>101</v>
      </c>
      <c r="Z796">
        <v>255</v>
      </c>
    </row>
    <row r="797" spans="1:26" x14ac:dyDescent="0.3">
      <c r="A797">
        <v>796</v>
      </c>
      <c r="B797" t="s">
        <v>1845</v>
      </c>
      <c r="C797" t="s">
        <v>72</v>
      </c>
      <c r="D797" t="s">
        <v>35</v>
      </c>
      <c r="E797" t="s">
        <v>101</v>
      </c>
      <c r="F797" t="s">
        <v>6394</v>
      </c>
      <c r="G797" t="s">
        <v>6374</v>
      </c>
      <c r="H797" t="s">
        <v>6385</v>
      </c>
      <c r="I797" t="s">
        <v>6379</v>
      </c>
      <c r="J797">
        <f>AVERAGE(ai_job_market[[#This Row],[min_salary]],ai_job_market[[#This Row],[max_salary]])</f>
        <v>132807.5</v>
      </c>
      <c r="K797"/>
      <c r="L797" t="s">
        <v>14</v>
      </c>
      <c r="M797" t="s">
        <v>37</v>
      </c>
      <c r="N797" t="s">
        <v>5247</v>
      </c>
      <c r="O797" t="s">
        <v>4454</v>
      </c>
      <c r="P797">
        <v>108484</v>
      </c>
      <c r="Q797">
        <v>157131</v>
      </c>
      <c r="R797" s="2">
        <v>45593</v>
      </c>
      <c r="S797" t="s">
        <v>69</v>
      </c>
      <c r="T797" t="s">
        <v>52</v>
      </c>
      <c r="U797" t="s">
        <v>6384</v>
      </c>
      <c r="W797" t="s">
        <v>101</v>
      </c>
      <c r="X797">
        <v>76</v>
      </c>
      <c r="Y797" t="s">
        <v>52</v>
      </c>
      <c r="Z797">
        <v>238</v>
      </c>
    </row>
    <row r="798" spans="1:26" x14ac:dyDescent="0.3">
      <c r="A798">
        <v>797</v>
      </c>
      <c r="B798" t="s">
        <v>1847</v>
      </c>
      <c r="C798" t="s">
        <v>19</v>
      </c>
      <c r="D798" t="s">
        <v>25</v>
      </c>
      <c r="E798" t="s">
        <v>80</v>
      </c>
      <c r="F798" t="s">
        <v>6387</v>
      </c>
      <c r="G798" t="s">
        <v>6397</v>
      </c>
      <c r="J798">
        <f>AVERAGE(ai_job_market[[#This Row],[min_salary]],ai_job_market[[#This Row],[max_salary]])</f>
        <v>117946</v>
      </c>
      <c r="K798"/>
      <c r="L798" t="s">
        <v>22</v>
      </c>
      <c r="M798" t="s">
        <v>51</v>
      </c>
      <c r="N798" t="s">
        <v>5248</v>
      </c>
      <c r="O798" t="s">
        <v>4357</v>
      </c>
      <c r="P798">
        <v>77543</v>
      </c>
      <c r="Q798">
        <v>158349</v>
      </c>
      <c r="R798" s="2">
        <v>45390</v>
      </c>
      <c r="S798" t="s">
        <v>14</v>
      </c>
      <c r="T798" t="s">
        <v>90</v>
      </c>
      <c r="U798" t="s">
        <v>6383</v>
      </c>
      <c r="W798" t="s">
        <v>80</v>
      </c>
      <c r="X798">
        <v>95</v>
      </c>
      <c r="Y798" t="s">
        <v>90</v>
      </c>
      <c r="Z798">
        <v>259</v>
      </c>
    </row>
    <row r="799" spans="1:26" x14ac:dyDescent="0.3">
      <c r="A799">
        <v>798</v>
      </c>
      <c r="B799" t="s">
        <v>1849</v>
      </c>
      <c r="C799" t="s">
        <v>34</v>
      </c>
      <c r="D799" t="s">
        <v>135</v>
      </c>
      <c r="E799" t="s">
        <v>6344</v>
      </c>
      <c r="F799" t="s">
        <v>6384</v>
      </c>
      <c r="G799" t="s">
        <v>6380</v>
      </c>
      <c r="J799">
        <f>AVERAGE(ai_job_market[[#This Row],[min_salary]],ai_job_market[[#This Row],[max_salary]])</f>
        <v>86460.5</v>
      </c>
      <c r="K799"/>
      <c r="L799" t="s">
        <v>27</v>
      </c>
      <c r="M799" t="s">
        <v>42</v>
      </c>
      <c r="N799" t="s">
        <v>5249</v>
      </c>
      <c r="O799" t="s">
        <v>4660</v>
      </c>
      <c r="P799">
        <v>41105</v>
      </c>
      <c r="Q799">
        <v>131816</v>
      </c>
      <c r="R799" s="2">
        <v>45623</v>
      </c>
      <c r="S799" t="s">
        <v>14</v>
      </c>
      <c r="T799" t="s">
        <v>77</v>
      </c>
      <c r="U799" t="s">
        <v>6379</v>
      </c>
      <c r="V799" t="s">
        <v>6375</v>
      </c>
      <c r="W799" t="s">
        <v>6344</v>
      </c>
      <c r="X799">
        <v>104</v>
      </c>
      <c r="Y799" t="s">
        <v>77</v>
      </c>
      <c r="Z799">
        <v>251</v>
      </c>
    </row>
    <row r="800" spans="1:26" x14ac:dyDescent="0.3">
      <c r="A800">
        <v>799</v>
      </c>
      <c r="B800" t="s">
        <v>1851</v>
      </c>
      <c r="C800" t="s">
        <v>72</v>
      </c>
      <c r="D800" t="s">
        <v>54</v>
      </c>
      <c r="E800" t="s">
        <v>6359</v>
      </c>
      <c r="F800" t="s">
        <v>6392</v>
      </c>
      <c r="G800" t="s">
        <v>6384</v>
      </c>
      <c r="J800">
        <f>AVERAGE(ai_job_market[[#This Row],[min_salary]],ai_job_market[[#This Row],[max_salary]])</f>
        <v>158515</v>
      </c>
      <c r="K800"/>
      <c r="L800" t="s">
        <v>27</v>
      </c>
      <c r="M800" t="s">
        <v>42</v>
      </c>
      <c r="N800" t="s">
        <v>5250</v>
      </c>
      <c r="O800" t="s">
        <v>4762</v>
      </c>
      <c r="P800">
        <v>119337</v>
      </c>
      <c r="Q800">
        <v>197693</v>
      </c>
      <c r="R800" s="2">
        <v>45788</v>
      </c>
      <c r="S800" t="s">
        <v>16</v>
      </c>
      <c r="T800" t="s">
        <v>77</v>
      </c>
      <c r="W800" t="s">
        <v>6359</v>
      </c>
      <c r="X800">
        <v>104</v>
      </c>
      <c r="Y800" t="s">
        <v>77</v>
      </c>
      <c r="Z800">
        <v>251</v>
      </c>
    </row>
    <row r="801" spans="1:26" x14ac:dyDescent="0.3">
      <c r="A801">
        <v>800</v>
      </c>
      <c r="B801" t="s">
        <v>1853</v>
      </c>
      <c r="C801" t="s">
        <v>45</v>
      </c>
      <c r="D801" t="s">
        <v>25</v>
      </c>
      <c r="E801" t="s">
        <v>6357</v>
      </c>
      <c r="F801" t="s">
        <v>6384</v>
      </c>
      <c r="G801" t="s">
        <v>6380</v>
      </c>
      <c r="J801">
        <f>AVERAGE(ai_job_market[[#This Row],[min_salary]],ai_job_market[[#This Row],[max_salary]])</f>
        <v>153416</v>
      </c>
      <c r="K801"/>
      <c r="L801" t="s">
        <v>14</v>
      </c>
      <c r="M801" t="s">
        <v>37</v>
      </c>
      <c r="N801" t="s">
        <v>5251</v>
      </c>
      <c r="O801" t="s">
        <v>4536</v>
      </c>
      <c r="P801">
        <v>110827</v>
      </c>
      <c r="Q801">
        <v>196005</v>
      </c>
      <c r="R801" s="2">
        <v>45727</v>
      </c>
      <c r="S801" t="s">
        <v>16</v>
      </c>
      <c r="T801" t="s">
        <v>90</v>
      </c>
      <c r="W801" t="s">
        <v>6357</v>
      </c>
      <c r="X801">
        <v>88</v>
      </c>
      <c r="Y801" t="s">
        <v>90</v>
      </c>
      <c r="Z801">
        <v>259</v>
      </c>
    </row>
    <row r="802" spans="1:26" x14ac:dyDescent="0.3">
      <c r="A802">
        <v>801</v>
      </c>
      <c r="B802" t="s">
        <v>1855</v>
      </c>
      <c r="C802" t="s">
        <v>49</v>
      </c>
      <c r="D802" t="s">
        <v>67</v>
      </c>
      <c r="E802" t="s">
        <v>6356</v>
      </c>
      <c r="F802" t="s">
        <v>6385</v>
      </c>
      <c r="G802" t="s">
        <v>6379</v>
      </c>
      <c r="H802" t="s">
        <v>6386</v>
      </c>
      <c r="I802" t="s">
        <v>6390</v>
      </c>
      <c r="J802">
        <f>AVERAGE(ai_job_market[[#This Row],[min_salary]],ai_job_market[[#This Row],[max_salary]])</f>
        <v>110417</v>
      </c>
      <c r="K802" t="s">
        <v>6377</v>
      </c>
      <c r="L802" t="s">
        <v>14</v>
      </c>
      <c r="M802" t="s">
        <v>37</v>
      </c>
      <c r="N802" t="s">
        <v>5252</v>
      </c>
      <c r="O802" t="s">
        <v>4791</v>
      </c>
      <c r="P802">
        <v>68942</v>
      </c>
      <c r="Q802">
        <v>151892</v>
      </c>
      <c r="R802" s="2">
        <v>45731</v>
      </c>
      <c r="S802" t="s">
        <v>69</v>
      </c>
      <c r="T802" t="s">
        <v>77</v>
      </c>
      <c r="U802" t="s">
        <v>6379</v>
      </c>
      <c r="W802" t="s">
        <v>6356</v>
      </c>
      <c r="X802">
        <v>86</v>
      </c>
      <c r="Y802" t="s">
        <v>77</v>
      </c>
      <c r="Z802">
        <v>251</v>
      </c>
    </row>
    <row r="803" spans="1:26" x14ac:dyDescent="0.3">
      <c r="A803">
        <v>802</v>
      </c>
      <c r="B803" t="s">
        <v>1857</v>
      </c>
      <c r="C803" t="s">
        <v>45</v>
      </c>
      <c r="D803" t="s">
        <v>12</v>
      </c>
      <c r="E803" t="s">
        <v>6359</v>
      </c>
      <c r="F803" t="s">
        <v>6385</v>
      </c>
      <c r="G803" t="s">
        <v>6389</v>
      </c>
      <c r="J803">
        <f>AVERAGE(ai_job_market[[#This Row],[min_salary]],ai_job_market[[#This Row],[max_salary]])</f>
        <v>163075.5</v>
      </c>
      <c r="K803"/>
      <c r="L803" t="s">
        <v>14</v>
      </c>
      <c r="M803" t="s">
        <v>42</v>
      </c>
      <c r="N803" t="s">
        <v>5253</v>
      </c>
      <c r="O803" t="s">
        <v>4387</v>
      </c>
      <c r="P803">
        <v>132080</v>
      </c>
      <c r="Q803">
        <v>194071</v>
      </c>
      <c r="R803" s="2">
        <v>45297</v>
      </c>
      <c r="S803" t="s">
        <v>16</v>
      </c>
      <c r="T803" t="s">
        <v>77</v>
      </c>
      <c r="U803" t="s">
        <v>6379</v>
      </c>
      <c r="W803" t="s">
        <v>6359</v>
      </c>
      <c r="X803">
        <v>104</v>
      </c>
      <c r="Y803" t="s">
        <v>77</v>
      </c>
      <c r="Z803">
        <v>251</v>
      </c>
    </row>
    <row r="804" spans="1:26" x14ac:dyDescent="0.3">
      <c r="A804">
        <v>803</v>
      </c>
      <c r="B804" t="s">
        <v>1859</v>
      </c>
      <c r="C804" t="s">
        <v>72</v>
      </c>
      <c r="D804" t="s">
        <v>35</v>
      </c>
      <c r="E804" t="s">
        <v>6346</v>
      </c>
      <c r="F804" t="s">
        <v>6385</v>
      </c>
      <c r="G804" t="s">
        <v>6380</v>
      </c>
      <c r="H804" t="s">
        <v>6379</v>
      </c>
      <c r="J804" s="6">
        <f>AVERAGE(ai_job_market[[#This Row],[min_salary]],ai_job_market[[#This Row],[max_salary]])</f>
        <v>110312.5</v>
      </c>
      <c r="K804"/>
      <c r="L804" t="s">
        <v>27</v>
      </c>
      <c r="M804" t="s">
        <v>15</v>
      </c>
      <c r="N804" t="s">
        <v>5254</v>
      </c>
      <c r="O804" t="s">
        <v>4474</v>
      </c>
      <c r="P804" s="5">
        <v>78884</v>
      </c>
      <c r="Q804" s="5">
        <v>141741</v>
      </c>
      <c r="R804" s="2">
        <v>45822</v>
      </c>
      <c r="S804" t="s">
        <v>16</v>
      </c>
      <c r="T804" t="s">
        <v>80</v>
      </c>
      <c r="U804" t="s">
        <v>6378</v>
      </c>
      <c r="W804" t="s">
        <v>6346</v>
      </c>
      <c r="X804">
        <v>78</v>
      </c>
      <c r="Y804" t="s">
        <v>80</v>
      </c>
      <c r="Z804">
        <v>249</v>
      </c>
    </row>
    <row r="805" spans="1:26" x14ac:dyDescent="0.3">
      <c r="A805">
        <v>804</v>
      </c>
      <c r="B805" t="s">
        <v>1861</v>
      </c>
      <c r="C805" t="s">
        <v>45</v>
      </c>
      <c r="D805" t="s">
        <v>20</v>
      </c>
      <c r="E805" t="s">
        <v>6349</v>
      </c>
      <c r="F805" t="s">
        <v>6387</v>
      </c>
      <c r="G805" t="s">
        <v>6380</v>
      </c>
      <c r="H805" t="s">
        <v>6394</v>
      </c>
      <c r="J805">
        <f>AVERAGE(ai_job_market[[#This Row],[min_salary]],ai_job_market[[#This Row],[max_salary]])</f>
        <v>131741.5</v>
      </c>
      <c r="K805"/>
      <c r="L805" t="s">
        <v>27</v>
      </c>
      <c r="M805" t="s">
        <v>51</v>
      </c>
      <c r="N805" t="s">
        <v>5255</v>
      </c>
      <c r="O805" t="s">
        <v>4692</v>
      </c>
      <c r="P805">
        <v>109567</v>
      </c>
      <c r="Q805">
        <v>153916</v>
      </c>
      <c r="R805" s="2">
        <v>45246</v>
      </c>
      <c r="S805" t="s">
        <v>16</v>
      </c>
      <c r="T805" t="s">
        <v>101</v>
      </c>
      <c r="U805" t="s">
        <v>6384</v>
      </c>
      <c r="W805" t="s">
        <v>6349</v>
      </c>
      <c r="X805">
        <v>96</v>
      </c>
      <c r="Y805" t="s">
        <v>101</v>
      </c>
      <c r="Z805">
        <v>255</v>
      </c>
    </row>
    <row r="806" spans="1:26" x14ac:dyDescent="0.3">
      <c r="A806">
        <v>805</v>
      </c>
      <c r="B806" t="s">
        <v>1863</v>
      </c>
      <c r="C806" t="s">
        <v>11</v>
      </c>
      <c r="D806" t="s">
        <v>135</v>
      </c>
      <c r="E806" t="s">
        <v>6344</v>
      </c>
      <c r="F806" t="s">
        <v>6374</v>
      </c>
      <c r="G806" t="s">
        <v>6378</v>
      </c>
      <c r="H806" t="s">
        <v>6377</v>
      </c>
      <c r="I806" t="s">
        <v>6386</v>
      </c>
      <c r="J806">
        <f>AVERAGE(ai_job_market[[#This Row],[min_salary]],ai_job_market[[#This Row],[max_salary]])</f>
        <v>82997.5</v>
      </c>
      <c r="K806"/>
      <c r="L806" t="s">
        <v>27</v>
      </c>
      <c r="M806" t="s">
        <v>51</v>
      </c>
      <c r="N806" t="s">
        <v>5256</v>
      </c>
      <c r="O806" t="s">
        <v>4444</v>
      </c>
      <c r="P806">
        <v>48357</v>
      </c>
      <c r="Q806">
        <v>117638</v>
      </c>
      <c r="R806" s="2">
        <v>45720</v>
      </c>
      <c r="S806" t="s">
        <v>14</v>
      </c>
      <c r="T806" t="s">
        <v>80</v>
      </c>
      <c r="W806" t="s">
        <v>6344</v>
      </c>
      <c r="X806">
        <v>104</v>
      </c>
      <c r="Y806" t="s">
        <v>80</v>
      </c>
      <c r="Z806">
        <v>249</v>
      </c>
    </row>
    <row r="807" spans="1:26" x14ac:dyDescent="0.3">
      <c r="A807">
        <v>806</v>
      </c>
      <c r="B807" t="s">
        <v>1865</v>
      </c>
      <c r="C807" t="s">
        <v>19</v>
      </c>
      <c r="D807" t="s">
        <v>20</v>
      </c>
      <c r="E807" t="s">
        <v>6353</v>
      </c>
      <c r="F807" t="s">
        <v>6382</v>
      </c>
      <c r="G807" t="s">
        <v>6392</v>
      </c>
      <c r="J807">
        <f>AVERAGE(ai_job_market[[#This Row],[min_salary]],ai_job_market[[#This Row],[max_salary]])</f>
        <v>108049.5</v>
      </c>
      <c r="K807"/>
      <c r="L807" t="s">
        <v>14</v>
      </c>
      <c r="M807" t="s">
        <v>37</v>
      </c>
      <c r="N807" t="s">
        <v>5257</v>
      </c>
      <c r="O807" t="s">
        <v>4351</v>
      </c>
      <c r="P807">
        <v>99903</v>
      </c>
      <c r="Q807">
        <v>116196</v>
      </c>
      <c r="R807" s="2">
        <v>45238</v>
      </c>
      <c r="S807" t="s">
        <v>16</v>
      </c>
      <c r="T807" t="s">
        <v>77</v>
      </c>
      <c r="W807" t="s">
        <v>6353</v>
      </c>
      <c r="X807">
        <v>86</v>
      </c>
      <c r="Y807" t="s">
        <v>77</v>
      </c>
      <c r="Z807">
        <v>251</v>
      </c>
    </row>
    <row r="808" spans="1:26" x14ac:dyDescent="0.3">
      <c r="A808">
        <v>807</v>
      </c>
      <c r="B808" t="s">
        <v>1867</v>
      </c>
      <c r="C808" t="s">
        <v>45</v>
      </c>
      <c r="D808" t="s">
        <v>20</v>
      </c>
      <c r="E808" t="s">
        <v>6357</v>
      </c>
      <c r="F808" t="s">
        <v>6377</v>
      </c>
      <c r="G808" t="s">
        <v>6374</v>
      </c>
      <c r="H808" t="s">
        <v>6397</v>
      </c>
      <c r="I808" t="s">
        <v>6395</v>
      </c>
      <c r="J808">
        <f>AVERAGE(ai_job_market[[#This Row],[min_salary]],ai_job_market[[#This Row],[max_salary]])</f>
        <v>119102</v>
      </c>
      <c r="K808" t="s">
        <v>6387</v>
      </c>
      <c r="L808" t="s">
        <v>14</v>
      </c>
      <c r="M808" t="s">
        <v>15</v>
      </c>
      <c r="N808" t="s">
        <v>5258</v>
      </c>
      <c r="O808" t="s">
        <v>5113</v>
      </c>
      <c r="P808">
        <v>84022</v>
      </c>
      <c r="Q808">
        <v>154182</v>
      </c>
      <c r="R808" s="2">
        <v>45770</v>
      </c>
      <c r="S808" t="s">
        <v>16</v>
      </c>
      <c r="T808" t="s">
        <v>90</v>
      </c>
      <c r="W808" t="s">
        <v>6357</v>
      </c>
      <c r="X808">
        <v>88</v>
      </c>
      <c r="Y808" t="s">
        <v>90</v>
      </c>
      <c r="Z808">
        <v>259</v>
      </c>
    </row>
    <row r="809" spans="1:26" x14ac:dyDescent="0.3">
      <c r="A809">
        <v>808</v>
      </c>
      <c r="B809" t="s">
        <v>1869</v>
      </c>
      <c r="C809" t="s">
        <v>11</v>
      </c>
      <c r="D809" t="s">
        <v>67</v>
      </c>
      <c r="E809" t="s">
        <v>80</v>
      </c>
      <c r="F809" t="s">
        <v>6374</v>
      </c>
      <c r="G809" t="s">
        <v>6397</v>
      </c>
      <c r="H809" t="s">
        <v>6385</v>
      </c>
      <c r="I809" t="s">
        <v>6380</v>
      </c>
      <c r="J809">
        <f>AVERAGE(ai_job_market[[#This Row],[min_salary]],ai_job_market[[#This Row],[max_salary]])</f>
        <v>108784.5</v>
      </c>
      <c r="K809"/>
      <c r="L809" t="s">
        <v>27</v>
      </c>
      <c r="M809" t="s">
        <v>42</v>
      </c>
      <c r="N809" t="s">
        <v>5259</v>
      </c>
      <c r="O809" t="s">
        <v>4938</v>
      </c>
      <c r="P809">
        <v>90182</v>
      </c>
      <c r="Q809">
        <v>127387</v>
      </c>
      <c r="R809" s="2">
        <v>45401</v>
      </c>
      <c r="S809" t="s">
        <v>14</v>
      </c>
      <c r="T809" t="s">
        <v>128</v>
      </c>
      <c r="U809" t="s">
        <v>6384</v>
      </c>
      <c r="V809" t="s">
        <v>6376</v>
      </c>
      <c r="W809" t="s">
        <v>80</v>
      </c>
      <c r="X809">
        <v>95</v>
      </c>
      <c r="Y809" t="s">
        <v>128</v>
      </c>
      <c r="Z809">
        <v>233</v>
      </c>
    </row>
    <row r="810" spans="1:26" x14ac:dyDescent="0.3">
      <c r="A810">
        <v>809</v>
      </c>
      <c r="B810" t="s">
        <v>1871</v>
      </c>
      <c r="C810" t="s">
        <v>72</v>
      </c>
      <c r="D810" t="s">
        <v>54</v>
      </c>
      <c r="E810" t="s">
        <v>128</v>
      </c>
      <c r="F810" t="s">
        <v>6391</v>
      </c>
      <c r="G810" t="s">
        <v>6377</v>
      </c>
      <c r="H810" t="s">
        <v>6397</v>
      </c>
      <c r="I810" t="s">
        <v>6386</v>
      </c>
      <c r="J810">
        <f>AVERAGE(ai_job_market[[#This Row],[min_salary]],ai_job_market[[#This Row],[max_salary]])</f>
        <v>69174</v>
      </c>
      <c r="K810" t="s">
        <v>6395</v>
      </c>
      <c r="L810" t="s">
        <v>22</v>
      </c>
      <c r="M810" t="s">
        <v>15</v>
      </c>
      <c r="N810" t="s">
        <v>5260</v>
      </c>
      <c r="O810" t="s">
        <v>4486</v>
      </c>
      <c r="P810">
        <v>63292</v>
      </c>
      <c r="Q810">
        <v>75056</v>
      </c>
      <c r="R810" s="2">
        <v>45695</v>
      </c>
      <c r="S810" t="s">
        <v>69</v>
      </c>
      <c r="T810" t="s">
        <v>52</v>
      </c>
      <c r="W810" t="s">
        <v>128</v>
      </c>
      <c r="X810">
        <v>92</v>
      </c>
      <c r="Y810" t="s">
        <v>52</v>
      </c>
      <c r="Z810">
        <v>238</v>
      </c>
    </row>
    <row r="811" spans="1:26" x14ac:dyDescent="0.3">
      <c r="A811">
        <v>810</v>
      </c>
      <c r="B811" t="s">
        <v>1873</v>
      </c>
      <c r="C811" t="s">
        <v>45</v>
      </c>
      <c r="D811" t="s">
        <v>30</v>
      </c>
      <c r="E811" t="s">
        <v>6349</v>
      </c>
      <c r="F811" t="s">
        <v>6374</v>
      </c>
      <c r="G811" t="s">
        <v>6389</v>
      </c>
      <c r="J811">
        <f>AVERAGE(ai_job_market[[#This Row],[min_salary]],ai_job_market[[#This Row],[max_salary]])</f>
        <v>62950</v>
      </c>
      <c r="K811"/>
      <c r="L811" t="s">
        <v>27</v>
      </c>
      <c r="M811" t="s">
        <v>15</v>
      </c>
      <c r="N811" t="s">
        <v>5261</v>
      </c>
      <c r="O811" t="s">
        <v>4446</v>
      </c>
      <c r="P811">
        <v>55596</v>
      </c>
      <c r="Q811">
        <v>70304</v>
      </c>
      <c r="R811" s="2">
        <v>45810</v>
      </c>
      <c r="S811" t="s">
        <v>14</v>
      </c>
      <c r="T811" t="s">
        <v>157</v>
      </c>
      <c r="W811" t="s">
        <v>6349</v>
      </c>
      <c r="X811">
        <v>96</v>
      </c>
      <c r="Y811" t="s">
        <v>157</v>
      </c>
      <c r="Z811">
        <v>247</v>
      </c>
    </row>
    <row r="812" spans="1:26" x14ac:dyDescent="0.3">
      <c r="A812">
        <v>811</v>
      </c>
      <c r="B812" t="s">
        <v>1179</v>
      </c>
      <c r="C812" t="s">
        <v>40</v>
      </c>
      <c r="D812" t="s">
        <v>54</v>
      </c>
      <c r="E812" t="s">
        <v>128</v>
      </c>
      <c r="F812" t="s">
        <v>6390</v>
      </c>
      <c r="G812" t="s">
        <v>6387</v>
      </c>
      <c r="H812" t="s">
        <v>6396</v>
      </c>
      <c r="J812">
        <f>AVERAGE(ai_job_market[[#This Row],[min_salary]],ai_job_market[[#This Row],[max_salary]])</f>
        <v>137118.5</v>
      </c>
      <c r="K812"/>
      <c r="L812" t="s">
        <v>27</v>
      </c>
      <c r="M812" t="s">
        <v>42</v>
      </c>
      <c r="N812" t="s">
        <v>5262</v>
      </c>
      <c r="O812" t="s">
        <v>4559</v>
      </c>
      <c r="P812">
        <v>98886</v>
      </c>
      <c r="Q812">
        <v>175351</v>
      </c>
      <c r="R812" s="2">
        <v>45603</v>
      </c>
      <c r="S812" t="s">
        <v>14</v>
      </c>
      <c r="T812" t="s">
        <v>90</v>
      </c>
      <c r="U812" t="s">
        <v>6375</v>
      </c>
      <c r="W812" t="s">
        <v>128</v>
      </c>
      <c r="X812">
        <v>92</v>
      </c>
      <c r="Y812" t="s">
        <v>90</v>
      </c>
      <c r="Z812">
        <v>259</v>
      </c>
    </row>
    <row r="813" spans="1:26" x14ac:dyDescent="0.3">
      <c r="A813">
        <v>812</v>
      </c>
      <c r="B813" t="s">
        <v>1876</v>
      </c>
      <c r="C813" t="s">
        <v>19</v>
      </c>
      <c r="D813" t="s">
        <v>25</v>
      </c>
      <c r="E813" t="s">
        <v>6345</v>
      </c>
      <c r="F813" t="s">
        <v>6385</v>
      </c>
      <c r="G813" t="s">
        <v>6393</v>
      </c>
      <c r="H813" t="s">
        <v>6387</v>
      </c>
      <c r="J813">
        <f>AVERAGE(ai_job_market[[#This Row],[min_salary]],ai_job_market[[#This Row],[max_salary]])</f>
        <v>115568</v>
      </c>
      <c r="K813"/>
      <c r="L813" t="s">
        <v>22</v>
      </c>
      <c r="M813" t="s">
        <v>15</v>
      </c>
      <c r="N813" t="s">
        <v>5263</v>
      </c>
      <c r="O813" t="s">
        <v>4351</v>
      </c>
      <c r="P813">
        <v>95671</v>
      </c>
      <c r="Q813">
        <v>135465</v>
      </c>
      <c r="R813" s="2">
        <v>45222</v>
      </c>
      <c r="S813" t="s">
        <v>69</v>
      </c>
      <c r="T813" t="s">
        <v>80</v>
      </c>
      <c r="U813" t="s">
        <v>6389</v>
      </c>
      <c r="V813" t="s">
        <v>6376</v>
      </c>
      <c r="W813" t="s">
        <v>6345</v>
      </c>
      <c r="X813">
        <v>101</v>
      </c>
      <c r="Y813" t="s">
        <v>80</v>
      </c>
      <c r="Z813">
        <v>249</v>
      </c>
    </row>
    <row r="814" spans="1:26" x14ac:dyDescent="0.3">
      <c r="A814">
        <v>813</v>
      </c>
      <c r="B814" t="s">
        <v>1878</v>
      </c>
      <c r="C814" t="s">
        <v>40</v>
      </c>
      <c r="D814" t="s">
        <v>30</v>
      </c>
      <c r="E814" t="s">
        <v>70</v>
      </c>
      <c r="F814" t="s">
        <v>6391</v>
      </c>
      <c r="G814" t="s">
        <v>6397</v>
      </c>
      <c r="J814">
        <f>AVERAGE(ai_job_market[[#This Row],[min_salary]],ai_job_market[[#This Row],[max_salary]])</f>
        <v>84490</v>
      </c>
      <c r="K814"/>
      <c r="L814" t="s">
        <v>22</v>
      </c>
      <c r="M814" t="s">
        <v>51</v>
      </c>
      <c r="N814" t="s">
        <v>5264</v>
      </c>
      <c r="O814" t="s">
        <v>4655</v>
      </c>
      <c r="P814">
        <v>54859</v>
      </c>
      <c r="Q814">
        <v>114121</v>
      </c>
      <c r="R814" s="2">
        <v>45543</v>
      </c>
      <c r="S814" t="s">
        <v>69</v>
      </c>
      <c r="T814" t="s">
        <v>157</v>
      </c>
      <c r="U814" t="s">
        <v>6375</v>
      </c>
      <c r="V814" t="s">
        <v>6378</v>
      </c>
      <c r="W814" t="s">
        <v>70</v>
      </c>
      <c r="X814">
        <v>100</v>
      </c>
      <c r="Y814" t="s">
        <v>157</v>
      </c>
      <c r="Z814">
        <v>247</v>
      </c>
    </row>
    <row r="815" spans="1:26" x14ac:dyDescent="0.3">
      <c r="A815">
        <v>814</v>
      </c>
      <c r="B815" t="s">
        <v>1880</v>
      </c>
      <c r="C815" t="s">
        <v>19</v>
      </c>
      <c r="D815" t="s">
        <v>20</v>
      </c>
      <c r="E815" t="s">
        <v>6357</v>
      </c>
      <c r="F815" t="s">
        <v>6378</v>
      </c>
      <c r="G815" t="s">
        <v>6396</v>
      </c>
      <c r="H815" t="s">
        <v>6390</v>
      </c>
      <c r="J815" s="6">
        <f>AVERAGE(ai_job_market[[#This Row],[min_salary]],ai_job_market[[#This Row],[max_salary]])</f>
        <v>92876.5</v>
      </c>
      <c r="K815"/>
      <c r="L815" t="s">
        <v>27</v>
      </c>
      <c r="M815" t="s">
        <v>51</v>
      </c>
      <c r="N815" t="s">
        <v>5265</v>
      </c>
      <c r="O815" t="s">
        <v>4367</v>
      </c>
      <c r="P815" s="5">
        <v>84637</v>
      </c>
      <c r="Q815" s="5">
        <v>101116</v>
      </c>
      <c r="R815" s="2">
        <v>45442</v>
      </c>
      <c r="S815" t="s">
        <v>69</v>
      </c>
      <c r="T815" t="s">
        <v>101</v>
      </c>
      <c r="U815" t="s">
        <v>6389</v>
      </c>
      <c r="W815" t="s">
        <v>6357</v>
      </c>
      <c r="X815">
        <v>88</v>
      </c>
      <c r="Y815" t="s">
        <v>101</v>
      </c>
      <c r="Z815">
        <v>255</v>
      </c>
    </row>
    <row r="816" spans="1:26" x14ac:dyDescent="0.3">
      <c r="A816">
        <v>815</v>
      </c>
      <c r="B816" t="s">
        <v>1882</v>
      </c>
      <c r="C816" t="s">
        <v>45</v>
      </c>
      <c r="D816" t="s">
        <v>25</v>
      </c>
      <c r="E816" t="s">
        <v>6349</v>
      </c>
      <c r="F816" t="s">
        <v>6385</v>
      </c>
      <c r="G816" t="s">
        <v>6382</v>
      </c>
      <c r="H816" t="s">
        <v>6380</v>
      </c>
      <c r="I816" t="s">
        <v>6379</v>
      </c>
      <c r="J816" s="6">
        <f>AVERAGE(ai_job_market[[#This Row],[min_salary]],ai_job_market[[#This Row],[max_salary]])</f>
        <v>86563</v>
      </c>
      <c r="K816"/>
      <c r="L816" t="s">
        <v>22</v>
      </c>
      <c r="M816" t="s">
        <v>42</v>
      </c>
      <c r="N816" t="s">
        <v>5266</v>
      </c>
      <c r="O816" t="s">
        <v>4536</v>
      </c>
      <c r="P816" s="5">
        <v>68935</v>
      </c>
      <c r="Q816" s="5">
        <v>104191</v>
      </c>
      <c r="R816" s="2">
        <v>45325</v>
      </c>
      <c r="S816" t="s">
        <v>16</v>
      </c>
      <c r="T816" t="s">
        <v>77</v>
      </c>
      <c r="U816" t="s">
        <v>6383</v>
      </c>
      <c r="V816" t="s">
        <v>6376</v>
      </c>
      <c r="W816" t="s">
        <v>6349</v>
      </c>
      <c r="X816">
        <v>96</v>
      </c>
      <c r="Y816" t="s">
        <v>77</v>
      </c>
      <c r="Z816">
        <v>251</v>
      </c>
    </row>
    <row r="817" spans="1:26" x14ac:dyDescent="0.3">
      <c r="A817">
        <v>816</v>
      </c>
      <c r="B817" t="s">
        <v>1884</v>
      </c>
      <c r="C817" t="s">
        <v>11</v>
      </c>
      <c r="D817" t="s">
        <v>20</v>
      </c>
      <c r="E817" t="s">
        <v>6356</v>
      </c>
      <c r="F817" t="s">
        <v>6384</v>
      </c>
      <c r="G817" t="s">
        <v>6381</v>
      </c>
      <c r="H817" t="s">
        <v>6382</v>
      </c>
      <c r="J817">
        <f>AVERAGE(ai_job_market[[#This Row],[min_salary]],ai_job_market[[#This Row],[max_salary]])</f>
        <v>99005</v>
      </c>
      <c r="K817"/>
      <c r="L817" t="s">
        <v>14</v>
      </c>
      <c r="M817" t="s">
        <v>51</v>
      </c>
      <c r="N817" t="s">
        <v>5267</v>
      </c>
      <c r="O817" t="s">
        <v>4287</v>
      </c>
      <c r="P817">
        <v>65508</v>
      </c>
      <c r="Q817">
        <v>132502</v>
      </c>
      <c r="R817" s="2">
        <v>45311</v>
      </c>
      <c r="S817" t="s">
        <v>16</v>
      </c>
      <c r="T817" t="s">
        <v>52</v>
      </c>
      <c r="U817" t="s">
        <v>6378</v>
      </c>
      <c r="V817" t="s">
        <v>6379</v>
      </c>
      <c r="W817" t="s">
        <v>6356</v>
      </c>
      <c r="X817">
        <v>86</v>
      </c>
      <c r="Y817" t="s">
        <v>52</v>
      </c>
      <c r="Z817">
        <v>238</v>
      </c>
    </row>
    <row r="818" spans="1:26" x14ac:dyDescent="0.3">
      <c r="A818">
        <v>817</v>
      </c>
      <c r="B818" t="s">
        <v>1887</v>
      </c>
      <c r="C818" t="s">
        <v>72</v>
      </c>
      <c r="D818" t="s">
        <v>30</v>
      </c>
      <c r="E818" t="s">
        <v>6348</v>
      </c>
      <c r="F818" t="s">
        <v>6394</v>
      </c>
      <c r="G818" t="s">
        <v>6396</v>
      </c>
      <c r="J818" s="6">
        <f>AVERAGE(ai_job_market[[#This Row],[min_salary]],ai_job_market[[#This Row],[max_salary]])</f>
        <v>84088.5</v>
      </c>
      <c r="K818"/>
      <c r="L818" t="s">
        <v>14</v>
      </c>
      <c r="M818" t="s">
        <v>51</v>
      </c>
      <c r="N818" t="s">
        <v>5268</v>
      </c>
      <c r="O818" t="s">
        <v>5011</v>
      </c>
      <c r="P818" s="5">
        <v>56129</v>
      </c>
      <c r="Q818" s="5">
        <v>112048</v>
      </c>
      <c r="R818" s="2">
        <v>45369</v>
      </c>
      <c r="S818" t="s">
        <v>14</v>
      </c>
      <c r="T818" t="s">
        <v>80</v>
      </c>
      <c r="W818" t="s">
        <v>6348</v>
      </c>
      <c r="X818">
        <v>78</v>
      </c>
      <c r="Y818" t="s">
        <v>80</v>
      </c>
      <c r="Z818">
        <v>249</v>
      </c>
    </row>
    <row r="819" spans="1:26" x14ac:dyDescent="0.3">
      <c r="A819">
        <v>818</v>
      </c>
      <c r="B819" t="s">
        <v>1889</v>
      </c>
      <c r="C819" t="s">
        <v>34</v>
      </c>
      <c r="D819" t="s">
        <v>54</v>
      </c>
      <c r="E819" t="s">
        <v>6357</v>
      </c>
      <c r="F819" t="s">
        <v>6395</v>
      </c>
      <c r="G819" t="s">
        <v>6374</v>
      </c>
      <c r="H819" t="s">
        <v>6390</v>
      </c>
      <c r="J819" s="6">
        <f>AVERAGE(ai_job_market[[#This Row],[min_salary]],ai_job_market[[#This Row],[max_salary]])</f>
        <v>109995</v>
      </c>
      <c r="K819"/>
      <c r="L819" t="s">
        <v>14</v>
      </c>
      <c r="M819" t="s">
        <v>37</v>
      </c>
      <c r="N819" t="s">
        <v>5269</v>
      </c>
      <c r="O819" t="s">
        <v>4461</v>
      </c>
      <c r="P819" s="5">
        <v>85447</v>
      </c>
      <c r="Q819" s="5">
        <v>134543</v>
      </c>
      <c r="R819" s="2">
        <v>45578</v>
      </c>
      <c r="S819" t="s">
        <v>16</v>
      </c>
      <c r="T819" t="s">
        <v>101</v>
      </c>
      <c r="U819" t="s">
        <v>6384</v>
      </c>
      <c r="V819" t="s">
        <v>6378</v>
      </c>
      <c r="W819" t="s">
        <v>6357</v>
      </c>
      <c r="X819">
        <v>88</v>
      </c>
      <c r="Y819" t="s">
        <v>101</v>
      </c>
      <c r="Z819">
        <v>255</v>
      </c>
    </row>
    <row r="820" spans="1:26" x14ac:dyDescent="0.3">
      <c r="A820">
        <v>819</v>
      </c>
      <c r="B820" t="s">
        <v>1891</v>
      </c>
      <c r="C820" t="s">
        <v>72</v>
      </c>
      <c r="D820" t="s">
        <v>135</v>
      </c>
      <c r="E820" t="s">
        <v>90</v>
      </c>
      <c r="F820" t="s">
        <v>6381</v>
      </c>
      <c r="G820" t="s">
        <v>6396</v>
      </c>
      <c r="J820">
        <f>AVERAGE(ai_job_market[[#This Row],[min_salary]],ai_job_market[[#This Row],[max_salary]])</f>
        <v>159376.5</v>
      </c>
      <c r="K820"/>
      <c r="L820" t="s">
        <v>14</v>
      </c>
      <c r="M820" t="s">
        <v>37</v>
      </c>
      <c r="N820" t="s">
        <v>5270</v>
      </c>
      <c r="O820" t="s">
        <v>4446</v>
      </c>
      <c r="P820">
        <v>130152</v>
      </c>
      <c r="Q820">
        <v>188601</v>
      </c>
      <c r="R820" s="2">
        <v>45405</v>
      </c>
      <c r="S820" t="s">
        <v>14</v>
      </c>
      <c r="T820" t="s">
        <v>77</v>
      </c>
      <c r="U820" t="s">
        <v>6379</v>
      </c>
      <c r="V820" t="s">
        <v>6384</v>
      </c>
      <c r="W820" t="s">
        <v>90</v>
      </c>
      <c r="X820">
        <v>80</v>
      </c>
      <c r="Y820" t="s">
        <v>77</v>
      </c>
      <c r="Z820">
        <v>251</v>
      </c>
    </row>
    <row r="821" spans="1:26" x14ac:dyDescent="0.3">
      <c r="A821">
        <v>820</v>
      </c>
      <c r="B821" t="s">
        <v>1893</v>
      </c>
      <c r="C821" t="s">
        <v>72</v>
      </c>
      <c r="D821" t="s">
        <v>12</v>
      </c>
      <c r="E821" t="s">
        <v>6345</v>
      </c>
      <c r="F821" t="s">
        <v>6377</v>
      </c>
      <c r="G821" t="s">
        <v>6374</v>
      </c>
      <c r="H821" t="s">
        <v>6393</v>
      </c>
      <c r="I821" t="s">
        <v>6380</v>
      </c>
      <c r="J821">
        <f>AVERAGE(ai_job_market[[#This Row],[min_salary]],ai_job_market[[#This Row],[max_salary]])</f>
        <v>173403</v>
      </c>
      <c r="K821" t="s">
        <v>6397</v>
      </c>
      <c r="L821" t="s">
        <v>27</v>
      </c>
      <c r="M821" t="s">
        <v>42</v>
      </c>
      <c r="N821" t="s">
        <v>5271</v>
      </c>
      <c r="O821" t="s">
        <v>4337</v>
      </c>
      <c r="P821">
        <v>141832</v>
      </c>
      <c r="Q821">
        <v>204974</v>
      </c>
      <c r="R821" s="2">
        <v>45756</v>
      </c>
      <c r="S821" t="s">
        <v>69</v>
      </c>
      <c r="T821" t="s">
        <v>101</v>
      </c>
      <c r="U821" t="s">
        <v>6383</v>
      </c>
      <c r="W821" t="s">
        <v>6345</v>
      </c>
      <c r="X821">
        <v>101</v>
      </c>
      <c r="Y821" t="s">
        <v>101</v>
      </c>
      <c r="Z821">
        <v>255</v>
      </c>
    </row>
    <row r="822" spans="1:26" x14ac:dyDescent="0.3">
      <c r="A822">
        <v>821</v>
      </c>
      <c r="B822" t="s">
        <v>1895</v>
      </c>
      <c r="C822" t="s">
        <v>40</v>
      </c>
      <c r="D822" t="s">
        <v>12</v>
      </c>
      <c r="E822" t="s">
        <v>6358</v>
      </c>
      <c r="F822" t="s">
        <v>6389</v>
      </c>
      <c r="G822" t="s">
        <v>6374</v>
      </c>
      <c r="J822">
        <f>AVERAGE(ai_job_market[[#This Row],[min_salary]],ai_job_market[[#This Row],[max_salary]])</f>
        <v>160895.5</v>
      </c>
      <c r="K822"/>
      <c r="L822" t="s">
        <v>27</v>
      </c>
      <c r="M822" t="s">
        <v>15</v>
      </c>
      <c r="N822" t="s">
        <v>5272</v>
      </c>
      <c r="O822" t="s">
        <v>4624</v>
      </c>
      <c r="P822">
        <v>146129</v>
      </c>
      <c r="Q822">
        <v>175662</v>
      </c>
      <c r="R822" s="2">
        <v>45668</v>
      </c>
      <c r="S822" t="s">
        <v>16</v>
      </c>
      <c r="T822" t="s">
        <v>157</v>
      </c>
      <c r="U822" t="s">
        <v>6375</v>
      </c>
      <c r="W822" t="s">
        <v>6358</v>
      </c>
      <c r="X822">
        <v>96</v>
      </c>
      <c r="Y822" t="s">
        <v>157</v>
      </c>
      <c r="Z822">
        <v>247</v>
      </c>
    </row>
    <row r="823" spans="1:26" x14ac:dyDescent="0.3">
      <c r="A823">
        <v>822</v>
      </c>
      <c r="B823" t="s">
        <v>1897</v>
      </c>
      <c r="C823" t="s">
        <v>72</v>
      </c>
      <c r="D823" t="s">
        <v>54</v>
      </c>
      <c r="E823" t="s">
        <v>6353</v>
      </c>
      <c r="F823" t="s">
        <v>6382</v>
      </c>
      <c r="G823" t="s">
        <v>6394</v>
      </c>
      <c r="J823">
        <f>AVERAGE(ai_job_market[[#This Row],[min_salary]],ai_job_market[[#This Row],[max_salary]])</f>
        <v>101942</v>
      </c>
      <c r="K823"/>
      <c r="L823" t="s">
        <v>22</v>
      </c>
      <c r="M823" t="s">
        <v>15</v>
      </c>
      <c r="N823" t="s">
        <v>5273</v>
      </c>
      <c r="O823" t="s">
        <v>4706</v>
      </c>
      <c r="P823">
        <v>96885</v>
      </c>
      <c r="Q823">
        <v>106999</v>
      </c>
      <c r="R823" s="2">
        <v>45247</v>
      </c>
      <c r="S823" t="s">
        <v>16</v>
      </c>
      <c r="T823" t="s">
        <v>80</v>
      </c>
      <c r="W823" t="s">
        <v>6353</v>
      </c>
      <c r="X823">
        <v>86</v>
      </c>
      <c r="Y823" t="s">
        <v>80</v>
      </c>
      <c r="Z823">
        <v>249</v>
      </c>
    </row>
    <row r="824" spans="1:26" x14ac:dyDescent="0.3">
      <c r="A824">
        <v>823</v>
      </c>
      <c r="B824" t="s">
        <v>1899</v>
      </c>
      <c r="C824" t="s">
        <v>34</v>
      </c>
      <c r="D824" t="s">
        <v>25</v>
      </c>
      <c r="E824" t="s">
        <v>6344</v>
      </c>
      <c r="F824" t="s">
        <v>6396</v>
      </c>
      <c r="G824" t="s">
        <v>6374</v>
      </c>
      <c r="H824" t="s">
        <v>6397</v>
      </c>
      <c r="I824" t="s">
        <v>6381</v>
      </c>
      <c r="J824" s="6">
        <f>AVERAGE(ai_job_market[[#This Row],[min_salary]],ai_job_market[[#This Row],[max_salary]])</f>
        <v>150172.5</v>
      </c>
      <c r="K824"/>
      <c r="L824" t="s">
        <v>27</v>
      </c>
      <c r="M824" t="s">
        <v>42</v>
      </c>
      <c r="N824" t="s">
        <v>5274</v>
      </c>
      <c r="O824" t="s">
        <v>4678</v>
      </c>
      <c r="P824" s="5">
        <v>104902</v>
      </c>
      <c r="Q824" s="5">
        <v>195443</v>
      </c>
      <c r="R824" s="2">
        <v>45781</v>
      </c>
      <c r="S824" t="s">
        <v>16</v>
      </c>
      <c r="T824" t="s">
        <v>157</v>
      </c>
      <c r="W824" t="s">
        <v>6344</v>
      </c>
      <c r="X824">
        <v>104</v>
      </c>
      <c r="Y824" t="s">
        <v>157</v>
      </c>
      <c r="Z824">
        <v>247</v>
      </c>
    </row>
    <row r="825" spans="1:26" x14ac:dyDescent="0.3">
      <c r="A825">
        <v>824</v>
      </c>
      <c r="B825" t="s">
        <v>1901</v>
      </c>
      <c r="C825" t="s">
        <v>11</v>
      </c>
      <c r="D825" t="s">
        <v>135</v>
      </c>
      <c r="E825" t="s">
        <v>6344</v>
      </c>
      <c r="F825" t="s">
        <v>6392</v>
      </c>
      <c r="G825" t="s">
        <v>6385</v>
      </c>
      <c r="J825">
        <f>AVERAGE(ai_job_market[[#This Row],[min_salary]],ai_job_market[[#This Row],[max_salary]])</f>
        <v>133985.5</v>
      </c>
      <c r="K825"/>
      <c r="L825" t="s">
        <v>27</v>
      </c>
      <c r="M825" t="s">
        <v>37</v>
      </c>
      <c r="N825" t="s">
        <v>5275</v>
      </c>
      <c r="O825" t="s">
        <v>4343</v>
      </c>
      <c r="P825">
        <v>90748</v>
      </c>
      <c r="Q825">
        <v>177223</v>
      </c>
      <c r="R825" s="2">
        <v>45506</v>
      </c>
      <c r="S825" t="s">
        <v>16</v>
      </c>
      <c r="T825" t="s">
        <v>128</v>
      </c>
      <c r="W825" t="s">
        <v>6344</v>
      </c>
      <c r="X825">
        <v>104</v>
      </c>
      <c r="Y825" t="s">
        <v>128</v>
      </c>
      <c r="Z825">
        <v>233</v>
      </c>
    </row>
    <row r="826" spans="1:26" x14ac:dyDescent="0.3">
      <c r="A826">
        <v>825</v>
      </c>
      <c r="B826" t="s">
        <v>1903</v>
      </c>
      <c r="C826" t="s">
        <v>72</v>
      </c>
      <c r="D826" t="s">
        <v>135</v>
      </c>
      <c r="E826" t="s">
        <v>90</v>
      </c>
      <c r="F826" t="s">
        <v>6395</v>
      </c>
      <c r="G826" t="s">
        <v>6390</v>
      </c>
      <c r="H826" t="s">
        <v>6392</v>
      </c>
      <c r="I826" t="s">
        <v>6380</v>
      </c>
      <c r="J826">
        <f>AVERAGE(ai_job_market[[#This Row],[min_salary]],ai_job_market[[#This Row],[max_salary]])</f>
        <v>98758.5</v>
      </c>
      <c r="K826"/>
      <c r="L826" t="s">
        <v>14</v>
      </c>
      <c r="M826" t="s">
        <v>15</v>
      </c>
      <c r="N826" t="s">
        <v>5276</v>
      </c>
      <c r="O826" t="s">
        <v>4791</v>
      </c>
      <c r="P826">
        <v>88375</v>
      </c>
      <c r="Q826">
        <v>109142</v>
      </c>
      <c r="R826" s="2">
        <v>45392</v>
      </c>
      <c r="S826" t="s">
        <v>14</v>
      </c>
      <c r="T826" t="s">
        <v>101</v>
      </c>
      <c r="U826" t="s">
        <v>6383</v>
      </c>
      <c r="V826" t="s">
        <v>6388</v>
      </c>
      <c r="W826" t="s">
        <v>90</v>
      </c>
      <c r="X826">
        <v>80</v>
      </c>
      <c r="Y826" t="s">
        <v>101</v>
      </c>
      <c r="Z826">
        <v>255</v>
      </c>
    </row>
    <row r="827" spans="1:26" x14ac:dyDescent="0.3">
      <c r="A827">
        <v>826</v>
      </c>
      <c r="B827" t="s">
        <v>1905</v>
      </c>
      <c r="C827" t="s">
        <v>11</v>
      </c>
      <c r="D827" t="s">
        <v>30</v>
      </c>
      <c r="E827" t="s">
        <v>101</v>
      </c>
      <c r="F827" t="s">
        <v>6384</v>
      </c>
      <c r="G827" t="s">
        <v>6396</v>
      </c>
      <c r="H827" t="s">
        <v>6380</v>
      </c>
      <c r="J827">
        <f>AVERAGE(ai_job_market[[#This Row],[min_salary]],ai_job_market[[#This Row],[max_salary]])</f>
        <v>103469.5</v>
      </c>
      <c r="K827"/>
      <c r="L827" t="s">
        <v>14</v>
      </c>
      <c r="M827" t="s">
        <v>37</v>
      </c>
      <c r="N827" t="s">
        <v>5277</v>
      </c>
      <c r="O827" t="s">
        <v>4617</v>
      </c>
      <c r="P827">
        <v>70090</v>
      </c>
      <c r="Q827">
        <v>136849</v>
      </c>
      <c r="R827" s="2">
        <v>45250</v>
      </c>
      <c r="S827" t="s">
        <v>69</v>
      </c>
      <c r="T827" t="s">
        <v>90</v>
      </c>
      <c r="U827" t="s">
        <v>6375</v>
      </c>
      <c r="V827" t="s">
        <v>6378</v>
      </c>
      <c r="W827" t="s">
        <v>101</v>
      </c>
      <c r="X827">
        <v>76</v>
      </c>
      <c r="Y827" t="s">
        <v>90</v>
      </c>
      <c r="Z827">
        <v>259</v>
      </c>
    </row>
    <row r="828" spans="1:26" x14ac:dyDescent="0.3">
      <c r="A828">
        <v>827</v>
      </c>
      <c r="B828" t="s">
        <v>1907</v>
      </c>
      <c r="C828" t="s">
        <v>40</v>
      </c>
      <c r="D828" t="s">
        <v>30</v>
      </c>
      <c r="E828" t="s">
        <v>70</v>
      </c>
      <c r="F828" t="s">
        <v>6394</v>
      </c>
      <c r="G828" t="s">
        <v>6385</v>
      </c>
      <c r="J828">
        <f>AVERAGE(ai_job_market[[#This Row],[min_salary]],ai_job_market[[#This Row],[max_salary]])</f>
        <v>142497.5</v>
      </c>
      <c r="K828"/>
      <c r="L828" t="s">
        <v>27</v>
      </c>
      <c r="M828" t="s">
        <v>37</v>
      </c>
      <c r="N828" t="s">
        <v>5278</v>
      </c>
      <c r="O828" t="s">
        <v>4349</v>
      </c>
      <c r="P828">
        <v>95361</v>
      </c>
      <c r="Q828">
        <v>189634</v>
      </c>
      <c r="R828" s="2">
        <v>45396</v>
      </c>
      <c r="S828" t="s">
        <v>69</v>
      </c>
      <c r="T828" t="s">
        <v>128</v>
      </c>
      <c r="U828" t="s">
        <v>6384</v>
      </c>
      <c r="V828" t="s">
        <v>6383</v>
      </c>
      <c r="W828" t="s">
        <v>70</v>
      </c>
      <c r="X828">
        <v>100</v>
      </c>
      <c r="Y828" t="s">
        <v>128</v>
      </c>
      <c r="Z828">
        <v>233</v>
      </c>
    </row>
    <row r="829" spans="1:26" x14ac:dyDescent="0.3">
      <c r="A829">
        <v>828</v>
      </c>
      <c r="B829" t="s">
        <v>1909</v>
      </c>
      <c r="C829" t="s">
        <v>34</v>
      </c>
      <c r="D829" t="s">
        <v>67</v>
      </c>
      <c r="E829" t="s">
        <v>6346</v>
      </c>
      <c r="F829" t="s">
        <v>6380</v>
      </c>
      <c r="G829" t="s">
        <v>6394</v>
      </c>
      <c r="H829" t="s">
        <v>6391</v>
      </c>
      <c r="J829">
        <f>AVERAGE(ai_job_market[[#This Row],[min_salary]],ai_job_market[[#This Row],[max_salary]])</f>
        <v>81117.5</v>
      </c>
      <c r="K829"/>
      <c r="L829" t="s">
        <v>14</v>
      </c>
      <c r="M829" t="s">
        <v>42</v>
      </c>
      <c r="N829" t="s">
        <v>5279</v>
      </c>
      <c r="O829" t="s">
        <v>4780</v>
      </c>
      <c r="P829">
        <v>41043</v>
      </c>
      <c r="Q829">
        <v>121192</v>
      </c>
      <c r="R829" s="2">
        <v>45455</v>
      </c>
      <c r="S829" t="s">
        <v>69</v>
      </c>
      <c r="T829" t="s">
        <v>128</v>
      </c>
      <c r="W829" t="s">
        <v>6346</v>
      </c>
      <c r="X829">
        <v>78</v>
      </c>
      <c r="Y829" t="s">
        <v>128</v>
      </c>
      <c r="Z829">
        <v>233</v>
      </c>
    </row>
    <row r="830" spans="1:26" x14ac:dyDescent="0.3">
      <c r="A830">
        <v>829</v>
      </c>
      <c r="B830" t="s">
        <v>1911</v>
      </c>
      <c r="C830" t="s">
        <v>45</v>
      </c>
      <c r="D830" t="s">
        <v>135</v>
      </c>
      <c r="E830" t="s">
        <v>6359</v>
      </c>
      <c r="F830" t="s">
        <v>6394</v>
      </c>
      <c r="G830" t="s">
        <v>6395</v>
      </c>
      <c r="J830">
        <f>AVERAGE(ai_job_market[[#This Row],[min_salary]],ai_job_market[[#This Row],[max_salary]])</f>
        <v>66403.5</v>
      </c>
      <c r="K830"/>
      <c r="L830" t="s">
        <v>22</v>
      </c>
      <c r="M830" t="s">
        <v>51</v>
      </c>
      <c r="N830" t="s">
        <v>5280</v>
      </c>
      <c r="O830" t="s">
        <v>4450</v>
      </c>
      <c r="P830">
        <v>51739</v>
      </c>
      <c r="Q830">
        <v>81068</v>
      </c>
      <c r="R830" s="2">
        <v>45682</v>
      </c>
      <c r="S830" t="s">
        <v>14</v>
      </c>
      <c r="T830" t="s">
        <v>90</v>
      </c>
      <c r="U830" t="s">
        <v>6388</v>
      </c>
      <c r="W830" t="s">
        <v>6359</v>
      </c>
      <c r="X830">
        <v>104</v>
      </c>
      <c r="Y830" t="s">
        <v>90</v>
      </c>
      <c r="Z830">
        <v>259</v>
      </c>
    </row>
    <row r="831" spans="1:26" x14ac:dyDescent="0.3">
      <c r="A831">
        <v>830</v>
      </c>
      <c r="B831" t="s">
        <v>1913</v>
      </c>
      <c r="C831" t="s">
        <v>49</v>
      </c>
      <c r="D831" t="s">
        <v>20</v>
      </c>
      <c r="E831" t="s">
        <v>77</v>
      </c>
      <c r="F831" t="s">
        <v>6394</v>
      </c>
      <c r="G831" t="s">
        <v>6396</v>
      </c>
      <c r="H831" t="s">
        <v>6392</v>
      </c>
      <c r="J831">
        <f>AVERAGE(ai_job_market[[#This Row],[min_salary]],ai_job_market[[#This Row],[max_salary]])</f>
        <v>147593.5</v>
      </c>
      <c r="K831"/>
      <c r="L831" t="s">
        <v>14</v>
      </c>
      <c r="M831" t="s">
        <v>42</v>
      </c>
      <c r="N831" t="s">
        <v>5281</v>
      </c>
      <c r="O831" t="s">
        <v>4495</v>
      </c>
      <c r="P831">
        <v>136245</v>
      </c>
      <c r="Q831">
        <v>158942</v>
      </c>
      <c r="R831" s="2">
        <v>45197</v>
      </c>
      <c r="S831" t="s">
        <v>14</v>
      </c>
      <c r="T831" t="s">
        <v>128</v>
      </c>
      <c r="U831" t="s">
        <v>6376</v>
      </c>
      <c r="V831" t="s">
        <v>6384</v>
      </c>
      <c r="W831" t="s">
        <v>77</v>
      </c>
      <c r="X831">
        <v>111</v>
      </c>
      <c r="Y831" t="s">
        <v>128</v>
      </c>
      <c r="Z831">
        <v>233</v>
      </c>
    </row>
    <row r="832" spans="1:26" x14ac:dyDescent="0.3">
      <c r="A832">
        <v>831</v>
      </c>
      <c r="B832" t="s">
        <v>1915</v>
      </c>
      <c r="C832" t="s">
        <v>49</v>
      </c>
      <c r="D832" t="s">
        <v>35</v>
      </c>
      <c r="E832" t="s">
        <v>77</v>
      </c>
      <c r="F832" t="s">
        <v>6394</v>
      </c>
      <c r="G832" t="s">
        <v>6374</v>
      </c>
      <c r="H832" t="s">
        <v>6382</v>
      </c>
      <c r="I832" t="s">
        <v>6387</v>
      </c>
      <c r="J832">
        <f>AVERAGE(ai_job_market[[#This Row],[min_salary]],ai_job_market[[#This Row],[max_salary]])</f>
        <v>137570.5</v>
      </c>
      <c r="K832"/>
      <c r="L832" t="s">
        <v>14</v>
      </c>
      <c r="M832" t="s">
        <v>42</v>
      </c>
      <c r="N832" t="s">
        <v>5282</v>
      </c>
      <c r="O832" t="s">
        <v>4361</v>
      </c>
      <c r="P832">
        <v>94816</v>
      </c>
      <c r="Q832">
        <v>180325</v>
      </c>
      <c r="R832" s="2">
        <v>45632</v>
      </c>
      <c r="S832" t="s">
        <v>16</v>
      </c>
      <c r="T832" t="s">
        <v>80</v>
      </c>
      <c r="U832" t="s">
        <v>6378</v>
      </c>
      <c r="W832" t="s">
        <v>77</v>
      </c>
      <c r="X832">
        <v>111</v>
      </c>
      <c r="Y832" t="s">
        <v>80</v>
      </c>
      <c r="Z832">
        <v>249</v>
      </c>
    </row>
    <row r="833" spans="1:26" x14ac:dyDescent="0.3">
      <c r="A833">
        <v>832</v>
      </c>
      <c r="B833" t="s">
        <v>1917</v>
      </c>
      <c r="C833" t="s">
        <v>72</v>
      </c>
      <c r="D833" t="s">
        <v>30</v>
      </c>
      <c r="E833" t="s">
        <v>70</v>
      </c>
      <c r="F833" t="s">
        <v>6375</v>
      </c>
      <c r="G833" t="s">
        <v>6376</v>
      </c>
      <c r="H833" t="s">
        <v>6394</v>
      </c>
      <c r="I833" t="s">
        <v>6381</v>
      </c>
      <c r="J833" s="6">
        <f>AVERAGE(ai_job_market[[#This Row],[min_salary]],ai_job_market[[#This Row],[max_salary]])</f>
        <v>170693</v>
      </c>
      <c r="K833" t="s">
        <v>6392</v>
      </c>
      <c r="L833" t="s">
        <v>27</v>
      </c>
      <c r="M833" t="s">
        <v>51</v>
      </c>
      <c r="N833" t="s">
        <v>5283</v>
      </c>
      <c r="O833" t="s">
        <v>5170</v>
      </c>
      <c r="P833" s="5">
        <v>139236</v>
      </c>
      <c r="Q833" s="5">
        <v>202150</v>
      </c>
      <c r="R833" s="2">
        <v>45204</v>
      </c>
      <c r="S833" t="s">
        <v>69</v>
      </c>
      <c r="T833" t="s">
        <v>101</v>
      </c>
      <c r="U833" t="s">
        <v>6383</v>
      </c>
      <c r="W833" t="s">
        <v>70</v>
      </c>
      <c r="X833">
        <v>100</v>
      </c>
      <c r="Y833" t="s">
        <v>101</v>
      </c>
      <c r="Z833">
        <v>255</v>
      </c>
    </row>
    <row r="834" spans="1:26" x14ac:dyDescent="0.3">
      <c r="A834">
        <v>833</v>
      </c>
      <c r="B834" t="s">
        <v>1919</v>
      </c>
      <c r="C834" t="s">
        <v>72</v>
      </c>
      <c r="D834" t="s">
        <v>135</v>
      </c>
      <c r="E834" t="s">
        <v>6349</v>
      </c>
      <c r="F834" t="s">
        <v>6376</v>
      </c>
      <c r="G834" t="s">
        <v>6382</v>
      </c>
      <c r="J834">
        <f>AVERAGE(ai_job_market[[#This Row],[min_salary]],ai_job_market[[#This Row],[max_salary]])</f>
        <v>80594</v>
      </c>
      <c r="K834"/>
      <c r="L834" t="s">
        <v>14</v>
      </c>
      <c r="M834" t="s">
        <v>42</v>
      </c>
      <c r="N834" t="s">
        <v>5284</v>
      </c>
      <c r="O834" t="s">
        <v>4762</v>
      </c>
      <c r="P834">
        <v>67231</v>
      </c>
      <c r="Q834">
        <v>93957</v>
      </c>
      <c r="R834" s="2">
        <v>45576</v>
      </c>
      <c r="S834" t="s">
        <v>14</v>
      </c>
      <c r="T834" t="s">
        <v>52</v>
      </c>
      <c r="U834" t="s">
        <v>6375</v>
      </c>
      <c r="V834" t="s">
        <v>6389</v>
      </c>
      <c r="W834" t="s">
        <v>6349</v>
      </c>
      <c r="X834">
        <v>96</v>
      </c>
      <c r="Y834" t="s">
        <v>52</v>
      </c>
      <c r="Z834">
        <v>238</v>
      </c>
    </row>
    <row r="835" spans="1:26" x14ac:dyDescent="0.3">
      <c r="A835">
        <v>834</v>
      </c>
      <c r="B835" t="s">
        <v>1922</v>
      </c>
      <c r="C835" t="s">
        <v>40</v>
      </c>
      <c r="D835" t="s">
        <v>54</v>
      </c>
      <c r="E835" t="s">
        <v>6348</v>
      </c>
      <c r="F835" t="s">
        <v>6379</v>
      </c>
      <c r="G835" t="s">
        <v>6386</v>
      </c>
      <c r="H835" t="s">
        <v>6393</v>
      </c>
      <c r="J835">
        <f>AVERAGE(ai_job_market[[#This Row],[min_salary]],ai_job_market[[#This Row],[max_salary]])</f>
        <v>154210.5</v>
      </c>
      <c r="K835"/>
      <c r="L835" t="s">
        <v>27</v>
      </c>
      <c r="M835" t="s">
        <v>37</v>
      </c>
      <c r="N835" t="s">
        <v>5285</v>
      </c>
      <c r="O835" t="s">
        <v>4652</v>
      </c>
      <c r="P835">
        <v>137964</v>
      </c>
      <c r="Q835">
        <v>170457</v>
      </c>
      <c r="R835" s="2">
        <v>45513</v>
      </c>
      <c r="S835" t="s">
        <v>14</v>
      </c>
      <c r="T835" t="s">
        <v>70</v>
      </c>
      <c r="W835" t="s">
        <v>6348</v>
      </c>
      <c r="X835">
        <v>78</v>
      </c>
      <c r="Y835" t="s">
        <v>70</v>
      </c>
      <c r="Z835">
        <v>268</v>
      </c>
    </row>
    <row r="836" spans="1:26" x14ac:dyDescent="0.3">
      <c r="A836">
        <v>835</v>
      </c>
      <c r="B836" t="s">
        <v>1924</v>
      </c>
      <c r="C836" t="s">
        <v>49</v>
      </c>
      <c r="D836" t="s">
        <v>35</v>
      </c>
      <c r="E836" t="s">
        <v>6355</v>
      </c>
      <c r="F836" t="s">
        <v>6380</v>
      </c>
      <c r="G836" t="s">
        <v>6377</v>
      </c>
      <c r="H836" t="s">
        <v>6384</v>
      </c>
      <c r="I836" t="s">
        <v>6385</v>
      </c>
      <c r="J836">
        <f>AVERAGE(ai_job_market[[#This Row],[min_salary]],ai_job_market[[#This Row],[max_salary]])</f>
        <v>111537.5</v>
      </c>
      <c r="K836"/>
      <c r="L836" t="s">
        <v>14</v>
      </c>
      <c r="M836" t="s">
        <v>51</v>
      </c>
      <c r="N836" t="s">
        <v>5286</v>
      </c>
      <c r="O836" t="s">
        <v>4283</v>
      </c>
      <c r="P836">
        <v>95174</v>
      </c>
      <c r="Q836">
        <v>127901</v>
      </c>
      <c r="R836" s="2">
        <v>45550</v>
      </c>
      <c r="S836" t="s">
        <v>16</v>
      </c>
      <c r="T836" t="s">
        <v>77</v>
      </c>
      <c r="U836" t="s">
        <v>6375</v>
      </c>
      <c r="V836" t="s">
        <v>6388</v>
      </c>
      <c r="W836" t="s">
        <v>6355</v>
      </c>
      <c r="X836">
        <v>90</v>
      </c>
      <c r="Y836" t="s">
        <v>77</v>
      </c>
      <c r="Z836">
        <v>251</v>
      </c>
    </row>
    <row r="837" spans="1:26" x14ac:dyDescent="0.3">
      <c r="A837">
        <v>836</v>
      </c>
      <c r="B837" t="s">
        <v>1926</v>
      </c>
      <c r="C837" t="s">
        <v>49</v>
      </c>
      <c r="D837" t="s">
        <v>54</v>
      </c>
      <c r="E837" t="s">
        <v>6347</v>
      </c>
      <c r="F837" t="s">
        <v>6396</v>
      </c>
      <c r="G837" t="s">
        <v>6391</v>
      </c>
      <c r="H837" t="s">
        <v>6375</v>
      </c>
      <c r="J837">
        <f>AVERAGE(ai_job_market[[#This Row],[min_salary]],ai_job_market[[#This Row],[max_salary]])</f>
        <v>151426.5</v>
      </c>
      <c r="K837"/>
      <c r="L837" t="s">
        <v>22</v>
      </c>
      <c r="M837" t="s">
        <v>15</v>
      </c>
      <c r="N837" t="s">
        <v>5287</v>
      </c>
      <c r="O837" t="s">
        <v>4544</v>
      </c>
      <c r="P837">
        <v>139025</v>
      </c>
      <c r="Q837">
        <v>163828</v>
      </c>
      <c r="R837" s="2">
        <v>45872</v>
      </c>
      <c r="S837" t="s">
        <v>16</v>
      </c>
      <c r="T837" t="s">
        <v>157</v>
      </c>
      <c r="W837" t="s">
        <v>6347</v>
      </c>
      <c r="X837">
        <v>94</v>
      </c>
      <c r="Y837" t="s">
        <v>157</v>
      </c>
      <c r="Z837">
        <v>247</v>
      </c>
    </row>
    <row r="838" spans="1:26" x14ac:dyDescent="0.3">
      <c r="A838">
        <v>837</v>
      </c>
      <c r="B838" t="s">
        <v>1928</v>
      </c>
      <c r="C838" t="s">
        <v>34</v>
      </c>
      <c r="D838" t="s">
        <v>135</v>
      </c>
      <c r="E838" t="s">
        <v>6346</v>
      </c>
      <c r="F838" t="s">
        <v>6392</v>
      </c>
      <c r="G838" t="s">
        <v>6375</v>
      </c>
      <c r="J838">
        <f>AVERAGE(ai_job_market[[#This Row],[min_salary]],ai_job_market[[#This Row],[max_salary]])</f>
        <v>123302</v>
      </c>
      <c r="K838"/>
      <c r="L838" t="s">
        <v>22</v>
      </c>
      <c r="M838" t="s">
        <v>42</v>
      </c>
      <c r="N838" t="s">
        <v>5288</v>
      </c>
      <c r="O838" t="s">
        <v>4660</v>
      </c>
      <c r="P838">
        <v>80064</v>
      </c>
      <c r="Q838">
        <v>166540</v>
      </c>
      <c r="R838" s="2">
        <v>45695</v>
      </c>
      <c r="S838" t="s">
        <v>69</v>
      </c>
      <c r="T838" t="s">
        <v>128</v>
      </c>
      <c r="U838" t="s">
        <v>6383</v>
      </c>
      <c r="W838" t="s">
        <v>6346</v>
      </c>
      <c r="X838">
        <v>78</v>
      </c>
      <c r="Y838" t="s">
        <v>128</v>
      </c>
      <c r="Z838">
        <v>233</v>
      </c>
    </row>
    <row r="839" spans="1:26" x14ac:dyDescent="0.3">
      <c r="A839">
        <v>838</v>
      </c>
      <c r="B839" t="s">
        <v>1930</v>
      </c>
      <c r="C839" t="s">
        <v>72</v>
      </c>
      <c r="D839" t="s">
        <v>30</v>
      </c>
      <c r="E839" t="s">
        <v>6357</v>
      </c>
      <c r="F839" t="s">
        <v>6393</v>
      </c>
      <c r="G839" t="s">
        <v>6387</v>
      </c>
      <c r="H839" t="s">
        <v>6397</v>
      </c>
      <c r="I839" t="s">
        <v>6391</v>
      </c>
      <c r="J839">
        <f>AVERAGE(ai_job_market[[#This Row],[min_salary]],ai_job_market[[#This Row],[max_salary]])</f>
        <v>169570.5</v>
      </c>
      <c r="K839" t="s">
        <v>6379</v>
      </c>
      <c r="L839" t="s">
        <v>14</v>
      </c>
      <c r="M839" t="s">
        <v>42</v>
      </c>
      <c r="N839" t="s">
        <v>5289</v>
      </c>
      <c r="O839" t="s">
        <v>4497</v>
      </c>
      <c r="P839">
        <v>123917</v>
      </c>
      <c r="Q839">
        <v>215224</v>
      </c>
      <c r="R839" s="2">
        <v>45697</v>
      </c>
      <c r="S839" t="s">
        <v>14</v>
      </c>
      <c r="T839" t="s">
        <v>157</v>
      </c>
      <c r="W839" t="s">
        <v>6357</v>
      </c>
      <c r="X839">
        <v>88</v>
      </c>
      <c r="Y839" t="s">
        <v>157</v>
      </c>
      <c r="Z839">
        <v>247</v>
      </c>
    </row>
    <row r="840" spans="1:26" x14ac:dyDescent="0.3">
      <c r="A840">
        <v>839</v>
      </c>
      <c r="B840" t="s">
        <v>1932</v>
      </c>
      <c r="C840" t="s">
        <v>19</v>
      </c>
      <c r="D840" t="s">
        <v>35</v>
      </c>
      <c r="E840" t="s">
        <v>90</v>
      </c>
      <c r="F840" t="s">
        <v>6391</v>
      </c>
      <c r="G840" t="s">
        <v>6393</v>
      </c>
      <c r="J840">
        <f>AVERAGE(ai_job_market[[#This Row],[min_salary]],ai_job_market[[#This Row],[max_salary]])</f>
        <v>123411</v>
      </c>
      <c r="K840"/>
      <c r="L840" t="s">
        <v>27</v>
      </c>
      <c r="M840" t="s">
        <v>51</v>
      </c>
      <c r="N840" t="s">
        <v>5290</v>
      </c>
      <c r="O840" t="s">
        <v>4393</v>
      </c>
      <c r="P840">
        <v>112129</v>
      </c>
      <c r="Q840">
        <v>134693</v>
      </c>
      <c r="R840" s="2">
        <v>45777</v>
      </c>
      <c r="S840" t="s">
        <v>69</v>
      </c>
      <c r="T840" t="s">
        <v>90</v>
      </c>
      <c r="U840" t="s">
        <v>6379</v>
      </c>
      <c r="V840" t="s">
        <v>6388</v>
      </c>
      <c r="W840" t="s">
        <v>90</v>
      </c>
      <c r="X840">
        <v>80</v>
      </c>
      <c r="Y840" t="s">
        <v>90</v>
      </c>
      <c r="Z840">
        <v>259</v>
      </c>
    </row>
    <row r="841" spans="1:26" x14ac:dyDescent="0.3">
      <c r="A841">
        <v>840</v>
      </c>
      <c r="B841" t="s">
        <v>1934</v>
      </c>
      <c r="C841" t="s">
        <v>40</v>
      </c>
      <c r="D841" t="s">
        <v>25</v>
      </c>
      <c r="E841" t="s">
        <v>6358</v>
      </c>
      <c r="F841" t="s">
        <v>6393</v>
      </c>
      <c r="G841" t="s">
        <v>6392</v>
      </c>
      <c r="H841" t="s">
        <v>6390</v>
      </c>
      <c r="I841" t="s">
        <v>6374</v>
      </c>
      <c r="J841">
        <f>AVERAGE(ai_job_market[[#This Row],[min_salary]],ai_job_market[[#This Row],[max_salary]])</f>
        <v>107475</v>
      </c>
      <c r="K841" t="s">
        <v>6381</v>
      </c>
      <c r="L841" t="s">
        <v>27</v>
      </c>
      <c r="M841" t="s">
        <v>51</v>
      </c>
      <c r="N841" t="s">
        <v>5291</v>
      </c>
      <c r="O841" t="s">
        <v>4361</v>
      </c>
      <c r="P841">
        <v>93495</v>
      </c>
      <c r="Q841">
        <v>121455</v>
      </c>
      <c r="R841" s="2">
        <v>45900</v>
      </c>
      <c r="S841" t="s">
        <v>14</v>
      </c>
      <c r="T841" t="s">
        <v>52</v>
      </c>
      <c r="W841" t="s">
        <v>6358</v>
      </c>
      <c r="X841">
        <v>96</v>
      </c>
      <c r="Y841" t="s">
        <v>52</v>
      </c>
      <c r="Z841">
        <v>238</v>
      </c>
    </row>
    <row r="842" spans="1:26" x14ac:dyDescent="0.3">
      <c r="A842">
        <v>841</v>
      </c>
      <c r="B842" t="s">
        <v>1936</v>
      </c>
      <c r="C842" t="s">
        <v>72</v>
      </c>
      <c r="D842" t="s">
        <v>35</v>
      </c>
      <c r="E842" t="s">
        <v>6351</v>
      </c>
      <c r="F842" t="s">
        <v>6376</v>
      </c>
      <c r="G842" t="s">
        <v>6379</v>
      </c>
      <c r="H842" t="s">
        <v>6384</v>
      </c>
      <c r="I842" t="s">
        <v>6396</v>
      </c>
      <c r="J842">
        <f>AVERAGE(ai_job_market[[#This Row],[min_salary]],ai_job_market[[#This Row],[max_salary]])</f>
        <v>104834.5</v>
      </c>
      <c r="K842"/>
      <c r="L842" t="s">
        <v>14</v>
      </c>
      <c r="M842" t="s">
        <v>42</v>
      </c>
      <c r="N842" t="s">
        <v>5292</v>
      </c>
      <c r="O842" t="s">
        <v>4704</v>
      </c>
      <c r="P842">
        <v>93984</v>
      </c>
      <c r="Q842">
        <v>115685</v>
      </c>
      <c r="R842" s="2">
        <v>45516</v>
      </c>
      <c r="S842" t="s">
        <v>16</v>
      </c>
      <c r="T842" t="s">
        <v>101</v>
      </c>
      <c r="W842" t="s">
        <v>6351</v>
      </c>
      <c r="X842">
        <v>89</v>
      </c>
      <c r="Y842" t="s">
        <v>101</v>
      </c>
      <c r="Z842">
        <v>255</v>
      </c>
    </row>
    <row r="843" spans="1:26" x14ac:dyDescent="0.3">
      <c r="A843">
        <v>842</v>
      </c>
      <c r="B843" t="s">
        <v>1938</v>
      </c>
      <c r="C843" t="s">
        <v>45</v>
      </c>
      <c r="D843" t="s">
        <v>35</v>
      </c>
      <c r="E843" t="s">
        <v>6347</v>
      </c>
      <c r="F843" t="s">
        <v>6390</v>
      </c>
      <c r="G843" t="s">
        <v>6375</v>
      </c>
      <c r="H843" t="s">
        <v>6374</v>
      </c>
      <c r="I843" t="s">
        <v>6381</v>
      </c>
      <c r="J843" s="6">
        <f>AVERAGE(ai_job_market[[#This Row],[min_salary]],ai_job_market[[#This Row],[max_salary]])</f>
        <v>164119</v>
      </c>
      <c r="K843" t="s">
        <v>6387</v>
      </c>
      <c r="L843" t="s">
        <v>27</v>
      </c>
      <c r="M843" t="s">
        <v>51</v>
      </c>
      <c r="N843" t="s">
        <v>5293</v>
      </c>
      <c r="O843" t="s">
        <v>4617</v>
      </c>
      <c r="P843" s="5">
        <v>141497</v>
      </c>
      <c r="Q843" s="5">
        <v>186741</v>
      </c>
      <c r="R843" s="2">
        <v>45627</v>
      </c>
      <c r="S843" t="s">
        <v>16</v>
      </c>
      <c r="T843" t="s">
        <v>80</v>
      </c>
      <c r="W843" t="s">
        <v>6347</v>
      </c>
      <c r="X843">
        <v>94</v>
      </c>
      <c r="Y843" t="s">
        <v>80</v>
      </c>
      <c r="Z843">
        <v>249</v>
      </c>
    </row>
    <row r="844" spans="1:26" x14ac:dyDescent="0.3">
      <c r="A844">
        <v>843</v>
      </c>
      <c r="B844" t="s">
        <v>1940</v>
      </c>
      <c r="C844" t="s">
        <v>34</v>
      </c>
      <c r="D844" t="s">
        <v>67</v>
      </c>
      <c r="E844" t="s">
        <v>6350</v>
      </c>
      <c r="F844" t="s">
        <v>6389</v>
      </c>
      <c r="G844" t="s">
        <v>6374</v>
      </c>
      <c r="H844" t="s">
        <v>6384</v>
      </c>
      <c r="I844" t="s">
        <v>6377</v>
      </c>
      <c r="J844">
        <f>AVERAGE(ai_job_market[[#This Row],[min_salary]],ai_job_market[[#This Row],[max_salary]])</f>
        <v>139167.5</v>
      </c>
      <c r="K844" t="s">
        <v>6392</v>
      </c>
      <c r="L844" t="s">
        <v>22</v>
      </c>
      <c r="M844" t="s">
        <v>51</v>
      </c>
      <c r="N844" t="s">
        <v>4759</v>
      </c>
      <c r="O844" t="s">
        <v>4601</v>
      </c>
      <c r="P844">
        <v>108227</v>
      </c>
      <c r="Q844">
        <v>170108</v>
      </c>
      <c r="R844" s="2">
        <v>45877</v>
      </c>
      <c r="S844" t="s">
        <v>69</v>
      </c>
      <c r="T844" t="s">
        <v>52</v>
      </c>
      <c r="U844" t="s">
        <v>6389</v>
      </c>
      <c r="V844" t="s">
        <v>6376</v>
      </c>
      <c r="W844" t="s">
        <v>6350</v>
      </c>
      <c r="X844">
        <v>84</v>
      </c>
      <c r="Y844" t="s">
        <v>52</v>
      </c>
      <c r="Z844">
        <v>238</v>
      </c>
    </row>
    <row r="845" spans="1:26" x14ac:dyDescent="0.3">
      <c r="A845">
        <v>844</v>
      </c>
      <c r="B845" t="s">
        <v>1942</v>
      </c>
      <c r="C845" t="s">
        <v>19</v>
      </c>
      <c r="D845" t="s">
        <v>35</v>
      </c>
      <c r="E845" t="s">
        <v>6357</v>
      </c>
      <c r="F845" t="s">
        <v>6392</v>
      </c>
      <c r="G845" t="s">
        <v>6379</v>
      </c>
      <c r="H845" t="s">
        <v>6396</v>
      </c>
      <c r="I845" t="s">
        <v>6397</v>
      </c>
      <c r="J845">
        <f>AVERAGE(ai_job_market[[#This Row],[min_salary]],ai_job_market[[#This Row],[max_salary]])</f>
        <v>70943.5</v>
      </c>
      <c r="K845"/>
      <c r="L845" t="s">
        <v>22</v>
      </c>
      <c r="M845" t="s">
        <v>37</v>
      </c>
      <c r="N845" t="s">
        <v>5294</v>
      </c>
      <c r="O845" t="s">
        <v>4305</v>
      </c>
      <c r="P845">
        <v>46507</v>
      </c>
      <c r="Q845">
        <v>95380</v>
      </c>
      <c r="R845" s="2">
        <v>45369</v>
      </c>
      <c r="S845" t="s">
        <v>69</v>
      </c>
      <c r="T845" t="s">
        <v>101</v>
      </c>
      <c r="U845" t="s">
        <v>6379</v>
      </c>
      <c r="V845" t="s">
        <v>6383</v>
      </c>
      <c r="W845" t="s">
        <v>6357</v>
      </c>
      <c r="X845">
        <v>88</v>
      </c>
      <c r="Y845" t="s">
        <v>101</v>
      </c>
      <c r="Z845">
        <v>255</v>
      </c>
    </row>
    <row r="846" spans="1:26" x14ac:dyDescent="0.3">
      <c r="A846">
        <v>845</v>
      </c>
      <c r="B846" t="s">
        <v>1944</v>
      </c>
      <c r="C846" t="s">
        <v>19</v>
      </c>
      <c r="D846" t="s">
        <v>54</v>
      </c>
      <c r="E846" t="s">
        <v>90</v>
      </c>
      <c r="F846" t="s">
        <v>6397</v>
      </c>
      <c r="G846" t="s">
        <v>6387</v>
      </c>
      <c r="H846" t="s">
        <v>6386</v>
      </c>
      <c r="I846" t="s">
        <v>6393</v>
      </c>
      <c r="J846">
        <f>AVERAGE(ai_job_market[[#This Row],[min_salary]],ai_job_market[[#This Row],[max_salary]])</f>
        <v>163599</v>
      </c>
      <c r="K846" t="s">
        <v>6376</v>
      </c>
      <c r="L846" t="s">
        <v>22</v>
      </c>
      <c r="M846" t="s">
        <v>42</v>
      </c>
      <c r="N846" t="s">
        <v>5295</v>
      </c>
      <c r="O846" t="s">
        <v>4335</v>
      </c>
      <c r="P846">
        <v>144378</v>
      </c>
      <c r="Q846">
        <v>182820</v>
      </c>
      <c r="R846" s="2">
        <v>45527</v>
      </c>
      <c r="S846" t="s">
        <v>16</v>
      </c>
      <c r="T846" t="s">
        <v>157</v>
      </c>
      <c r="U846" t="s">
        <v>6388</v>
      </c>
      <c r="V846" t="s">
        <v>6376</v>
      </c>
      <c r="W846" t="s">
        <v>90</v>
      </c>
      <c r="X846">
        <v>80</v>
      </c>
      <c r="Y846" t="s">
        <v>157</v>
      </c>
      <c r="Z846">
        <v>247</v>
      </c>
    </row>
    <row r="847" spans="1:26" x14ac:dyDescent="0.3">
      <c r="A847">
        <v>846</v>
      </c>
      <c r="B847" t="s">
        <v>1947</v>
      </c>
      <c r="C847" t="s">
        <v>40</v>
      </c>
      <c r="D847" t="s">
        <v>135</v>
      </c>
      <c r="E847" t="s">
        <v>6345</v>
      </c>
      <c r="F847" t="s">
        <v>6386</v>
      </c>
      <c r="G847" t="s">
        <v>6375</v>
      </c>
      <c r="H847" t="s">
        <v>6377</v>
      </c>
      <c r="I847" t="s">
        <v>6394</v>
      </c>
      <c r="J847">
        <f>AVERAGE(ai_job_market[[#This Row],[min_salary]],ai_job_market[[#This Row],[max_salary]])</f>
        <v>129516.5</v>
      </c>
      <c r="K847" t="s">
        <v>6374</v>
      </c>
      <c r="L847" t="s">
        <v>22</v>
      </c>
      <c r="M847" t="s">
        <v>37</v>
      </c>
      <c r="N847" t="s">
        <v>5296</v>
      </c>
      <c r="O847" t="s">
        <v>4289</v>
      </c>
      <c r="P847">
        <v>116988</v>
      </c>
      <c r="Q847">
        <v>142045</v>
      </c>
      <c r="R847" s="2">
        <v>45865</v>
      </c>
      <c r="S847" t="s">
        <v>14</v>
      </c>
      <c r="T847" t="s">
        <v>77</v>
      </c>
      <c r="U847" t="s">
        <v>6389</v>
      </c>
      <c r="V847" t="s">
        <v>6383</v>
      </c>
      <c r="W847" t="s">
        <v>6345</v>
      </c>
      <c r="X847">
        <v>101</v>
      </c>
      <c r="Y847" t="s">
        <v>77</v>
      </c>
      <c r="Z847">
        <v>251</v>
      </c>
    </row>
    <row r="848" spans="1:26" x14ac:dyDescent="0.3">
      <c r="A848">
        <v>847</v>
      </c>
      <c r="B848" t="s">
        <v>1949</v>
      </c>
      <c r="C848" t="s">
        <v>11</v>
      </c>
      <c r="D848" t="s">
        <v>25</v>
      </c>
      <c r="E848" t="s">
        <v>6346</v>
      </c>
      <c r="F848" t="s">
        <v>6394</v>
      </c>
      <c r="G848" t="s">
        <v>6393</v>
      </c>
      <c r="J848">
        <f>AVERAGE(ai_job_market[[#This Row],[min_salary]],ai_job_market[[#This Row],[max_salary]])</f>
        <v>72247</v>
      </c>
      <c r="K848"/>
      <c r="L848" t="s">
        <v>27</v>
      </c>
      <c r="M848" t="s">
        <v>15</v>
      </c>
      <c r="N848" t="s">
        <v>5297</v>
      </c>
      <c r="O848" t="s">
        <v>4476</v>
      </c>
      <c r="P848">
        <v>49343</v>
      </c>
      <c r="Q848">
        <v>95151</v>
      </c>
      <c r="R848" s="2">
        <v>45491</v>
      </c>
      <c r="S848" t="s">
        <v>16</v>
      </c>
      <c r="T848" t="s">
        <v>101</v>
      </c>
      <c r="U848" t="s">
        <v>6379</v>
      </c>
      <c r="W848" t="s">
        <v>6346</v>
      </c>
      <c r="X848">
        <v>78</v>
      </c>
      <c r="Y848" t="s">
        <v>101</v>
      </c>
      <c r="Z848">
        <v>255</v>
      </c>
    </row>
    <row r="849" spans="1:26" x14ac:dyDescent="0.3">
      <c r="A849">
        <v>848</v>
      </c>
      <c r="B849" t="s">
        <v>1951</v>
      </c>
      <c r="C849" t="s">
        <v>72</v>
      </c>
      <c r="D849" t="s">
        <v>30</v>
      </c>
      <c r="E849" t="s">
        <v>6344</v>
      </c>
      <c r="F849" t="s">
        <v>6391</v>
      </c>
      <c r="G849" t="s">
        <v>6386</v>
      </c>
      <c r="H849" t="s">
        <v>6390</v>
      </c>
      <c r="I849" t="s">
        <v>6387</v>
      </c>
      <c r="J849">
        <f>AVERAGE(ai_job_market[[#This Row],[min_salary]],ai_job_market[[#This Row],[max_salary]])</f>
        <v>107687</v>
      </c>
      <c r="K849"/>
      <c r="L849" t="s">
        <v>27</v>
      </c>
      <c r="M849" t="s">
        <v>42</v>
      </c>
      <c r="N849" t="s">
        <v>5298</v>
      </c>
      <c r="O849" t="s">
        <v>4578</v>
      </c>
      <c r="P849">
        <v>102358</v>
      </c>
      <c r="Q849">
        <v>113016</v>
      </c>
      <c r="R849" s="2">
        <v>45643</v>
      </c>
      <c r="S849" t="s">
        <v>14</v>
      </c>
      <c r="T849" t="s">
        <v>70</v>
      </c>
      <c r="U849" t="s">
        <v>6388</v>
      </c>
      <c r="V849" t="s">
        <v>6389</v>
      </c>
      <c r="W849" t="s">
        <v>6344</v>
      </c>
      <c r="X849">
        <v>104</v>
      </c>
      <c r="Y849" t="s">
        <v>70</v>
      </c>
      <c r="Z849">
        <v>268</v>
      </c>
    </row>
    <row r="850" spans="1:26" x14ac:dyDescent="0.3">
      <c r="A850">
        <v>849</v>
      </c>
      <c r="B850" t="s">
        <v>1953</v>
      </c>
      <c r="C850" t="s">
        <v>72</v>
      </c>
      <c r="D850" t="s">
        <v>20</v>
      </c>
      <c r="E850" t="s">
        <v>70</v>
      </c>
      <c r="F850" t="s">
        <v>6375</v>
      </c>
      <c r="G850" t="s">
        <v>6386</v>
      </c>
      <c r="H850" t="s">
        <v>6395</v>
      </c>
      <c r="I850" t="s">
        <v>6387</v>
      </c>
      <c r="J850">
        <f>AVERAGE(ai_job_market[[#This Row],[min_salary]],ai_job_market[[#This Row],[max_salary]])</f>
        <v>173926.5</v>
      </c>
      <c r="K850"/>
      <c r="L850" t="s">
        <v>14</v>
      </c>
      <c r="M850" t="s">
        <v>37</v>
      </c>
      <c r="N850" t="s">
        <v>5299</v>
      </c>
      <c r="O850" t="s">
        <v>4727</v>
      </c>
      <c r="P850">
        <v>124228</v>
      </c>
      <c r="Q850">
        <v>223625</v>
      </c>
      <c r="R850" s="2">
        <v>45713</v>
      </c>
      <c r="S850" t="s">
        <v>69</v>
      </c>
      <c r="T850" t="s">
        <v>90</v>
      </c>
      <c r="W850" t="s">
        <v>70</v>
      </c>
      <c r="X850">
        <v>100</v>
      </c>
      <c r="Y850" t="s">
        <v>90</v>
      </c>
      <c r="Z850">
        <v>259</v>
      </c>
    </row>
    <row r="851" spans="1:26" x14ac:dyDescent="0.3">
      <c r="A851">
        <v>850</v>
      </c>
      <c r="B851" t="s">
        <v>1955</v>
      </c>
      <c r="C851" t="s">
        <v>34</v>
      </c>
      <c r="D851" t="s">
        <v>135</v>
      </c>
      <c r="E851" t="s">
        <v>6350</v>
      </c>
      <c r="F851" t="s">
        <v>6378</v>
      </c>
      <c r="G851" t="s">
        <v>6395</v>
      </c>
      <c r="H851" t="s">
        <v>6381</v>
      </c>
      <c r="I851" t="s">
        <v>6386</v>
      </c>
      <c r="J851">
        <f>AVERAGE(ai_job_market[[#This Row],[min_salary]],ai_job_market[[#This Row],[max_salary]])</f>
        <v>134551.5</v>
      </c>
      <c r="K851" t="s">
        <v>6374</v>
      </c>
      <c r="L851" t="s">
        <v>22</v>
      </c>
      <c r="M851" t="s">
        <v>15</v>
      </c>
      <c r="N851" t="s">
        <v>5300</v>
      </c>
      <c r="O851" t="s">
        <v>4331</v>
      </c>
      <c r="P851">
        <v>128700</v>
      </c>
      <c r="Q851">
        <v>140403</v>
      </c>
      <c r="R851" s="2">
        <v>45901</v>
      </c>
      <c r="S851" t="s">
        <v>14</v>
      </c>
      <c r="T851" t="s">
        <v>77</v>
      </c>
      <c r="W851" t="s">
        <v>6350</v>
      </c>
      <c r="X851">
        <v>84</v>
      </c>
      <c r="Y851" t="s">
        <v>77</v>
      </c>
      <c r="Z851">
        <v>251</v>
      </c>
    </row>
    <row r="852" spans="1:26" x14ac:dyDescent="0.3">
      <c r="A852">
        <v>851</v>
      </c>
      <c r="B852" t="s">
        <v>1957</v>
      </c>
      <c r="C852" t="s">
        <v>72</v>
      </c>
      <c r="D852" t="s">
        <v>12</v>
      </c>
      <c r="E852" t="s">
        <v>6349</v>
      </c>
      <c r="F852" t="s">
        <v>6381</v>
      </c>
      <c r="G852" t="s">
        <v>6384</v>
      </c>
      <c r="J852">
        <f>AVERAGE(ai_job_market[[#This Row],[min_salary]],ai_job_market[[#This Row],[max_salary]])</f>
        <v>94325</v>
      </c>
      <c r="K852"/>
      <c r="L852" t="s">
        <v>27</v>
      </c>
      <c r="M852" t="s">
        <v>51</v>
      </c>
      <c r="N852" t="s">
        <v>5301</v>
      </c>
      <c r="O852" t="s">
        <v>4480</v>
      </c>
      <c r="P852">
        <v>53005</v>
      </c>
      <c r="Q852">
        <v>135645</v>
      </c>
      <c r="R852" s="2">
        <v>45751</v>
      </c>
      <c r="S852" t="s">
        <v>69</v>
      </c>
      <c r="T852" t="s">
        <v>52</v>
      </c>
      <c r="U852" t="s">
        <v>6384</v>
      </c>
      <c r="W852" t="s">
        <v>6349</v>
      </c>
      <c r="X852">
        <v>96</v>
      </c>
      <c r="Y852" t="s">
        <v>52</v>
      </c>
      <c r="Z852">
        <v>238</v>
      </c>
    </row>
    <row r="853" spans="1:26" x14ac:dyDescent="0.3">
      <c r="A853">
        <v>852</v>
      </c>
      <c r="B853" t="s">
        <v>1959</v>
      </c>
      <c r="C853" t="s">
        <v>11</v>
      </c>
      <c r="D853" t="s">
        <v>135</v>
      </c>
      <c r="E853" t="s">
        <v>6344</v>
      </c>
      <c r="F853" t="s">
        <v>6396</v>
      </c>
      <c r="G853" t="s">
        <v>6384</v>
      </c>
      <c r="J853">
        <f>AVERAGE(ai_job_market[[#This Row],[min_salary]],ai_job_market[[#This Row],[max_salary]])</f>
        <v>131509</v>
      </c>
      <c r="K853"/>
      <c r="L853" t="s">
        <v>22</v>
      </c>
      <c r="M853" t="s">
        <v>37</v>
      </c>
      <c r="N853" t="s">
        <v>5302</v>
      </c>
      <c r="O853" t="s">
        <v>4640</v>
      </c>
      <c r="P853">
        <v>112949</v>
      </c>
      <c r="Q853">
        <v>150069</v>
      </c>
      <c r="R853" s="2">
        <v>45737</v>
      </c>
      <c r="S853" t="s">
        <v>14</v>
      </c>
      <c r="T853" t="s">
        <v>70</v>
      </c>
      <c r="W853" t="s">
        <v>6344</v>
      </c>
      <c r="X853">
        <v>104</v>
      </c>
      <c r="Y853" t="s">
        <v>70</v>
      </c>
      <c r="Z853">
        <v>268</v>
      </c>
    </row>
    <row r="854" spans="1:26" x14ac:dyDescent="0.3">
      <c r="A854">
        <v>853</v>
      </c>
      <c r="B854" t="s">
        <v>1961</v>
      </c>
      <c r="C854" t="s">
        <v>11</v>
      </c>
      <c r="D854" t="s">
        <v>67</v>
      </c>
      <c r="E854" t="s">
        <v>6357</v>
      </c>
      <c r="F854" t="s">
        <v>6394</v>
      </c>
      <c r="G854" t="s">
        <v>6390</v>
      </c>
      <c r="J854">
        <f>AVERAGE(ai_job_market[[#This Row],[min_salary]],ai_job_market[[#This Row],[max_salary]])</f>
        <v>69365.5</v>
      </c>
      <c r="K854"/>
      <c r="L854" t="s">
        <v>14</v>
      </c>
      <c r="M854" t="s">
        <v>51</v>
      </c>
      <c r="N854" t="s">
        <v>5303</v>
      </c>
      <c r="O854" t="s">
        <v>4369</v>
      </c>
      <c r="P854">
        <v>53274</v>
      </c>
      <c r="Q854">
        <v>85457</v>
      </c>
      <c r="R854" s="2">
        <v>45785</v>
      </c>
      <c r="S854" t="s">
        <v>16</v>
      </c>
      <c r="T854" t="s">
        <v>101</v>
      </c>
      <c r="U854" t="s">
        <v>6378</v>
      </c>
      <c r="V854" t="s">
        <v>6379</v>
      </c>
      <c r="W854" t="s">
        <v>6357</v>
      </c>
      <c r="X854">
        <v>88</v>
      </c>
      <c r="Y854" t="s">
        <v>101</v>
      </c>
      <c r="Z854">
        <v>255</v>
      </c>
    </row>
    <row r="855" spans="1:26" x14ac:dyDescent="0.3">
      <c r="A855">
        <v>854</v>
      </c>
      <c r="B855" t="s">
        <v>1963</v>
      </c>
      <c r="C855" t="s">
        <v>34</v>
      </c>
      <c r="D855" t="s">
        <v>67</v>
      </c>
      <c r="E855" t="s">
        <v>6349</v>
      </c>
      <c r="F855" t="s">
        <v>6382</v>
      </c>
      <c r="G855" t="s">
        <v>6389</v>
      </c>
      <c r="J855">
        <f>AVERAGE(ai_job_market[[#This Row],[min_salary]],ai_job_market[[#This Row],[max_salary]])</f>
        <v>90127</v>
      </c>
      <c r="K855"/>
      <c r="L855" t="s">
        <v>14</v>
      </c>
      <c r="M855" t="s">
        <v>37</v>
      </c>
      <c r="N855" t="s">
        <v>5304</v>
      </c>
      <c r="O855" t="s">
        <v>4295</v>
      </c>
      <c r="P855">
        <v>61527</v>
      </c>
      <c r="Q855">
        <v>118727</v>
      </c>
      <c r="R855" s="2">
        <v>45768</v>
      </c>
      <c r="S855" t="s">
        <v>69</v>
      </c>
      <c r="T855" t="s">
        <v>77</v>
      </c>
      <c r="U855" t="s">
        <v>6383</v>
      </c>
      <c r="W855" t="s">
        <v>6349</v>
      </c>
      <c r="X855">
        <v>96</v>
      </c>
      <c r="Y855" t="s">
        <v>77</v>
      </c>
      <c r="Z855">
        <v>251</v>
      </c>
    </row>
    <row r="856" spans="1:26" x14ac:dyDescent="0.3">
      <c r="A856">
        <v>855</v>
      </c>
      <c r="B856" t="s">
        <v>1965</v>
      </c>
      <c r="C856" t="s">
        <v>19</v>
      </c>
      <c r="D856" t="s">
        <v>35</v>
      </c>
      <c r="E856" t="s">
        <v>6349</v>
      </c>
      <c r="F856" t="s">
        <v>6392</v>
      </c>
      <c r="G856" t="s">
        <v>6376</v>
      </c>
      <c r="H856" t="s">
        <v>6374</v>
      </c>
      <c r="I856" t="s">
        <v>6395</v>
      </c>
      <c r="J856">
        <f>AVERAGE(ai_job_market[[#This Row],[min_salary]],ai_job_market[[#This Row],[max_salary]])</f>
        <v>107413</v>
      </c>
      <c r="K856" t="s">
        <v>6386</v>
      </c>
      <c r="L856" t="s">
        <v>22</v>
      </c>
      <c r="M856" t="s">
        <v>15</v>
      </c>
      <c r="N856" t="s">
        <v>5305</v>
      </c>
      <c r="O856" t="s">
        <v>4842</v>
      </c>
      <c r="P856">
        <v>80834</v>
      </c>
      <c r="Q856">
        <v>133992</v>
      </c>
      <c r="R856" s="2">
        <v>45388</v>
      </c>
      <c r="S856" t="s">
        <v>14</v>
      </c>
      <c r="T856" t="s">
        <v>90</v>
      </c>
      <c r="U856" t="s">
        <v>6376</v>
      </c>
      <c r="V856" t="s">
        <v>6388</v>
      </c>
      <c r="W856" t="s">
        <v>6349</v>
      </c>
      <c r="X856">
        <v>96</v>
      </c>
      <c r="Y856" t="s">
        <v>90</v>
      </c>
      <c r="Z856">
        <v>259</v>
      </c>
    </row>
    <row r="857" spans="1:26" x14ac:dyDescent="0.3">
      <c r="A857">
        <v>856</v>
      </c>
      <c r="B857" t="s">
        <v>1968</v>
      </c>
      <c r="C857" t="s">
        <v>72</v>
      </c>
      <c r="D857" t="s">
        <v>35</v>
      </c>
      <c r="E857" t="s">
        <v>6357</v>
      </c>
      <c r="F857" t="s">
        <v>6380</v>
      </c>
      <c r="G857" t="s">
        <v>6392</v>
      </c>
      <c r="J857">
        <f>AVERAGE(ai_job_market[[#This Row],[min_salary]],ai_job_market[[#This Row],[max_salary]])</f>
        <v>160072</v>
      </c>
      <c r="K857"/>
      <c r="L857" t="s">
        <v>27</v>
      </c>
      <c r="M857" t="s">
        <v>15</v>
      </c>
      <c r="N857" t="s">
        <v>5306</v>
      </c>
      <c r="O857" t="s">
        <v>4393</v>
      </c>
      <c r="P857">
        <v>143635</v>
      </c>
      <c r="Q857">
        <v>176509</v>
      </c>
      <c r="R857" s="2">
        <v>45433</v>
      </c>
      <c r="S857" t="s">
        <v>14</v>
      </c>
      <c r="T857" t="s">
        <v>101</v>
      </c>
      <c r="U857" t="s">
        <v>6388</v>
      </c>
      <c r="V857" t="s">
        <v>6389</v>
      </c>
      <c r="W857" t="s">
        <v>6357</v>
      </c>
      <c r="X857">
        <v>88</v>
      </c>
      <c r="Y857" t="s">
        <v>101</v>
      </c>
      <c r="Z857">
        <v>255</v>
      </c>
    </row>
    <row r="858" spans="1:26" x14ac:dyDescent="0.3">
      <c r="A858">
        <v>857</v>
      </c>
      <c r="B858" t="s">
        <v>1970</v>
      </c>
      <c r="C858" t="s">
        <v>49</v>
      </c>
      <c r="D858" t="s">
        <v>30</v>
      </c>
      <c r="E858" t="s">
        <v>6356</v>
      </c>
      <c r="F858" t="s">
        <v>6376</v>
      </c>
      <c r="G858" t="s">
        <v>6377</v>
      </c>
      <c r="H858" t="s">
        <v>6384</v>
      </c>
      <c r="I858" t="s">
        <v>6394</v>
      </c>
      <c r="J858" s="6">
        <f>AVERAGE(ai_job_market[[#This Row],[min_salary]],ai_job_market[[#This Row],[max_salary]])</f>
        <v>92605.5</v>
      </c>
      <c r="K858"/>
      <c r="L858" t="s">
        <v>27</v>
      </c>
      <c r="M858" t="s">
        <v>15</v>
      </c>
      <c r="N858" t="s">
        <v>5307</v>
      </c>
      <c r="O858" t="s">
        <v>4610</v>
      </c>
      <c r="P858" s="5">
        <v>67463</v>
      </c>
      <c r="Q858" s="5">
        <v>117748</v>
      </c>
      <c r="R858" s="2">
        <v>45239</v>
      </c>
      <c r="S858" t="s">
        <v>69</v>
      </c>
      <c r="T858" t="s">
        <v>157</v>
      </c>
      <c r="W858" t="s">
        <v>6356</v>
      </c>
      <c r="X858">
        <v>86</v>
      </c>
      <c r="Y858" t="s">
        <v>157</v>
      </c>
      <c r="Z858">
        <v>247</v>
      </c>
    </row>
    <row r="859" spans="1:26" x14ac:dyDescent="0.3">
      <c r="A859">
        <v>858</v>
      </c>
      <c r="B859" t="s">
        <v>1972</v>
      </c>
      <c r="C859" t="s">
        <v>49</v>
      </c>
      <c r="D859" t="s">
        <v>54</v>
      </c>
      <c r="E859" t="s">
        <v>6359</v>
      </c>
      <c r="F859" t="s">
        <v>6378</v>
      </c>
      <c r="G859" t="s">
        <v>6387</v>
      </c>
      <c r="H859" t="s">
        <v>6391</v>
      </c>
      <c r="I859" t="s">
        <v>6375</v>
      </c>
      <c r="J859">
        <f>AVERAGE(ai_job_market[[#This Row],[min_salary]],ai_job_market[[#This Row],[max_salary]])</f>
        <v>155667</v>
      </c>
      <c r="K859" t="s">
        <v>6376</v>
      </c>
      <c r="L859" t="s">
        <v>27</v>
      </c>
      <c r="M859" t="s">
        <v>51</v>
      </c>
      <c r="N859" t="s">
        <v>5308</v>
      </c>
      <c r="O859" t="s">
        <v>4710</v>
      </c>
      <c r="P859">
        <v>139626</v>
      </c>
      <c r="Q859">
        <v>171708</v>
      </c>
      <c r="R859" s="2">
        <v>45614</v>
      </c>
      <c r="S859" t="s">
        <v>14</v>
      </c>
      <c r="T859" t="s">
        <v>52</v>
      </c>
      <c r="U859" t="s">
        <v>6375</v>
      </c>
      <c r="V859" t="s">
        <v>6378</v>
      </c>
      <c r="W859" t="s">
        <v>6359</v>
      </c>
      <c r="X859">
        <v>104</v>
      </c>
      <c r="Y859" t="s">
        <v>52</v>
      </c>
      <c r="Z859">
        <v>238</v>
      </c>
    </row>
    <row r="860" spans="1:26" x14ac:dyDescent="0.3">
      <c r="A860">
        <v>859</v>
      </c>
      <c r="B860" t="s">
        <v>1974</v>
      </c>
      <c r="C860" t="s">
        <v>11</v>
      </c>
      <c r="D860" t="s">
        <v>12</v>
      </c>
      <c r="E860" t="s">
        <v>6345</v>
      </c>
      <c r="F860" t="s">
        <v>6384</v>
      </c>
      <c r="G860" t="s">
        <v>6381</v>
      </c>
      <c r="H860" t="s">
        <v>6395</v>
      </c>
      <c r="I860" t="s">
        <v>6379</v>
      </c>
      <c r="J860" s="6">
        <f>AVERAGE(ai_job_market[[#This Row],[min_salary]],ai_job_market[[#This Row],[max_salary]])</f>
        <v>133842.5</v>
      </c>
      <c r="K860" t="s">
        <v>6376</v>
      </c>
      <c r="L860" t="s">
        <v>27</v>
      </c>
      <c r="M860" t="s">
        <v>37</v>
      </c>
      <c r="N860" t="s">
        <v>5309</v>
      </c>
      <c r="O860" t="s">
        <v>4329</v>
      </c>
      <c r="P860" s="5">
        <v>119828</v>
      </c>
      <c r="Q860" s="5">
        <v>147857</v>
      </c>
      <c r="R860" s="2">
        <v>45668</v>
      </c>
      <c r="S860" t="s">
        <v>16</v>
      </c>
      <c r="T860" t="s">
        <v>52</v>
      </c>
      <c r="U860" t="s">
        <v>6375</v>
      </c>
      <c r="V860" t="s">
        <v>6383</v>
      </c>
      <c r="W860" t="s">
        <v>6345</v>
      </c>
      <c r="X860">
        <v>101</v>
      </c>
      <c r="Y860" t="s">
        <v>52</v>
      </c>
      <c r="Z860">
        <v>238</v>
      </c>
    </row>
    <row r="861" spans="1:26" x14ac:dyDescent="0.3">
      <c r="A861">
        <v>860</v>
      </c>
      <c r="B861" t="s">
        <v>1977</v>
      </c>
      <c r="C861" t="s">
        <v>72</v>
      </c>
      <c r="D861" t="s">
        <v>54</v>
      </c>
      <c r="E861" t="s">
        <v>6354</v>
      </c>
      <c r="F861" t="s">
        <v>6385</v>
      </c>
      <c r="G861" t="s">
        <v>6391</v>
      </c>
      <c r="H861" t="s">
        <v>6378</v>
      </c>
      <c r="I861" t="s">
        <v>6375</v>
      </c>
      <c r="J861">
        <f>AVERAGE(ai_job_market[[#This Row],[min_salary]],ai_job_market[[#This Row],[max_salary]])</f>
        <v>93382</v>
      </c>
      <c r="K861"/>
      <c r="L861" t="s">
        <v>27</v>
      </c>
      <c r="M861" t="s">
        <v>37</v>
      </c>
      <c r="N861" t="s">
        <v>5310</v>
      </c>
      <c r="O861" t="s">
        <v>4640</v>
      </c>
      <c r="P861">
        <v>76830</v>
      </c>
      <c r="Q861">
        <v>109934</v>
      </c>
      <c r="R861" s="2">
        <v>45525</v>
      </c>
      <c r="S861" t="s">
        <v>16</v>
      </c>
      <c r="T861" t="s">
        <v>52</v>
      </c>
      <c r="U861" t="s">
        <v>6389</v>
      </c>
      <c r="V861" t="s">
        <v>6384</v>
      </c>
      <c r="W861" t="s">
        <v>6354</v>
      </c>
      <c r="X861">
        <v>75</v>
      </c>
      <c r="Y861" t="s">
        <v>52</v>
      </c>
      <c r="Z861">
        <v>238</v>
      </c>
    </row>
    <row r="862" spans="1:26" x14ac:dyDescent="0.3">
      <c r="A862">
        <v>861</v>
      </c>
      <c r="B862" t="s">
        <v>1980</v>
      </c>
      <c r="C862" t="s">
        <v>45</v>
      </c>
      <c r="D862" t="s">
        <v>20</v>
      </c>
      <c r="E862" t="s">
        <v>6347</v>
      </c>
      <c r="F862" t="s">
        <v>6377</v>
      </c>
      <c r="G862" t="s">
        <v>6394</v>
      </c>
      <c r="J862">
        <f>AVERAGE(ai_job_market[[#This Row],[min_salary]],ai_job_market[[#This Row],[max_salary]])</f>
        <v>133841</v>
      </c>
      <c r="K862"/>
      <c r="L862" t="s">
        <v>27</v>
      </c>
      <c r="M862" t="s">
        <v>51</v>
      </c>
      <c r="N862" t="s">
        <v>5311</v>
      </c>
      <c r="O862" t="s">
        <v>4454</v>
      </c>
      <c r="P862">
        <v>94999</v>
      </c>
      <c r="Q862">
        <v>172683</v>
      </c>
      <c r="R862" s="2">
        <v>45221</v>
      </c>
      <c r="S862" t="s">
        <v>69</v>
      </c>
      <c r="T862" t="s">
        <v>90</v>
      </c>
      <c r="U862" t="s">
        <v>6376</v>
      </c>
      <c r="W862" t="s">
        <v>6347</v>
      </c>
      <c r="X862">
        <v>94</v>
      </c>
      <c r="Y862" t="s">
        <v>90</v>
      </c>
      <c r="Z862">
        <v>259</v>
      </c>
    </row>
    <row r="863" spans="1:26" x14ac:dyDescent="0.3">
      <c r="A863">
        <v>862</v>
      </c>
      <c r="B863" t="s">
        <v>1982</v>
      </c>
      <c r="C863" t="s">
        <v>72</v>
      </c>
      <c r="D863" t="s">
        <v>67</v>
      </c>
      <c r="E863" t="s">
        <v>6350</v>
      </c>
      <c r="F863" t="s">
        <v>6396</v>
      </c>
      <c r="G863" t="s">
        <v>6394</v>
      </c>
      <c r="H863" t="s">
        <v>6382</v>
      </c>
      <c r="I863" t="s">
        <v>6384</v>
      </c>
      <c r="J863" s="6">
        <f>AVERAGE(ai_job_market[[#This Row],[min_salary]],ai_job_market[[#This Row],[max_salary]])</f>
        <v>115690</v>
      </c>
      <c r="K863"/>
      <c r="L863" t="s">
        <v>27</v>
      </c>
      <c r="M863" t="s">
        <v>15</v>
      </c>
      <c r="N863" t="s">
        <v>5312</v>
      </c>
      <c r="O863" t="s">
        <v>4405</v>
      </c>
      <c r="P863" s="5">
        <v>86971</v>
      </c>
      <c r="Q863" s="5">
        <v>144409</v>
      </c>
      <c r="R863" s="2">
        <v>45629</v>
      </c>
      <c r="S863" t="s">
        <v>16</v>
      </c>
      <c r="T863" t="s">
        <v>70</v>
      </c>
      <c r="U863" t="s">
        <v>6375</v>
      </c>
      <c r="V863" t="s">
        <v>6389</v>
      </c>
      <c r="W863" t="s">
        <v>6350</v>
      </c>
      <c r="X863">
        <v>84</v>
      </c>
      <c r="Y863" t="s">
        <v>70</v>
      </c>
      <c r="Z863">
        <v>268</v>
      </c>
    </row>
    <row r="864" spans="1:26" x14ac:dyDescent="0.3">
      <c r="A864">
        <v>863</v>
      </c>
      <c r="B864" t="s">
        <v>1984</v>
      </c>
      <c r="C864" t="s">
        <v>45</v>
      </c>
      <c r="D864" t="s">
        <v>12</v>
      </c>
      <c r="E864" t="s">
        <v>6357</v>
      </c>
      <c r="F864" t="s">
        <v>6385</v>
      </c>
      <c r="G864" t="s">
        <v>6392</v>
      </c>
      <c r="H864" t="s">
        <v>6376</v>
      </c>
      <c r="I864" t="s">
        <v>6395</v>
      </c>
      <c r="J864">
        <f>AVERAGE(ai_job_market[[#This Row],[min_salary]],ai_job_market[[#This Row],[max_salary]])</f>
        <v>123939</v>
      </c>
      <c r="K864" t="s">
        <v>6387</v>
      </c>
      <c r="L864" t="s">
        <v>22</v>
      </c>
      <c r="M864" t="s">
        <v>42</v>
      </c>
      <c r="N864" t="s">
        <v>5313</v>
      </c>
      <c r="O864" t="s">
        <v>4463</v>
      </c>
      <c r="P864">
        <v>104785</v>
      </c>
      <c r="Q864">
        <v>143093</v>
      </c>
      <c r="R864" s="2">
        <v>45520</v>
      </c>
      <c r="S864" t="s">
        <v>69</v>
      </c>
      <c r="T864" t="s">
        <v>70</v>
      </c>
      <c r="W864" t="s">
        <v>6357</v>
      </c>
      <c r="X864">
        <v>88</v>
      </c>
      <c r="Y864" t="s">
        <v>70</v>
      </c>
      <c r="Z864">
        <v>268</v>
      </c>
    </row>
    <row r="865" spans="1:26" x14ac:dyDescent="0.3">
      <c r="A865">
        <v>864</v>
      </c>
      <c r="B865" t="s">
        <v>1986</v>
      </c>
      <c r="C865" t="s">
        <v>34</v>
      </c>
      <c r="D865" t="s">
        <v>35</v>
      </c>
      <c r="E865" t="s">
        <v>6344</v>
      </c>
      <c r="F865" t="s">
        <v>6397</v>
      </c>
      <c r="G865" t="s">
        <v>6375</v>
      </c>
      <c r="H865" t="s">
        <v>6385</v>
      </c>
      <c r="I865" t="s">
        <v>6386</v>
      </c>
      <c r="J865">
        <f>AVERAGE(ai_job_market[[#This Row],[min_salary]],ai_job_market[[#This Row],[max_salary]])</f>
        <v>64477</v>
      </c>
      <c r="K865"/>
      <c r="L865" t="s">
        <v>22</v>
      </c>
      <c r="M865" t="s">
        <v>42</v>
      </c>
      <c r="N865" t="s">
        <v>5314</v>
      </c>
      <c r="O865" t="s">
        <v>4371</v>
      </c>
      <c r="P865">
        <v>42308</v>
      </c>
      <c r="Q865">
        <v>86646</v>
      </c>
      <c r="R865" s="2">
        <v>45421</v>
      </c>
      <c r="S865" t="s">
        <v>14</v>
      </c>
      <c r="T865" t="s">
        <v>101</v>
      </c>
      <c r="U865" t="s">
        <v>6388</v>
      </c>
      <c r="V865" t="s">
        <v>6383</v>
      </c>
      <c r="W865" t="s">
        <v>6344</v>
      </c>
      <c r="X865">
        <v>104</v>
      </c>
      <c r="Y865" t="s">
        <v>101</v>
      </c>
      <c r="Z865">
        <v>255</v>
      </c>
    </row>
    <row r="866" spans="1:26" x14ac:dyDescent="0.3">
      <c r="A866">
        <v>865</v>
      </c>
      <c r="B866" t="s">
        <v>1988</v>
      </c>
      <c r="C866" t="s">
        <v>72</v>
      </c>
      <c r="D866" t="s">
        <v>20</v>
      </c>
      <c r="E866" t="s">
        <v>6344</v>
      </c>
      <c r="F866" t="s">
        <v>6387</v>
      </c>
      <c r="G866" t="s">
        <v>6386</v>
      </c>
      <c r="H866" t="s">
        <v>6384</v>
      </c>
      <c r="J866">
        <f>AVERAGE(ai_job_market[[#This Row],[min_salary]],ai_job_market[[#This Row],[max_salary]])</f>
        <v>139140.5</v>
      </c>
      <c r="K866"/>
      <c r="L866" t="s">
        <v>14</v>
      </c>
      <c r="M866" t="s">
        <v>51</v>
      </c>
      <c r="N866" t="s">
        <v>5315</v>
      </c>
      <c r="O866" t="s">
        <v>4380</v>
      </c>
      <c r="P866">
        <v>91659</v>
      </c>
      <c r="Q866">
        <v>186622</v>
      </c>
      <c r="R866" s="2">
        <v>45290</v>
      </c>
      <c r="S866" t="s">
        <v>16</v>
      </c>
      <c r="T866" t="s">
        <v>70</v>
      </c>
      <c r="U866" t="s">
        <v>6383</v>
      </c>
      <c r="V866" t="s">
        <v>6375</v>
      </c>
      <c r="W866" t="s">
        <v>6344</v>
      </c>
      <c r="X866">
        <v>104</v>
      </c>
      <c r="Y866" t="s">
        <v>70</v>
      </c>
      <c r="Z866">
        <v>268</v>
      </c>
    </row>
    <row r="867" spans="1:26" x14ac:dyDescent="0.3">
      <c r="A867">
        <v>866</v>
      </c>
      <c r="B867" t="s">
        <v>1990</v>
      </c>
      <c r="C867" t="s">
        <v>34</v>
      </c>
      <c r="D867" t="s">
        <v>30</v>
      </c>
      <c r="E867" t="s">
        <v>77</v>
      </c>
      <c r="F867" t="s">
        <v>6389</v>
      </c>
      <c r="G867" t="s">
        <v>6392</v>
      </c>
      <c r="J867">
        <f>AVERAGE(ai_job_market[[#This Row],[min_salary]],ai_job_market[[#This Row],[max_salary]])</f>
        <v>116864</v>
      </c>
      <c r="K867"/>
      <c r="L867" t="s">
        <v>22</v>
      </c>
      <c r="M867" t="s">
        <v>37</v>
      </c>
      <c r="N867" t="s">
        <v>5316</v>
      </c>
      <c r="O867" t="s">
        <v>5098</v>
      </c>
      <c r="P867">
        <v>100619</v>
      </c>
      <c r="Q867">
        <v>133109</v>
      </c>
      <c r="R867" s="2">
        <v>45738</v>
      </c>
      <c r="S867" t="s">
        <v>69</v>
      </c>
      <c r="T867" t="s">
        <v>128</v>
      </c>
      <c r="U867" t="s">
        <v>6383</v>
      </c>
      <c r="W867" t="s">
        <v>77</v>
      </c>
      <c r="X867">
        <v>111</v>
      </c>
      <c r="Y867" t="s">
        <v>128</v>
      </c>
      <c r="Z867">
        <v>233</v>
      </c>
    </row>
    <row r="868" spans="1:26" x14ac:dyDescent="0.3">
      <c r="A868">
        <v>867</v>
      </c>
      <c r="B868" t="s">
        <v>1992</v>
      </c>
      <c r="C868" t="s">
        <v>40</v>
      </c>
      <c r="D868" t="s">
        <v>54</v>
      </c>
      <c r="E868" t="s">
        <v>6344</v>
      </c>
      <c r="F868" t="s">
        <v>6378</v>
      </c>
      <c r="G868" t="s">
        <v>6379</v>
      </c>
      <c r="H868" t="s">
        <v>6397</v>
      </c>
      <c r="J868" s="6">
        <f>AVERAGE(ai_job_market[[#This Row],[min_salary]],ai_job_market[[#This Row],[max_salary]])</f>
        <v>135398.5</v>
      </c>
      <c r="K868"/>
      <c r="L868" t="s">
        <v>27</v>
      </c>
      <c r="M868" t="s">
        <v>42</v>
      </c>
      <c r="N868" t="s">
        <v>4475</v>
      </c>
      <c r="O868" t="s">
        <v>4842</v>
      </c>
      <c r="P868" s="5">
        <v>99808</v>
      </c>
      <c r="Q868" s="5">
        <v>170989</v>
      </c>
      <c r="R868" s="2">
        <v>45727</v>
      </c>
      <c r="S868" t="s">
        <v>16</v>
      </c>
      <c r="T868" t="s">
        <v>70</v>
      </c>
      <c r="U868" t="s">
        <v>6376</v>
      </c>
      <c r="V868" t="s">
        <v>6389</v>
      </c>
      <c r="W868" t="s">
        <v>6344</v>
      </c>
      <c r="X868">
        <v>104</v>
      </c>
      <c r="Y868" t="s">
        <v>70</v>
      </c>
      <c r="Z868">
        <v>268</v>
      </c>
    </row>
    <row r="869" spans="1:26" x14ac:dyDescent="0.3">
      <c r="A869">
        <v>868</v>
      </c>
      <c r="B869" t="s">
        <v>1994</v>
      </c>
      <c r="C869" t="s">
        <v>45</v>
      </c>
      <c r="D869" t="s">
        <v>67</v>
      </c>
      <c r="E869" t="s">
        <v>6345</v>
      </c>
      <c r="F869" t="s">
        <v>6386</v>
      </c>
      <c r="G869" t="s">
        <v>6381</v>
      </c>
      <c r="H869" t="s">
        <v>6380</v>
      </c>
      <c r="J869" s="6">
        <f>AVERAGE(ai_job_market[[#This Row],[min_salary]],ai_job_market[[#This Row],[max_salary]])</f>
        <v>126599</v>
      </c>
      <c r="K869"/>
      <c r="L869" t="s">
        <v>27</v>
      </c>
      <c r="M869" t="s">
        <v>42</v>
      </c>
      <c r="N869" t="s">
        <v>5317</v>
      </c>
      <c r="O869" t="s">
        <v>4444</v>
      </c>
      <c r="P869" s="5">
        <v>90343</v>
      </c>
      <c r="Q869" s="5">
        <v>162855</v>
      </c>
      <c r="R869" s="2">
        <v>45370</v>
      </c>
      <c r="S869" t="s">
        <v>14</v>
      </c>
      <c r="T869" t="s">
        <v>90</v>
      </c>
      <c r="U869" t="s">
        <v>6378</v>
      </c>
      <c r="W869" t="s">
        <v>6345</v>
      </c>
      <c r="X869">
        <v>101</v>
      </c>
      <c r="Y869" t="s">
        <v>90</v>
      </c>
      <c r="Z869">
        <v>259</v>
      </c>
    </row>
    <row r="870" spans="1:26" x14ac:dyDescent="0.3">
      <c r="A870">
        <v>869</v>
      </c>
      <c r="B870" t="s">
        <v>1996</v>
      </c>
      <c r="C870" t="s">
        <v>34</v>
      </c>
      <c r="D870" t="s">
        <v>67</v>
      </c>
      <c r="E870" t="s">
        <v>6355</v>
      </c>
      <c r="F870" t="s">
        <v>6394</v>
      </c>
      <c r="G870" t="s">
        <v>6382</v>
      </c>
      <c r="H870" t="s">
        <v>6389</v>
      </c>
      <c r="J870">
        <f>AVERAGE(ai_job_market[[#This Row],[min_salary]],ai_job_market[[#This Row],[max_salary]])</f>
        <v>102030.5</v>
      </c>
      <c r="K870"/>
      <c r="L870" t="s">
        <v>22</v>
      </c>
      <c r="M870" t="s">
        <v>37</v>
      </c>
      <c r="N870" t="s">
        <v>4748</v>
      </c>
      <c r="O870" t="s">
        <v>4927</v>
      </c>
      <c r="P870">
        <v>75703</v>
      </c>
      <c r="Q870">
        <v>128358</v>
      </c>
      <c r="R870" s="2">
        <v>45728</v>
      </c>
      <c r="S870" t="s">
        <v>14</v>
      </c>
      <c r="T870" t="s">
        <v>101</v>
      </c>
      <c r="W870" t="s">
        <v>6355</v>
      </c>
      <c r="X870">
        <v>90</v>
      </c>
      <c r="Y870" t="s">
        <v>101</v>
      </c>
      <c r="Z870">
        <v>255</v>
      </c>
    </row>
    <row r="871" spans="1:26" x14ac:dyDescent="0.3">
      <c r="A871">
        <v>870</v>
      </c>
      <c r="B871" t="s">
        <v>1998</v>
      </c>
      <c r="C871" t="s">
        <v>49</v>
      </c>
      <c r="D871" t="s">
        <v>20</v>
      </c>
      <c r="E871" t="s">
        <v>6353</v>
      </c>
      <c r="F871" t="s">
        <v>6381</v>
      </c>
      <c r="G871" t="s">
        <v>6385</v>
      </c>
      <c r="H871" t="s">
        <v>6378</v>
      </c>
      <c r="J871">
        <f>AVERAGE(ai_job_market[[#This Row],[min_salary]],ai_job_market[[#This Row],[max_salary]])</f>
        <v>114118</v>
      </c>
      <c r="K871"/>
      <c r="L871" t="s">
        <v>27</v>
      </c>
      <c r="M871" t="s">
        <v>51</v>
      </c>
      <c r="N871" t="s">
        <v>5318</v>
      </c>
      <c r="O871" t="s">
        <v>4849</v>
      </c>
      <c r="P871">
        <v>83952</v>
      </c>
      <c r="Q871">
        <v>144284</v>
      </c>
      <c r="R871" s="2">
        <v>45874</v>
      </c>
      <c r="S871" t="s">
        <v>14</v>
      </c>
      <c r="T871" t="s">
        <v>70</v>
      </c>
      <c r="U871" t="s">
        <v>6384</v>
      </c>
      <c r="W871" t="s">
        <v>6353</v>
      </c>
      <c r="X871">
        <v>86</v>
      </c>
      <c r="Y871" t="s">
        <v>70</v>
      </c>
      <c r="Z871">
        <v>268</v>
      </c>
    </row>
    <row r="872" spans="1:26" x14ac:dyDescent="0.3">
      <c r="A872">
        <v>871</v>
      </c>
      <c r="B872" t="s">
        <v>2000</v>
      </c>
      <c r="C872" t="s">
        <v>45</v>
      </c>
      <c r="D872" t="s">
        <v>135</v>
      </c>
      <c r="E872" t="s">
        <v>6348</v>
      </c>
      <c r="F872" t="s">
        <v>6377</v>
      </c>
      <c r="G872" t="s">
        <v>6380</v>
      </c>
      <c r="H872" t="s">
        <v>6394</v>
      </c>
      <c r="I872" t="s">
        <v>6386</v>
      </c>
      <c r="J872">
        <f>AVERAGE(ai_job_market[[#This Row],[min_salary]],ai_job_market[[#This Row],[max_salary]])</f>
        <v>100565.5</v>
      </c>
      <c r="K872"/>
      <c r="L872" t="s">
        <v>14</v>
      </c>
      <c r="M872" t="s">
        <v>42</v>
      </c>
      <c r="N872" t="s">
        <v>5319</v>
      </c>
      <c r="O872" t="s">
        <v>4704</v>
      </c>
      <c r="P872">
        <v>69325</v>
      </c>
      <c r="Q872">
        <v>131806</v>
      </c>
      <c r="R872" s="2">
        <v>45292</v>
      </c>
      <c r="S872" t="s">
        <v>16</v>
      </c>
      <c r="T872" t="s">
        <v>128</v>
      </c>
      <c r="W872" t="s">
        <v>6348</v>
      </c>
      <c r="X872">
        <v>78</v>
      </c>
      <c r="Y872" t="s">
        <v>128</v>
      </c>
      <c r="Z872">
        <v>233</v>
      </c>
    </row>
    <row r="873" spans="1:26" x14ac:dyDescent="0.3">
      <c r="A873">
        <v>872</v>
      </c>
      <c r="B873" t="s">
        <v>2002</v>
      </c>
      <c r="C873" t="s">
        <v>34</v>
      </c>
      <c r="D873" t="s">
        <v>67</v>
      </c>
      <c r="E873" t="s">
        <v>6352</v>
      </c>
      <c r="F873" t="s">
        <v>6381</v>
      </c>
      <c r="G873" t="s">
        <v>6377</v>
      </c>
      <c r="H873" t="s">
        <v>6394</v>
      </c>
      <c r="I873" t="s">
        <v>6380</v>
      </c>
      <c r="J873">
        <f>AVERAGE(ai_job_market[[#This Row],[min_salary]],ai_job_market[[#This Row],[max_salary]])</f>
        <v>190425.5</v>
      </c>
      <c r="K873" t="s">
        <v>6391</v>
      </c>
      <c r="L873" t="s">
        <v>27</v>
      </c>
      <c r="M873" t="s">
        <v>15</v>
      </c>
      <c r="N873" t="s">
        <v>5320</v>
      </c>
      <c r="O873" t="s">
        <v>4433</v>
      </c>
      <c r="P873">
        <v>144735</v>
      </c>
      <c r="Q873">
        <v>236116</v>
      </c>
      <c r="R873" s="2">
        <v>45296</v>
      </c>
      <c r="S873" t="s">
        <v>16</v>
      </c>
      <c r="T873" t="s">
        <v>80</v>
      </c>
      <c r="U873" t="s">
        <v>6378</v>
      </c>
      <c r="W873" t="s">
        <v>6352</v>
      </c>
      <c r="X873">
        <v>97</v>
      </c>
      <c r="Y873" t="s">
        <v>80</v>
      </c>
      <c r="Z873">
        <v>249</v>
      </c>
    </row>
    <row r="874" spans="1:26" x14ac:dyDescent="0.3">
      <c r="A874">
        <v>873</v>
      </c>
      <c r="B874" t="s">
        <v>2004</v>
      </c>
      <c r="C874" t="s">
        <v>34</v>
      </c>
      <c r="D874" t="s">
        <v>12</v>
      </c>
      <c r="E874" t="s">
        <v>6358</v>
      </c>
      <c r="F874" t="s">
        <v>6389</v>
      </c>
      <c r="G874" t="s">
        <v>6397</v>
      </c>
      <c r="H874" t="s">
        <v>6375</v>
      </c>
      <c r="I874" t="s">
        <v>6376</v>
      </c>
      <c r="J874">
        <f>AVERAGE(ai_job_market[[#This Row],[min_salary]],ai_job_market[[#This Row],[max_salary]])</f>
        <v>119570.5</v>
      </c>
      <c r="K874"/>
      <c r="L874" t="s">
        <v>27</v>
      </c>
      <c r="M874" t="s">
        <v>15</v>
      </c>
      <c r="N874" t="s">
        <v>5321</v>
      </c>
      <c r="O874" t="s">
        <v>4628</v>
      </c>
      <c r="P874">
        <v>101118</v>
      </c>
      <c r="Q874">
        <v>138023</v>
      </c>
      <c r="R874" s="2">
        <v>45645</v>
      </c>
      <c r="S874" t="s">
        <v>69</v>
      </c>
      <c r="T874" t="s">
        <v>157</v>
      </c>
      <c r="W874" t="s">
        <v>6358</v>
      </c>
      <c r="X874">
        <v>96</v>
      </c>
      <c r="Y874" t="s">
        <v>157</v>
      </c>
      <c r="Z874">
        <v>247</v>
      </c>
    </row>
    <row r="875" spans="1:26" x14ac:dyDescent="0.3">
      <c r="A875">
        <v>874</v>
      </c>
      <c r="B875" t="s">
        <v>2006</v>
      </c>
      <c r="C875" t="s">
        <v>49</v>
      </c>
      <c r="D875" t="s">
        <v>12</v>
      </c>
      <c r="E875" t="s">
        <v>6358</v>
      </c>
      <c r="F875" t="s">
        <v>6376</v>
      </c>
      <c r="G875" t="s">
        <v>6387</v>
      </c>
      <c r="J875">
        <f>AVERAGE(ai_job_market[[#This Row],[min_salary]],ai_job_market[[#This Row],[max_salary]])</f>
        <v>170132</v>
      </c>
      <c r="K875"/>
      <c r="L875" t="s">
        <v>14</v>
      </c>
      <c r="M875" t="s">
        <v>51</v>
      </c>
      <c r="N875" t="s">
        <v>5322</v>
      </c>
      <c r="O875" t="s">
        <v>4486</v>
      </c>
      <c r="P875">
        <v>147137</v>
      </c>
      <c r="Q875">
        <v>193127</v>
      </c>
      <c r="R875" s="2">
        <v>45797</v>
      </c>
      <c r="S875" t="s">
        <v>16</v>
      </c>
      <c r="T875" t="s">
        <v>70</v>
      </c>
      <c r="U875" t="s">
        <v>6376</v>
      </c>
      <c r="V875" t="s">
        <v>6375</v>
      </c>
      <c r="W875" t="s">
        <v>6358</v>
      </c>
      <c r="X875">
        <v>96</v>
      </c>
      <c r="Y875" t="s">
        <v>70</v>
      </c>
      <c r="Z875">
        <v>268</v>
      </c>
    </row>
    <row r="876" spans="1:26" x14ac:dyDescent="0.3">
      <c r="A876">
        <v>875</v>
      </c>
      <c r="B876" t="s">
        <v>1551</v>
      </c>
      <c r="C876" t="s">
        <v>40</v>
      </c>
      <c r="D876" t="s">
        <v>54</v>
      </c>
      <c r="E876" t="s">
        <v>6349</v>
      </c>
      <c r="F876" t="s">
        <v>6389</v>
      </c>
      <c r="G876" t="s">
        <v>6386</v>
      </c>
      <c r="H876" t="s">
        <v>6381</v>
      </c>
      <c r="I876" t="s">
        <v>6396</v>
      </c>
      <c r="J876">
        <f>AVERAGE(ai_job_market[[#This Row],[min_salary]],ai_job_market[[#This Row],[max_salary]])</f>
        <v>93430.5</v>
      </c>
      <c r="K876"/>
      <c r="L876" t="s">
        <v>22</v>
      </c>
      <c r="M876" t="s">
        <v>37</v>
      </c>
      <c r="N876" t="s">
        <v>5323</v>
      </c>
      <c r="O876" t="s">
        <v>4478</v>
      </c>
      <c r="P876">
        <v>52210</v>
      </c>
      <c r="Q876">
        <v>134651</v>
      </c>
      <c r="R876" s="2">
        <v>45904</v>
      </c>
      <c r="S876" t="s">
        <v>69</v>
      </c>
      <c r="T876" t="s">
        <v>77</v>
      </c>
      <c r="W876" t="s">
        <v>6349</v>
      </c>
      <c r="X876">
        <v>96</v>
      </c>
      <c r="Y876" t="s">
        <v>77</v>
      </c>
      <c r="Z876">
        <v>251</v>
      </c>
    </row>
    <row r="877" spans="1:26" x14ac:dyDescent="0.3">
      <c r="A877">
        <v>876</v>
      </c>
      <c r="B877" t="s">
        <v>2009</v>
      </c>
      <c r="C877" t="s">
        <v>11</v>
      </c>
      <c r="D877" t="s">
        <v>54</v>
      </c>
      <c r="E877" t="s">
        <v>6354</v>
      </c>
      <c r="F877" t="s">
        <v>6396</v>
      </c>
      <c r="G877" t="s">
        <v>6385</v>
      </c>
      <c r="J877">
        <f>AVERAGE(ai_job_market[[#This Row],[min_salary]],ai_job_market[[#This Row],[max_salary]])</f>
        <v>107877</v>
      </c>
      <c r="K877"/>
      <c r="L877" t="s">
        <v>22</v>
      </c>
      <c r="M877" t="s">
        <v>51</v>
      </c>
      <c r="N877" t="s">
        <v>5324</v>
      </c>
      <c r="O877" t="s">
        <v>4325</v>
      </c>
      <c r="P877">
        <v>65715</v>
      </c>
      <c r="Q877">
        <v>150039</v>
      </c>
      <c r="R877" s="2">
        <v>45906</v>
      </c>
      <c r="S877" t="s">
        <v>69</v>
      </c>
      <c r="T877" t="s">
        <v>157</v>
      </c>
      <c r="U877" t="s">
        <v>6378</v>
      </c>
      <c r="W877" t="s">
        <v>6354</v>
      </c>
      <c r="X877">
        <v>75</v>
      </c>
      <c r="Y877" t="s">
        <v>157</v>
      </c>
      <c r="Z877">
        <v>247</v>
      </c>
    </row>
    <row r="878" spans="1:26" x14ac:dyDescent="0.3">
      <c r="A878">
        <v>877</v>
      </c>
      <c r="B878" t="s">
        <v>2011</v>
      </c>
      <c r="C878" t="s">
        <v>40</v>
      </c>
      <c r="D878" t="s">
        <v>25</v>
      </c>
      <c r="E878" t="s">
        <v>70</v>
      </c>
      <c r="F878" t="s">
        <v>6387</v>
      </c>
      <c r="G878" t="s">
        <v>6390</v>
      </c>
      <c r="H878" t="s">
        <v>6397</v>
      </c>
      <c r="I878" t="s">
        <v>6384</v>
      </c>
      <c r="J878" s="6">
        <f>AVERAGE(ai_job_market[[#This Row],[min_salary]],ai_job_market[[#This Row],[max_salary]])</f>
        <v>154021.5</v>
      </c>
      <c r="K878" t="s">
        <v>6396</v>
      </c>
      <c r="L878" t="s">
        <v>14</v>
      </c>
      <c r="M878" t="s">
        <v>15</v>
      </c>
      <c r="N878" t="s">
        <v>5325</v>
      </c>
      <c r="O878" t="s">
        <v>4399</v>
      </c>
      <c r="P878" s="5">
        <v>133828</v>
      </c>
      <c r="Q878" s="5">
        <v>174215</v>
      </c>
      <c r="R878" s="2">
        <v>45466</v>
      </c>
      <c r="S878" t="s">
        <v>14</v>
      </c>
      <c r="T878" t="s">
        <v>70</v>
      </c>
      <c r="W878" t="s">
        <v>70</v>
      </c>
      <c r="X878">
        <v>100</v>
      </c>
      <c r="Y878" t="s">
        <v>70</v>
      </c>
      <c r="Z878">
        <v>268</v>
      </c>
    </row>
    <row r="879" spans="1:26" x14ac:dyDescent="0.3">
      <c r="A879">
        <v>878</v>
      </c>
      <c r="B879" t="s">
        <v>1632</v>
      </c>
      <c r="C879" t="s">
        <v>45</v>
      </c>
      <c r="D879" t="s">
        <v>25</v>
      </c>
      <c r="E879" t="s">
        <v>80</v>
      </c>
      <c r="F879" t="s">
        <v>6374</v>
      </c>
      <c r="G879" t="s">
        <v>6379</v>
      </c>
      <c r="J879">
        <f>AVERAGE(ai_job_market[[#This Row],[min_salary]],ai_job_market[[#This Row],[max_salary]])</f>
        <v>111165</v>
      </c>
      <c r="K879"/>
      <c r="L879" t="s">
        <v>27</v>
      </c>
      <c r="M879" t="s">
        <v>42</v>
      </c>
      <c r="N879" t="s">
        <v>5326</v>
      </c>
      <c r="O879" t="s">
        <v>4584</v>
      </c>
      <c r="P879">
        <v>70866</v>
      </c>
      <c r="Q879">
        <v>151464</v>
      </c>
      <c r="R879" s="2">
        <v>45753</v>
      </c>
      <c r="S879" t="s">
        <v>16</v>
      </c>
      <c r="T879" t="s">
        <v>77</v>
      </c>
      <c r="W879" t="s">
        <v>80</v>
      </c>
      <c r="X879">
        <v>95</v>
      </c>
      <c r="Y879" t="s">
        <v>77</v>
      </c>
      <c r="Z879">
        <v>251</v>
      </c>
    </row>
    <row r="880" spans="1:26" x14ac:dyDescent="0.3">
      <c r="A880">
        <v>879</v>
      </c>
      <c r="B880" t="s">
        <v>2014</v>
      </c>
      <c r="C880" t="s">
        <v>19</v>
      </c>
      <c r="D880" t="s">
        <v>35</v>
      </c>
      <c r="E880" t="s">
        <v>6355</v>
      </c>
      <c r="F880" t="s">
        <v>6392</v>
      </c>
      <c r="G880" t="s">
        <v>6376</v>
      </c>
      <c r="H880" t="s">
        <v>6390</v>
      </c>
      <c r="I880" t="s">
        <v>6394</v>
      </c>
      <c r="J880">
        <f>AVERAGE(ai_job_market[[#This Row],[min_salary]],ai_job_market[[#This Row],[max_salary]])</f>
        <v>166314</v>
      </c>
      <c r="K880" t="s">
        <v>6378</v>
      </c>
      <c r="L880" t="s">
        <v>27</v>
      </c>
      <c r="M880" t="s">
        <v>37</v>
      </c>
      <c r="N880" t="s">
        <v>5327</v>
      </c>
      <c r="O880" t="s">
        <v>4643</v>
      </c>
      <c r="P880">
        <v>128320</v>
      </c>
      <c r="Q880">
        <v>204308</v>
      </c>
      <c r="R880" s="2">
        <v>45879</v>
      </c>
      <c r="S880" t="s">
        <v>14</v>
      </c>
      <c r="T880" t="s">
        <v>90</v>
      </c>
      <c r="U880" t="s">
        <v>6376</v>
      </c>
      <c r="W880" t="s">
        <v>6355</v>
      </c>
      <c r="X880">
        <v>90</v>
      </c>
      <c r="Y880" t="s">
        <v>90</v>
      </c>
      <c r="Z880">
        <v>259</v>
      </c>
    </row>
    <row r="881" spans="1:26" x14ac:dyDescent="0.3">
      <c r="A881">
        <v>880</v>
      </c>
      <c r="B881" t="s">
        <v>2016</v>
      </c>
      <c r="C881" t="s">
        <v>40</v>
      </c>
      <c r="D881" t="s">
        <v>30</v>
      </c>
      <c r="E881" t="s">
        <v>6356</v>
      </c>
      <c r="F881" t="s">
        <v>6379</v>
      </c>
      <c r="G881" t="s">
        <v>6395</v>
      </c>
      <c r="H881" t="s">
        <v>6391</v>
      </c>
      <c r="J881">
        <f>AVERAGE(ai_job_market[[#This Row],[min_salary]],ai_job_market[[#This Row],[max_salary]])</f>
        <v>94436</v>
      </c>
      <c r="K881"/>
      <c r="L881" t="s">
        <v>14</v>
      </c>
      <c r="M881" t="s">
        <v>15</v>
      </c>
      <c r="N881" t="s">
        <v>5328</v>
      </c>
      <c r="O881" t="s">
        <v>4835</v>
      </c>
      <c r="P881">
        <v>58910</v>
      </c>
      <c r="Q881">
        <v>129962</v>
      </c>
      <c r="R881" s="2">
        <v>45472</v>
      </c>
      <c r="S881" t="s">
        <v>16</v>
      </c>
      <c r="T881" t="s">
        <v>157</v>
      </c>
      <c r="U881" t="s">
        <v>6379</v>
      </c>
      <c r="W881" t="s">
        <v>6356</v>
      </c>
      <c r="X881">
        <v>86</v>
      </c>
      <c r="Y881" t="s">
        <v>157</v>
      </c>
      <c r="Z881">
        <v>247</v>
      </c>
    </row>
    <row r="882" spans="1:26" x14ac:dyDescent="0.3">
      <c r="A882">
        <v>881</v>
      </c>
      <c r="B882" t="s">
        <v>2018</v>
      </c>
      <c r="C882" t="s">
        <v>34</v>
      </c>
      <c r="D882" t="s">
        <v>67</v>
      </c>
      <c r="E882" t="s">
        <v>77</v>
      </c>
      <c r="F882" t="s">
        <v>6393</v>
      </c>
      <c r="G882" t="s">
        <v>6382</v>
      </c>
      <c r="H882" t="s">
        <v>6379</v>
      </c>
      <c r="J882">
        <f>AVERAGE(ai_job_market[[#This Row],[min_salary]],ai_job_market[[#This Row],[max_salary]])</f>
        <v>147868</v>
      </c>
      <c r="K882"/>
      <c r="L882" t="s">
        <v>22</v>
      </c>
      <c r="M882" t="s">
        <v>51</v>
      </c>
      <c r="N882" t="s">
        <v>5329</v>
      </c>
      <c r="O882" t="s">
        <v>4506</v>
      </c>
      <c r="P882">
        <v>127058</v>
      </c>
      <c r="Q882">
        <v>168678</v>
      </c>
      <c r="R882" s="2">
        <v>45341</v>
      </c>
      <c r="S882" t="s">
        <v>69</v>
      </c>
      <c r="T882" t="s">
        <v>101</v>
      </c>
      <c r="W882" t="s">
        <v>77</v>
      </c>
      <c r="X882">
        <v>111</v>
      </c>
      <c r="Y882" t="s">
        <v>101</v>
      </c>
      <c r="Z882">
        <v>255</v>
      </c>
    </row>
    <row r="883" spans="1:26" x14ac:dyDescent="0.3">
      <c r="A883">
        <v>882</v>
      </c>
      <c r="B883" t="s">
        <v>2020</v>
      </c>
      <c r="C883" t="s">
        <v>40</v>
      </c>
      <c r="D883" t="s">
        <v>35</v>
      </c>
      <c r="E883" t="s">
        <v>6344</v>
      </c>
      <c r="F883" t="s">
        <v>6382</v>
      </c>
      <c r="G883" t="s">
        <v>6380</v>
      </c>
      <c r="H883" t="s">
        <v>6386</v>
      </c>
      <c r="J883">
        <f>AVERAGE(ai_job_market[[#This Row],[min_salary]],ai_job_market[[#This Row],[max_salary]])</f>
        <v>75497</v>
      </c>
      <c r="K883"/>
      <c r="L883" t="s">
        <v>14</v>
      </c>
      <c r="M883" t="s">
        <v>37</v>
      </c>
      <c r="N883" t="s">
        <v>5330</v>
      </c>
      <c r="O883" t="s">
        <v>4582</v>
      </c>
      <c r="P883">
        <v>49767</v>
      </c>
      <c r="Q883">
        <v>101227</v>
      </c>
      <c r="R883" s="2">
        <v>45736</v>
      </c>
      <c r="S883" t="s">
        <v>69</v>
      </c>
      <c r="T883" t="s">
        <v>52</v>
      </c>
      <c r="W883" t="s">
        <v>6344</v>
      </c>
      <c r="X883">
        <v>104</v>
      </c>
      <c r="Y883" t="s">
        <v>52</v>
      </c>
      <c r="Z883">
        <v>238</v>
      </c>
    </row>
    <row r="884" spans="1:26" x14ac:dyDescent="0.3">
      <c r="A884">
        <v>883</v>
      </c>
      <c r="B884" t="s">
        <v>2022</v>
      </c>
      <c r="C884" t="s">
        <v>34</v>
      </c>
      <c r="D884" t="s">
        <v>25</v>
      </c>
      <c r="E884" t="s">
        <v>6355</v>
      </c>
      <c r="F884" t="s">
        <v>6379</v>
      </c>
      <c r="G884" t="s">
        <v>6377</v>
      </c>
      <c r="H884" t="s">
        <v>6386</v>
      </c>
      <c r="I884" t="s">
        <v>6392</v>
      </c>
      <c r="J884" s="6">
        <f>AVERAGE(ai_job_market[[#This Row],[min_salary]],ai_job_market[[#This Row],[max_salary]])</f>
        <v>188178.5</v>
      </c>
      <c r="K884"/>
      <c r="L884" t="s">
        <v>22</v>
      </c>
      <c r="M884" t="s">
        <v>37</v>
      </c>
      <c r="N884" t="s">
        <v>5331</v>
      </c>
      <c r="O884" t="s">
        <v>4365</v>
      </c>
      <c r="P884" s="5">
        <v>146173</v>
      </c>
      <c r="Q884" s="5">
        <v>230184</v>
      </c>
      <c r="R884" s="2">
        <v>45437</v>
      </c>
      <c r="S884" t="s">
        <v>16</v>
      </c>
      <c r="T884" t="s">
        <v>90</v>
      </c>
      <c r="W884" t="s">
        <v>6355</v>
      </c>
      <c r="X884">
        <v>90</v>
      </c>
      <c r="Y884" t="s">
        <v>90</v>
      </c>
      <c r="Z884">
        <v>259</v>
      </c>
    </row>
    <row r="885" spans="1:26" x14ac:dyDescent="0.3">
      <c r="A885">
        <v>884</v>
      </c>
      <c r="B885" t="s">
        <v>2024</v>
      </c>
      <c r="C885" t="s">
        <v>19</v>
      </c>
      <c r="D885" t="s">
        <v>54</v>
      </c>
      <c r="E885" t="s">
        <v>6349</v>
      </c>
      <c r="F885" t="s">
        <v>6381</v>
      </c>
      <c r="G885" t="s">
        <v>6374</v>
      </c>
      <c r="H885" t="s">
        <v>6376</v>
      </c>
      <c r="I885" t="s">
        <v>6377</v>
      </c>
      <c r="J885">
        <f>AVERAGE(ai_job_market[[#This Row],[min_salary]],ai_job_market[[#This Row],[max_salary]])</f>
        <v>135885.5</v>
      </c>
      <c r="K885"/>
      <c r="L885" t="s">
        <v>27</v>
      </c>
      <c r="M885" t="s">
        <v>42</v>
      </c>
      <c r="N885" t="s">
        <v>5332</v>
      </c>
      <c r="O885" t="s">
        <v>4518</v>
      </c>
      <c r="P885">
        <v>88607</v>
      </c>
      <c r="Q885">
        <v>183164</v>
      </c>
      <c r="R885" s="2">
        <v>45709</v>
      </c>
      <c r="S885" t="s">
        <v>16</v>
      </c>
      <c r="T885" t="s">
        <v>70</v>
      </c>
      <c r="W885" t="s">
        <v>6349</v>
      </c>
      <c r="X885">
        <v>96</v>
      </c>
      <c r="Y885" t="s">
        <v>70</v>
      </c>
      <c r="Z885">
        <v>268</v>
      </c>
    </row>
    <row r="886" spans="1:26" x14ac:dyDescent="0.3">
      <c r="A886">
        <v>885</v>
      </c>
      <c r="B886" t="s">
        <v>2026</v>
      </c>
      <c r="C886" t="s">
        <v>72</v>
      </c>
      <c r="D886" t="s">
        <v>54</v>
      </c>
      <c r="E886" t="s">
        <v>90</v>
      </c>
      <c r="F886" t="s">
        <v>6394</v>
      </c>
      <c r="G886" t="s">
        <v>6392</v>
      </c>
      <c r="H886" t="s">
        <v>6378</v>
      </c>
      <c r="I886" t="s">
        <v>6393</v>
      </c>
      <c r="J886">
        <f>AVERAGE(ai_job_market[[#This Row],[min_salary]],ai_job_market[[#This Row],[max_salary]])</f>
        <v>162662</v>
      </c>
      <c r="K886" t="s">
        <v>6375</v>
      </c>
      <c r="L886" t="s">
        <v>22</v>
      </c>
      <c r="M886" t="s">
        <v>37</v>
      </c>
      <c r="N886" t="s">
        <v>5333</v>
      </c>
      <c r="O886" t="s">
        <v>4437</v>
      </c>
      <c r="P886">
        <v>147037</v>
      </c>
      <c r="Q886">
        <v>178287</v>
      </c>
      <c r="R886" s="2">
        <v>45702</v>
      </c>
      <c r="S886" t="s">
        <v>69</v>
      </c>
      <c r="T886" t="s">
        <v>101</v>
      </c>
      <c r="U886" t="s">
        <v>6379</v>
      </c>
      <c r="V886" t="s">
        <v>6388</v>
      </c>
      <c r="W886" t="s">
        <v>90</v>
      </c>
      <c r="X886">
        <v>80</v>
      </c>
      <c r="Y886" t="s">
        <v>101</v>
      </c>
      <c r="Z886">
        <v>255</v>
      </c>
    </row>
    <row r="887" spans="1:26" x14ac:dyDescent="0.3">
      <c r="A887">
        <v>886</v>
      </c>
      <c r="B887" t="s">
        <v>2028</v>
      </c>
      <c r="C887" t="s">
        <v>19</v>
      </c>
      <c r="D887" t="s">
        <v>25</v>
      </c>
      <c r="E887" t="s">
        <v>6345</v>
      </c>
      <c r="F887" t="s">
        <v>6387</v>
      </c>
      <c r="G887" t="s">
        <v>6393</v>
      </c>
      <c r="J887">
        <f>AVERAGE(ai_job_market[[#This Row],[min_salary]],ai_job_market[[#This Row],[max_salary]])</f>
        <v>120627</v>
      </c>
      <c r="K887"/>
      <c r="L887" t="s">
        <v>22</v>
      </c>
      <c r="M887" t="s">
        <v>15</v>
      </c>
      <c r="N887" t="s">
        <v>5334</v>
      </c>
      <c r="O887" t="s">
        <v>4927</v>
      </c>
      <c r="P887">
        <v>71180</v>
      </c>
      <c r="Q887">
        <v>170074</v>
      </c>
      <c r="R887" s="2">
        <v>45332</v>
      </c>
      <c r="S887" t="s">
        <v>14</v>
      </c>
      <c r="T887" t="s">
        <v>101</v>
      </c>
      <c r="W887" t="s">
        <v>6345</v>
      </c>
      <c r="X887">
        <v>101</v>
      </c>
      <c r="Y887" t="s">
        <v>101</v>
      </c>
      <c r="Z887">
        <v>255</v>
      </c>
    </row>
    <row r="888" spans="1:26" x14ac:dyDescent="0.3">
      <c r="A888">
        <v>887</v>
      </c>
      <c r="B888" t="s">
        <v>2030</v>
      </c>
      <c r="C888" t="s">
        <v>45</v>
      </c>
      <c r="D888" t="s">
        <v>135</v>
      </c>
      <c r="E888" t="s">
        <v>6344</v>
      </c>
      <c r="F888" t="s">
        <v>6375</v>
      </c>
      <c r="G888" t="s">
        <v>6385</v>
      </c>
      <c r="H888" t="s">
        <v>6387</v>
      </c>
      <c r="I888" t="s">
        <v>6391</v>
      </c>
      <c r="J888" s="6">
        <f>AVERAGE(ai_job_market[[#This Row],[min_salary]],ai_job_market[[#This Row],[max_salary]])</f>
        <v>160403</v>
      </c>
      <c r="K888"/>
      <c r="L888" t="s">
        <v>27</v>
      </c>
      <c r="M888" t="s">
        <v>37</v>
      </c>
      <c r="N888" t="s">
        <v>5335</v>
      </c>
      <c r="O888" t="s">
        <v>4427</v>
      </c>
      <c r="P888" s="5">
        <v>130422</v>
      </c>
      <c r="Q888" s="5">
        <v>190384</v>
      </c>
      <c r="R888" s="2">
        <v>45324</v>
      </c>
      <c r="S888" t="s">
        <v>16</v>
      </c>
      <c r="T888" t="s">
        <v>52</v>
      </c>
      <c r="U888" t="s">
        <v>6375</v>
      </c>
      <c r="W888" t="s">
        <v>6344</v>
      </c>
      <c r="X888">
        <v>104</v>
      </c>
      <c r="Y888" t="s">
        <v>52</v>
      </c>
      <c r="Z888">
        <v>238</v>
      </c>
    </row>
    <row r="889" spans="1:26" x14ac:dyDescent="0.3">
      <c r="A889">
        <v>888</v>
      </c>
      <c r="B889" t="s">
        <v>2032</v>
      </c>
      <c r="C889" t="s">
        <v>72</v>
      </c>
      <c r="D889" t="s">
        <v>135</v>
      </c>
      <c r="E889" t="s">
        <v>6345</v>
      </c>
      <c r="F889" t="s">
        <v>6390</v>
      </c>
      <c r="G889" t="s">
        <v>6377</v>
      </c>
      <c r="H889" t="s">
        <v>6378</v>
      </c>
      <c r="I889" t="s">
        <v>6382</v>
      </c>
      <c r="J889">
        <f>AVERAGE(ai_job_market[[#This Row],[min_salary]],ai_job_market[[#This Row],[max_salary]])</f>
        <v>78742.5</v>
      </c>
      <c r="K889" t="s">
        <v>6394</v>
      </c>
      <c r="L889" t="s">
        <v>14</v>
      </c>
      <c r="M889" t="s">
        <v>51</v>
      </c>
      <c r="N889" t="s">
        <v>5336</v>
      </c>
      <c r="O889" t="s">
        <v>4387</v>
      </c>
      <c r="P889">
        <v>50046</v>
      </c>
      <c r="Q889">
        <v>107439</v>
      </c>
      <c r="R889" s="2">
        <v>45816</v>
      </c>
      <c r="S889" t="s">
        <v>69</v>
      </c>
      <c r="T889" t="s">
        <v>52</v>
      </c>
      <c r="U889" t="s">
        <v>6376</v>
      </c>
      <c r="W889" t="s">
        <v>6345</v>
      </c>
      <c r="X889">
        <v>101</v>
      </c>
      <c r="Y889" t="s">
        <v>52</v>
      </c>
      <c r="Z889">
        <v>238</v>
      </c>
    </row>
    <row r="890" spans="1:26" x14ac:dyDescent="0.3">
      <c r="A890">
        <v>889</v>
      </c>
      <c r="B890" t="s">
        <v>2034</v>
      </c>
      <c r="C890" t="s">
        <v>34</v>
      </c>
      <c r="D890" t="s">
        <v>20</v>
      </c>
      <c r="E890" t="s">
        <v>6344</v>
      </c>
      <c r="F890" t="s">
        <v>6393</v>
      </c>
      <c r="G890" t="s">
        <v>6397</v>
      </c>
      <c r="J890">
        <f>AVERAGE(ai_job_market[[#This Row],[min_salary]],ai_job_market[[#This Row],[max_salary]])</f>
        <v>112013</v>
      </c>
      <c r="K890"/>
      <c r="L890" t="s">
        <v>27</v>
      </c>
      <c r="M890" t="s">
        <v>15</v>
      </c>
      <c r="N890" t="s">
        <v>5337</v>
      </c>
      <c r="O890" t="s">
        <v>4283</v>
      </c>
      <c r="P890">
        <v>77419</v>
      </c>
      <c r="Q890">
        <v>146607</v>
      </c>
      <c r="R890" s="2">
        <v>45828</v>
      </c>
      <c r="S890" t="s">
        <v>14</v>
      </c>
      <c r="T890" t="s">
        <v>90</v>
      </c>
      <c r="U890" t="s">
        <v>6376</v>
      </c>
      <c r="W890" t="s">
        <v>6344</v>
      </c>
      <c r="X890">
        <v>104</v>
      </c>
      <c r="Y890" t="s">
        <v>90</v>
      </c>
      <c r="Z890">
        <v>259</v>
      </c>
    </row>
    <row r="891" spans="1:26" x14ac:dyDescent="0.3">
      <c r="A891">
        <v>890</v>
      </c>
      <c r="B891" t="s">
        <v>2036</v>
      </c>
      <c r="C891" t="s">
        <v>11</v>
      </c>
      <c r="D891" t="s">
        <v>67</v>
      </c>
      <c r="E891" t="s">
        <v>6355</v>
      </c>
      <c r="F891" t="s">
        <v>6377</v>
      </c>
      <c r="G891" t="s">
        <v>6393</v>
      </c>
      <c r="J891">
        <f>AVERAGE(ai_job_market[[#This Row],[min_salary]],ai_job_market[[#This Row],[max_salary]])</f>
        <v>131722</v>
      </c>
      <c r="K891"/>
      <c r="L891" t="s">
        <v>27</v>
      </c>
      <c r="M891" t="s">
        <v>15</v>
      </c>
      <c r="N891" t="s">
        <v>5338</v>
      </c>
      <c r="O891" t="s">
        <v>4680</v>
      </c>
      <c r="P891">
        <v>111527</v>
      </c>
      <c r="Q891">
        <v>151917</v>
      </c>
      <c r="R891" s="2">
        <v>45211</v>
      </c>
      <c r="S891" t="s">
        <v>14</v>
      </c>
      <c r="T891" t="s">
        <v>70</v>
      </c>
      <c r="W891" t="s">
        <v>6355</v>
      </c>
      <c r="X891">
        <v>90</v>
      </c>
      <c r="Y891" t="s">
        <v>70</v>
      </c>
      <c r="Z891">
        <v>268</v>
      </c>
    </row>
    <row r="892" spans="1:26" x14ac:dyDescent="0.3">
      <c r="A892">
        <v>891</v>
      </c>
      <c r="B892" t="s">
        <v>2038</v>
      </c>
      <c r="C892" t="s">
        <v>45</v>
      </c>
      <c r="D892" t="s">
        <v>35</v>
      </c>
      <c r="E892" t="s">
        <v>6347</v>
      </c>
      <c r="F892" t="s">
        <v>6378</v>
      </c>
      <c r="G892" t="s">
        <v>6382</v>
      </c>
      <c r="H892" t="s">
        <v>6379</v>
      </c>
      <c r="I892" t="s">
        <v>6393</v>
      </c>
      <c r="J892">
        <f>AVERAGE(ai_job_market[[#This Row],[min_salary]],ai_job_market[[#This Row],[max_salary]])</f>
        <v>79422</v>
      </c>
      <c r="K892" t="s">
        <v>6395</v>
      </c>
      <c r="L892" t="s">
        <v>14</v>
      </c>
      <c r="M892" t="s">
        <v>51</v>
      </c>
      <c r="N892" t="s">
        <v>5339</v>
      </c>
      <c r="O892" t="s">
        <v>4503</v>
      </c>
      <c r="P892">
        <v>70421</v>
      </c>
      <c r="Q892">
        <v>88423</v>
      </c>
      <c r="R892" s="2">
        <v>45769</v>
      </c>
      <c r="S892" t="s">
        <v>69</v>
      </c>
      <c r="T892" t="s">
        <v>77</v>
      </c>
      <c r="W892" t="s">
        <v>6347</v>
      </c>
      <c r="X892">
        <v>94</v>
      </c>
      <c r="Y892" t="s">
        <v>77</v>
      </c>
      <c r="Z892">
        <v>251</v>
      </c>
    </row>
    <row r="893" spans="1:26" x14ac:dyDescent="0.3">
      <c r="A893">
        <v>892</v>
      </c>
      <c r="B893" t="s">
        <v>2040</v>
      </c>
      <c r="C893" t="s">
        <v>40</v>
      </c>
      <c r="D893" t="s">
        <v>54</v>
      </c>
      <c r="E893" t="s">
        <v>77</v>
      </c>
      <c r="F893" t="s">
        <v>6379</v>
      </c>
      <c r="G893" t="s">
        <v>6393</v>
      </c>
      <c r="H893" t="s">
        <v>6386</v>
      </c>
      <c r="I893" t="s">
        <v>6390</v>
      </c>
      <c r="J893">
        <f>AVERAGE(ai_job_market[[#This Row],[min_salary]],ai_job_market[[#This Row],[max_salary]])</f>
        <v>87395.5</v>
      </c>
      <c r="K893"/>
      <c r="L893" t="s">
        <v>27</v>
      </c>
      <c r="M893" t="s">
        <v>42</v>
      </c>
      <c r="N893" t="s">
        <v>5340</v>
      </c>
      <c r="O893" t="s">
        <v>4538</v>
      </c>
      <c r="P893">
        <v>55816</v>
      </c>
      <c r="Q893">
        <v>118975</v>
      </c>
      <c r="R893" s="2">
        <v>45820</v>
      </c>
      <c r="S893" t="s">
        <v>16</v>
      </c>
      <c r="T893" t="s">
        <v>52</v>
      </c>
      <c r="W893" t="s">
        <v>77</v>
      </c>
      <c r="X893">
        <v>111</v>
      </c>
      <c r="Y893" t="s">
        <v>52</v>
      </c>
      <c r="Z893">
        <v>238</v>
      </c>
    </row>
    <row r="894" spans="1:26" x14ac:dyDescent="0.3">
      <c r="A894">
        <v>893</v>
      </c>
      <c r="B894" t="s">
        <v>2042</v>
      </c>
      <c r="C894" t="s">
        <v>72</v>
      </c>
      <c r="D894" t="s">
        <v>67</v>
      </c>
      <c r="E894" t="s">
        <v>6345</v>
      </c>
      <c r="F894" t="s">
        <v>6387</v>
      </c>
      <c r="G894" t="s">
        <v>6394</v>
      </c>
      <c r="H894" t="s">
        <v>6381</v>
      </c>
      <c r="J894">
        <f>AVERAGE(ai_job_market[[#This Row],[min_salary]],ai_job_market[[#This Row],[max_salary]])</f>
        <v>117604</v>
      </c>
      <c r="K894"/>
      <c r="L894" t="s">
        <v>27</v>
      </c>
      <c r="M894" t="s">
        <v>42</v>
      </c>
      <c r="N894" t="s">
        <v>5341</v>
      </c>
      <c r="O894" t="s">
        <v>4387</v>
      </c>
      <c r="P894">
        <v>105588</v>
      </c>
      <c r="Q894">
        <v>129620</v>
      </c>
      <c r="R894" s="2">
        <v>45662</v>
      </c>
      <c r="S894" t="s">
        <v>69</v>
      </c>
      <c r="T894" t="s">
        <v>101</v>
      </c>
      <c r="W894" t="s">
        <v>6345</v>
      </c>
      <c r="X894">
        <v>101</v>
      </c>
      <c r="Y894" t="s">
        <v>101</v>
      </c>
      <c r="Z894">
        <v>255</v>
      </c>
    </row>
    <row r="895" spans="1:26" x14ac:dyDescent="0.3">
      <c r="A895">
        <v>894</v>
      </c>
      <c r="B895" t="s">
        <v>2044</v>
      </c>
      <c r="C895" t="s">
        <v>40</v>
      </c>
      <c r="D895" t="s">
        <v>25</v>
      </c>
      <c r="E895" t="s">
        <v>6344</v>
      </c>
      <c r="F895" t="s">
        <v>6375</v>
      </c>
      <c r="G895" t="s">
        <v>6396</v>
      </c>
      <c r="H895" t="s">
        <v>6397</v>
      </c>
      <c r="I895" t="s">
        <v>6376</v>
      </c>
      <c r="J895">
        <f>AVERAGE(ai_job_market[[#This Row],[min_salary]],ai_job_market[[#This Row],[max_salary]])</f>
        <v>93868.5</v>
      </c>
      <c r="K895"/>
      <c r="L895" t="s">
        <v>27</v>
      </c>
      <c r="M895" t="s">
        <v>51</v>
      </c>
      <c r="N895" t="s">
        <v>5342</v>
      </c>
      <c r="O895" t="s">
        <v>4301</v>
      </c>
      <c r="P895">
        <v>46417</v>
      </c>
      <c r="Q895">
        <v>141320</v>
      </c>
      <c r="R895" s="2">
        <v>45670</v>
      </c>
      <c r="S895" t="s">
        <v>69</v>
      </c>
      <c r="T895" t="s">
        <v>90</v>
      </c>
      <c r="U895" t="s">
        <v>6384</v>
      </c>
      <c r="V895" t="s">
        <v>6375</v>
      </c>
      <c r="W895" t="s">
        <v>6344</v>
      </c>
      <c r="X895">
        <v>104</v>
      </c>
      <c r="Y895" t="s">
        <v>90</v>
      </c>
      <c r="Z895">
        <v>259</v>
      </c>
    </row>
    <row r="896" spans="1:26" x14ac:dyDescent="0.3">
      <c r="A896">
        <v>895</v>
      </c>
      <c r="B896" t="s">
        <v>2047</v>
      </c>
      <c r="C896" t="s">
        <v>45</v>
      </c>
      <c r="D896" t="s">
        <v>20</v>
      </c>
      <c r="E896" t="s">
        <v>6357</v>
      </c>
      <c r="F896" t="s">
        <v>6386</v>
      </c>
      <c r="G896" t="s">
        <v>6375</v>
      </c>
      <c r="H896" t="s">
        <v>6376</v>
      </c>
      <c r="J896">
        <f>AVERAGE(ai_job_market[[#This Row],[min_salary]],ai_job_market[[#This Row],[max_salary]])</f>
        <v>85885.5</v>
      </c>
      <c r="K896"/>
      <c r="L896" t="s">
        <v>14</v>
      </c>
      <c r="M896" t="s">
        <v>42</v>
      </c>
      <c r="N896" t="s">
        <v>5343</v>
      </c>
      <c r="O896" t="s">
        <v>4414</v>
      </c>
      <c r="P896">
        <v>63705</v>
      </c>
      <c r="Q896">
        <v>108066</v>
      </c>
      <c r="R896" s="2">
        <v>45768</v>
      </c>
      <c r="S896" t="s">
        <v>69</v>
      </c>
      <c r="T896" t="s">
        <v>157</v>
      </c>
      <c r="U896" t="s">
        <v>6379</v>
      </c>
      <c r="V896" t="s">
        <v>6388</v>
      </c>
      <c r="W896" t="s">
        <v>6357</v>
      </c>
      <c r="X896">
        <v>88</v>
      </c>
      <c r="Y896" t="s">
        <v>157</v>
      </c>
      <c r="Z896">
        <v>247</v>
      </c>
    </row>
    <row r="897" spans="1:26" x14ac:dyDescent="0.3">
      <c r="A897">
        <v>896</v>
      </c>
      <c r="B897" t="s">
        <v>2050</v>
      </c>
      <c r="C897" t="s">
        <v>19</v>
      </c>
      <c r="D897" t="s">
        <v>135</v>
      </c>
      <c r="E897" t="s">
        <v>6352</v>
      </c>
      <c r="F897" t="s">
        <v>6392</v>
      </c>
      <c r="G897" t="s">
        <v>6394</v>
      </c>
      <c r="J897">
        <f>AVERAGE(ai_job_market[[#This Row],[min_salary]],ai_job_market[[#This Row],[max_salary]])</f>
        <v>173848</v>
      </c>
      <c r="K897"/>
      <c r="L897" t="s">
        <v>22</v>
      </c>
      <c r="M897" t="s">
        <v>37</v>
      </c>
      <c r="N897" t="s">
        <v>5169</v>
      </c>
      <c r="O897" t="s">
        <v>4307</v>
      </c>
      <c r="P897">
        <v>144068</v>
      </c>
      <c r="Q897">
        <v>203628</v>
      </c>
      <c r="R897" s="2">
        <v>45755</v>
      </c>
      <c r="S897" t="s">
        <v>14</v>
      </c>
      <c r="T897" t="s">
        <v>101</v>
      </c>
      <c r="W897" t="s">
        <v>6352</v>
      </c>
      <c r="X897">
        <v>97</v>
      </c>
      <c r="Y897" t="s">
        <v>101</v>
      </c>
      <c r="Z897">
        <v>255</v>
      </c>
    </row>
    <row r="898" spans="1:26" x14ac:dyDescent="0.3">
      <c r="A898">
        <v>897</v>
      </c>
      <c r="B898" t="s">
        <v>2052</v>
      </c>
      <c r="C898" t="s">
        <v>19</v>
      </c>
      <c r="D898" t="s">
        <v>25</v>
      </c>
      <c r="E898" t="s">
        <v>77</v>
      </c>
      <c r="F898" t="s">
        <v>6375</v>
      </c>
      <c r="G898" t="s">
        <v>6381</v>
      </c>
      <c r="H898" t="s">
        <v>6374</v>
      </c>
      <c r="I898" t="s">
        <v>6395</v>
      </c>
      <c r="J898">
        <f>AVERAGE(ai_job_market[[#This Row],[min_salary]],ai_job_market[[#This Row],[max_salary]])</f>
        <v>141053</v>
      </c>
      <c r="K898" t="s">
        <v>6384</v>
      </c>
      <c r="L898" t="s">
        <v>22</v>
      </c>
      <c r="M898" t="s">
        <v>51</v>
      </c>
      <c r="N898" t="s">
        <v>5344</v>
      </c>
      <c r="O898" t="s">
        <v>4346</v>
      </c>
      <c r="P898">
        <v>112549</v>
      </c>
      <c r="Q898">
        <v>169557</v>
      </c>
      <c r="R898" s="2">
        <v>45355</v>
      </c>
      <c r="S898" t="s">
        <v>14</v>
      </c>
      <c r="T898" t="s">
        <v>52</v>
      </c>
      <c r="U898" t="s">
        <v>6383</v>
      </c>
      <c r="V898" t="s">
        <v>6384</v>
      </c>
      <c r="W898" t="s">
        <v>77</v>
      </c>
      <c r="X898">
        <v>111</v>
      </c>
      <c r="Y898" t="s">
        <v>52</v>
      </c>
      <c r="Z898">
        <v>238</v>
      </c>
    </row>
    <row r="899" spans="1:26" x14ac:dyDescent="0.3">
      <c r="A899">
        <v>898</v>
      </c>
      <c r="B899" t="s">
        <v>2055</v>
      </c>
      <c r="C899" t="s">
        <v>11</v>
      </c>
      <c r="D899" t="s">
        <v>25</v>
      </c>
      <c r="E899" t="s">
        <v>80</v>
      </c>
      <c r="F899" t="s">
        <v>6378</v>
      </c>
      <c r="G899" t="s">
        <v>6381</v>
      </c>
      <c r="H899" t="s">
        <v>6390</v>
      </c>
      <c r="J899">
        <f>AVERAGE(ai_job_market[[#This Row],[min_salary]],ai_job_market[[#This Row],[max_salary]])</f>
        <v>179275</v>
      </c>
      <c r="K899"/>
      <c r="L899" t="s">
        <v>22</v>
      </c>
      <c r="M899" t="s">
        <v>51</v>
      </c>
      <c r="N899" t="s">
        <v>5345</v>
      </c>
      <c r="O899" t="s">
        <v>4333</v>
      </c>
      <c r="P899">
        <v>129815</v>
      </c>
      <c r="Q899">
        <v>228735</v>
      </c>
      <c r="R899" s="2">
        <v>45394</v>
      </c>
      <c r="S899" t="s">
        <v>14</v>
      </c>
      <c r="T899" t="s">
        <v>157</v>
      </c>
      <c r="W899" t="s">
        <v>80</v>
      </c>
      <c r="X899">
        <v>95</v>
      </c>
      <c r="Y899" t="s">
        <v>157</v>
      </c>
      <c r="Z899">
        <v>247</v>
      </c>
    </row>
    <row r="900" spans="1:26" x14ac:dyDescent="0.3">
      <c r="A900">
        <v>899</v>
      </c>
      <c r="B900" t="s">
        <v>2057</v>
      </c>
      <c r="C900" t="s">
        <v>34</v>
      </c>
      <c r="D900" t="s">
        <v>25</v>
      </c>
      <c r="E900" t="s">
        <v>70</v>
      </c>
      <c r="F900" t="s">
        <v>6374</v>
      </c>
      <c r="G900" t="s">
        <v>6381</v>
      </c>
      <c r="H900" t="s">
        <v>6392</v>
      </c>
      <c r="J900">
        <f>AVERAGE(ai_job_market[[#This Row],[min_salary]],ai_job_market[[#This Row],[max_salary]])</f>
        <v>159799</v>
      </c>
      <c r="K900"/>
      <c r="L900" t="s">
        <v>27</v>
      </c>
      <c r="M900" t="s">
        <v>42</v>
      </c>
      <c r="N900" t="s">
        <v>5346</v>
      </c>
      <c r="O900" t="s">
        <v>4361</v>
      </c>
      <c r="P900">
        <v>119581</v>
      </c>
      <c r="Q900">
        <v>200017</v>
      </c>
      <c r="R900" s="2">
        <v>45883</v>
      </c>
      <c r="S900" t="s">
        <v>69</v>
      </c>
      <c r="T900" t="s">
        <v>77</v>
      </c>
      <c r="U900" t="s">
        <v>6376</v>
      </c>
      <c r="W900" t="s">
        <v>70</v>
      </c>
      <c r="X900">
        <v>100</v>
      </c>
      <c r="Y900" t="s">
        <v>77</v>
      </c>
      <c r="Z900">
        <v>251</v>
      </c>
    </row>
    <row r="901" spans="1:26" x14ac:dyDescent="0.3">
      <c r="A901">
        <v>900</v>
      </c>
      <c r="B901" t="s">
        <v>2059</v>
      </c>
      <c r="C901" t="s">
        <v>72</v>
      </c>
      <c r="D901" t="s">
        <v>67</v>
      </c>
      <c r="E901" t="s">
        <v>6347</v>
      </c>
      <c r="F901" t="s">
        <v>6389</v>
      </c>
      <c r="G901" t="s">
        <v>6380</v>
      </c>
      <c r="H901" t="s">
        <v>6396</v>
      </c>
      <c r="I901" t="s">
        <v>6385</v>
      </c>
      <c r="J901">
        <f>AVERAGE(ai_job_market[[#This Row],[min_salary]],ai_job_market[[#This Row],[max_salary]])</f>
        <v>159086.5</v>
      </c>
      <c r="K901"/>
      <c r="L901" t="s">
        <v>27</v>
      </c>
      <c r="M901" t="s">
        <v>15</v>
      </c>
      <c r="N901" t="s">
        <v>5347</v>
      </c>
      <c r="O901" t="s">
        <v>4678</v>
      </c>
      <c r="P901">
        <v>140552</v>
      </c>
      <c r="Q901">
        <v>177621</v>
      </c>
      <c r="R901" s="2">
        <v>45841</v>
      </c>
      <c r="S901" t="s">
        <v>16</v>
      </c>
      <c r="T901" t="s">
        <v>77</v>
      </c>
      <c r="U901" t="s">
        <v>6388</v>
      </c>
      <c r="W901" t="s">
        <v>6347</v>
      </c>
      <c r="X901">
        <v>94</v>
      </c>
      <c r="Y901" t="s">
        <v>77</v>
      </c>
      <c r="Z901">
        <v>251</v>
      </c>
    </row>
    <row r="902" spans="1:26" x14ac:dyDescent="0.3">
      <c r="A902">
        <v>901</v>
      </c>
      <c r="B902" t="s">
        <v>2061</v>
      </c>
      <c r="C902" t="s">
        <v>45</v>
      </c>
      <c r="D902" t="s">
        <v>35</v>
      </c>
      <c r="E902" t="s">
        <v>6355</v>
      </c>
      <c r="F902" t="s">
        <v>6378</v>
      </c>
      <c r="G902" t="s">
        <v>6390</v>
      </c>
      <c r="H902" t="s">
        <v>6381</v>
      </c>
      <c r="J902">
        <f>AVERAGE(ai_job_market[[#This Row],[min_salary]],ai_job_market[[#This Row],[max_salary]])</f>
        <v>139896</v>
      </c>
      <c r="K902"/>
      <c r="L902" t="s">
        <v>14</v>
      </c>
      <c r="M902" t="s">
        <v>37</v>
      </c>
      <c r="N902" t="s">
        <v>5348</v>
      </c>
      <c r="O902" t="s">
        <v>4410</v>
      </c>
      <c r="P902">
        <v>115594</v>
      </c>
      <c r="Q902">
        <v>164198</v>
      </c>
      <c r="R902" s="2">
        <v>45501</v>
      </c>
      <c r="S902" t="s">
        <v>69</v>
      </c>
      <c r="T902" t="s">
        <v>80</v>
      </c>
      <c r="U902" t="s">
        <v>6389</v>
      </c>
      <c r="W902" t="s">
        <v>6355</v>
      </c>
      <c r="X902">
        <v>90</v>
      </c>
      <c r="Y902" t="s">
        <v>80</v>
      </c>
      <c r="Z902">
        <v>249</v>
      </c>
    </row>
    <row r="903" spans="1:26" x14ac:dyDescent="0.3">
      <c r="A903">
        <v>902</v>
      </c>
      <c r="B903" t="s">
        <v>2063</v>
      </c>
      <c r="C903" t="s">
        <v>40</v>
      </c>
      <c r="D903" t="s">
        <v>30</v>
      </c>
      <c r="E903" t="s">
        <v>6351</v>
      </c>
      <c r="F903" t="s">
        <v>6381</v>
      </c>
      <c r="G903" t="s">
        <v>6389</v>
      </c>
      <c r="H903" t="s">
        <v>6376</v>
      </c>
      <c r="I903" t="s">
        <v>6395</v>
      </c>
      <c r="J903">
        <f>AVERAGE(ai_job_market[[#This Row],[min_salary]],ai_job_market[[#This Row],[max_salary]])</f>
        <v>100803.5</v>
      </c>
      <c r="K903"/>
      <c r="L903" t="s">
        <v>27</v>
      </c>
      <c r="M903" t="s">
        <v>37</v>
      </c>
      <c r="N903" t="s">
        <v>5349</v>
      </c>
      <c r="O903" t="s">
        <v>4325</v>
      </c>
      <c r="P903">
        <v>79445</v>
      </c>
      <c r="Q903">
        <v>122162</v>
      </c>
      <c r="R903" s="2">
        <v>45497</v>
      </c>
      <c r="S903" t="s">
        <v>69</v>
      </c>
      <c r="T903" t="s">
        <v>52</v>
      </c>
      <c r="W903" t="s">
        <v>6351</v>
      </c>
      <c r="X903">
        <v>89</v>
      </c>
      <c r="Y903" t="s">
        <v>52</v>
      </c>
      <c r="Z903">
        <v>238</v>
      </c>
    </row>
    <row r="904" spans="1:26" x14ac:dyDescent="0.3">
      <c r="A904">
        <v>903</v>
      </c>
      <c r="B904" t="s">
        <v>2065</v>
      </c>
      <c r="C904" t="s">
        <v>72</v>
      </c>
      <c r="D904" t="s">
        <v>54</v>
      </c>
      <c r="E904" t="s">
        <v>6356</v>
      </c>
      <c r="F904" t="s">
        <v>6395</v>
      </c>
      <c r="G904" t="s">
        <v>6377</v>
      </c>
      <c r="H904" t="s">
        <v>6378</v>
      </c>
      <c r="I904" t="s">
        <v>6393</v>
      </c>
      <c r="J904" s="6">
        <f>AVERAGE(ai_job_market[[#This Row],[min_salary]],ai_job_market[[#This Row],[max_salary]])</f>
        <v>132178</v>
      </c>
      <c r="K904" t="s">
        <v>6386</v>
      </c>
      <c r="L904" t="s">
        <v>27</v>
      </c>
      <c r="M904" t="s">
        <v>37</v>
      </c>
      <c r="N904" t="s">
        <v>5350</v>
      </c>
      <c r="O904" t="s">
        <v>4929</v>
      </c>
      <c r="P904" s="5">
        <v>112049</v>
      </c>
      <c r="Q904" s="5">
        <v>152307</v>
      </c>
      <c r="R904" s="2">
        <v>45690</v>
      </c>
      <c r="S904" t="s">
        <v>16</v>
      </c>
      <c r="T904" t="s">
        <v>101</v>
      </c>
      <c r="U904" t="s">
        <v>6378</v>
      </c>
      <c r="V904" t="s">
        <v>6379</v>
      </c>
      <c r="W904" t="s">
        <v>6356</v>
      </c>
      <c r="X904">
        <v>86</v>
      </c>
      <c r="Y904" t="s">
        <v>101</v>
      </c>
      <c r="Z904">
        <v>255</v>
      </c>
    </row>
    <row r="905" spans="1:26" x14ac:dyDescent="0.3">
      <c r="A905">
        <v>904</v>
      </c>
      <c r="B905" t="s">
        <v>2067</v>
      </c>
      <c r="C905" t="s">
        <v>19</v>
      </c>
      <c r="D905" t="s">
        <v>54</v>
      </c>
      <c r="E905" t="s">
        <v>128</v>
      </c>
      <c r="F905" t="s">
        <v>6384</v>
      </c>
      <c r="G905" t="s">
        <v>6378</v>
      </c>
      <c r="H905" t="s">
        <v>6385</v>
      </c>
      <c r="I905" t="s">
        <v>6381</v>
      </c>
      <c r="J905">
        <f>AVERAGE(ai_job_market[[#This Row],[min_salary]],ai_job_market[[#This Row],[max_salary]])</f>
        <v>166285.5</v>
      </c>
      <c r="K905" t="s">
        <v>6377</v>
      </c>
      <c r="L905" t="s">
        <v>22</v>
      </c>
      <c r="M905" t="s">
        <v>42</v>
      </c>
      <c r="N905" t="s">
        <v>5351</v>
      </c>
      <c r="O905" t="s">
        <v>4380</v>
      </c>
      <c r="P905">
        <v>142574</v>
      </c>
      <c r="Q905">
        <v>189997</v>
      </c>
      <c r="R905" s="2">
        <v>45457</v>
      </c>
      <c r="S905" t="s">
        <v>14</v>
      </c>
      <c r="T905" t="s">
        <v>101</v>
      </c>
      <c r="W905" t="s">
        <v>128</v>
      </c>
      <c r="X905">
        <v>92</v>
      </c>
      <c r="Y905" t="s">
        <v>101</v>
      </c>
      <c r="Z905">
        <v>255</v>
      </c>
    </row>
    <row r="906" spans="1:26" x14ac:dyDescent="0.3">
      <c r="A906">
        <v>905</v>
      </c>
      <c r="B906" t="s">
        <v>2069</v>
      </c>
      <c r="C906" t="s">
        <v>72</v>
      </c>
      <c r="D906" t="s">
        <v>12</v>
      </c>
      <c r="E906" t="s">
        <v>6356</v>
      </c>
      <c r="F906" t="s">
        <v>6387</v>
      </c>
      <c r="G906" t="s">
        <v>6384</v>
      </c>
      <c r="H906" t="s">
        <v>6393</v>
      </c>
      <c r="I906" t="s">
        <v>6375</v>
      </c>
      <c r="J906">
        <f>AVERAGE(ai_job_market[[#This Row],[min_salary]],ai_job_market[[#This Row],[max_salary]])</f>
        <v>145302</v>
      </c>
      <c r="K906"/>
      <c r="L906" t="s">
        <v>27</v>
      </c>
      <c r="M906" t="s">
        <v>42</v>
      </c>
      <c r="N906" t="s">
        <v>5352</v>
      </c>
      <c r="O906" t="s">
        <v>4349</v>
      </c>
      <c r="P906">
        <v>104565</v>
      </c>
      <c r="Q906">
        <v>186039</v>
      </c>
      <c r="R906" s="2">
        <v>45877</v>
      </c>
      <c r="S906" t="s">
        <v>16</v>
      </c>
      <c r="T906" t="s">
        <v>70</v>
      </c>
      <c r="U906" t="s">
        <v>6388</v>
      </c>
      <c r="V906" t="s">
        <v>6383</v>
      </c>
      <c r="W906" t="s">
        <v>6356</v>
      </c>
      <c r="X906">
        <v>86</v>
      </c>
      <c r="Y906" t="s">
        <v>70</v>
      </c>
      <c r="Z906">
        <v>268</v>
      </c>
    </row>
    <row r="907" spans="1:26" x14ac:dyDescent="0.3">
      <c r="A907">
        <v>906</v>
      </c>
      <c r="B907" t="s">
        <v>2072</v>
      </c>
      <c r="C907" t="s">
        <v>11</v>
      </c>
      <c r="D907" t="s">
        <v>25</v>
      </c>
      <c r="E907" t="s">
        <v>90</v>
      </c>
      <c r="F907" t="s">
        <v>6380</v>
      </c>
      <c r="G907" t="s">
        <v>6377</v>
      </c>
      <c r="J907">
        <f>AVERAGE(ai_job_market[[#This Row],[min_salary]],ai_job_market[[#This Row],[max_salary]])</f>
        <v>101987</v>
      </c>
      <c r="K907"/>
      <c r="L907" t="s">
        <v>14</v>
      </c>
      <c r="M907" t="s">
        <v>51</v>
      </c>
      <c r="N907" t="s">
        <v>5353</v>
      </c>
      <c r="O907" t="s">
        <v>4439</v>
      </c>
      <c r="P907">
        <v>90596</v>
      </c>
      <c r="Q907">
        <v>113378</v>
      </c>
      <c r="R907" s="2">
        <v>45271</v>
      </c>
      <c r="S907" t="s">
        <v>16</v>
      </c>
      <c r="T907" t="s">
        <v>70</v>
      </c>
      <c r="U907" t="s">
        <v>6375</v>
      </c>
      <c r="V907" t="s">
        <v>6389</v>
      </c>
      <c r="W907" t="s">
        <v>90</v>
      </c>
      <c r="X907">
        <v>80</v>
      </c>
      <c r="Y907" t="s">
        <v>70</v>
      </c>
      <c r="Z907">
        <v>268</v>
      </c>
    </row>
    <row r="908" spans="1:26" x14ac:dyDescent="0.3">
      <c r="A908">
        <v>907</v>
      </c>
      <c r="B908" t="s">
        <v>2074</v>
      </c>
      <c r="C908" t="s">
        <v>40</v>
      </c>
      <c r="D908" t="s">
        <v>67</v>
      </c>
      <c r="E908" t="s">
        <v>70</v>
      </c>
      <c r="F908" t="s">
        <v>6395</v>
      </c>
      <c r="G908" t="s">
        <v>6375</v>
      </c>
      <c r="H908" t="s">
        <v>6382</v>
      </c>
      <c r="J908">
        <f>AVERAGE(ai_job_market[[#This Row],[min_salary]],ai_job_market[[#This Row],[max_salary]])</f>
        <v>110120</v>
      </c>
      <c r="K908"/>
      <c r="L908" t="s">
        <v>27</v>
      </c>
      <c r="M908" t="s">
        <v>37</v>
      </c>
      <c r="N908" t="s">
        <v>5354</v>
      </c>
      <c r="O908" t="s">
        <v>4599</v>
      </c>
      <c r="P908">
        <v>84913</v>
      </c>
      <c r="Q908">
        <v>135327</v>
      </c>
      <c r="R908" s="2">
        <v>45585</v>
      </c>
      <c r="S908" t="s">
        <v>69</v>
      </c>
      <c r="T908" t="s">
        <v>128</v>
      </c>
      <c r="W908" t="s">
        <v>70</v>
      </c>
      <c r="X908">
        <v>100</v>
      </c>
      <c r="Y908" t="s">
        <v>128</v>
      </c>
      <c r="Z908">
        <v>233</v>
      </c>
    </row>
    <row r="909" spans="1:26" x14ac:dyDescent="0.3">
      <c r="A909">
        <v>908</v>
      </c>
      <c r="B909" t="s">
        <v>2076</v>
      </c>
      <c r="C909" t="s">
        <v>72</v>
      </c>
      <c r="D909" t="s">
        <v>30</v>
      </c>
      <c r="E909" t="s">
        <v>6354</v>
      </c>
      <c r="F909" t="s">
        <v>6379</v>
      </c>
      <c r="G909" t="s">
        <v>6375</v>
      </c>
      <c r="J909">
        <f>AVERAGE(ai_job_market[[#This Row],[min_salary]],ai_job_market[[#This Row],[max_salary]])</f>
        <v>132804</v>
      </c>
      <c r="K909"/>
      <c r="L909" t="s">
        <v>22</v>
      </c>
      <c r="M909" t="s">
        <v>51</v>
      </c>
      <c r="N909" t="s">
        <v>5355</v>
      </c>
      <c r="O909" t="s">
        <v>4794</v>
      </c>
      <c r="P909">
        <v>99425</v>
      </c>
      <c r="Q909">
        <v>166183</v>
      </c>
      <c r="R909" s="2">
        <v>45624</v>
      </c>
      <c r="S909" t="s">
        <v>16</v>
      </c>
      <c r="T909" t="s">
        <v>90</v>
      </c>
      <c r="W909" t="s">
        <v>6354</v>
      </c>
      <c r="X909">
        <v>75</v>
      </c>
      <c r="Y909" t="s">
        <v>90</v>
      </c>
      <c r="Z909">
        <v>259</v>
      </c>
    </row>
    <row r="910" spans="1:26" x14ac:dyDescent="0.3">
      <c r="A910">
        <v>909</v>
      </c>
      <c r="B910" t="s">
        <v>2078</v>
      </c>
      <c r="C910" t="s">
        <v>40</v>
      </c>
      <c r="D910" t="s">
        <v>20</v>
      </c>
      <c r="E910" t="s">
        <v>80</v>
      </c>
      <c r="F910" t="s">
        <v>6380</v>
      </c>
      <c r="G910" t="s">
        <v>6382</v>
      </c>
      <c r="H910" t="s">
        <v>6393</v>
      </c>
      <c r="I910" t="s">
        <v>6375</v>
      </c>
      <c r="J910">
        <f>AVERAGE(ai_job_market[[#This Row],[min_salary]],ai_job_market[[#This Row],[max_salary]])</f>
        <v>147760.5</v>
      </c>
      <c r="K910" t="s">
        <v>6389</v>
      </c>
      <c r="L910" t="s">
        <v>22</v>
      </c>
      <c r="M910" t="s">
        <v>51</v>
      </c>
      <c r="N910" t="s">
        <v>5356</v>
      </c>
      <c r="O910" t="s">
        <v>4375</v>
      </c>
      <c r="P910">
        <v>128680</v>
      </c>
      <c r="Q910">
        <v>166841</v>
      </c>
      <c r="R910" s="2">
        <v>45220</v>
      </c>
      <c r="S910" t="s">
        <v>16</v>
      </c>
      <c r="T910" t="s">
        <v>157</v>
      </c>
      <c r="W910" t="s">
        <v>80</v>
      </c>
      <c r="X910">
        <v>95</v>
      </c>
      <c r="Y910" t="s">
        <v>157</v>
      </c>
      <c r="Z910">
        <v>247</v>
      </c>
    </row>
    <row r="911" spans="1:26" x14ac:dyDescent="0.3">
      <c r="A911">
        <v>910</v>
      </c>
      <c r="B911" t="s">
        <v>2080</v>
      </c>
      <c r="C911" t="s">
        <v>34</v>
      </c>
      <c r="D911" t="s">
        <v>67</v>
      </c>
      <c r="E911" t="s">
        <v>6346</v>
      </c>
      <c r="F911" t="s">
        <v>6382</v>
      </c>
      <c r="G911" t="s">
        <v>6387</v>
      </c>
      <c r="H911" t="s">
        <v>6396</v>
      </c>
      <c r="I911" t="s">
        <v>6391</v>
      </c>
      <c r="J911">
        <f>AVERAGE(ai_job_market[[#This Row],[min_salary]],ai_job_market[[#This Row],[max_salary]])</f>
        <v>133436</v>
      </c>
      <c r="K911" t="s">
        <v>6375</v>
      </c>
      <c r="L911" t="s">
        <v>14</v>
      </c>
      <c r="M911" t="s">
        <v>51</v>
      </c>
      <c r="N911" t="s">
        <v>5357</v>
      </c>
      <c r="O911" t="s">
        <v>4678</v>
      </c>
      <c r="P911">
        <v>96520</v>
      </c>
      <c r="Q911">
        <v>170352</v>
      </c>
      <c r="R911" s="2">
        <v>45202</v>
      </c>
      <c r="S911" t="s">
        <v>69</v>
      </c>
      <c r="T911" t="s">
        <v>128</v>
      </c>
      <c r="U911" t="s">
        <v>6378</v>
      </c>
      <c r="V911" t="s">
        <v>6379</v>
      </c>
      <c r="W911" t="s">
        <v>6346</v>
      </c>
      <c r="X911">
        <v>78</v>
      </c>
      <c r="Y911" t="s">
        <v>128</v>
      </c>
      <c r="Z911">
        <v>233</v>
      </c>
    </row>
    <row r="912" spans="1:26" x14ac:dyDescent="0.3">
      <c r="A912">
        <v>911</v>
      </c>
      <c r="B912" t="s">
        <v>2083</v>
      </c>
      <c r="C912" t="s">
        <v>40</v>
      </c>
      <c r="D912" t="s">
        <v>35</v>
      </c>
      <c r="E912" t="s">
        <v>6346</v>
      </c>
      <c r="F912" t="s">
        <v>6380</v>
      </c>
      <c r="G912" t="s">
        <v>6394</v>
      </c>
      <c r="J912">
        <f>AVERAGE(ai_job_market[[#This Row],[min_salary]],ai_job_market[[#This Row],[max_salary]])</f>
        <v>152999.5</v>
      </c>
      <c r="K912"/>
      <c r="L912" t="s">
        <v>22</v>
      </c>
      <c r="M912" t="s">
        <v>37</v>
      </c>
      <c r="N912" t="s">
        <v>5358</v>
      </c>
      <c r="O912" t="s">
        <v>4281</v>
      </c>
      <c r="P912">
        <v>120985</v>
      </c>
      <c r="Q912">
        <v>185014</v>
      </c>
      <c r="R912" s="2">
        <v>45240</v>
      </c>
      <c r="S912" t="s">
        <v>69</v>
      </c>
      <c r="T912" t="s">
        <v>70</v>
      </c>
      <c r="U912" t="s">
        <v>6376</v>
      </c>
      <c r="W912" t="s">
        <v>6346</v>
      </c>
      <c r="X912">
        <v>78</v>
      </c>
      <c r="Y912" t="s">
        <v>70</v>
      </c>
      <c r="Z912">
        <v>268</v>
      </c>
    </row>
    <row r="913" spans="1:26" x14ac:dyDescent="0.3">
      <c r="A913">
        <v>912</v>
      </c>
      <c r="B913" t="s">
        <v>2085</v>
      </c>
      <c r="C913" t="s">
        <v>19</v>
      </c>
      <c r="D913" t="s">
        <v>54</v>
      </c>
      <c r="E913" t="s">
        <v>70</v>
      </c>
      <c r="F913" t="s">
        <v>6396</v>
      </c>
      <c r="G913" t="s">
        <v>6393</v>
      </c>
      <c r="J913">
        <f>AVERAGE(ai_job_market[[#This Row],[min_salary]],ai_job_market[[#This Row],[max_salary]])</f>
        <v>84021</v>
      </c>
      <c r="K913"/>
      <c r="L913" t="s">
        <v>22</v>
      </c>
      <c r="M913" t="s">
        <v>51</v>
      </c>
      <c r="N913" t="s">
        <v>5359</v>
      </c>
      <c r="O913" t="s">
        <v>4325</v>
      </c>
      <c r="P913">
        <v>46096</v>
      </c>
      <c r="Q913">
        <v>121946</v>
      </c>
      <c r="R913" s="2">
        <v>45533</v>
      </c>
      <c r="S913" t="s">
        <v>16</v>
      </c>
      <c r="T913" t="s">
        <v>157</v>
      </c>
      <c r="W913" t="s">
        <v>70</v>
      </c>
      <c r="X913">
        <v>100</v>
      </c>
      <c r="Y913" t="s">
        <v>157</v>
      </c>
      <c r="Z913">
        <v>247</v>
      </c>
    </row>
    <row r="914" spans="1:26" x14ac:dyDescent="0.3">
      <c r="A914">
        <v>913</v>
      </c>
      <c r="B914" t="s">
        <v>2087</v>
      </c>
      <c r="C914" t="s">
        <v>49</v>
      </c>
      <c r="D914" t="s">
        <v>30</v>
      </c>
      <c r="E914" t="s">
        <v>6352</v>
      </c>
      <c r="F914" t="s">
        <v>6396</v>
      </c>
      <c r="G914" t="s">
        <v>6390</v>
      </c>
      <c r="H914" t="s">
        <v>6376</v>
      </c>
      <c r="J914">
        <f>AVERAGE(ai_job_market[[#This Row],[min_salary]],ai_job_market[[#This Row],[max_salary]])</f>
        <v>67704</v>
      </c>
      <c r="K914"/>
      <c r="L914" t="s">
        <v>22</v>
      </c>
      <c r="M914" t="s">
        <v>37</v>
      </c>
      <c r="N914" t="s">
        <v>5360</v>
      </c>
      <c r="O914" t="s">
        <v>4433</v>
      </c>
      <c r="P914">
        <v>49743</v>
      </c>
      <c r="Q914">
        <v>85665</v>
      </c>
      <c r="R914" s="2">
        <v>45901</v>
      </c>
      <c r="S914" t="s">
        <v>14</v>
      </c>
      <c r="T914" t="s">
        <v>80</v>
      </c>
      <c r="W914" t="s">
        <v>6352</v>
      </c>
      <c r="X914">
        <v>97</v>
      </c>
      <c r="Y914" t="s">
        <v>80</v>
      </c>
      <c r="Z914">
        <v>249</v>
      </c>
    </row>
    <row r="915" spans="1:26" x14ac:dyDescent="0.3">
      <c r="A915">
        <v>914</v>
      </c>
      <c r="B915" t="s">
        <v>2089</v>
      </c>
      <c r="C915" t="s">
        <v>72</v>
      </c>
      <c r="D915" t="s">
        <v>54</v>
      </c>
      <c r="E915" t="s">
        <v>6356</v>
      </c>
      <c r="F915" t="s">
        <v>6389</v>
      </c>
      <c r="G915" t="s">
        <v>6394</v>
      </c>
      <c r="H915" t="s">
        <v>6376</v>
      </c>
      <c r="I915" t="s">
        <v>6380</v>
      </c>
      <c r="J915" s="6">
        <f>AVERAGE(ai_job_market[[#This Row],[min_salary]],ai_job_market[[#This Row],[max_salary]])</f>
        <v>71813.5</v>
      </c>
      <c r="K915"/>
      <c r="L915" t="s">
        <v>27</v>
      </c>
      <c r="M915" t="s">
        <v>42</v>
      </c>
      <c r="N915" t="s">
        <v>5361</v>
      </c>
      <c r="O915" t="s">
        <v>5030</v>
      </c>
      <c r="P915" s="5">
        <v>60561</v>
      </c>
      <c r="Q915" s="5">
        <v>83066</v>
      </c>
      <c r="R915" s="2">
        <v>45848</v>
      </c>
      <c r="S915" t="s">
        <v>14</v>
      </c>
      <c r="T915" t="s">
        <v>52</v>
      </c>
      <c r="W915" t="s">
        <v>6356</v>
      </c>
      <c r="X915">
        <v>86</v>
      </c>
      <c r="Y915" t="s">
        <v>52</v>
      </c>
      <c r="Z915">
        <v>238</v>
      </c>
    </row>
    <row r="916" spans="1:26" x14ac:dyDescent="0.3">
      <c r="A916">
        <v>915</v>
      </c>
      <c r="B916" t="s">
        <v>2091</v>
      </c>
      <c r="C916" t="s">
        <v>45</v>
      </c>
      <c r="D916" t="s">
        <v>54</v>
      </c>
      <c r="E916" t="s">
        <v>6344</v>
      </c>
      <c r="F916" t="s">
        <v>6390</v>
      </c>
      <c r="G916" t="s">
        <v>6386</v>
      </c>
      <c r="H916" t="s">
        <v>6397</v>
      </c>
      <c r="I916" t="s">
        <v>6379</v>
      </c>
      <c r="J916">
        <f>AVERAGE(ai_job_market[[#This Row],[min_salary]],ai_job_market[[#This Row],[max_salary]])</f>
        <v>159928.5</v>
      </c>
      <c r="K916" t="s">
        <v>6389</v>
      </c>
      <c r="L916" t="s">
        <v>14</v>
      </c>
      <c r="M916" t="s">
        <v>37</v>
      </c>
      <c r="N916" t="s">
        <v>5362</v>
      </c>
      <c r="O916" t="s">
        <v>4450</v>
      </c>
      <c r="P916">
        <v>123480</v>
      </c>
      <c r="Q916">
        <v>196377</v>
      </c>
      <c r="R916" s="2">
        <v>45221</v>
      </c>
      <c r="S916" t="s">
        <v>14</v>
      </c>
      <c r="T916" t="s">
        <v>52</v>
      </c>
      <c r="U916" t="s">
        <v>6379</v>
      </c>
      <c r="V916" t="s">
        <v>6376</v>
      </c>
      <c r="W916" t="s">
        <v>6344</v>
      </c>
      <c r="X916">
        <v>104</v>
      </c>
      <c r="Y916" t="s">
        <v>52</v>
      </c>
      <c r="Z916">
        <v>238</v>
      </c>
    </row>
    <row r="917" spans="1:26" x14ac:dyDescent="0.3">
      <c r="A917">
        <v>916</v>
      </c>
      <c r="B917" t="s">
        <v>2093</v>
      </c>
      <c r="C917" t="s">
        <v>40</v>
      </c>
      <c r="D917" t="s">
        <v>135</v>
      </c>
      <c r="E917" t="s">
        <v>6356</v>
      </c>
      <c r="F917" t="s">
        <v>6379</v>
      </c>
      <c r="G917" t="s">
        <v>6389</v>
      </c>
      <c r="J917">
        <f>AVERAGE(ai_job_market[[#This Row],[min_salary]],ai_job_market[[#This Row],[max_salary]])</f>
        <v>55611</v>
      </c>
      <c r="K917"/>
      <c r="L917" t="s">
        <v>27</v>
      </c>
      <c r="M917" t="s">
        <v>42</v>
      </c>
      <c r="N917" t="s">
        <v>5363</v>
      </c>
      <c r="O917" t="s">
        <v>4988</v>
      </c>
      <c r="P917">
        <v>49134</v>
      </c>
      <c r="Q917">
        <v>62088</v>
      </c>
      <c r="R917" s="2">
        <v>45349</v>
      </c>
      <c r="S917" t="s">
        <v>16</v>
      </c>
      <c r="T917" t="s">
        <v>70</v>
      </c>
      <c r="U917" t="s">
        <v>6389</v>
      </c>
      <c r="W917" t="s">
        <v>6356</v>
      </c>
      <c r="X917">
        <v>86</v>
      </c>
      <c r="Y917" t="s">
        <v>70</v>
      </c>
      <c r="Z917">
        <v>268</v>
      </c>
    </row>
    <row r="918" spans="1:26" x14ac:dyDescent="0.3">
      <c r="A918">
        <v>917</v>
      </c>
      <c r="B918" t="s">
        <v>2095</v>
      </c>
      <c r="C918" t="s">
        <v>34</v>
      </c>
      <c r="D918" t="s">
        <v>135</v>
      </c>
      <c r="E918" t="s">
        <v>80</v>
      </c>
      <c r="F918" t="s">
        <v>6382</v>
      </c>
      <c r="G918" t="s">
        <v>6390</v>
      </c>
      <c r="H918" t="s">
        <v>6387</v>
      </c>
      <c r="J918">
        <f>AVERAGE(ai_job_market[[#This Row],[min_salary]],ai_job_market[[#This Row],[max_salary]])</f>
        <v>173148</v>
      </c>
      <c r="K918"/>
      <c r="L918" t="s">
        <v>27</v>
      </c>
      <c r="M918" t="s">
        <v>15</v>
      </c>
      <c r="N918" t="s">
        <v>5364</v>
      </c>
      <c r="O918" t="s">
        <v>4692</v>
      </c>
      <c r="P918">
        <v>146383</v>
      </c>
      <c r="Q918">
        <v>199913</v>
      </c>
      <c r="R918" s="2">
        <v>45270</v>
      </c>
      <c r="S918" t="s">
        <v>69</v>
      </c>
      <c r="T918" t="s">
        <v>128</v>
      </c>
      <c r="W918" t="s">
        <v>80</v>
      </c>
      <c r="X918">
        <v>95</v>
      </c>
      <c r="Y918" t="s">
        <v>128</v>
      </c>
      <c r="Z918">
        <v>233</v>
      </c>
    </row>
    <row r="919" spans="1:26" x14ac:dyDescent="0.3">
      <c r="A919">
        <v>918</v>
      </c>
      <c r="B919" t="s">
        <v>2097</v>
      </c>
      <c r="C919" t="s">
        <v>49</v>
      </c>
      <c r="D919" t="s">
        <v>25</v>
      </c>
      <c r="E919" t="s">
        <v>70</v>
      </c>
      <c r="F919" t="s">
        <v>6390</v>
      </c>
      <c r="G919" t="s">
        <v>6381</v>
      </c>
      <c r="H919" t="s">
        <v>6378</v>
      </c>
      <c r="I919" t="s">
        <v>6391</v>
      </c>
      <c r="J919">
        <f>AVERAGE(ai_job_market[[#This Row],[min_salary]],ai_job_market[[#This Row],[max_salary]])</f>
        <v>54884.5</v>
      </c>
      <c r="K919"/>
      <c r="L919" t="s">
        <v>27</v>
      </c>
      <c r="M919" t="s">
        <v>51</v>
      </c>
      <c r="N919" t="s">
        <v>4967</v>
      </c>
      <c r="O919" t="s">
        <v>4466</v>
      </c>
      <c r="P919">
        <v>44419</v>
      </c>
      <c r="Q919">
        <v>65350</v>
      </c>
      <c r="R919" s="2">
        <v>45272</v>
      </c>
      <c r="S919" t="s">
        <v>69</v>
      </c>
      <c r="T919" t="s">
        <v>77</v>
      </c>
      <c r="W919" t="s">
        <v>70</v>
      </c>
      <c r="X919">
        <v>100</v>
      </c>
      <c r="Y919" t="s">
        <v>77</v>
      </c>
      <c r="Z919">
        <v>251</v>
      </c>
    </row>
    <row r="920" spans="1:26" x14ac:dyDescent="0.3">
      <c r="A920">
        <v>919</v>
      </c>
      <c r="B920" t="s">
        <v>2099</v>
      </c>
      <c r="C920" t="s">
        <v>45</v>
      </c>
      <c r="D920" t="s">
        <v>30</v>
      </c>
      <c r="E920" t="s">
        <v>6357</v>
      </c>
      <c r="F920" t="s">
        <v>6382</v>
      </c>
      <c r="G920" t="s">
        <v>6378</v>
      </c>
      <c r="H920" t="s">
        <v>6385</v>
      </c>
      <c r="I920" t="s">
        <v>6390</v>
      </c>
      <c r="J920">
        <f>AVERAGE(ai_job_market[[#This Row],[min_salary]],ai_job_market[[#This Row],[max_salary]])</f>
        <v>54915</v>
      </c>
      <c r="K920" t="s">
        <v>6397</v>
      </c>
      <c r="L920" t="s">
        <v>22</v>
      </c>
      <c r="M920" t="s">
        <v>51</v>
      </c>
      <c r="N920" t="s">
        <v>5365</v>
      </c>
      <c r="O920" t="s">
        <v>4442</v>
      </c>
      <c r="P920">
        <v>48848</v>
      </c>
      <c r="Q920">
        <v>60982</v>
      </c>
      <c r="R920" s="2">
        <v>45417</v>
      </c>
      <c r="S920" t="s">
        <v>69</v>
      </c>
      <c r="T920" t="s">
        <v>90</v>
      </c>
      <c r="U920" t="s">
        <v>6376</v>
      </c>
      <c r="V920" t="s">
        <v>6379</v>
      </c>
      <c r="W920" t="s">
        <v>6357</v>
      </c>
      <c r="X920">
        <v>88</v>
      </c>
      <c r="Y920" t="s">
        <v>90</v>
      </c>
      <c r="Z920">
        <v>259</v>
      </c>
    </row>
    <row r="921" spans="1:26" x14ac:dyDescent="0.3">
      <c r="A921">
        <v>920</v>
      </c>
      <c r="B921" t="s">
        <v>2102</v>
      </c>
      <c r="C921" t="s">
        <v>11</v>
      </c>
      <c r="D921" t="s">
        <v>20</v>
      </c>
      <c r="E921" t="s">
        <v>70</v>
      </c>
      <c r="F921" t="s">
        <v>6395</v>
      </c>
      <c r="G921" t="s">
        <v>6389</v>
      </c>
      <c r="J921">
        <f>AVERAGE(ai_job_market[[#This Row],[min_salary]],ai_job_market[[#This Row],[max_salary]])</f>
        <v>140741.5</v>
      </c>
      <c r="K921"/>
      <c r="L921" t="s">
        <v>14</v>
      </c>
      <c r="M921" t="s">
        <v>15</v>
      </c>
      <c r="N921" t="s">
        <v>5366</v>
      </c>
      <c r="O921" t="s">
        <v>4815</v>
      </c>
      <c r="P921">
        <v>93385</v>
      </c>
      <c r="Q921">
        <v>188098</v>
      </c>
      <c r="R921" s="2">
        <v>45843</v>
      </c>
      <c r="S921" t="s">
        <v>69</v>
      </c>
      <c r="T921" t="s">
        <v>70</v>
      </c>
      <c r="U921" t="s">
        <v>6388</v>
      </c>
      <c r="W921" t="s">
        <v>70</v>
      </c>
      <c r="X921">
        <v>100</v>
      </c>
      <c r="Y921" t="s">
        <v>70</v>
      </c>
      <c r="Z921">
        <v>268</v>
      </c>
    </row>
    <row r="922" spans="1:26" x14ac:dyDescent="0.3">
      <c r="A922">
        <v>921</v>
      </c>
      <c r="B922" t="s">
        <v>2104</v>
      </c>
      <c r="C922" t="s">
        <v>34</v>
      </c>
      <c r="D922" t="s">
        <v>30</v>
      </c>
      <c r="E922" t="s">
        <v>6352</v>
      </c>
      <c r="F922" t="s">
        <v>6379</v>
      </c>
      <c r="G922" t="s">
        <v>6378</v>
      </c>
      <c r="H922" t="s">
        <v>6385</v>
      </c>
      <c r="I922" t="s">
        <v>6397</v>
      </c>
      <c r="J922">
        <f>AVERAGE(ai_job_market[[#This Row],[min_salary]],ai_job_market[[#This Row],[max_salary]])</f>
        <v>172099</v>
      </c>
      <c r="K922" t="s">
        <v>6380</v>
      </c>
      <c r="L922" t="s">
        <v>27</v>
      </c>
      <c r="M922" t="s">
        <v>15</v>
      </c>
      <c r="N922" t="s">
        <v>5367</v>
      </c>
      <c r="O922" t="s">
        <v>4692</v>
      </c>
      <c r="P922">
        <v>139966</v>
      </c>
      <c r="Q922">
        <v>204232</v>
      </c>
      <c r="R922" s="2">
        <v>45587</v>
      </c>
      <c r="S922" t="s">
        <v>69</v>
      </c>
      <c r="T922" t="s">
        <v>128</v>
      </c>
      <c r="U922" t="s">
        <v>6384</v>
      </c>
      <c r="V922" t="s">
        <v>6379</v>
      </c>
      <c r="W922" t="s">
        <v>6352</v>
      </c>
      <c r="X922">
        <v>97</v>
      </c>
      <c r="Y922" t="s">
        <v>128</v>
      </c>
      <c r="Z922">
        <v>233</v>
      </c>
    </row>
    <row r="923" spans="1:26" x14ac:dyDescent="0.3">
      <c r="A923">
        <v>922</v>
      </c>
      <c r="B923" t="s">
        <v>2107</v>
      </c>
      <c r="C923" t="s">
        <v>40</v>
      </c>
      <c r="D923" t="s">
        <v>35</v>
      </c>
      <c r="E923" t="s">
        <v>128</v>
      </c>
      <c r="F923" t="s">
        <v>6385</v>
      </c>
      <c r="G923" t="s">
        <v>6380</v>
      </c>
      <c r="H923" t="s">
        <v>6389</v>
      </c>
      <c r="I923" t="s">
        <v>6387</v>
      </c>
      <c r="J923">
        <f>AVERAGE(ai_job_market[[#This Row],[min_salary]],ai_job_market[[#This Row],[max_salary]])</f>
        <v>142204</v>
      </c>
      <c r="K923" t="s">
        <v>6394</v>
      </c>
      <c r="L923" t="s">
        <v>22</v>
      </c>
      <c r="M923" t="s">
        <v>37</v>
      </c>
      <c r="N923" t="s">
        <v>5368</v>
      </c>
      <c r="O923" t="s">
        <v>4444</v>
      </c>
      <c r="P923">
        <v>97543</v>
      </c>
      <c r="Q923">
        <v>186865</v>
      </c>
      <c r="R923" s="2">
        <v>45797</v>
      </c>
      <c r="S923" t="s">
        <v>16</v>
      </c>
      <c r="T923" t="s">
        <v>90</v>
      </c>
      <c r="U923" t="s">
        <v>6378</v>
      </c>
      <c r="W923" t="s">
        <v>128</v>
      </c>
      <c r="X923">
        <v>92</v>
      </c>
      <c r="Y923" t="s">
        <v>90</v>
      </c>
      <c r="Z923">
        <v>259</v>
      </c>
    </row>
    <row r="924" spans="1:26" x14ac:dyDescent="0.3">
      <c r="A924">
        <v>923</v>
      </c>
      <c r="B924" t="s">
        <v>2109</v>
      </c>
      <c r="C924" t="s">
        <v>72</v>
      </c>
      <c r="D924" t="s">
        <v>54</v>
      </c>
      <c r="E924" t="s">
        <v>101</v>
      </c>
      <c r="F924" t="s">
        <v>6390</v>
      </c>
      <c r="G924" t="s">
        <v>6396</v>
      </c>
      <c r="H924" t="s">
        <v>6375</v>
      </c>
      <c r="J924">
        <f>AVERAGE(ai_job_market[[#This Row],[min_salary]],ai_job_market[[#This Row],[max_salary]])</f>
        <v>82400</v>
      </c>
      <c r="K924"/>
      <c r="L924" t="s">
        <v>27</v>
      </c>
      <c r="M924" t="s">
        <v>15</v>
      </c>
      <c r="N924" t="s">
        <v>5369</v>
      </c>
      <c r="O924" t="s">
        <v>4391</v>
      </c>
      <c r="P924">
        <v>74682</v>
      </c>
      <c r="Q924">
        <v>90118</v>
      </c>
      <c r="R924" s="2">
        <v>45751</v>
      </c>
      <c r="S924" t="s">
        <v>69</v>
      </c>
      <c r="T924" t="s">
        <v>157</v>
      </c>
      <c r="U924" t="s">
        <v>6388</v>
      </c>
      <c r="W924" t="s">
        <v>101</v>
      </c>
      <c r="X924">
        <v>76</v>
      </c>
      <c r="Y924" t="s">
        <v>157</v>
      </c>
      <c r="Z924">
        <v>247</v>
      </c>
    </row>
    <row r="925" spans="1:26" x14ac:dyDescent="0.3">
      <c r="A925">
        <v>924</v>
      </c>
      <c r="B925" t="s">
        <v>2111</v>
      </c>
      <c r="C925" t="s">
        <v>72</v>
      </c>
      <c r="D925" t="s">
        <v>30</v>
      </c>
      <c r="E925" t="s">
        <v>6355</v>
      </c>
      <c r="F925" t="s">
        <v>6395</v>
      </c>
      <c r="G925" t="s">
        <v>6377</v>
      </c>
      <c r="H925" t="s">
        <v>6379</v>
      </c>
      <c r="J925" s="6">
        <f>AVERAGE(ai_job_market[[#This Row],[min_salary]],ai_job_market[[#This Row],[max_salary]])</f>
        <v>98893.5</v>
      </c>
      <c r="K925"/>
      <c r="L925" t="s">
        <v>27</v>
      </c>
      <c r="M925" t="s">
        <v>51</v>
      </c>
      <c r="N925" t="s">
        <v>5370</v>
      </c>
      <c r="O925" t="s">
        <v>5170</v>
      </c>
      <c r="P925" s="5">
        <v>48904</v>
      </c>
      <c r="Q925" s="5">
        <v>148883</v>
      </c>
      <c r="R925" s="2">
        <v>45402</v>
      </c>
      <c r="S925" t="s">
        <v>16</v>
      </c>
      <c r="T925" t="s">
        <v>80</v>
      </c>
      <c r="U925" t="s">
        <v>6379</v>
      </c>
      <c r="V925" t="s">
        <v>6375</v>
      </c>
      <c r="W925" t="s">
        <v>6355</v>
      </c>
      <c r="X925">
        <v>90</v>
      </c>
      <c r="Y925" t="s">
        <v>80</v>
      </c>
      <c r="Z925">
        <v>249</v>
      </c>
    </row>
    <row r="926" spans="1:26" x14ac:dyDescent="0.3">
      <c r="A926">
        <v>925</v>
      </c>
      <c r="B926" t="s">
        <v>2113</v>
      </c>
      <c r="C926" t="s">
        <v>49</v>
      </c>
      <c r="D926" t="s">
        <v>67</v>
      </c>
      <c r="E926" t="s">
        <v>6359</v>
      </c>
      <c r="F926" t="s">
        <v>6384</v>
      </c>
      <c r="G926" t="s">
        <v>6382</v>
      </c>
      <c r="H926" t="s">
        <v>6378</v>
      </c>
      <c r="J926">
        <f>AVERAGE(ai_job_market[[#This Row],[min_salary]],ai_job_market[[#This Row],[max_salary]])</f>
        <v>100078.5</v>
      </c>
      <c r="K926"/>
      <c r="L926" t="s">
        <v>22</v>
      </c>
      <c r="M926" t="s">
        <v>15</v>
      </c>
      <c r="N926" t="s">
        <v>5371</v>
      </c>
      <c r="O926" t="s">
        <v>4521</v>
      </c>
      <c r="P926">
        <v>77036</v>
      </c>
      <c r="Q926">
        <v>123121</v>
      </c>
      <c r="R926" s="2">
        <v>45319</v>
      </c>
      <c r="S926" t="s">
        <v>14</v>
      </c>
      <c r="T926" t="s">
        <v>101</v>
      </c>
      <c r="U926" t="s">
        <v>6388</v>
      </c>
      <c r="V926" t="s">
        <v>6378</v>
      </c>
      <c r="W926" t="s">
        <v>6359</v>
      </c>
      <c r="X926">
        <v>104</v>
      </c>
      <c r="Y926" t="s">
        <v>101</v>
      </c>
      <c r="Z926">
        <v>255</v>
      </c>
    </row>
    <row r="927" spans="1:26" x14ac:dyDescent="0.3">
      <c r="A927">
        <v>926</v>
      </c>
      <c r="B927" t="s">
        <v>2115</v>
      </c>
      <c r="C927" t="s">
        <v>40</v>
      </c>
      <c r="D927" t="s">
        <v>20</v>
      </c>
      <c r="E927" t="s">
        <v>6345</v>
      </c>
      <c r="F927" t="s">
        <v>6376</v>
      </c>
      <c r="G927" t="s">
        <v>6377</v>
      </c>
      <c r="J927">
        <f>AVERAGE(ai_job_market[[#This Row],[min_salary]],ai_job_market[[#This Row],[max_salary]])</f>
        <v>139992</v>
      </c>
      <c r="K927"/>
      <c r="L927" t="s">
        <v>27</v>
      </c>
      <c r="M927" t="s">
        <v>37</v>
      </c>
      <c r="N927" t="s">
        <v>5372</v>
      </c>
      <c r="O927" t="s">
        <v>4538</v>
      </c>
      <c r="P927">
        <v>99727</v>
      </c>
      <c r="Q927">
        <v>180257</v>
      </c>
      <c r="R927" s="2">
        <v>45283</v>
      </c>
      <c r="S927" t="s">
        <v>16</v>
      </c>
      <c r="T927" t="s">
        <v>52</v>
      </c>
      <c r="W927" t="s">
        <v>6345</v>
      </c>
      <c r="X927">
        <v>101</v>
      </c>
      <c r="Y927" t="s">
        <v>52</v>
      </c>
      <c r="Z927">
        <v>238</v>
      </c>
    </row>
    <row r="928" spans="1:26" x14ac:dyDescent="0.3">
      <c r="A928">
        <v>927</v>
      </c>
      <c r="B928" t="s">
        <v>2117</v>
      </c>
      <c r="C928" t="s">
        <v>72</v>
      </c>
      <c r="D928" t="s">
        <v>20</v>
      </c>
      <c r="E928" t="s">
        <v>90</v>
      </c>
      <c r="F928" t="s">
        <v>6382</v>
      </c>
      <c r="G928" t="s">
        <v>6376</v>
      </c>
      <c r="H928" t="s">
        <v>6386</v>
      </c>
      <c r="I928" t="s">
        <v>6392</v>
      </c>
      <c r="J928">
        <f>AVERAGE(ai_job_market[[#This Row],[min_salary]],ai_job_market[[#This Row],[max_salary]])</f>
        <v>122933</v>
      </c>
      <c r="K928" t="s">
        <v>6378</v>
      </c>
      <c r="L928" t="s">
        <v>22</v>
      </c>
      <c r="M928" t="s">
        <v>15</v>
      </c>
      <c r="N928" t="s">
        <v>5373</v>
      </c>
      <c r="O928" t="s">
        <v>5170</v>
      </c>
      <c r="P928">
        <v>100434</v>
      </c>
      <c r="Q928">
        <v>145432</v>
      </c>
      <c r="R928" s="2">
        <v>45297</v>
      </c>
      <c r="S928" t="s">
        <v>14</v>
      </c>
      <c r="T928" t="s">
        <v>70</v>
      </c>
      <c r="W928" t="s">
        <v>90</v>
      </c>
      <c r="X928">
        <v>80</v>
      </c>
      <c r="Y928" t="s">
        <v>70</v>
      </c>
      <c r="Z928">
        <v>268</v>
      </c>
    </row>
    <row r="929" spans="1:26" x14ac:dyDescent="0.3">
      <c r="A929">
        <v>928</v>
      </c>
      <c r="B929" t="s">
        <v>2119</v>
      </c>
      <c r="C929" t="s">
        <v>34</v>
      </c>
      <c r="D929" t="s">
        <v>12</v>
      </c>
      <c r="E929" t="s">
        <v>6352</v>
      </c>
      <c r="F929" t="s">
        <v>6378</v>
      </c>
      <c r="G929" t="s">
        <v>6387</v>
      </c>
      <c r="H929" t="s">
        <v>6385</v>
      </c>
      <c r="I929" t="s">
        <v>6397</v>
      </c>
      <c r="J929" s="6">
        <f>AVERAGE(ai_job_market[[#This Row],[min_salary]],ai_job_market[[#This Row],[max_salary]])</f>
        <v>118949</v>
      </c>
      <c r="K929" t="s">
        <v>6374</v>
      </c>
      <c r="L929" t="s">
        <v>22</v>
      </c>
      <c r="M929" t="s">
        <v>15</v>
      </c>
      <c r="N929" t="s">
        <v>5374</v>
      </c>
      <c r="O929" t="s">
        <v>4323</v>
      </c>
      <c r="P929" s="5">
        <v>113410</v>
      </c>
      <c r="Q929" s="5">
        <v>124488</v>
      </c>
      <c r="R929" s="2">
        <v>45448</v>
      </c>
      <c r="S929" t="s">
        <v>14</v>
      </c>
      <c r="T929" t="s">
        <v>70</v>
      </c>
      <c r="U929" t="s">
        <v>6389</v>
      </c>
      <c r="W929" t="s">
        <v>6352</v>
      </c>
      <c r="X929">
        <v>97</v>
      </c>
      <c r="Y929" t="s">
        <v>70</v>
      </c>
      <c r="Z929">
        <v>268</v>
      </c>
    </row>
    <row r="930" spans="1:26" x14ac:dyDescent="0.3">
      <c r="A930">
        <v>929</v>
      </c>
      <c r="B930" t="s">
        <v>2121</v>
      </c>
      <c r="C930" t="s">
        <v>40</v>
      </c>
      <c r="D930" t="s">
        <v>12</v>
      </c>
      <c r="E930" t="s">
        <v>6344</v>
      </c>
      <c r="F930" t="s">
        <v>6376</v>
      </c>
      <c r="G930" t="s">
        <v>6378</v>
      </c>
      <c r="H930" t="s">
        <v>6395</v>
      </c>
      <c r="I930" t="s">
        <v>6382</v>
      </c>
      <c r="J930">
        <f>AVERAGE(ai_job_market[[#This Row],[min_salary]],ai_job_market[[#This Row],[max_salary]])</f>
        <v>185232.5</v>
      </c>
      <c r="K930"/>
      <c r="L930" t="s">
        <v>27</v>
      </c>
      <c r="M930" t="s">
        <v>42</v>
      </c>
      <c r="N930" t="s">
        <v>5375</v>
      </c>
      <c r="O930" t="s">
        <v>4480</v>
      </c>
      <c r="P930">
        <v>145218</v>
      </c>
      <c r="Q930">
        <v>225247</v>
      </c>
      <c r="R930" s="2">
        <v>45420</v>
      </c>
      <c r="S930" t="s">
        <v>14</v>
      </c>
      <c r="T930" t="s">
        <v>128</v>
      </c>
      <c r="W930" t="s">
        <v>6344</v>
      </c>
      <c r="X930">
        <v>104</v>
      </c>
      <c r="Y930" t="s">
        <v>128</v>
      </c>
      <c r="Z930">
        <v>233</v>
      </c>
    </row>
    <row r="931" spans="1:26" x14ac:dyDescent="0.3">
      <c r="A931">
        <v>930</v>
      </c>
      <c r="B931" t="s">
        <v>2123</v>
      </c>
      <c r="C931" t="s">
        <v>72</v>
      </c>
      <c r="D931" t="s">
        <v>54</v>
      </c>
      <c r="E931" t="s">
        <v>6349</v>
      </c>
      <c r="F931" t="s">
        <v>6385</v>
      </c>
      <c r="G931" t="s">
        <v>6379</v>
      </c>
      <c r="H931" t="s">
        <v>6386</v>
      </c>
      <c r="I931" t="s">
        <v>6397</v>
      </c>
      <c r="J931">
        <f>AVERAGE(ai_job_market[[#This Row],[min_salary]],ai_job_market[[#This Row],[max_salary]])</f>
        <v>109410</v>
      </c>
      <c r="K931" t="s">
        <v>6377</v>
      </c>
      <c r="L931" t="s">
        <v>14</v>
      </c>
      <c r="M931" t="s">
        <v>51</v>
      </c>
      <c r="N931" t="s">
        <v>5376</v>
      </c>
      <c r="O931" t="s">
        <v>4480</v>
      </c>
      <c r="P931">
        <v>99985</v>
      </c>
      <c r="Q931">
        <v>118835</v>
      </c>
      <c r="R931" s="2">
        <v>45202</v>
      </c>
      <c r="S931" t="s">
        <v>16</v>
      </c>
      <c r="T931" t="s">
        <v>157</v>
      </c>
      <c r="W931" t="s">
        <v>6349</v>
      </c>
      <c r="X931">
        <v>96</v>
      </c>
      <c r="Y931" t="s">
        <v>157</v>
      </c>
      <c r="Z931">
        <v>247</v>
      </c>
    </row>
    <row r="932" spans="1:26" x14ac:dyDescent="0.3">
      <c r="A932">
        <v>931</v>
      </c>
      <c r="B932" t="s">
        <v>2125</v>
      </c>
      <c r="C932" t="s">
        <v>34</v>
      </c>
      <c r="D932" t="s">
        <v>35</v>
      </c>
      <c r="E932" t="s">
        <v>6351</v>
      </c>
      <c r="F932" t="s">
        <v>6382</v>
      </c>
      <c r="G932" t="s">
        <v>6374</v>
      </c>
      <c r="H932" t="s">
        <v>6385</v>
      </c>
      <c r="I932" t="s">
        <v>6378</v>
      </c>
      <c r="J932">
        <f>AVERAGE(ai_job_market[[#This Row],[min_salary]],ai_job_market[[#This Row],[max_salary]])</f>
        <v>89950.5</v>
      </c>
      <c r="K932"/>
      <c r="L932" t="s">
        <v>27</v>
      </c>
      <c r="M932" t="s">
        <v>15</v>
      </c>
      <c r="N932" t="s">
        <v>5377</v>
      </c>
      <c r="O932" t="s">
        <v>4325</v>
      </c>
      <c r="P932">
        <v>56177</v>
      </c>
      <c r="Q932">
        <v>123724</v>
      </c>
      <c r="R932" s="2">
        <v>45810</v>
      </c>
      <c r="S932" t="s">
        <v>69</v>
      </c>
      <c r="T932" t="s">
        <v>70</v>
      </c>
      <c r="U932" t="s">
        <v>6389</v>
      </c>
      <c r="V932" t="s">
        <v>6376</v>
      </c>
      <c r="W932" t="s">
        <v>6351</v>
      </c>
      <c r="X932">
        <v>89</v>
      </c>
      <c r="Y932" t="s">
        <v>70</v>
      </c>
      <c r="Z932">
        <v>268</v>
      </c>
    </row>
    <row r="933" spans="1:26" x14ac:dyDescent="0.3">
      <c r="A933">
        <v>932</v>
      </c>
      <c r="B933" t="s">
        <v>2127</v>
      </c>
      <c r="C933" t="s">
        <v>19</v>
      </c>
      <c r="D933" t="s">
        <v>30</v>
      </c>
      <c r="E933" t="s">
        <v>70</v>
      </c>
      <c r="F933" t="s">
        <v>6386</v>
      </c>
      <c r="G933" t="s">
        <v>6374</v>
      </c>
      <c r="H933" t="s">
        <v>6393</v>
      </c>
      <c r="I933" t="s">
        <v>6378</v>
      </c>
      <c r="J933">
        <f>AVERAGE(ai_job_market[[#This Row],[min_salary]],ai_job_market[[#This Row],[max_salary]])</f>
        <v>179145.5</v>
      </c>
      <c r="K933"/>
      <c r="L933" t="s">
        <v>27</v>
      </c>
      <c r="M933" t="s">
        <v>15</v>
      </c>
      <c r="N933" t="s">
        <v>5378</v>
      </c>
      <c r="O933" t="s">
        <v>4786</v>
      </c>
      <c r="P933">
        <v>133484</v>
      </c>
      <c r="Q933">
        <v>224807</v>
      </c>
      <c r="R933" s="2">
        <v>45561</v>
      </c>
      <c r="S933" t="s">
        <v>16</v>
      </c>
      <c r="T933" t="s">
        <v>128</v>
      </c>
      <c r="U933" t="s">
        <v>6376</v>
      </c>
      <c r="W933" t="s">
        <v>70</v>
      </c>
      <c r="X933">
        <v>100</v>
      </c>
      <c r="Y933" t="s">
        <v>128</v>
      </c>
      <c r="Z933">
        <v>233</v>
      </c>
    </row>
    <row r="934" spans="1:26" x14ac:dyDescent="0.3">
      <c r="A934">
        <v>933</v>
      </c>
      <c r="B934" t="s">
        <v>2129</v>
      </c>
      <c r="C934" t="s">
        <v>40</v>
      </c>
      <c r="D934" t="s">
        <v>12</v>
      </c>
      <c r="E934" t="s">
        <v>6355</v>
      </c>
      <c r="F934" t="s">
        <v>6386</v>
      </c>
      <c r="G934" t="s">
        <v>6374</v>
      </c>
      <c r="J934">
        <f>AVERAGE(ai_job_market[[#This Row],[min_salary]],ai_job_market[[#This Row],[max_salary]])</f>
        <v>165785</v>
      </c>
      <c r="K934"/>
      <c r="L934" t="s">
        <v>22</v>
      </c>
      <c r="M934" t="s">
        <v>42</v>
      </c>
      <c r="N934" t="s">
        <v>5379</v>
      </c>
      <c r="O934" t="s">
        <v>4466</v>
      </c>
      <c r="P934">
        <v>144347</v>
      </c>
      <c r="Q934">
        <v>187223</v>
      </c>
      <c r="R934" s="2">
        <v>45536</v>
      </c>
      <c r="S934" t="s">
        <v>14</v>
      </c>
      <c r="T934" t="s">
        <v>77</v>
      </c>
      <c r="W934" t="s">
        <v>6355</v>
      </c>
      <c r="X934">
        <v>90</v>
      </c>
      <c r="Y934" t="s">
        <v>77</v>
      </c>
      <c r="Z934">
        <v>251</v>
      </c>
    </row>
    <row r="935" spans="1:26" x14ac:dyDescent="0.3">
      <c r="A935">
        <v>934</v>
      </c>
      <c r="B935" t="s">
        <v>2131</v>
      </c>
      <c r="C935" t="s">
        <v>34</v>
      </c>
      <c r="D935" t="s">
        <v>67</v>
      </c>
      <c r="E935" t="s">
        <v>90</v>
      </c>
      <c r="F935" t="s">
        <v>6382</v>
      </c>
      <c r="G935" t="s">
        <v>6390</v>
      </c>
      <c r="J935">
        <f>AVERAGE(ai_job_market[[#This Row],[min_salary]],ai_job_market[[#This Row],[max_salary]])</f>
        <v>102865.5</v>
      </c>
      <c r="K935"/>
      <c r="L935" t="s">
        <v>14</v>
      </c>
      <c r="M935" t="s">
        <v>51</v>
      </c>
      <c r="N935" t="s">
        <v>5380</v>
      </c>
      <c r="O935" t="s">
        <v>4506</v>
      </c>
      <c r="P935">
        <v>83798</v>
      </c>
      <c r="Q935">
        <v>121933</v>
      </c>
      <c r="R935" s="2">
        <v>45491</v>
      </c>
      <c r="S935" t="s">
        <v>16</v>
      </c>
      <c r="T935" t="s">
        <v>128</v>
      </c>
      <c r="W935" t="s">
        <v>90</v>
      </c>
      <c r="X935">
        <v>80</v>
      </c>
      <c r="Y935" t="s">
        <v>128</v>
      </c>
      <c r="Z935">
        <v>233</v>
      </c>
    </row>
    <row r="936" spans="1:26" x14ac:dyDescent="0.3">
      <c r="A936">
        <v>935</v>
      </c>
      <c r="B936" t="s">
        <v>2133</v>
      </c>
      <c r="C936" t="s">
        <v>45</v>
      </c>
      <c r="D936" t="s">
        <v>20</v>
      </c>
      <c r="E936" t="s">
        <v>128</v>
      </c>
      <c r="F936" t="s">
        <v>6380</v>
      </c>
      <c r="G936" t="s">
        <v>6391</v>
      </c>
      <c r="H936" t="s">
        <v>6382</v>
      </c>
      <c r="I936" t="s">
        <v>6392</v>
      </c>
      <c r="J936" s="6">
        <f>AVERAGE(ai_job_market[[#This Row],[min_salary]],ai_job_market[[#This Row],[max_salary]])</f>
        <v>151785.5</v>
      </c>
      <c r="K936"/>
      <c r="L936" t="s">
        <v>22</v>
      </c>
      <c r="M936" t="s">
        <v>51</v>
      </c>
      <c r="N936" t="s">
        <v>5381</v>
      </c>
      <c r="O936" t="s">
        <v>4461</v>
      </c>
      <c r="P936" s="5">
        <v>143575</v>
      </c>
      <c r="Q936" s="5">
        <v>159996</v>
      </c>
      <c r="R936" s="2">
        <v>45730</v>
      </c>
      <c r="S936" t="s">
        <v>16</v>
      </c>
      <c r="T936" t="s">
        <v>52</v>
      </c>
      <c r="W936" t="s">
        <v>128</v>
      </c>
      <c r="X936">
        <v>92</v>
      </c>
      <c r="Y936" t="s">
        <v>52</v>
      </c>
      <c r="Z936">
        <v>238</v>
      </c>
    </row>
    <row r="937" spans="1:26" x14ac:dyDescent="0.3">
      <c r="A937">
        <v>936</v>
      </c>
      <c r="B937" t="s">
        <v>2135</v>
      </c>
      <c r="C937" t="s">
        <v>72</v>
      </c>
      <c r="D937" t="s">
        <v>25</v>
      </c>
      <c r="E937" t="s">
        <v>80</v>
      </c>
      <c r="F937" t="s">
        <v>6378</v>
      </c>
      <c r="G937" t="s">
        <v>6396</v>
      </c>
      <c r="H937" t="s">
        <v>6377</v>
      </c>
      <c r="J937">
        <f>AVERAGE(ai_job_market[[#This Row],[min_salary]],ai_job_market[[#This Row],[max_salary]])</f>
        <v>133597</v>
      </c>
      <c r="K937"/>
      <c r="L937" t="s">
        <v>22</v>
      </c>
      <c r="M937" t="s">
        <v>42</v>
      </c>
      <c r="N937" t="s">
        <v>5184</v>
      </c>
      <c r="O937" t="s">
        <v>4767</v>
      </c>
      <c r="P937">
        <v>95811</v>
      </c>
      <c r="Q937">
        <v>171383</v>
      </c>
      <c r="R937" s="2">
        <v>45688</v>
      </c>
      <c r="S937" t="s">
        <v>69</v>
      </c>
      <c r="T937" t="s">
        <v>101</v>
      </c>
      <c r="U937" t="s">
        <v>6384</v>
      </c>
      <c r="V937" t="s">
        <v>6383</v>
      </c>
      <c r="W937" t="s">
        <v>80</v>
      </c>
      <c r="X937">
        <v>95</v>
      </c>
      <c r="Y937" t="s">
        <v>101</v>
      </c>
      <c r="Z937">
        <v>255</v>
      </c>
    </row>
    <row r="938" spans="1:26" x14ac:dyDescent="0.3">
      <c r="A938">
        <v>937</v>
      </c>
      <c r="B938" t="s">
        <v>2137</v>
      </c>
      <c r="C938" t="s">
        <v>40</v>
      </c>
      <c r="D938" t="s">
        <v>20</v>
      </c>
      <c r="E938" t="s">
        <v>6355</v>
      </c>
      <c r="F938" t="s">
        <v>6387</v>
      </c>
      <c r="G938" t="s">
        <v>6389</v>
      </c>
      <c r="H938" t="s">
        <v>6384</v>
      </c>
      <c r="J938">
        <f>AVERAGE(ai_job_market[[#This Row],[min_salary]],ai_job_market[[#This Row],[max_salary]])</f>
        <v>110871.5</v>
      </c>
      <c r="K938"/>
      <c r="L938" t="s">
        <v>27</v>
      </c>
      <c r="M938" t="s">
        <v>37</v>
      </c>
      <c r="N938" t="s">
        <v>5382</v>
      </c>
      <c r="O938" t="s">
        <v>4743</v>
      </c>
      <c r="P938">
        <v>103575</v>
      </c>
      <c r="Q938">
        <v>118168</v>
      </c>
      <c r="R938" s="2">
        <v>45315</v>
      </c>
      <c r="S938" t="s">
        <v>16</v>
      </c>
      <c r="T938" t="s">
        <v>128</v>
      </c>
      <c r="W938" t="s">
        <v>6355</v>
      </c>
      <c r="X938">
        <v>90</v>
      </c>
      <c r="Y938" t="s">
        <v>128</v>
      </c>
      <c r="Z938">
        <v>233</v>
      </c>
    </row>
    <row r="939" spans="1:26" x14ac:dyDescent="0.3">
      <c r="A939">
        <v>938</v>
      </c>
      <c r="B939" t="s">
        <v>2139</v>
      </c>
      <c r="C939" t="s">
        <v>34</v>
      </c>
      <c r="D939" t="s">
        <v>67</v>
      </c>
      <c r="E939" t="s">
        <v>6344</v>
      </c>
      <c r="F939" t="s">
        <v>6379</v>
      </c>
      <c r="G939" t="s">
        <v>6378</v>
      </c>
      <c r="H939" t="s">
        <v>6374</v>
      </c>
      <c r="I939" t="s">
        <v>6392</v>
      </c>
      <c r="J939">
        <f>AVERAGE(ai_job_market[[#This Row],[min_salary]],ai_job_market[[#This Row],[max_salary]])</f>
        <v>84044</v>
      </c>
      <c r="K939"/>
      <c r="L939" t="s">
        <v>14</v>
      </c>
      <c r="M939" t="s">
        <v>15</v>
      </c>
      <c r="N939" t="s">
        <v>5383</v>
      </c>
      <c r="O939" t="s">
        <v>4289</v>
      </c>
      <c r="P939">
        <v>40745</v>
      </c>
      <c r="Q939">
        <v>127343</v>
      </c>
      <c r="R939" s="2">
        <v>45823</v>
      </c>
      <c r="S939" t="s">
        <v>69</v>
      </c>
      <c r="T939" t="s">
        <v>52</v>
      </c>
      <c r="U939" t="s">
        <v>6383</v>
      </c>
      <c r="V939" t="s">
        <v>6378</v>
      </c>
      <c r="W939" t="s">
        <v>6344</v>
      </c>
      <c r="X939">
        <v>104</v>
      </c>
      <c r="Y939" t="s">
        <v>52</v>
      </c>
      <c r="Z939">
        <v>238</v>
      </c>
    </row>
    <row r="940" spans="1:26" x14ac:dyDescent="0.3">
      <c r="A940">
        <v>939</v>
      </c>
      <c r="B940" t="s">
        <v>2142</v>
      </c>
      <c r="C940" t="s">
        <v>11</v>
      </c>
      <c r="D940" t="s">
        <v>25</v>
      </c>
      <c r="E940" t="s">
        <v>90</v>
      </c>
      <c r="F940" t="s">
        <v>6375</v>
      </c>
      <c r="G940" t="s">
        <v>6394</v>
      </c>
      <c r="H940" t="s">
        <v>6384</v>
      </c>
      <c r="J940">
        <f>AVERAGE(ai_job_market[[#This Row],[min_salary]],ai_job_market[[#This Row],[max_salary]])</f>
        <v>72275</v>
      </c>
      <c r="K940"/>
      <c r="L940" t="s">
        <v>14</v>
      </c>
      <c r="M940" t="s">
        <v>42</v>
      </c>
      <c r="N940" t="s">
        <v>4376</v>
      </c>
      <c r="O940" t="s">
        <v>4355</v>
      </c>
      <c r="P940">
        <v>66473</v>
      </c>
      <c r="Q940">
        <v>78077</v>
      </c>
      <c r="R940" s="2">
        <v>45210</v>
      </c>
      <c r="S940" t="s">
        <v>16</v>
      </c>
      <c r="T940" t="s">
        <v>90</v>
      </c>
      <c r="U940" t="s">
        <v>6384</v>
      </c>
      <c r="W940" t="s">
        <v>90</v>
      </c>
      <c r="X940">
        <v>80</v>
      </c>
      <c r="Y940" t="s">
        <v>90</v>
      </c>
      <c r="Z940">
        <v>259</v>
      </c>
    </row>
    <row r="941" spans="1:26" x14ac:dyDescent="0.3">
      <c r="A941">
        <v>940</v>
      </c>
      <c r="B941" t="s">
        <v>2144</v>
      </c>
      <c r="C941" t="s">
        <v>19</v>
      </c>
      <c r="D941" t="s">
        <v>67</v>
      </c>
      <c r="E941" t="s">
        <v>6344</v>
      </c>
      <c r="F941" t="s">
        <v>6384</v>
      </c>
      <c r="G941" t="s">
        <v>6390</v>
      </c>
      <c r="H941" t="s">
        <v>6389</v>
      </c>
      <c r="I941" t="s">
        <v>6380</v>
      </c>
      <c r="J941">
        <f>AVERAGE(ai_job_market[[#This Row],[min_salary]],ai_job_market[[#This Row],[max_salary]])</f>
        <v>138587</v>
      </c>
      <c r="K941" t="s">
        <v>6385</v>
      </c>
      <c r="L941" t="s">
        <v>22</v>
      </c>
      <c r="M941" t="s">
        <v>51</v>
      </c>
      <c r="N941" t="s">
        <v>5384</v>
      </c>
      <c r="O941" t="s">
        <v>4849</v>
      </c>
      <c r="P941">
        <v>114324</v>
      </c>
      <c r="Q941">
        <v>162850</v>
      </c>
      <c r="R941" s="2">
        <v>45781</v>
      </c>
      <c r="S941" t="s">
        <v>16</v>
      </c>
      <c r="T941" t="s">
        <v>70</v>
      </c>
      <c r="U941" t="s">
        <v>6388</v>
      </c>
      <c r="V941" t="s">
        <v>6383</v>
      </c>
      <c r="W941" t="s">
        <v>6344</v>
      </c>
      <c r="X941">
        <v>104</v>
      </c>
      <c r="Y941" t="s">
        <v>70</v>
      </c>
      <c r="Z941">
        <v>268</v>
      </c>
    </row>
    <row r="942" spans="1:26" x14ac:dyDescent="0.3">
      <c r="A942">
        <v>941</v>
      </c>
      <c r="B942" t="s">
        <v>2146</v>
      </c>
      <c r="C942" t="s">
        <v>72</v>
      </c>
      <c r="D942" t="s">
        <v>30</v>
      </c>
      <c r="E942" t="s">
        <v>6354</v>
      </c>
      <c r="F942" t="s">
        <v>6375</v>
      </c>
      <c r="G942" t="s">
        <v>6374</v>
      </c>
      <c r="H942" t="s">
        <v>6394</v>
      </c>
      <c r="I942" t="s">
        <v>6386</v>
      </c>
      <c r="J942">
        <f>AVERAGE(ai_job_market[[#This Row],[min_salary]],ai_job_market[[#This Row],[max_salary]])</f>
        <v>107459</v>
      </c>
      <c r="K942"/>
      <c r="L942" t="s">
        <v>22</v>
      </c>
      <c r="M942" t="s">
        <v>37</v>
      </c>
      <c r="N942" t="s">
        <v>5385</v>
      </c>
      <c r="O942" t="s">
        <v>4664</v>
      </c>
      <c r="P942">
        <v>81604</v>
      </c>
      <c r="Q942">
        <v>133314</v>
      </c>
      <c r="R942" s="2">
        <v>45598</v>
      </c>
      <c r="S942" t="s">
        <v>16</v>
      </c>
      <c r="T942" t="s">
        <v>80</v>
      </c>
      <c r="U942" t="s">
        <v>6376</v>
      </c>
      <c r="W942" t="s">
        <v>6354</v>
      </c>
      <c r="X942">
        <v>75</v>
      </c>
      <c r="Y942" t="s">
        <v>80</v>
      </c>
      <c r="Z942">
        <v>249</v>
      </c>
    </row>
    <row r="943" spans="1:26" x14ac:dyDescent="0.3">
      <c r="A943">
        <v>942</v>
      </c>
      <c r="B943" t="s">
        <v>2148</v>
      </c>
      <c r="C943" t="s">
        <v>11</v>
      </c>
      <c r="D943" t="s">
        <v>25</v>
      </c>
      <c r="E943" t="s">
        <v>6358</v>
      </c>
      <c r="F943" t="s">
        <v>6391</v>
      </c>
      <c r="G943" t="s">
        <v>6374</v>
      </c>
      <c r="H943" t="s">
        <v>6387</v>
      </c>
      <c r="J943">
        <f>AVERAGE(ai_job_market[[#This Row],[min_salary]],ai_job_market[[#This Row],[max_salary]])</f>
        <v>134476.5</v>
      </c>
      <c r="K943"/>
      <c r="L943" t="s">
        <v>22</v>
      </c>
      <c r="M943" t="s">
        <v>51</v>
      </c>
      <c r="N943" t="s">
        <v>5386</v>
      </c>
      <c r="O943" t="s">
        <v>4454</v>
      </c>
      <c r="P943">
        <v>89096</v>
      </c>
      <c r="Q943">
        <v>179857</v>
      </c>
      <c r="R943" s="2">
        <v>45544</v>
      </c>
      <c r="S943" t="s">
        <v>14</v>
      </c>
      <c r="T943" t="s">
        <v>90</v>
      </c>
      <c r="U943" t="s">
        <v>6383</v>
      </c>
      <c r="V943" t="s">
        <v>6378</v>
      </c>
      <c r="W943" t="s">
        <v>6358</v>
      </c>
      <c r="X943">
        <v>96</v>
      </c>
      <c r="Y943" t="s">
        <v>90</v>
      </c>
      <c r="Z943">
        <v>259</v>
      </c>
    </row>
    <row r="944" spans="1:26" x14ac:dyDescent="0.3">
      <c r="A944">
        <v>943</v>
      </c>
      <c r="B944" t="s">
        <v>2150</v>
      </c>
      <c r="C944" t="s">
        <v>40</v>
      </c>
      <c r="D944" t="s">
        <v>20</v>
      </c>
      <c r="E944" t="s">
        <v>6347</v>
      </c>
      <c r="F944" t="s">
        <v>6374</v>
      </c>
      <c r="G944" t="s">
        <v>6375</v>
      </c>
      <c r="H944" t="s">
        <v>6384</v>
      </c>
      <c r="I944" t="s">
        <v>6382</v>
      </c>
      <c r="J944">
        <f>AVERAGE(ai_job_market[[#This Row],[min_salary]],ai_job_market[[#This Row],[max_salary]])</f>
        <v>71957</v>
      </c>
      <c r="K944" t="s">
        <v>6395</v>
      </c>
      <c r="L944" t="s">
        <v>14</v>
      </c>
      <c r="M944" t="s">
        <v>42</v>
      </c>
      <c r="N944" t="s">
        <v>5387</v>
      </c>
      <c r="O944" t="s">
        <v>4346</v>
      </c>
      <c r="P944">
        <v>56260</v>
      </c>
      <c r="Q944">
        <v>87654</v>
      </c>
      <c r="R944" s="2">
        <v>45236</v>
      </c>
      <c r="S944" t="s">
        <v>16</v>
      </c>
      <c r="T944" t="s">
        <v>101</v>
      </c>
      <c r="W944" t="s">
        <v>6347</v>
      </c>
      <c r="X944">
        <v>94</v>
      </c>
      <c r="Y944" t="s">
        <v>101</v>
      </c>
      <c r="Z944">
        <v>255</v>
      </c>
    </row>
    <row r="945" spans="1:26" x14ac:dyDescent="0.3">
      <c r="A945">
        <v>944</v>
      </c>
      <c r="B945" t="s">
        <v>2152</v>
      </c>
      <c r="C945" t="s">
        <v>40</v>
      </c>
      <c r="D945" t="s">
        <v>135</v>
      </c>
      <c r="E945" t="s">
        <v>77</v>
      </c>
      <c r="F945" t="s">
        <v>6384</v>
      </c>
      <c r="G945" t="s">
        <v>6374</v>
      </c>
      <c r="H945" t="s">
        <v>6395</v>
      </c>
      <c r="I945" t="s">
        <v>6385</v>
      </c>
      <c r="J945">
        <f>AVERAGE(ai_job_market[[#This Row],[min_salary]],ai_job_market[[#This Row],[max_salary]])</f>
        <v>59811</v>
      </c>
      <c r="K945"/>
      <c r="L945" t="s">
        <v>27</v>
      </c>
      <c r="M945" t="s">
        <v>51</v>
      </c>
      <c r="N945" t="s">
        <v>5388</v>
      </c>
      <c r="O945" t="s">
        <v>4478</v>
      </c>
      <c r="P945">
        <v>49558</v>
      </c>
      <c r="Q945">
        <v>70064</v>
      </c>
      <c r="R945" s="2">
        <v>45696</v>
      </c>
      <c r="S945" t="s">
        <v>14</v>
      </c>
      <c r="T945" t="s">
        <v>80</v>
      </c>
      <c r="U945" t="s">
        <v>6378</v>
      </c>
      <c r="W945" t="s">
        <v>77</v>
      </c>
      <c r="X945">
        <v>111</v>
      </c>
      <c r="Y945" t="s">
        <v>80</v>
      </c>
      <c r="Z945">
        <v>249</v>
      </c>
    </row>
    <row r="946" spans="1:26" x14ac:dyDescent="0.3">
      <c r="A946">
        <v>945</v>
      </c>
      <c r="B946" t="s">
        <v>2154</v>
      </c>
      <c r="C946" t="s">
        <v>49</v>
      </c>
      <c r="D946" t="s">
        <v>30</v>
      </c>
      <c r="E946" t="s">
        <v>6350</v>
      </c>
      <c r="F946" t="s">
        <v>6395</v>
      </c>
      <c r="G946" t="s">
        <v>6379</v>
      </c>
      <c r="H946" t="s">
        <v>6391</v>
      </c>
      <c r="I946" t="s">
        <v>6382</v>
      </c>
      <c r="J946">
        <f>AVERAGE(ai_job_market[[#This Row],[min_salary]],ai_job_market[[#This Row],[max_salary]])</f>
        <v>129440.5</v>
      </c>
      <c r="K946" t="s">
        <v>6384</v>
      </c>
      <c r="L946" t="s">
        <v>14</v>
      </c>
      <c r="M946" t="s">
        <v>15</v>
      </c>
      <c r="N946" t="s">
        <v>5389</v>
      </c>
      <c r="O946" t="s">
        <v>4637</v>
      </c>
      <c r="P946">
        <v>81542</v>
      </c>
      <c r="Q946">
        <v>177339</v>
      </c>
      <c r="R946" s="2">
        <v>45599</v>
      </c>
      <c r="S946" t="s">
        <v>16</v>
      </c>
      <c r="T946" t="s">
        <v>90</v>
      </c>
      <c r="U946" t="s">
        <v>6388</v>
      </c>
      <c r="V946" t="s">
        <v>6375</v>
      </c>
      <c r="W946" t="s">
        <v>6350</v>
      </c>
      <c r="X946">
        <v>84</v>
      </c>
      <c r="Y946" t="s">
        <v>90</v>
      </c>
      <c r="Z946">
        <v>259</v>
      </c>
    </row>
    <row r="947" spans="1:26" x14ac:dyDescent="0.3">
      <c r="A947">
        <v>946</v>
      </c>
      <c r="B947" t="s">
        <v>2157</v>
      </c>
      <c r="C947" t="s">
        <v>19</v>
      </c>
      <c r="D947" t="s">
        <v>30</v>
      </c>
      <c r="E947" t="s">
        <v>6354</v>
      </c>
      <c r="F947" t="s">
        <v>6375</v>
      </c>
      <c r="G947" t="s">
        <v>6377</v>
      </c>
      <c r="H947" t="s">
        <v>6385</v>
      </c>
      <c r="J947">
        <f>AVERAGE(ai_job_market[[#This Row],[min_salary]],ai_job_market[[#This Row],[max_salary]])</f>
        <v>132856.5</v>
      </c>
      <c r="K947"/>
      <c r="L947" t="s">
        <v>27</v>
      </c>
      <c r="M947" t="s">
        <v>15</v>
      </c>
      <c r="N947" t="s">
        <v>5390</v>
      </c>
      <c r="O947" t="s">
        <v>4640</v>
      </c>
      <c r="P947">
        <v>102091</v>
      </c>
      <c r="Q947">
        <v>163622</v>
      </c>
      <c r="R947" s="2">
        <v>45863</v>
      </c>
      <c r="S947" t="s">
        <v>69</v>
      </c>
      <c r="T947" t="s">
        <v>77</v>
      </c>
      <c r="U947" t="s">
        <v>6384</v>
      </c>
      <c r="W947" t="s">
        <v>6354</v>
      </c>
      <c r="X947">
        <v>75</v>
      </c>
      <c r="Y947" t="s">
        <v>77</v>
      </c>
      <c r="Z947">
        <v>251</v>
      </c>
    </row>
    <row r="948" spans="1:26" x14ac:dyDescent="0.3">
      <c r="A948">
        <v>947</v>
      </c>
      <c r="B948" t="s">
        <v>2159</v>
      </c>
      <c r="C948" t="s">
        <v>40</v>
      </c>
      <c r="D948" t="s">
        <v>67</v>
      </c>
      <c r="E948" t="s">
        <v>6353</v>
      </c>
      <c r="F948" t="s">
        <v>6389</v>
      </c>
      <c r="G948" t="s">
        <v>6395</v>
      </c>
      <c r="H948" t="s">
        <v>6381</v>
      </c>
      <c r="I948" t="s">
        <v>6378</v>
      </c>
      <c r="J948">
        <f>AVERAGE(ai_job_market[[#This Row],[min_salary]],ai_job_market[[#This Row],[max_salary]])</f>
        <v>156327.5</v>
      </c>
      <c r="K948"/>
      <c r="L948" t="s">
        <v>22</v>
      </c>
      <c r="M948" t="s">
        <v>42</v>
      </c>
      <c r="N948" t="s">
        <v>5391</v>
      </c>
      <c r="O948" t="s">
        <v>4416</v>
      </c>
      <c r="P948">
        <v>121879</v>
      </c>
      <c r="Q948">
        <v>190776</v>
      </c>
      <c r="R948" s="2">
        <v>45288</v>
      </c>
      <c r="S948" t="s">
        <v>69</v>
      </c>
      <c r="T948" t="s">
        <v>52</v>
      </c>
      <c r="W948" t="s">
        <v>6353</v>
      </c>
      <c r="X948">
        <v>86</v>
      </c>
      <c r="Y948" t="s">
        <v>52</v>
      </c>
      <c r="Z948">
        <v>238</v>
      </c>
    </row>
    <row r="949" spans="1:26" x14ac:dyDescent="0.3">
      <c r="A949">
        <v>948</v>
      </c>
      <c r="B949" t="s">
        <v>2161</v>
      </c>
      <c r="C949" t="s">
        <v>40</v>
      </c>
      <c r="D949" t="s">
        <v>25</v>
      </c>
      <c r="E949" t="s">
        <v>128</v>
      </c>
      <c r="F949" t="s">
        <v>6390</v>
      </c>
      <c r="G949" t="s">
        <v>6391</v>
      </c>
      <c r="H949" t="s">
        <v>6386</v>
      </c>
      <c r="I949" t="s">
        <v>6387</v>
      </c>
      <c r="J949">
        <f>AVERAGE(ai_job_market[[#This Row],[min_salary]],ai_job_market[[#This Row],[max_salary]])</f>
        <v>147367</v>
      </c>
      <c r="K949" t="s">
        <v>6374</v>
      </c>
      <c r="L949" t="s">
        <v>22</v>
      </c>
      <c r="M949" t="s">
        <v>51</v>
      </c>
      <c r="N949" t="s">
        <v>5392</v>
      </c>
      <c r="O949" t="s">
        <v>4706</v>
      </c>
      <c r="P949">
        <v>100499</v>
      </c>
      <c r="Q949">
        <v>194235</v>
      </c>
      <c r="R949" s="2">
        <v>45769</v>
      </c>
      <c r="S949" t="s">
        <v>14</v>
      </c>
      <c r="T949" t="s">
        <v>101</v>
      </c>
      <c r="U949" t="s">
        <v>6389</v>
      </c>
      <c r="W949" t="s">
        <v>128</v>
      </c>
      <c r="X949">
        <v>92</v>
      </c>
      <c r="Y949" t="s">
        <v>101</v>
      </c>
      <c r="Z949">
        <v>255</v>
      </c>
    </row>
    <row r="950" spans="1:26" x14ac:dyDescent="0.3">
      <c r="A950">
        <v>949</v>
      </c>
      <c r="B950" t="s">
        <v>2163</v>
      </c>
      <c r="C950" t="s">
        <v>45</v>
      </c>
      <c r="D950" t="s">
        <v>35</v>
      </c>
      <c r="E950" t="s">
        <v>6353</v>
      </c>
      <c r="F950" t="s">
        <v>6380</v>
      </c>
      <c r="G950" t="s">
        <v>6385</v>
      </c>
      <c r="H950" t="s">
        <v>6396</v>
      </c>
      <c r="J950">
        <f>AVERAGE(ai_job_market[[#This Row],[min_salary]],ai_job_market[[#This Row],[max_salary]])</f>
        <v>113441.5</v>
      </c>
      <c r="K950"/>
      <c r="L950" t="s">
        <v>14</v>
      </c>
      <c r="M950" t="s">
        <v>42</v>
      </c>
      <c r="N950" t="s">
        <v>5393</v>
      </c>
      <c r="O950" t="s">
        <v>4295</v>
      </c>
      <c r="P950">
        <v>93170</v>
      </c>
      <c r="Q950">
        <v>133713</v>
      </c>
      <c r="R950" s="2">
        <v>45202</v>
      </c>
      <c r="S950" t="s">
        <v>69</v>
      </c>
      <c r="T950" t="s">
        <v>101</v>
      </c>
      <c r="U950" t="s">
        <v>6388</v>
      </c>
      <c r="V950" t="s">
        <v>6379</v>
      </c>
      <c r="W950" t="s">
        <v>6353</v>
      </c>
      <c r="X950">
        <v>86</v>
      </c>
      <c r="Y950" t="s">
        <v>101</v>
      </c>
      <c r="Z950">
        <v>255</v>
      </c>
    </row>
    <row r="951" spans="1:26" x14ac:dyDescent="0.3">
      <c r="A951">
        <v>950</v>
      </c>
      <c r="B951" t="s">
        <v>2166</v>
      </c>
      <c r="C951" t="s">
        <v>49</v>
      </c>
      <c r="D951" t="s">
        <v>25</v>
      </c>
      <c r="E951" t="s">
        <v>6355</v>
      </c>
      <c r="F951" t="s">
        <v>6397</v>
      </c>
      <c r="G951" t="s">
        <v>6392</v>
      </c>
      <c r="H951" t="s">
        <v>6395</v>
      </c>
      <c r="I951" t="s">
        <v>6394</v>
      </c>
      <c r="J951">
        <f>AVERAGE(ai_job_market[[#This Row],[min_salary]],ai_job_market[[#This Row],[max_salary]])</f>
        <v>137810.5</v>
      </c>
      <c r="K951" t="s">
        <v>6396</v>
      </c>
      <c r="L951" t="s">
        <v>22</v>
      </c>
      <c r="M951" t="s">
        <v>42</v>
      </c>
      <c r="N951" t="s">
        <v>4740</v>
      </c>
      <c r="O951" t="s">
        <v>4442</v>
      </c>
      <c r="P951">
        <v>93116</v>
      </c>
      <c r="Q951">
        <v>182505</v>
      </c>
      <c r="R951" s="2">
        <v>45886</v>
      </c>
      <c r="S951" t="s">
        <v>69</v>
      </c>
      <c r="T951" t="s">
        <v>70</v>
      </c>
      <c r="W951" t="s">
        <v>6355</v>
      </c>
      <c r="X951">
        <v>90</v>
      </c>
      <c r="Y951" t="s">
        <v>70</v>
      </c>
      <c r="Z951">
        <v>268</v>
      </c>
    </row>
    <row r="952" spans="1:26" x14ac:dyDescent="0.3">
      <c r="A952">
        <v>951</v>
      </c>
      <c r="B952" t="s">
        <v>2168</v>
      </c>
      <c r="C952" t="s">
        <v>11</v>
      </c>
      <c r="D952" t="s">
        <v>12</v>
      </c>
      <c r="E952" t="s">
        <v>6359</v>
      </c>
      <c r="F952" t="s">
        <v>6393</v>
      </c>
      <c r="G952" t="s">
        <v>6389</v>
      </c>
      <c r="H952" t="s">
        <v>6380</v>
      </c>
      <c r="J952">
        <f>AVERAGE(ai_job_market[[#This Row],[min_salary]],ai_job_market[[#This Row],[max_salary]])</f>
        <v>144832</v>
      </c>
      <c r="K952"/>
      <c r="L952" t="s">
        <v>22</v>
      </c>
      <c r="M952" t="s">
        <v>37</v>
      </c>
      <c r="N952" t="s">
        <v>5394</v>
      </c>
      <c r="O952" t="s">
        <v>4929</v>
      </c>
      <c r="P952">
        <v>134605</v>
      </c>
      <c r="Q952">
        <v>155059</v>
      </c>
      <c r="R952" s="2">
        <v>45295</v>
      </c>
      <c r="S952" t="s">
        <v>14</v>
      </c>
      <c r="T952" t="s">
        <v>90</v>
      </c>
      <c r="U952" t="s">
        <v>6388</v>
      </c>
      <c r="V952" t="s">
        <v>6375</v>
      </c>
      <c r="W952" t="s">
        <v>6359</v>
      </c>
      <c r="X952">
        <v>104</v>
      </c>
      <c r="Y952" t="s">
        <v>90</v>
      </c>
      <c r="Z952">
        <v>259</v>
      </c>
    </row>
    <row r="953" spans="1:26" x14ac:dyDescent="0.3">
      <c r="A953">
        <v>952</v>
      </c>
      <c r="B953" t="s">
        <v>2170</v>
      </c>
      <c r="C953" t="s">
        <v>34</v>
      </c>
      <c r="D953" t="s">
        <v>20</v>
      </c>
      <c r="E953" t="s">
        <v>6359</v>
      </c>
      <c r="F953" t="s">
        <v>6391</v>
      </c>
      <c r="G953" t="s">
        <v>6393</v>
      </c>
      <c r="H953" t="s">
        <v>6379</v>
      </c>
      <c r="I953" t="s">
        <v>6382</v>
      </c>
      <c r="J953">
        <f>AVERAGE(ai_job_market[[#This Row],[min_salary]],ai_job_market[[#This Row],[max_salary]])</f>
        <v>173195</v>
      </c>
      <c r="K953"/>
      <c r="L953" t="s">
        <v>27</v>
      </c>
      <c r="M953" t="s">
        <v>37</v>
      </c>
      <c r="N953" t="s">
        <v>5395</v>
      </c>
      <c r="O953" t="s">
        <v>4593</v>
      </c>
      <c r="P953">
        <v>135040</v>
      </c>
      <c r="Q953">
        <v>211350</v>
      </c>
      <c r="R953" s="2">
        <v>45509</v>
      </c>
      <c r="S953" t="s">
        <v>69</v>
      </c>
      <c r="T953" t="s">
        <v>101</v>
      </c>
      <c r="U953" t="s">
        <v>6379</v>
      </c>
      <c r="W953" t="s">
        <v>6359</v>
      </c>
      <c r="X953">
        <v>104</v>
      </c>
      <c r="Y953" t="s">
        <v>101</v>
      </c>
      <c r="Z953">
        <v>255</v>
      </c>
    </row>
    <row r="954" spans="1:26" x14ac:dyDescent="0.3">
      <c r="A954">
        <v>953</v>
      </c>
      <c r="B954" t="s">
        <v>2172</v>
      </c>
      <c r="C954" t="s">
        <v>11</v>
      </c>
      <c r="D954" t="s">
        <v>20</v>
      </c>
      <c r="E954" t="s">
        <v>6355</v>
      </c>
      <c r="F954" t="s">
        <v>6386</v>
      </c>
      <c r="G954" t="s">
        <v>6375</v>
      </c>
      <c r="H954" t="s">
        <v>6384</v>
      </c>
      <c r="I954" t="s">
        <v>6377</v>
      </c>
      <c r="J954">
        <f>AVERAGE(ai_job_market[[#This Row],[min_salary]],ai_job_market[[#This Row],[max_salary]])</f>
        <v>88122</v>
      </c>
      <c r="K954"/>
      <c r="L954" t="s">
        <v>27</v>
      </c>
      <c r="M954" t="s">
        <v>51</v>
      </c>
      <c r="N954" t="s">
        <v>5396</v>
      </c>
      <c r="O954" t="s">
        <v>4509</v>
      </c>
      <c r="P954">
        <v>70699</v>
      </c>
      <c r="Q954">
        <v>105545</v>
      </c>
      <c r="R954" s="2">
        <v>45745</v>
      </c>
      <c r="S954" t="s">
        <v>69</v>
      </c>
      <c r="T954" t="s">
        <v>101</v>
      </c>
      <c r="W954" t="s">
        <v>6355</v>
      </c>
      <c r="X954">
        <v>90</v>
      </c>
      <c r="Y954" t="s">
        <v>101</v>
      </c>
      <c r="Z954">
        <v>255</v>
      </c>
    </row>
    <row r="955" spans="1:26" x14ac:dyDescent="0.3">
      <c r="A955">
        <v>954</v>
      </c>
      <c r="B955" t="s">
        <v>2174</v>
      </c>
      <c r="C955" t="s">
        <v>72</v>
      </c>
      <c r="D955" t="s">
        <v>20</v>
      </c>
      <c r="E955" t="s">
        <v>6353</v>
      </c>
      <c r="F955" t="s">
        <v>6393</v>
      </c>
      <c r="G955" t="s">
        <v>6392</v>
      </c>
      <c r="J955">
        <f>AVERAGE(ai_job_market[[#This Row],[min_salary]],ai_job_market[[#This Row],[max_salary]])</f>
        <v>79640</v>
      </c>
      <c r="K955"/>
      <c r="L955" t="s">
        <v>27</v>
      </c>
      <c r="M955" t="s">
        <v>51</v>
      </c>
      <c r="N955" t="s">
        <v>5397</v>
      </c>
      <c r="O955" t="s">
        <v>4480</v>
      </c>
      <c r="P955">
        <v>49914</v>
      </c>
      <c r="Q955">
        <v>109366</v>
      </c>
      <c r="R955" s="2">
        <v>45822</v>
      </c>
      <c r="S955" t="s">
        <v>16</v>
      </c>
      <c r="T955" t="s">
        <v>80</v>
      </c>
      <c r="W955" t="s">
        <v>6353</v>
      </c>
      <c r="X955">
        <v>86</v>
      </c>
      <c r="Y955" t="s">
        <v>80</v>
      </c>
      <c r="Z955">
        <v>249</v>
      </c>
    </row>
    <row r="956" spans="1:26" x14ac:dyDescent="0.3">
      <c r="A956">
        <v>955</v>
      </c>
      <c r="B956" t="s">
        <v>2176</v>
      </c>
      <c r="C956" t="s">
        <v>11</v>
      </c>
      <c r="D956" t="s">
        <v>135</v>
      </c>
      <c r="E956" t="s">
        <v>6359</v>
      </c>
      <c r="F956" t="s">
        <v>6395</v>
      </c>
      <c r="G956" t="s">
        <v>6389</v>
      </c>
      <c r="H956" t="s">
        <v>6375</v>
      </c>
      <c r="I956" t="s">
        <v>6387</v>
      </c>
      <c r="J956">
        <f>AVERAGE(ai_job_market[[#This Row],[min_salary]],ai_job_market[[#This Row],[max_salary]])</f>
        <v>135925.5</v>
      </c>
      <c r="K956" t="s">
        <v>6382</v>
      </c>
      <c r="L956" t="s">
        <v>14</v>
      </c>
      <c r="M956" t="s">
        <v>37</v>
      </c>
      <c r="N956" t="s">
        <v>4758</v>
      </c>
      <c r="O956" t="s">
        <v>4355</v>
      </c>
      <c r="P956">
        <v>104664</v>
      </c>
      <c r="Q956">
        <v>167187</v>
      </c>
      <c r="R956" s="2">
        <v>45514</v>
      </c>
      <c r="S956" t="s">
        <v>69</v>
      </c>
      <c r="T956" t="s">
        <v>101</v>
      </c>
      <c r="U956" t="s">
        <v>6378</v>
      </c>
      <c r="V956" t="s">
        <v>6379</v>
      </c>
      <c r="W956" t="s">
        <v>6359</v>
      </c>
      <c r="X956">
        <v>104</v>
      </c>
      <c r="Y956" t="s">
        <v>101</v>
      </c>
      <c r="Z956">
        <v>255</v>
      </c>
    </row>
    <row r="957" spans="1:26" x14ac:dyDescent="0.3">
      <c r="A957">
        <v>956</v>
      </c>
      <c r="B957" t="s">
        <v>2178</v>
      </c>
      <c r="C957" t="s">
        <v>40</v>
      </c>
      <c r="D957" t="s">
        <v>12</v>
      </c>
      <c r="E957" t="s">
        <v>6351</v>
      </c>
      <c r="F957" t="s">
        <v>6392</v>
      </c>
      <c r="G957" t="s">
        <v>6381</v>
      </c>
      <c r="H957" t="s">
        <v>6376</v>
      </c>
      <c r="I957" t="s">
        <v>6385</v>
      </c>
      <c r="J957" s="6">
        <f>AVERAGE(ai_job_market[[#This Row],[min_salary]],ai_job_market[[#This Row],[max_salary]])</f>
        <v>107609.5</v>
      </c>
      <c r="K957"/>
      <c r="L957" t="s">
        <v>14</v>
      </c>
      <c r="M957" t="s">
        <v>15</v>
      </c>
      <c r="N957" t="s">
        <v>5398</v>
      </c>
      <c r="O957" t="s">
        <v>4536</v>
      </c>
      <c r="P957" s="5">
        <v>82848</v>
      </c>
      <c r="Q957" s="5">
        <v>132371</v>
      </c>
      <c r="R957" s="2">
        <v>45627</v>
      </c>
      <c r="S957" t="s">
        <v>14</v>
      </c>
      <c r="T957" t="s">
        <v>52</v>
      </c>
      <c r="U957" t="s">
        <v>6384</v>
      </c>
      <c r="W957" t="s">
        <v>6351</v>
      </c>
      <c r="X957">
        <v>89</v>
      </c>
      <c r="Y957" t="s">
        <v>52</v>
      </c>
      <c r="Z957">
        <v>238</v>
      </c>
    </row>
    <row r="958" spans="1:26" x14ac:dyDescent="0.3">
      <c r="A958">
        <v>957</v>
      </c>
      <c r="B958" t="s">
        <v>2180</v>
      </c>
      <c r="C958" t="s">
        <v>72</v>
      </c>
      <c r="D958" t="s">
        <v>35</v>
      </c>
      <c r="E958" t="s">
        <v>77</v>
      </c>
      <c r="F958" t="s">
        <v>6376</v>
      </c>
      <c r="G958" t="s">
        <v>6381</v>
      </c>
      <c r="J958" s="6">
        <f>AVERAGE(ai_job_market[[#This Row],[min_salary]],ai_job_market[[#This Row],[max_salary]])</f>
        <v>58259.5</v>
      </c>
      <c r="K958"/>
      <c r="L958" t="s">
        <v>14</v>
      </c>
      <c r="M958" t="s">
        <v>51</v>
      </c>
      <c r="N958" t="s">
        <v>5399</v>
      </c>
      <c r="O958" t="s">
        <v>4295</v>
      </c>
      <c r="P958" s="5">
        <v>49582</v>
      </c>
      <c r="Q958" s="5">
        <v>66937</v>
      </c>
      <c r="R958" s="2">
        <v>45910</v>
      </c>
      <c r="S958" t="s">
        <v>16</v>
      </c>
      <c r="T958" t="s">
        <v>80</v>
      </c>
      <c r="U958" t="s">
        <v>6376</v>
      </c>
      <c r="V958" t="s">
        <v>6379</v>
      </c>
      <c r="W958" t="s">
        <v>77</v>
      </c>
      <c r="X958">
        <v>111</v>
      </c>
      <c r="Y958" t="s">
        <v>80</v>
      </c>
      <c r="Z958">
        <v>249</v>
      </c>
    </row>
    <row r="959" spans="1:26" x14ac:dyDescent="0.3">
      <c r="A959">
        <v>958</v>
      </c>
      <c r="B959" t="s">
        <v>2183</v>
      </c>
      <c r="C959" t="s">
        <v>45</v>
      </c>
      <c r="D959" t="s">
        <v>35</v>
      </c>
      <c r="E959" t="s">
        <v>6348</v>
      </c>
      <c r="F959" t="s">
        <v>6378</v>
      </c>
      <c r="G959" t="s">
        <v>6393</v>
      </c>
      <c r="J959">
        <f>AVERAGE(ai_job_market[[#This Row],[min_salary]],ai_job_market[[#This Row],[max_salary]])</f>
        <v>129759.5</v>
      </c>
      <c r="K959"/>
      <c r="L959" t="s">
        <v>22</v>
      </c>
      <c r="M959" t="s">
        <v>51</v>
      </c>
      <c r="N959" t="s">
        <v>5400</v>
      </c>
      <c r="O959" t="s">
        <v>4361</v>
      </c>
      <c r="P959">
        <v>90272</v>
      </c>
      <c r="Q959">
        <v>169247</v>
      </c>
      <c r="R959" s="2">
        <v>45293</v>
      </c>
      <c r="S959" t="s">
        <v>69</v>
      </c>
      <c r="T959" t="s">
        <v>80</v>
      </c>
      <c r="U959" t="s">
        <v>6378</v>
      </c>
      <c r="W959" t="s">
        <v>6348</v>
      </c>
      <c r="X959">
        <v>78</v>
      </c>
      <c r="Y959" t="s">
        <v>80</v>
      </c>
      <c r="Z959">
        <v>249</v>
      </c>
    </row>
    <row r="960" spans="1:26" x14ac:dyDescent="0.3">
      <c r="A960">
        <v>959</v>
      </c>
      <c r="B960" t="s">
        <v>2185</v>
      </c>
      <c r="C960" t="s">
        <v>19</v>
      </c>
      <c r="D960" t="s">
        <v>12</v>
      </c>
      <c r="E960" t="s">
        <v>6352</v>
      </c>
      <c r="F960" t="s">
        <v>6384</v>
      </c>
      <c r="G960" t="s">
        <v>6396</v>
      </c>
      <c r="H960" t="s">
        <v>6381</v>
      </c>
      <c r="I960" t="s">
        <v>6377</v>
      </c>
      <c r="J960" s="6">
        <f>AVERAGE(ai_job_market[[#This Row],[min_salary]],ai_job_market[[#This Row],[max_salary]])</f>
        <v>170633</v>
      </c>
      <c r="K960"/>
      <c r="L960" t="s">
        <v>27</v>
      </c>
      <c r="M960" t="s">
        <v>42</v>
      </c>
      <c r="N960" t="s">
        <v>5401</v>
      </c>
      <c r="O960" t="s">
        <v>4405</v>
      </c>
      <c r="P960" s="5">
        <v>124573</v>
      </c>
      <c r="Q960" s="5">
        <v>216693</v>
      </c>
      <c r="R960" s="2">
        <v>45315</v>
      </c>
      <c r="S960" t="s">
        <v>14</v>
      </c>
      <c r="T960" t="s">
        <v>157</v>
      </c>
      <c r="U960" t="s">
        <v>6389</v>
      </c>
      <c r="W960" t="s">
        <v>6352</v>
      </c>
      <c r="X960">
        <v>97</v>
      </c>
      <c r="Y960" t="s">
        <v>157</v>
      </c>
      <c r="Z960">
        <v>247</v>
      </c>
    </row>
    <row r="961" spans="1:26" x14ac:dyDescent="0.3">
      <c r="A961">
        <v>960</v>
      </c>
      <c r="B961" t="s">
        <v>2187</v>
      </c>
      <c r="C961" t="s">
        <v>34</v>
      </c>
      <c r="D961" t="s">
        <v>25</v>
      </c>
      <c r="E961" t="s">
        <v>6345</v>
      </c>
      <c r="F961" t="s">
        <v>6384</v>
      </c>
      <c r="G961" t="s">
        <v>6392</v>
      </c>
      <c r="H961" t="s">
        <v>6376</v>
      </c>
      <c r="J961">
        <f>AVERAGE(ai_job_market[[#This Row],[min_salary]],ai_job_market[[#This Row],[max_salary]])</f>
        <v>139086.5</v>
      </c>
      <c r="K961"/>
      <c r="L961" t="s">
        <v>27</v>
      </c>
      <c r="M961" t="s">
        <v>15</v>
      </c>
      <c r="N961" t="s">
        <v>5402</v>
      </c>
      <c r="O961" t="s">
        <v>4973</v>
      </c>
      <c r="P961">
        <v>121683</v>
      </c>
      <c r="Q961">
        <v>156490</v>
      </c>
      <c r="R961" s="2">
        <v>45654</v>
      </c>
      <c r="S961" t="s">
        <v>69</v>
      </c>
      <c r="T961" t="s">
        <v>157</v>
      </c>
      <c r="W961" t="s">
        <v>6345</v>
      </c>
      <c r="X961">
        <v>101</v>
      </c>
      <c r="Y961" t="s">
        <v>157</v>
      </c>
      <c r="Z961">
        <v>247</v>
      </c>
    </row>
    <row r="962" spans="1:26" x14ac:dyDescent="0.3">
      <c r="A962">
        <v>961</v>
      </c>
      <c r="B962" t="s">
        <v>2189</v>
      </c>
      <c r="C962" t="s">
        <v>45</v>
      </c>
      <c r="D962" t="s">
        <v>20</v>
      </c>
      <c r="E962" t="s">
        <v>6356</v>
      </c>
      <c r="F962" t="s">
        <v>6391</v>
      </c>
      <c r="G962" t="s">
        <v>6381</v>
      </c>
      <c r="J962">
        <f>AVERAGE(ai_job_market[[#This Row],[min_salary]],ai_job_market[[#This Row],[max_salary]])</f>
        <v>167187</v>
      </c>
      <c r="K962"/>
      <c r="L962" t="s">
        <v>27</v>
      </c>
      <c r="M962" t="s">
        <v>37</v>
      </c>
      <c r="N962" t="s">
        <v>4898</v>
      </c>
      <c r="O962" t="s">
        <v>4391</v>
      </c>
      <c r="P962">
        <v>140647</v>
      </c>
      <c r="Q962">
        <v>193727</v>
      </c>
      <c r="R962" s="2">
        <v>45238</v>
      </c>
      <c r="S962" t="s">
        <v>69</v>
      </c>
      <c r="T962" t="s">
        <v>128</v>
      </c>
      <c r="W962" t="s">
        <v>6356</v>
      </c>
      <c r="X962">
        <v>86</v>
      </c>
      <c r="Y962" t="s">
        <v>128</v>
      </c>
      <c r="Z962">
        <v>233</v>
      </c>
    </row>
    <row r="963" spans="1:26" x14ac:dyDescent="0.3">
      <c r="A963">
        <v>962</v>
      </c>
      <c r="B963" t="s">
        <v>2191</v>
      </c>
      <c r="C963" t="s">
        <v>40</v>
      </c>
      <c r="D963" t="s">
        <v>12</v>
      </c>
      <c r="E963" t="s">
        <v>6356</v>
      </c>
      <c r="F963" t="s">
        <v>6396</v>
      </c>
      <c r="G963" t="s">
        <v>6386</v>
      </c>
      <c r="H963" t="s">
        <v>6375</v>
      </c>
      <c r="I963" t="s">
        <v>6379</v>
      </c>
      <c r="J963">
        <f>AVERAGE(ai_job_market[[#This Row],[min_salary]],ai_job_market[[#This Row],[max_salary]])</f>
        <v>96854.5</v>
      </c>
      <c r="K963"/>
      <c r="L963" t="s">
        <v>14</v>
      </c>
      <c r="M963" t="s">
        <v>51</v>
      </c>
      <c r="N963" t="s">
        <v>5403</v>
      </c>
      <c r="O963" t="s">
        <v>4293</v>
      </c>
      <c r="P963">
        <v>68266</v>
      </c>
      <c r="Q963">
        <v>125443</v>
      </c>
      <c r="R963" s="2">
        <v>45255</v>
      </c>
      <c r="S963" t="s">
        <v>69</v>
      </c>
      <c r="T963" t="s">
        <v>52</v>
      </c>
      <c r="U963" t="s">
        <v>6378</v>
      </c>
      <c r="W963" t="s">
        <v>6356</v>
      </c>
      <c r="X963">
        <v>86</v>
      </c>
      <c r="Y963" t="s">
        <v>52</v>
      </c>
      <c r="Z963">
        <v>238</v>
      </c>
    </row>
    <row r="964" spans="1:26" x14ac:dyDescent="0.3">
      <c r="A964">
        <v>963</v>
      </c>
      <c r="B964" t="s">
        <v>2193</v>
      </c>
      <c r="C964" t="s">
        <v>72</v>
      </c>
      <c r="D964" t="s">
        <v>35</v>
      </c>
      <c r="E964" t="s">
        <v>6356</v>
      </c>
      <c r="F964" t="s">
        <v>6374</v>
      </c>
      <c r="G964" t="s">
        <v>6382</v>
      </c>
      <c r="H964" t="s">
        <v>6393</v>
      </c>
      <c r="I964" t="s">
        <v>6390</v>
      </c>
      <c r="J964">
        <f>AVERAGE(ai_job_market[[#This Row],[min_salary]],ai_job_market[[#This Row],[max_salary]])</f>
        <v>172741.5</v>
      </c>
      <c r="K964"/>
      <c r="L964" t="s">
        <v>22</v>
      </c>
      <c r="M964" t="s">
        <v>15</v>
      </c>
      <c r="N964" t="s">
        <v>5404</v>
      </c>
      <c r="O964" t="s">
        <v>4495</v>
      </c>
      <c r="P964">
        <v>141644</v>
      </c>
      <c r="Q964">
        <v>203839</v>
      </c>
      <c r="R964" s="2">
        <v>45405</v>
      </c>
      <c r="S964" t="s">
        <v>69</v>
      </c>
      <c r="T964" t="s">
        <v>52</v>
      </c>
      <c r="U964" t="s">
        <v>6376</v>
      </c>
      <c r="V964" t="s">
        <v>6389</v>
      </c>
      <c r="W964" t="s">
        <v>6356</v>
      </c>
      <c r="X964">
        <v>86</v>
      </c>
      <c r="Y964" t="s">
        <v>52</v>
      </c>
      <c r="Z964">
        <v>238</v>
      </c>
    </row>
    <row r="965" spans="1:26" x14ac:dyDescent="0.3">
      <c r="A965">
        <v>964</v>
      </c>
      <c r="B965" t="s">
        <v>2195</v>
      </c>
      <c r="C965" t="s">
        <v>19</v>
      </c>
      <c r="D965" t="s">
        <v>30</v>
      </c>
      <c r="E965" t="s">
        <v>6344</v>
      </c>
      <c r="F965" t="s">
        <v>6382</v>
      </c>
      <c r="G965" t="s">
        <v>6381</v>
      </c>
      <c r="H965" t="s">
        <v>6387</v>
      </c>
      <c r="I965" t="s">
        <v>6396</v>
      </c>
      <c r="J965">
        <f>AVERAGE(ai_job_market[[#This Row],[min_salary]],ai_job_market[[#This Row],[max_salary]])</f>
        <v>150713</v>
      </c>
      <c r="K965"/>
      <c r="L965" t="s">
        <v>22</v>
      </c>
      <c r="M965" t="s">
        <v>15</v>
      </c>
      <c r="N965" t="s">
        <v>5405</v>
      </c>
      <c r="O965" t="s">
        <v>4375</v>
      </c>
      <c r="P965">
        <v>110260</v>
      </c>
      <c r="Q965">
        <v>191166</v>
      </c>
      <c r="R965" s="2">
        <v>45339</v>
      </c>
      <c r="S965" t="s">
        <v>16</v>
      </c>
      <c r="T965" t="s">
        <v>157</v>
      </c>
      <c r="W965" t="s">
        <v>6344</v>
      </c>
      <c r="X965">
        <v>104</v>
      </c>
      <c r="Y965" t="s">
        <v>157</v>
      </c>
      <c r="Z965">
        <v>247</v>
      </c>
    </row>
    <row r="966" spans="1:26" x14ac:dyDescent="0.3">
      <c r="A966">
        <v>965</v>
      </c>
      <c r="B966" t="s">
        <v>2197</v>
      </c>
      <c r="C966" t="s">
        <v>40</v>
      </c>
      <c r="D966" t="s">
        <v>20</v>
      </c>
      <c r="E966" t="s">
        <v>6346</v>
      </c>
      <c r="F966" t="s">
        <v>6374</v>
      </c>
      <c r="G966" t="s">
        <v>6380</v>
      </c>
      <c r="H966" t="s">
        <v>6394</v>
      </c>
      <c r="I966" t="s">
        <v>6381</v>
      </c>
      <c r="J966">
        <f>AVERAGE(ai_job_market[[#This Row],[min_salary]],ai_job_market[[#This Row],[max_salary]])</f>
        <v>65039.5</v>
      </c>
      <c r="K966"/>
      <c r="L966" t="s">
        <v>27</v>
      </c>
      <c r="M966" t="s">
        <v>37</v>
      </c>
      <c r="N966" t="s">
        <v>5406</v>
      </c>
      <c r="O966" t="s">
        <v>4603</v>
      </c>
      <c r="P966">
        <v>56178</v>
      </c>
      <c r="Q966">
        <v>73901</v>
      </c>
      <c r="R966" s="2">
        <v>45493</v>
      </c>
      <c r="S966" t="s">
        <v>14</v>
      </c>
      <c r="T966" t="s">
        <v>77</v>
      </c>
      <c r="U966" t="s">
        <v>6389</v>
      </c>
      <c r="W966" t="s">
        <v>6346</v>
      </c>
      <c r="X966">
        <v>78</v>
      </c>
      <c r="Y966" t="s">
        <v>77</v>
      </c>
      <c r="Z966">
        <v>251</v>
      </c>
    </row>
    <row r="967" spans="1:26" x14ac:dyDescent="0.3">
      <c r="A967">
        <v>966</v>
      </c>
      <c r="B967" t="s">
        <v>2199</v>
      </c>
      <c r="C967" t="s">
        <v>19</v>
      </c>
      <c r="D967" t="s">
        <v>25</v>
      </c>
      <c r="E967" t="s">
        <v>80</v>
      </c>
      <c r="F967" t="s">
        <v>6395</v>
      </c>
      <c r="G967" t="s">
        <v>6391</v>
      </c>
      <c r="H967" t="s">
        <v>6392</v>
      </c>
      <c r="I967" t="s">
        <v>6374</v>
      </c>
      <c r="J967">
        <f>AVERAGE(ai_job_market[[#This Row],[min_salary]],ai_job_market[[#This Row],[max_salary]])</f>
        <v>185276</v>
      </c>
      <c r="K967" t="s">
        <v>6387</v>
      </c>
      <c r="L967" t="s">
        <v>22</v>
      </c>
      <c r="M967" t="s">
        <v>37</v>
      </c>
      <c r="N967" t="s">
        <v>5407</v>
      </c>
      <c r="O967" t="s">
        <v>4615</v>
      </c>
      <c r="P967">
        <v>148430</v>
      </c>
      <c r="Q967">
        <v>222122</v>
      </c>
      <c r="R967" s="2">
        <v>45319</v>
      </c>
      <c r="S967" t="s">
        <v>16</v>
      </c>
      <c r="T967" t="s">
        <v>128</v>
      </c>
      <c r="U967" t="s">
        <v>6388</v>
      </c>
      <c r="V967" t="s">
        <v>6384</v>
      </c>
      <c r="W967" t="s">
        <v>80</v>
      </c>
      <c r="X967">
        <v>95</v>
      </c>
      <c r="Y967" t="s">
        <v>128</v>
      </c>
      <c r="Z967">
        <v>233</v>
      </c>
    </row>
    <row r="968" spans="1:26" x14ac:dyDescent="0.3">
      <c r="A968">
        <v>967</v>
      </c>
      <c r="B968" t="s">
        <v>2201</v>
      </c>
      <c r="C968" t="s">
        <v>40</v>
      </c>
      <c r="D968" t="s">
        <v>25</v>
      </c>
      <c r="E968" t="s">
        <v>6346</v>
      </c>
      <c r="F968" t="s">
        <v>6395</v>
      </c>
      <c r="G968" t="s">
        <v>6378</v>
      </c>
      <c r="H968" t="s">
        <v>6374</v>
      </c>
      <c r="I968" t="s">
        <v>6384</v>
      </c>
      <c r="J968">
        <f>AVERAGE(ai_job_market[[#This Row],[min_salary]],ai_job_market[[#This Row],[max_salary]])</f>
        <v>159073</v>
      </c>
      <c r="K968" t="s">
        <v>6386</v>
      </c>
      <c r="L968" t="s">
        <v>22</v>
      </c>
      <c r="M968" t="s">
        <v>42</v>
      </c>
      <c r="N968" t="s">
        <v>4918</v>
      </c>
      <c r="O968" t="s">
        <v>4706</v>
      </c>
      <c r="P968">
        <v>130221</v>
      </c>
      <c r="Q968">
        <v>187925</v>
      </c>
      <c r="R968" s="2">
        <v>45564</v>
      </c>
      <c r="S968" t="s">
        <v>16</v>
      </c>
      <c r="T968" t="s">
        <v>70</v>
      </c>
      <c r="U968" t="s">
        <v>6389</v>
      </c>
      <c r="V968" t="s">
        <v>6375</v>
      </c>
      <c r="W968" t="s">
        <v>6346</v>
      </c>
      <c r="X968">
        <v>78</v>
      </c>
      <c r="Y968" t="s">
        <v>70</v>
      </c>
      <c r="Z968">
        <v>268</v>
      </c>
    </row>
    <row r="969" spans="1:26" x14ac:dyDescent="0.3">
      <c r="A969">
        <v>968</v>
      </c>
      <c r="B969" t="s">
        <v>2204</v>
      </c>
      <c r="C969" t="s">
        <v>72</v>
      </c>
      <c r="D969" t="s">
        <v>20</v>
      </c>
      <c r="E969" t="s">
        <v>6353</v>
      </c>
      <c r="F969" t="s">
        <v>6397</v>
      </c>
      <c r="G969" t="s">
        <v>6393</v>
      </c>
      <c r="H969" t="s">
        <v>6396</v>
      </c>
      <c r="I969" t="s">
        <v>6391</v>
      </c>
      <c r="J969">
        <f>AVERAGE(ai_job_market[[#This Row],[min_salary]],ai_job_market[[#This Row],[max_salary]])</f>
        <v>107418.5</v>
      </c>
      <c r="K969"/>
      <c r="L969" t="s">
        <v>27</v>
      </c>
      <c r="M969" t="s">
        <v>15</v>
      </c>
      <c r="N969" t="s">
        <v>5408</v>
      </c>
      <c r="O969" t="s">
        <v>5011</v>
      </c>
      <c r="P969">
        <v>89082</v>
      </c>
      <c r="Q969">
        <v>125755</v>
      </c>
      <c r="R969" s="2">
        <v>45403</v>
      </c>
      <c r="S969" t="s">
        <v>16</v>
      </c>
      <c r="T969" t="s">
        <v>101</v>
      </c>
      <c r="U969" t="s">
        <v>6383</v>
      </c>
      <c r="V969" t="s">
        <v>6384</v>
      </c>
      <c r="W969" t="s">
        <v>6353</v>
      </c>
      <c r="X969">
        <v>86</v>
      </c>
      <c r="Y969" t="s">
        <v>101</v>
      </c>
      <c r="Z969">
        <v>255</v>
      </c>
    </row>
    <row r="970" spans="1:26" x14ac:dyDescent="0.3">
      <c r="A970">
        <v>969</v>
      </c>
      <c r="B970" t="s">
        <v>2207</v>
      </c>
      <c r="C970" t="s">
        <v>72</v>
      </c>
      <c r="D970" t="s">
        <v>67</v>
      </c>
      <c r="E970" t="s">
        <v>70</v>
      </c>
      <c r="F970" t="s">
        <v>6397</v>
      </c>
      <c r="G970" t="s">
        <v>6387</v>
      </c>
      <c r="H970" t="s">
        <v>6385</v>
      </c>
      <c r="I970" t="s">
        <v>6394</v>
      </c>
      <c r="J970" s="6">
        <f>AVERAGE(ai_job_market[[#This Row],[min_salary]],ai_job_market[[#This Row],[max_salary]])</f>
        <v>180218.5</v>
      </c>
      <c r="K970"/>
      <c r="L970" t="s">
        <v>22</v>
      </c>
      <c r="M970" t="s">
        <v>37</v>
      </c>
      <c r="N970" t="s">
        <v>5409</v>
      </c>
      <c r="O970" t="s">
        <v>4499</v>
      </c>
      <c r="P970" s="5">
        <v>140456</v>
      </c>
      <c r="Q970" s="5">
        <v>219981</v>
      </c>
      <c r="R970" s="2">
        <v>45724</v>
      </c>
      <c r="S970" t="s">
        <v>69</v>
      </c>
      <c r="T970" t="s">
        <v>157</v>
      </c>
      <c r="W970" t="s">
        <v>70</v>
      </c>
      <c r="X970">
        <v>100</v>
      </c>
      <c r="Y970" t="s">
        <v>157</v>
      </c>
      <c r="Z970">
        <v>247</v>
      </c>
    </row>
    <row r="971" spans="1:26" x14ac:dyDescent="0.3">
      <c r="A971">
        <v>970</v>
      </c>
      <c r="B971" t="s">
        <v>2209</v>
      </c>
      <c r="C971" t="s">
        <v>45</v>
      </c>
      <c r="D971" t="s">
        <v>20</v>
      </c>
      <c r="E971" t="s">
        <v>90</v>
      </c>
      <c r="F971" t="s">
        <v>6396</v>
      </c>
      <c r="G971" t="s">
        <v>6380</v>
      </c>
      <c r="H971" t="s">
        <v>6379</v>
      </c>
      <c r="I971" t="s">
        <v>6386</v>
      </c>
      <c r="J971">
        <f>AVERAGE(ai_job_market[[#This Row],[min_salary]],ai_job_market[[#This Row],[max_salary]])</f>
        <v>125080</v>
      </c>
      <c r="K971" t="s">
        <v>6391</v>
      </c>
      <c r="L971" t="s">
        <v>27</v>
      </c>
      <c r="M971" t="s">
        <v>51</v>
      </c>
      <c r="N971" t="s">
        <v>5410</v>
      </c>
      <c r="O971" t="s">
        <v>4353</v>
      </c>
      <c r="P971">
        <v>75664</v>
      </c>
      <c r="Q971">
        <v>174496</v>
      </c>
      <c r="R971" s="2">
        <v>45760</v>
      </c>
      <c r="S971" t="s">
        <v>16</v>
      </c>
      <c r="T971" t="s">
        <v>101</v>
      </c>
      <c r="W971" t="s">
        <v>90</v>
      </c>
      <c r="X971">
        <v>80</v>
      </c>
      <c r="Y971" t="s">
        <v>101</v>
      </c>
      <c r="Z971">
        <v>255</v>
      </c>
    </row>
    <row r="972" spans="1:26" x14ac:dyDescent="0.3">
      <c r="A972">
        <v>971</v>
      </c>
      <c r="B972" t="s">
        <v>2211</v>
      </c>
      <c r="C972" t="s">
        <v>34</v>
      </c>
      <c r="D972" t="s">
        <v>20</v>
      </c>
      <c r="E972" t="s">
        <v>6352</v>
      </c>
      <c r="F972" t="s">
        <v>6393</v>
      </c>
      <c r="G972" t="s">
        <v>6389</v>
      </c>
      <c r="H972" t="s">
        <v>6396</v>
      </c>
      <c r="I972" t="s">
        <v>6385</v>
      </c>
      <c r="J972" s="6">
        <f>AVERAGE(ai_job_market[[#This Row],[min_salary]],ai_job_market[[#This Row],[max_salary]])</f>
        <v>123097</v>
      </c>
      <c r="K972"/>
      <c r="L972" t="s">
        <v>27</v>
      </c>
      <c r="M972" t="s">
        <v>51</v>
      </c>
      <c r="N972" t="s">
        <v>5411</v>
      </c>
      <c r="O972" t="s">
        <v>4562</v>
      </c>
      <c r="P972" s="5">
        <v>74698</v>
      </c>
      <c r="Q972" s="5">
        <v>171496</v>
      </c>
      <c r="R972" s="2">
        <v>45459</v>
      </c>
      <c r="S972" t="s">
        <v>16</v>
      </c>
      <c r="T972" t="s">
        <v>52</v>
      </c>
      <c r="U972" t="s">
        <v>6375</v>
      </c>
      <c r="V972" t="s">
        <v>6376</v>
      </c>
      <c r="W972" t="s">
        <v>6352</v>
      </c>
      <c r="X972">
        <v>97</v>
      </c>
      <c r="Y972" t="s">
        <v>52</v>
      </c>
      <c r="Z972">
        <v>238</v>
      </c>
    </row>
    <row r="973" spans="1:26" x14ac:dyDescent="0.3">
      <c r="A973">
        <v>972</v>
      </c>
      <c r="B973" t="s">
        <v>2213</v>
      </c>
      <c r="C973" t="s">
        <v>49</v>
      </c>
      <c r="D973" t="s">
        <v>35</v>
      </c>
      <c r="E973" t="s">
        <v>128</v>
      </c>
      <c r="F973" t="s">
        <v>6384</v>
      </c>
      <c r="G973" t="s">
        <v>6386</v>
      </c>
      <c r="H973" t="s">
        <v>6385</v>
      </c>
      <c r="I973" t="s">
        <v>6377</v>
      </c>
      <c r="J973">
        <f>AVERAGE(ai_job_market[[#This Row],[min_salary]],ai_job_market[[#This Row],[max_salary]])</f>
        <v>157053</v>
      </c>
      <c r="K973"/>
      <c r="L973" t="s">
        <v>27</v>
      </c>
      <c r="M973" t="s">
        <v>51</v>
      </c>
      <c r="N973" t="s">
        <v>4863</v>
      </c>
      <c r="O973" t="s">
        <v>4643</v>
      </c>
      <c r="P973">
        <v>135994</v>
      </c>
      <c r="Q973">
        <v>178112</v>
      </c>
      <c r="R973" s="2">
        <v>45190</v>
      </c>
      <c r="S973" t="s">
        <v>69</v>
      </c>
      <c r="T973" t="s">
        <v>157</v>
      </c>
      <c r="U973" t="s">
        <v>6389</v>
      </c>
      <c r="V973" t="s">
        <v>6378</v>
      </c>
      <c r="W973" t="s">
        <v>128</v>
      </c>
      <c r="X973">
        <v>92</v>
      </c>
      <c r="Y973" t="s">
        <v>157</v>
      </c>
      <c r="Z973">
        <v>247</v>
      </c>
    </row>
    <row r="974" spans="1:26" x14ac:dyDescent="0.3">
      <c r="A974">
        <v>973</v>
      </c>
      <c r="B974" t="s">
        <v>2216</v>
      </c>
      <c r="C974" t="s">
        <v>11</v>
      </c>
      <c r="D974" t="s">
        <v>30</v>
      </c>
      <c r="E974" t="s">
        <v>6356</v>
      </c>
      <c r="F974" t="s">
        <v>6390</v>
      </c>
      <c r="G974" t="s">
        <v>6382</v>
      </c>
      <c r="H974" t="s">
        <v>6380</v>
      </c>
      <c r="I974" t="s">
        <v>6375</v>
      </c>
      <c r="J974">
        <f>AVERAGE(ai_job_market[[#This Row],[min_salary]],ai_job_market[[#This Row],[max_salary]])</f>
        <v>75921.5</v>
      </c>
      <c r="K974" t="s">
        <v>6374</v>
      </c>
      <c r="L974" t="s">
        <v>14</v>
      </c>
      <c r="M974" t="s">
        <v>42</v>
      </c>
      <c r="N974" t="s">
        <v>5412</v>
      </c>
      <c r="O974" t="s">
        <v>4401</v>
      </c>
      <c r="P974">
        <v>67828</v>
      </c>
      <c r="Q974">
        <v>84015</v>
      </c>
      <c r="R974" s="2">
        <v>45919</v>
      </c>
      <c r="S974" t="s">
        <v>14</v>
      </c>
      <c r="T974" t="s">
        <v>77</v>
      </c>
      <c r="W974" t="s">
        <v>6356</v>
      </c>
      <c r="X974">
        <v>86</v>
      </c>
      <c r="Y974" t="s">
        <v>77</v>
      </c>
      <c r="Z974">
        <v>251</v>
      </c>
    </row>
    <row r="975" spans="1:26" x14ac:dyDescent="0.3">
      <c r="A975">
        <v>974</v>
      </c>
      <c r="B975" t="s">
        <v>2218</v>
      </c>
      <c r="C975" t="s">
        <v>49</v>
      </c>
      <c r="D975" t="s">
        <v>30</v>
      </c>
      <c r="E975" t="s">
        <v>6355</v>
      </c>
      <c r="F975" t="s">
        <v>6374</v>
      </c>
      <c r="G975" t="s">
        <v>6396</v>
      </c>
      <c r="H975" t="s">
        <v>6381</v>
      </c>
      <c r="J975">
        <f>AVERAGE(ai_job_market[[#This Row],[min_salary]],ai_job_market[[#This Row],[max_salary]])</f>
        <v>174384.5</v>
      </c>
      <c r="K975"/>
      <c r="L975" t="s">
        <v>14</v>
      </c>
      <c r="M975" t="s">
        <v>42</v>
      </c>
      <c r="N975" t="s">
        <v>5413</v>
      </c>
      <c r="O975" t="s">
        <v>4640</v>
      </c>
      <c r="P975">
        <v>134744</v>
      </c>
      <c r="Q975">
        <v>214025</v>
      </c>
      <c r="R975" s="2">
        <v>45293</v>
      </c>
      <c r="S975" t="s">
        <v>14</v>
      </c>
      <c r="T975" t="s">
        <v>70</v>
      </c>
      <c r="U975" t="s">
        <v>6388</v>
      </c>
      <c r="W975" t="s">
        <v>6355</v>
      </c>
      <c r="X975">
        <v>90</v>
      </c>
      <c r="Y975" t="s">
        <v>70</v>
      </c>
      <c r="Z975">
        <v>268</v>
      </c>
    </row>
    <row r="976" spans="1:26" x14ac:dyDescent="0.3">
      <c r="A976">
        <v>975</v>
      </c>
      <c r="B976" t="s">
        <v>2220</v>
      </c>
      <c r="C976" t="s">
        <v>49</v>
      </c>
      <c r="D976" t="s">
        <v>35</v>
      </c>
      <c r="E976" t="s">
        <v>6358</v>
      </c>
      <c r="F976" t="s">
        <v>6377</v>
      </c>
      <c r="G976" t="s">
        <v>6374</v>
      </c>
      <c r="J976">
        <f>AVERAGE(ai_job_market[[#This Row],[min_salary]],ai_job_market[[#This Row],[max_salary]])</f>
        <v>169421.5</v>
      </c>
      <c r="K976"/>
      <c r="L976" t="s">
        <v>27</v>
      </c>
      <c r="M976" t="s">
        <v>37</v>
      </c>
      <c r="N976" t="s">
        <v>5414</v>
      </c>
      <c r="O976" t="s">
        <v>4668</v>
      </c>
      <c r="P976">
        <v>123053</v>
      </c>
      <c r="Q976">
        <v>215790</v>
      </c>
      <c r="R976" s="2">
        <v>45310</v>
      </c>
      <c r="S976" t="s">
        <v>16</v>
      </c>
      <c r="T976" t="s">
        <v>77</v>
      </c>
      <c r="W976" t="s">
        <v>6358</v>
      </c>
      <c r="X976">
        <v>96</v>
      </c>
      <c r="Y976" t="s">
        <v>77</v>
      </c>
      <c r="Z976">
        <v>251</v>
      </c>
    </row>
    <row r="977" spans="1:26" x14ac:dyDescent="0.3">
      <c r="A977">
        <v>976</v>
      </c>
      <c r="B977" t="s">
        <v>2222</v>
      </c>
      <c r="C977" t="s">
        <v>72</v>
      </c>
      <c r="D977" t="s">
        <v>35</v>
      </c>
      <c r="E977" t="s">
        <v>6345</v>
      </c>
      <c r="F977" t="s">
        <v>6387</v>
      </c>
      <c r="G977" t="s">
        <v>6374</v>
      </c>
      <c r="H977" t="s">
        <v>6397</v>
      </c>
      <c r="I977" t="s">
        <v>6395</v>
      </c>
      <c r="J977">
        <f>AVERAGE(ai_job_market[[#This Row],[min_salary]],ai_job_market[[#This Row],[max_salary]])</f>
        <v>138297</v>
      </c>
      <c r="K977" t="s">
        <v>6378</v>
      </c>
      <c r="L977" t="s">
        <v>27</v>
      </c>
      <c r="M977" t="s">
        <v>37</v>
      </c>
      <c r="N977" t="s">
        <v>4681</v>
      </c>
      <c r="O977" t="s">
        <v>4526</v>
      </c>
      <c r="P977">
        <v>129888</v>
      </c>
      <c r="Q977">
        <v>146706</v>
      </c>
      <c r="R977" s="2">
        <v>45418</v>
      </c>
      <c r="S977" t="s">
        <v>14</v>
      </c>
      <c r="T977" t="s">
        <v>80</v>
      </c>
      <c r="W977" t="s">
        <v>6345</v>
      </c>
      <c r="X977">
        <v>101</v>
      </c>
      <c r="Y977" t="s">
        <v>80</v>
      </c>
      <c r="Z977">
        <v>249</v>
      </c>
    </row>
    <row r="978" spans="1:26" x14ac:dyDescent="0.3">
      <c r="A978">
        <v>977</v>
      </c>
      <c r="B978" t="s">
        <v>2224</v>
      </c>
      <c r="C978" t="s">
        <v>40</v>
      </c>
      <c r="D978" t="s">
        <v>30</v>
      </c>
      <c r="E978" t="s">
        <v>77</v>
      </c>
      <c r="F978" t="s">
        <v>6397</v>
      </c>
      <c r="G978" t="s">
        <v>6384</v>
      </c>
      <c r="H978" t="s">
        <v>6386</v>
      </c>
      <c r="J978">
        <f>AVERAGE(ai_job_market[[#This Row],[min_salary]],ai_job_market[[#This Row],[max_salary]])</f>
        <v>160215.5</v>
      </c>
      <c r="K978"/>
      <c r="L978" t="s">
        <v>22</v>
      </c>
      <c r="M978" t="s">
        <v>37</v>
      </c>
      <c r="N978" t="s">
        <v>4681</v>
      </c>
      <c r="O978" t="s">
        <v>4341</v>
      </c>
      <c r="P978">
        <v>134151</v>
      </c>
      <c r="Q978">
        <v>186280</v>
      </c>
      <c r="R978" s="2">
        <v>45513</v>
      </c>
      <c r="S978" t="s">
        <v>16</v>
      </c>
      <c r="T978" t="s">
        <v>80</v>
      </c>
      <c r="U978" t="s">
        <v>6389</v>
      </c>
      <c r="V978" t="s">
        <v>6388</v>
      </c>
      <c r="W978" t="s">
        <v>77</v>
      </c>
      <c r="X978">
        <v>111</v>
      </c>
      <c r="Y978" t="s">
        <v>80</v>
      </c>
      <c r="Z978">
        <v>249</v>
      </c>
    </row>
    <row r="979" spans="1:26" x14ac:dyDescent="0.3">
      <c r="A979">
        <v>978</v>
      </c>
      <c r="B979" t="s">
        <v>2227</v>
      </c>
      <c r="C979" t="s">
        <v>40</v>
      </c>
      <c r="D979" t="s">
        <v>30</v>
      </c>
      <c r="E979" t="s">
        <v>70</v>
      </c>
      <c r="F979" t="s">
        <v>6396</v>
      </c>
      <c r="G979" t="s">
        <v>6384</v>
      </c>
      <c r="J979">
        <f>AVERAGE(ai_job_market[[#This Row],[min_salary]],ai_job_market[[#This Row],[max_salary]])</f>
        <v>119824.5</v>
      </c>
      <c r="K979"/>
      <c r="L979" t="s">
        <v>22</v>
      </c>
      <c r="M979" t="s">
        <v>42</v>
      </c>
      <c r="N979" t="s">
        <v>5415</v>
      </c>
      <c r="O979" t="s">
        <v>4439</v>
      </c>
      <c r="P979">
        <v>87836</v>
      </c>
      <c r="Q979">
        <v>151813</v>
      </c>
      <c r="R979" s="2">
        <v>45541</v>
      </c>
      <c r="S979" t="s">
        <v>69</v>
      </c>
      <c r="T979" t="s">
        <v>70</v>
      </c>
      <c r="U979" t="s">
        <v>6384</v>
      </c>
      <c r="W979" t="s">
        <v>70</v>
      </c>
      <c r="X979">
        <v>100</v>
      </c>
      <c r="Y979" t="s">
        <v>70</v>
      </c>
      <c r="Z979">
        <v>268</v>
      </c>
    </row>
    <row r="980" spans="1:26" x14ac:dyDescent="0.3">
      <c r="A980">
        <v>979</v>
      </c>
      <c r="B980" t="s">
        <v>2229</v>
      </c>
      <c r="C980" t="s">
        <v>72</v>
      </c>
      <c r="D980" t="s">
        <v>54</v>
      </c>
      <c r="E980" t="s">
        <v>6346</v>
      </c>
      <c r="F980" t="s">
        <v>6384</v>
      </c>
      <c r="G980" t="s">
        <v>6392</v>
      </c>
      <c r="H980" t="s">
        <v>6391</v>
      </c>
      <c r="J980">
        <f>AVERAGE(ai_job_market[[#This Row],[min_salary]],ai_job_market[[#This Row],[max_salary]])</f>
        <v>125912</v>
      </c>
      <c r="K980"/>
      <c r="L980" t="s">
        <v>14</v>
      </c>
      <c r="M980" t="s">
        <v>51</v>
      </c>
      <c r="N980" t="s">
        <v>5416</v>
      </c>
      <c r="O980" t="s">
        <v>4480</v>
      </c>
      <c r="P980">
        <v>98287</v>
      </c>
      <c r="Q980">
        <v>153537</v>
      </c>
      <c r="R980" s="2">
        <v>45402</v>
      </c>
      <c r="S980" t="s">
        <v>14</v>
      </c>
      <c r="T980" t="s">
        <v>52</v>
      </c>
      <c r="U980" t="s">
        <v>6383</v>
      </c>
      <c r="V980" t="s">
        <v>6384</v>
      </c>
      <c r="W980" t="s">
        <v>6346</v>
      </c>
      <c r="X980">
        <v>78</v>
      </c>
      <c r="Y980" t="s">
        <v>52</v>
      </c>
      <c r="Z980">
        <v>238</v>
      </c>
    </row>
    <row r="981" spans="1:26" x14ac:dyDescent="0.3">
      <c r="A981">
        <v>980</v>
      </c>
      <c r="B981" t="s">
        <v>1232</v>
      </c>
      <c r="C981" t="s">
        <v>11</v>
      </c>
      <c r="D981" t="s">
        <v>67</v>
      </c>
      <c r="E981" t="s">
        <v>6349</v>
      </c>
      <c r="F981" t="s">
        <v>6395</v>
      </c>
      <c r="G981" t="s">
        <v>6396</v>
      </c>
      <c r="H981" t="s">
        <v>6397</v>
      </c>
      <c r="J981">
        <f>AVERAGE(ai_job_market[[#This Row],[min_salary]],ai_job_market[[#This Row],[max_salary]])</f>
        <v>97354.5</v>
      </c>
      <c r="K981"/>
      <c r="L981" t="s">
        <v>22</v>
      </c>
      <c r="M981" t="s">
        <v>42</v>
      </c>
      <c r="N981" t="s">
        <v>5417</v>
      </c>
      <c r="O981" t="s">
        <v>4921</v>
      </c>
      <c r="P981">
        <v>72000</v>
      </c>
      <c r="Q981">
        <v>122709</v>
      </c>
      <c r="R981" s="2">
        <v>45592</v>
      </c>
      <c r="S981" t="s">
        <v>14</v>
      </c>
      <c r="T981" t="s">
        <v>90</v>
      </c>
      <c r="W981" t="s">
        <v>6349</v>
      </c>
      <c r="X981">
        <v>96</v>
      </c>
      <c r="Y981" t="s">
        <v>90</v>
      </c>
      <c r="Z981">
        <v>259</v>
      </c>
    </row>
    <row r="982" spans="1:26" x14ac:dyDescent="0.3">
      <c r="A982">
        <v>981</v>
      </c>
      <c r="B982" t="s">
        <v>2232</v>
      </c>
      <c r="C982" t="s">
        <v>40</v>
      </c>
      <c r="D982" t="s">
        <v>20</v>
      </c>
      <c r="E982" t="s">
        <v>6345</v>
      </c>
      <c r="F982" t="s">
        <v>6392</v>
      </c>
      <c r="G982" t="s">
        <v>6386</v>
      </c>
      <c r="H982" t="s">
        <v>6387</v>
      </c>
      <c r="J982" s="6">
        <f>AVERAGE(ai_job_market[[#This Row],[min_salary]],ai_job_market[[#This Row],[max_salary]])</f>
        <v>107061</v>
      </c>
      <c r="K982"/>
      <c r="L982" t="s">
        <v>22</v>
      </c>
      <c r="M982" t="s">
        <v>51</v>
      </c>
      <c r="N982" t="s">
        <v>5418</v>
      </c>
      <c r="O982" t="s">
        <v>4704</v>
      </c>
      <c r="P982" s="5">
        <v>81871</v>
      </c>
      <c r="Q982" s="5">
        <v>132251</v>
      </c>
      <c r="R982" s="2">
        <v>45483</v>
      </c>
      <c r="S982" t="s">
        <v>14</v>
      </c>
      <c r="T982" t="s">
        <v>128</v>
      </c>
      <c r="U982" t="s">
        <v>6383</v>
      </c>
      <c r="W982" t="s">
        <v>6345</v>
      </c>
      <c r="X982">
        <v>101</v>
      </c>
      <c r="Y982" t="s">
        <v>128</v>
      </c>
      <c r="Z982">
        <v>233</v>
      </c>
    </row>
    <row r="983" spans="1:26" x14ac:dyDescent="0.3">
      <c r="A983">
        <v>982</v>
      </c>
      <c r="B983" t="s">
        <v>2234</v>
      </c>
      <c r="C983" t="s">
        <v>72</v>
      </c>
      <c r="D983" t="s">
        <v>25</v>
      </c>
      <c r="E983" t="s">
        <v>6351</v>
      </c>
      <c r="F983" t="s">
        <v>6377</v>
      </c>
      <c r="G983" t="s">
        <v>6390</v>
      </c>
      <c r="J983">
        <f>AVERAGE(ai_job_market[[#This Row],[min_salary]],ai_job_market[[#This Row],[max_salary]])</f>
        <v>103873.5</v>
      </c>
      <c r="K983"/>
      <c r="L983" t="s">
        <v>27</v>
      </c>
      <c r="M983" t="s">
        <v>42</v>
      </c>
      <c r="N983" t="s">
        <v>5419</v>
      </c>
      <c r="O983" t="s">
        <v>4762</v>
      </c>
      <c r="P983">
        <v>93878</v>
      </c>
      <c r="Q983">
        <v>113869</v>
      </c>
      <c r="R983" s="2">
        <v>45286</v>
      </c>
      <c r="S983" t="s">
        <v>69</v>
      </c>
      <c r="T983" t="s">
        <v>80</v>
      </c>
      <c r="U983" t="s">
        <v>6376</v>
      </c>
      <c r="W983" t="s">
        <v>6351</v>
      </c>
      <c r="X983">
        <v>89</v>
      </c>
      <c r="Y983" t="s">
        <v>80</v>
      </c>
      <c r="Z983">
        <v>249</v>
      </c>
    </row>
    <row r="984" spans="1:26" x14ac:dyDescent="0.3">
      <c r="A984">
        <v>983</v>
      </c>
      <c r="B984" t="s">
        <v>2236</v>
      </c>
      <c r="C984" t="s">
        <v>40</v>
      </c>
      <c r="D984" t="s">
        <v>67</v>
      </c>
      <c r="E984" t="s">
        <v>6359</v>
      </c>
      <c r="F984" t="s">
        <v>6384</v>
      </c>
      <c r="G984" t="s">
        <v>6380</v>
      </c>
      <c r="J984">
        <f>AVERAGE(ai_job_market[[#This Row],[min_salary]],ai_job_market[[#This Row],[max_salary]])</f>
        <v>59248</v>
      </c>
      <c r="K984"/>
      <c r="L984" t="s">
        <v>27</v>
      </c>
      <c r="M984" t="s">
        <v>42</v>
      </c>
      <c r="N984" t="s">
        <v>5420</v>
      </c>
      <c r="O984" t="s">
        <v>4422</v>
      </c>
      <c r="P984">
        <v>41243</v>
      </c>
      <c r="Q984">
        <v>77253</v>
      </c>
      <c r="R984" s="2">
        <v>45228</v>
      </c>
      <c r="S984" t="s">
        <v>69</v>
      </c>
      <c r="T984" t="s">
        <v>157</v>
      </c>
      <c r="U984" t="s">
        <v>6388</v>
      </c>
      <c r="V984" t="s">
        <v>6375</v>
      </c>
      <c r="W984" t="s">
        <v>6359</v>
      </c>
      <c r="X984">
        <v>104</v>
      </c>
      <c r="Y984" t="s">
        <v>157</v>
      </c>
      <c r="Z984">
        <v>247</v>
      </c>
    </row>
    <row r="985" spans="1:26" x14ac:dyDescent="0.3">
      <c r="A985">
        <v>984</v>
      </c>
      <c r="B985" t="s">
        <v>2239</v>
      </c>
      <c r="C985" t="s">
        <v>45</v>
      </c>
      <c r="D985" t="s">
        <v>35</v>
      </c>
      <c r="E985" t="s">
        <v>77</v>
      </c>
      <c r="F985" t="s">
        <v>6380</v>
      </c>
      <c r="G985" t="s">
        <v>6382</v>
      </c>
      <c r="H985" t="s">
        <v>6397</v>
      </c>
      <c r="I985" t="s">
        <v>6394</v>
      </c>
      <c r="J985">
        <f>AVERAGE(ai_job_market[[#This Row],[min_salary]],ai_job_market[[#This Row],[max_salary]])</f>
        <v>85731</v>
      </c>
      <c r="K985" t="s">
        <v>6374</v>
      </c>
      <c r="L985" t="s">
        <v>27</v>
      </c>
      <c r="M985" t="s">
        <v>37</v>
      </c>
      <c r="N985" t="s">
        <v>5031</v>
      </c>
      <c r="O985" t="s">
        <v>4371</v>
      </c>
      <c r="P985">
        <v>47150</v>
      </c>
      <c r="Q985">
        <v>124312</v>
      </c>
      <c r="R985" s="2">
        <v>45247</v>
      </c>
      <c r="S985" t="s">
        <v>69</v>
      </c>
      <c r="T985" t="s">
        <v>128</v>
      </c>
      <c r="U985" t="s">
        <v>6379</v>
      </c>
      <c r="V985" t="s">
        <v>6376</v>
      </c>
      <c r="W985" t="s">
        <v>77</v>
      </c>
      <c r="X985">
        <v>111</v>
      </c>
      <c r="Y985" t="s">
        <v>128</v>
      </c>
      <c r="Z985">
        <v>233</v>
      </c>
    </row>
    <row r="986" spans="1:26" x14ac:dyDescent="0.3">
      <c r="A986">
        <v>985</v>
      </c>
      <c r="B986" t="s">
        <v>2242</v>
      </c>
      <c r="C986" t="s">
        <v>19</v>
      </c>
      <c r="D986" t="s">
        <v>54</v>
      </c>
      <c r="E986" t="s">
        <v>6359</v>
      </c>
      <c r="F986" t="s">
        <v>6391</v>
      </c>
      <c r="G986" t="s">
        <v>6392</v>
      </c>
      <c r="J986">
        <f>AVERAGE(ai_job_market[[#This Row],[min_salary]],ai_job_market[[#This Row],[max_salary]])</f>
        <v>138573</v>
      </c>
      <c r="K986"/>
      <c r="L986" t="s">
        <v>14</v>
      </c>
      <c r="M986" t="s">
        <v>42</v>
      </c>
      <c r="N986" t="s">
        <v>5421</v>
      </c>
      <c r="O986" t="s">
        <v>4929</v>
      </c>
      <c r="P986">
        <v>127636</v>
      </c>
      <c r="Q986">
        <v>149510</v>
      </c>
      <c r="R986" s="2">
        <v>45229</v>
      </c>
      <c r="S986" t="s">
        <v>14</v>
      </c>
      <c r="T986" t="s">
        <v>52</v>
      </c>
      <c r="U986" t="s">
        <v>6378</v>
      </c>
      <c r="W986" t="s">
        <v>6359</v>
      </c>
      <c r="X986">
        <v>104</v>
      </c>
      <c r="Y986" t="s">
        <v>52</v>
      </c>
      <c r="Z986">
        <v>238</v>
      </c>
    </row>
    <row r="987" spans="1:26" x14ac:dyDescent="0.3">
      <c r="A987">
        <v>986</v>
      </c>
      <c r="B987" t="s">
        <v>2244</v>
      </c>
      <c r="C987" t="s">
        <v>34</v>
      </c>
      <c r="D987" t="s">
        <v>67</v>
      </c>
      <c r="E987" t="s">
        <v>6346</v>
      </c>
      <c r="F987" t="s">
        <v>6375</v>
      </c>
      <c r="G987" t="s">
        <v>6378</v>
      </c>
      <c r="H987" t="s">
        <v>6379</v>
      </c>
      <c r="I987" t="s">
        <v>6382</v>
      </c>
      <c r="J987">
        <f>AVERAGE(ai_job_market[[#This Row],[min_salary]],ai_job_market[[#This Row],[max_salary]])</f>
        <v>165390.5</v>
      </c>
      <c r="K987"/>
      <c r="L987" t="s">
        <v>14</v>
      </c>
      <c r="M987" t="s">
        <v>37</v>
      </c>
      <c r="N987" t="s">
        <v>5422</v>
      </c>
      <c r="O987" t="s">
        <v>4646</v>
      </c>
      <c r="P987">
        <v>130749</v>
      </c>
      <c r="Q987">
        <v>200032</v>
      </c>
      <c r="R987" s="2">
        <v>45667</v>
      </c>
      <c r="S987" t="s">
        <v>16</v>
      </c>
      <c r="T987" t="s">
        <v>77</v>
      </c>
      <c r="W987" t="s">
        <v>6346</v>
      </c>
      <c r="X987">
        <v>78</v>
      </c>
      <c r="Y987" t="s">
        <v>77</v>
      </c>
      <c r="Z987">
        <v>251</v>
      </c>
    </row>
    <row r="988" spans="1:26" x14ac:dyDescent="0.3">
      <c r="A988">
        <v>987</v>
      </c>
      <c r="B988" t="s">
        <v>2246</v>
      </c>
      <c r="C988" t="s">
        <v>49</v>
      </c>
      <c r="D988" t="s">
        <v>135</v>
      </c>
      <c r="E988" t="s">
        <v>128</v>
      </c>
      <c r="F988" t="s">
        <v>6389</v>
      </c>
      <c r="G988" t="s">
        <v>6379</v>
      </c>
      <c r="H988" t="s">
        <v>6397</v>
      </c>
      <c r="I988" t="s">
        <v>6391</v>
      </c>
      <c r="J988">
        <f>AVERAGE(ai_job_market[[#This Row],[min_salary]],ai_job_market[[#This Row],[max_salary]])</f>
        <v>107166</v>
      </c>
      <c r="K988" t="s">
        <v>6382</v>
      </c>
      <c r="L988" t="s">
        <v>14</v>
      </c>
      <c r="M988" t="s">
        <v>37</v>
      </c>
      <c r="N988" t="s">
        <v>5423</v>
      </c>
      <c r="O988" t="s">
        <v>4599</v>
      </c>
      <c r="P988">
        <v>58452</v>
      </c>
      <c r="Q988">
        <v>155880</v>
      </c>
      <c r="R988" s="2">
        <v>45782</v>
      </c>
      <c r="S988" t="s">
        <v>16</v>
      </c>
      <c r="T988" t="s">
        <v>52</v>
      </c>
      <c r="W988" t="s">
        <v>128</v>
      </c>
      <c r="X988">
        <v>92</v>
      </c>
      <c r="Y988" t="s">
        <v>52</v>
      </c>
      <c r="Z988">
        <v>238</v>
      </c>
    </row>
    <row r="989" spans="1:26" x14ac:dyDescent="0.3">
      <c r="A989">
        <v>988</v>
      </c>
      <c r="B989" t="s">
        <v>2248</v>
      </c>
      <c r="C989" t="s">
        <v>72</v>
      </c>
      <c r="D989" t="s">
        <v>20</v>
      </c>
      <c r="E989" t="s">
        <v>101</v>
      </c>
      <c r="F989" t="s">
        <v>6384</v>
      </c>
      <c r="G989" t="s">
        <v>6391</v>
      </c>
      <c r="H989" t="s">
        <v>6385</v>
      </c>
      <c r="I989" t="s">
        <v>6392</v>
      </c>
      <c r="J989" s="6">
        <f>AVERAGE(ai_job_market[[#This Row],[min_salary]],ai_job_market[[#This Row],[max_salary]])</f>
        <v>115231</v>
      </c>
      <c r="K989"/>
      <c r="L989" t="s">
        <v>22</v>
      </c>
      <c r="M989" t="s">
        <v>37</v>
      </c>
      <c r="N989" t="s">
        <v>5424</v>
      </c>
      <c r="O989" t="s">
        <v>4536</v>
      </c>
      <c r="P989" s="5">
        <v>68117</v>
      </c>
      <c r="Q989" s="5">
        <v>162345</v>
      </c>
      <c r="R989" s="2">
        <v>45900</v>
      </c>
      <c r="S989" t="s">
        <v>14</v>
      </c>
      <c r="T989" t="s">
        <v>77</v>
      </c>
      <c r="W989" t="s">
        <v>101</v>
      </c>
      <c r="X989">
        <v>76</v>
      </c>
      <c r="Y989" t="s">
        <v>77</v>
      </c>
      <c r="Z989">
        <v>251</v>
      </c>
    </row>
    <row r="990" spans="1:26" x14ac:dyDescent="0.3">
      <c r="A990">
        <v>989</v>
      </c>
      <c r="B990" t="s">
        <v>1543</v>
      </c>
      <c r="C990" t="s">
        <v>11</v>
      </c>
      <c r="D990" t="s">
        <v>67</v>
      </c>
      <c r="E990" t="s">
        <v>80</v>
      </c>
      <c r="F990" t="s">
        <v>6394</v>
      </c>
      <c r="G990" t="s">
        <v>6391</v>
      </c>
      <c r="H990" t="s">
        <v>6379</v>
      </c>
      <c r="I990" t="s">
        <v>6386</v>
      </c>
      <c r="J990">
        <f>AVERAGE(ai_job_market[[#This Row],[min_salary]],ai_job_market[[#This Row],[max_salary]])</f>
        <v>122145</v>
      </c>
      <c r="K990"/>
      <c r="L990" t="s">
        <v>22</v>
      </c>
      <c r="M990" t="s">
        <v>51</v>
      </c>
      <c r="N990" t="s">
        <v>5425</v>
      </c>
      <c r="O990" t="s">
        <v>4377</v>
      </c>
      <c r="P990">
        <v>112292</v>
      </c>
      <c r="Q990">
        <v>131998</v>
      </c>
      <c r="R990" s="2">
        <v>45542</v>
      </c>
      <c r="S990" t="s">
        <v>14</v>
      </c>
      <c r="T990" t="s">
        <v>90</v>
      </c>
      <c r="W990" t="s">
        <v>80</v>
      </c>
      <c r="X990">
        <v>95</v>
      </c>
      <c r="Y990" t="s">
        <v>90</v>
      </c>
      <c r="Z990">
        <v>259</v>
      </c>
    </row>
    <row r="991" spans="1:26" x14ac:dyDescent="0.3">
      <c r="A991">
        <v>990</v>
      </c>
      <c r="B991" t="s">
        <v>2251</v>
      </c>
      <c r="C991" t="s">
        <v>19</v>
      </c>
      <c r="D991" t="s">
        <v>30</v>
      </c>
      <c r="E991" t="s">
        <v>6357</v>
      </c>
      <c r="F991" t="s">
        <v>6380</v>
      </c>
      <c r="G991" t="s">
        <v>6376</v>
      </c>
      <c r="H991" t="s">
        <v>6390</v>
      </c>
      <c r="I991" t="s">
        <v>6395</v>
      </c>
      <c r="J991">
        <f>AVERAGE(ai_job_market[[#This Row],[min_salary]],ai_job_market[[#This Row],[max_salary]])</f>
        <v>145110</v>
      </c>
      <c r="K991" t="s">
        <v>6387</v>
      </c>
      <c r="L991" t="s">
        <v>22</v>
      </c>
      <c r="M991" t="s">
        <v>37</v>
      </c>
      <c r="N991" t="s">
        <v>5426</v>
      </c>
      <c r="O991" t="s">
        <v>4511</v>
      </c>
      <c r="P991">
        <v>139059</v>
      </c>
      <c r="Q991">
        <v>151161</v>
      </c>
      <c r="R991" s="2">
        <v>45725</v>
      </c>
      <c r="S991" t="s">
        <v>14</v>
      </c>
      <c r="T991" t="s">
        <v>80</v>
      </c>
      <c r="U991" t="s">
        <v>6379</v>
      </c>
      <c r="W991" t="s">
        <v>6357</v>
      </c>
      <c r="X991">
        <v>88</v>
      </c>
      <c r="Y991" t="s">
        <v>80</v>
      </c>
      <c r="Z991">
        <v>249</v>
      </c>
    </row>
    <row r="992" spans="1:26" x14ac:dyDescent="0.3">
      <c r="A992">
        <v>991</v>
      </c>
      <c r="B992" t="s">
        <v>2253</v>
      </c>
      <c r="C992" t="s">
        <v>72</v>
      </c>
      <c r="D992" t="s">
        <v>12</v>
      </c>
      <c r="E992" t="s">
        <v>6346</v>
      </c>
      <c r="F992" t="s">
        <v>6389</v>
      </c>
      <c r="G992" t="s">
        <v>6378</v>
      </c>
      <c r="H992" t="s">
        <v>6384</v>
      </c>
      <c r="I992" t="s">
        <v>6386</v>
      </c>
      <c r="J992">
        <f>AVERAGE(ai_job_market[[#This Row],[min_salary]],ai_job_market[[#This Row],[max_salary]])</f>
        <v>152169.5</v>
      </c>
      <c r="K992" t="s">
        <v>6374</v>
      </c>
      <c r="L992" t="s">
        <v>27</v>
      </c>
      <c r="M992" t="s">
        <v>37</v>
      </c>
      <c r="N992" t="s">
        <v>5427</v>
      </c>
      <c r="O992" t="s">
        <v>4536</v>
      </c>
      <c r="P992">
        <v>110780</v>
      </c>
      <c r="Q992">
        <v>193559</v>
      </c>
      <c r="R992" s="2">
        <v>45361</v>
      </c>
      <c r="S992" t="s">
        <v>14</v>
      </c>
      <c r="T992" t="s">
        <v>52</v>
      </c>
      <c r="W992" t="s">
        <v>6346</v>
      </c>
      <c r="X992">
        <v>78</v>
      </c>
      <c r="Y992" t="s">
        <v>52</v>
      </c>
      <c r="Z992">
        <v>238</v>
      </c>
    </row>
    <row r="993" spans="1:26" x14ac:dyDescent="0.3">
      <c r="A993">
        <v>992</v>
      </c>
      <c r="B993" t="s">
        <v>2255</v>
      </c>
      <c r="C993" t="s">
        <v>11</v>
      </c>
      <c r="D993" t="s">
        <v>25</v>
      </c>
      <c r="E993" t="s">
        <v>77</v>
      </c>
      <c r="F993" t="s">
        <v>6377</v>
      </c>
      <c r="G993" t="s">
        <v>6390</v>
      </c>
      <c r="H993" t="s">
        <v>6382</v>
      </c>
      <c r="J993">
        <f>AVERAGE(ai_job_market[[#This Row],[min_salary]],ai_job_market[[#This Row],[max_salary]])</f>
        <v>75137</v>
      </c>
      <c r="K993"/>
      <c r="L993" t="s">
        <v>22</v>
      </c>
      <c r="M993" t="s">
        <v>42</v>
      </c>
      <c r="N993" t="s">
        <v>5428</v>
      </c>
      <c r="O993" t="s">
        <v>4353</v>
      </c>
      <c r="P993">
        <v>44707</v>
      </c>
      <c r="Q993">
        <v>105567</v>
      </c>
      <c r="R993" s="2">
        <v>45913</v>
      </c>
      <c r="S993" t="s">
        <v>69</v>
      </c>
      <c r="T993" t="s">
        <v>70</v>
      </c>
      <c r="U993" t="s">
        <v>6383</v>
      </c>
      <c r="V993" t="s">
        <v>6388</v>
      </c>
      <c r="W993" t="s">
        <v>77</v>
      </c>
      <c r="X993">
        <v>111</v>
      </c>
      <c r="Y993" t="s">
        <v>70</v>
      </c>
      <c r="Z993">
        <v>268</v>
      </c>
    </row>
    <row r="994" spans="1:26" x14ac:dyDescent="0.3">
      <c r="A994">
        <v>993</v>
      </c>
      <c r="B994" t="s">
        <v>2257</v>
      </c>
      <c r="C994" t="s">
        <v>72</v>
      </c>
      <c r="D994" t="s">
        <v>35</v>
      </c>
      <c r="E994" t="s">
        <v>6355</v>
      </c>
      <c r="F994" t="s">
        <v>6396</v>
      </c>
      <c r="G994" t="s">
        <v>6390</v>
      </c>
      <c r="H994" t="s">
        <v>6381</v>
      </c>
      <c r="I994" t="s">
        <v>6374</v>
      </c>
      <c r="J994">
        <f>AVERAGE(ai_job_market[[#This Row],[min_salary]],ai_job_market[[#This Row],[max_salary]])</f>
        <v>131547.5</v>
      </c>
      <c r="K994" t="s">
        <v>6395</v>
      </c>
      <c r="L994" t="s">
        <v>22</v>
      </c>
      <c r="M994" t="s">
        <v>37</v>
      </c>
      <c r="N994" t="s">
        <v>5429</v>
      </c>
      <c r="O994" t="s">
        <v>4301</v>
      </c>
      <c r="P994">
        <v>112616</v>
      </c>
      <c r="Q994">
        <v>150479</v>
      </c>
      <c r="R994" s="2">
        <v>45209</v>
      </c>
      <c r="S994" t="s">
        <v>69</v>
      </c>
      <c r="T994" t="s">
        <v>80</v>
      </c>
      <c r="U994" t="s">
        <v>6388</v>
      </c>
      <c r="V994" t="s">
        <v>6376</v>
      </c>
      <c r="W994" t="s">
        <v>6355</v>
      </c>
      <c r="X994">
        <v>90</v>
      </c>
      <c r="Y994" t="s">
        <v>80</v>
      </c>
      <c r="Z994">
        <v>249</v>
      </c>
    </row>
    <row r="995" spans="1:26" x14ac:dyDescent="0.3">
      <c r="A995">
        <v>994</v>
      </c>
      <c r="B995" t="s">
        <v>2260</v>
      </c>
      <c r="C995" t="s">
        <v>40</v>
      </c>
      <c r="D995" t="s">
        <v>135</v>
      </c>
      <c r="E995" t="s">
        <v>6347</v>
      </c>
      <c r="F995" t="s">
        <v>6390</v>
      </c>
      <c r="G995" t="s">
        <v>6386</v>
      </c>
      <c r="H995" t="s">
        <v>6380</v>
      </c>
      <c r="I995" t="s">
        <v>6394</v>
      </c>
      <c r="J995">
        <f>AVERAGE(ai_job_market[[#This Row],[min_salary]],ai_job_market[[#This Row],[max_salary]])</f>
        <v>101291.5</v>
      </c>
      <c r="K995" t="s">
        <v>6387</v>
      </c>
      <c r="L995" t="s">
        <v>27</v>
      </c>
      <c r="M995" t="s">
        <v>15</v>
      </c>
      <c r="N995" t="s">
        <v>5430</v>
      </c>
      <c r="O995" t="s">
        <v>4528</v>
      </c>
      <c r="P995">
        <v>92121</v>
      </c>
      <c r="Q995">
        <v>110462</v>
      </c>
      <c r="R995" s="2">
        <v>45200</v>
      </c>
      <c r="S995" t="s">
        <v>16</v>
      </c>
      <c r="T995" t="s">
        <v>128</v>
      </c>
      <c r="U995" t="s">
        <v>6378</v>
      </c>
      <c r="V995" t="s">
        <v>6383</v>
      </c>
      <c r="W995" t="s">
        <v>6347</v>
      </c>
      <c r="X995">
        <v>94</v>
      </c>
      <c r="Y995" t="s">
        <v>128</v>
      </c>
      <c r="Z995">
        <v>233</v>
      </c>
    </row>
    <row r="996" spans="1:26" x14ac:dyDescent="0.3">
      <c r="A996">
        <v>995</v>
      </c>
      <c r="B996" t="s">
        <v>2263</v>
      </c>
      <c r="C996" t="s">
        <v>45</v>
      </c>
      <c r="D996" t="s">
        <v>25</v>
      </c>
      <c r="E996" t="s">
        <v>6350</v>
      </c>
      <c r="F996" t="s">
        <v>6382</v>
      </c>
      <c r="G996" t="s">
        <v>6389</v>
      </c>
      <c r="H996" t="s">
        <v>6376</v>
      </c>
      <c r="I996" t="s">
        <v>6386</v>
      </c>
      <c r="J996" s="6">
        <f>AVERAGE(ai_job_market[[#This Row],[min_salary]],ai_job_market[[#This Row],[max_salary]])</f>
        <v>138576.5</v>
      </c>
      <c r="K996" t="s">
        <v>6379</v>
      </c>
      <c r="L996" t="s">
        <v>14</v>
      </c>
      <c r="M996" t="s">
        <v>51</v>
      </c>
      <c r="N996" t="s">
        <v>5431</v>
      </c>
      <c r="O996" t="s">
        <v>4293</v>
      </c>
      <c r="P996" s="5">
        <v>92112</v>
      </c>
      <c r="Q996" s="5">
        <v>185041</v>
      </c>
      <c r="R996" s="2">
        <v>45508</v>
      </c>
      <c r="S996" t="s">
        <v>16</v>
      </c>
      <c r="T996" t="s">
        <v>101</v>
      </c>
      <c r="U996" t="s">
        <v>6379</v>
      </c>
      <c r="W996" t="s">
        <v>6350</v>
      </c>
      <c r="X996">
        <v>84</v>
      </c>
      <c r="Y996" t="s">
        <v>101</v>
      </c>
      <c r="Z996">
        <v>255</v>
      </c>
    </row>
    <row r="997" spans="1:26" x14ac:dyDescent="0.3">
      <c r="A997">
        <v>996</v>
      </c>
      <c r="B997" t="s">
        <v>2265</v>
      </c>
      <c r="C997" t="s">
        <v>72</v>
      </c>
      <c r="D997" t="s">
        <v>12</v>
      </c>
      <c r="E997" t="s">
        <v>80</v>
      </c>
      <c r="F997" t="s">
        <v>6393</v>
      </c>
      <c r="G997" t="s">
        <v>6376</v>
      </c>
      <c r="J997">
        <f>AVERAGE(ai_job_market[[#This Row],[min_salary]],ai_job_market[[#This Row],[max_salary]])</f>
        <v>128034.5</v>
      </c>
      <c r="K997"/>
      <c r="L997" t="s">
        <v>14</v>
      </c>
      <c r="M997" t="s">
        <v>42</v>
      </c>
      <c r="N997" t="s">
        <v>5432</v>
      </c>
      <c r="O997" t="s">
        <v>4576</v>
      </c>
      <c r="P997">
        <v>115180</v>
      </c>
      <c r="Q997">
        <v>140889</v>
      </c>
      <c r="R997" s="2">
        <v>45737</v>
      </c>
      <c r="S997" t="s">
        <v>14</v>
      </c>
      <c r="T997" t="s">
        <v>157</v>
      </c>
      <c r="U997" t="s">
        <v>6389</v>
      </c>
      <c r="V997" t="s">
        <v>6378</v>
      </c>
      <c r="W997" t="s">
        <v>80</v>
      </c>
      <c r="X997">
        <v>95</v>
      </c>
      <c r="Y997" t="s">
        <v>157</v>
      </c>
      <c r="Z997">
        <v>247</v>
      </c>
    </row>
    <row r="998" spans="1:26" x14ac:dyDescent="0.3">
      <c r="A998">
        <v>997</v>
      </c>
      <c r="B998" t="s">
        <v>2267</v>
      </c>
      <c r="C998" t="s">
        <v>49</v>
      </c>
      <c r="D998" t="s">
        <v>54</v>
      </c>
      <c r="E998" t="s">
        <v>6352</v>
      </c>
      <c r="F998" t="s">
        <v>6394</v>
      </c>
      <c r="G998" t="s">
        <v>6396</v>
      </c>
      <c r="H998" t="s">
        <v>6380</v>
      </c>
      <c r="J998">
        <f>AVERAGE(ai_job_market[[#This Row],[min_salary]],ai_job_market[[#This Row],[max_salary]])</f>
        <v>127838.5</v>
      </c>
      <c r="K998"/>
      <c r="L998" t="s">
        <v>14</v>
      </c>
      <c r="M998" t="s">
        <v>51</v>
      </c>
      <c r="N998" t="s">
        <v>5433</v>
      </c>
      <c r="O998" t="s">
        <v>4783</v>
      </c>
      <c r="P998">
        <v>95776</v>
      </c>
      <c r="Q998">
        <v>159901</v>
      </c>
      <c r="R998" s="2">
        <v>45442</v>
      </c>
      <c r="S998" t="s">
        <v>69</v>
      </c>
      <c r="T998" t="s">
        <v>90</v>
      </c>
      <c r="U998" t="s">
        <v>6383</v>
      </c>
      <c r="V998" t="s">
        <v>6376</v>
      </c>
      <c r="W998" t="s">
        <v>6352</v>
      </c>
      <c r="X998">
        <v>97</v>
      </c>
      <c r="Y998" t="s">
        <v>90</v>
      </c>
      <c r="Z998">
        <v>259</v>
      </c>
    </row>
    <row r="999" spans="1:26" x14ac:dyDescent="0.3">
      <c r="A999">
        <v>998</v>
      </c>
      <c r="B999" t="s">
        <v>1288</v>
      </c>
      <c r="C999" t="s">
        <v>19</v>
      </c>
      <c r="D999" t="s">
        <v>54</v>
      </c>
      <c r="E999" t="s">
        <v>101</v>
      </c>
      <c r="F999" t="s">
        <v>6394</v>
      </c>
      <c r="G999" t="s">
        <v>6378</v>
      </c>
      <c r="J999">
        <f>AVERAGE(ai_job_market[[#This Row],[min_salary]],ai_job_market[[#This Row],[max_salary]])</f>
        <v>147007.5</v>
      </c>
      <c r="K999"/>
      <c r="L999" t="s">
        <v>22</v>
      </c>
      <c r="M999" t="s">
        <v>15</v>
      </c>
      <c r="N999" t="s">
        <v>5434</v>
      </c>
      <c r="O999" t="s">
        <v>4488</v>
      </c>
      <c r="P999">
        <v>141251</v>
      </c>
      <c r="Q999">
        <v>152764</v>
      </c>
      <c r="R999" s="2">
        <v>45360</v>
      </c>
      <c r="S999" t="s">
        <v>14</v>
      </c>
      <c r="T999" t="s">
        <v>157</v>
      </c>
      <c r="U999" t="s">
        <v>6379</v>
      </c>
      <c r="W999" t="s">
        <v>101</v>
      </c>
      <c r="X999">
        <v>76</v>
      </c>
      <c r="Y999" t="s">
        <v>157</v>
      </c>
      <c r="Z999">
        <v>247</v>
      </c>
    </row>
    <row r="1000" spans="1:26" x14ac:dyDescent="0.3">
      <c r="A1000">
        <v>999</v>
      </c>
      <c r="B1000" t="s">
        <v>2271</v>
      </c>
      <c r="C1000" t="s">
        <v>34</v>
      </c>
      <c r="D1000" t="s">
        <v>12</v>
      </c>
      <c r="E1000" t="s">
        <v>6359</v>
      </c>
      <c r="F1000" t="s">
        <v>6381</v>
      </c>
      <c r="G1000" t="s">
        <v>6382</v>
      </c>
      <c r="H1000" t="s">
        <v>6394</v>
      </c>
      <c r="I1000" t="s">
        <v>6384</v>
      </c>
      <c r="J1000">
        <f>AVERAGE(ai_job_market[[#This Row],[min_salary]],ai_job_market[[#This Row],[max_salary]])</f>
        <v>183947</v>
      </c>
      <c r="K1000" t="s">
        <v>6395</v>
      </c>
      <c r="L1000" t="s">
        <v>14</v>
      </c>
      <c r="M1000" t="s">
        <v>42</v>
      </c>
      <c r="N1000" t="s">
        <v>5435</v>
      </c>
      <c r="O1000" t="s">
        <v>4318</v>
      </c>
      <c r="P1000">
        <v>136810</v>
      </c>
      <c r="Q1000">
        <v>231084</v>
      </c>
      <c r="R1000" s="2">
        <v>45734</v>
      </c>
      <c r="S1000" t="s">
        <v>69</v>
      </c>
      <c r="T1000" t="s">
        <v>157</v>
      </c>
      <c r="U1000" t="s">
        <v>6378</v>
      </c>
      <c r="W1000" t="s">
        <v>6359</v>
      </c>
      <c r="X1000">
        <v>104</v>
      </c>
      <c r="Y1000" t="s">
        <v>157</v>
      </c>
      <c r="Z1000">
        <v>247</v>
      </c>
    </row>
    <row r="1001" spans="1:26" x14ac:dyDescent="0.3">
      <c r="A1001">
        <v>1000</v>
      </c>
      <c r="B1001" t="s">
        <v>2273</v>
      </c>
      <c r="C1001" t="s">
        <v>72</v>
      </c>
      <c r="D1001" t="s">
        <v>35</v>
      </c>
      <c r="E1001" t="s">
        <v>90</v>
      </c>
      <c r="F1001" t="s">
        <v>6394</v>
      </c>
      <c r="G1001" t="s">
        <v>6374</v>
      </c>
      <c r="H1001" t="s">
        <v>6378</v>
      </c>
      <c r="I1001" t="s">
        <v>6382</v>
      </c>
      <c r="J1001">
        <f>AVERAGE(ai_job_market[[#This Row],[min_salary]],ai_job_market[[#This Row],[max_salary]])</f>
        <v>109075</v>
      </c>
      <c r="K1001"/>
      <c r="L1001" t="s">
        <v>22</v>
      </c>
      <c r="M1001" t="s">
        <v>15</v>
      </c>
      <c r="N1001" t="s">
        <v>5436</v>
      </c>
      <c r="O1001" t="s">
        <v>4461</v>
      </c>
      <c r="P1001">
        <v>83889</v>
      </c>
      <c r="Q1001">
        <v>134261</v>
      </c>
      <c r="R1001" s="2">
        <v>45889</v>
      </c>
      <c r="S1001" t="s">
        <v>14</v>
      </c>
      <c r="T1001" t="s">
        <v>157</v>
      </c>
      <c r="U1001" t="s">
        <v>6376</v>
      </c>
      <c r="V1001" t="s">
        <v>6379</v>
      </c>
      <c r="W1001" t="s">
        <v>90</v>
      </c>
      <c r="X1001">
        <v>80</v>
      </c>
      <c r="Y1001" t="s">
        <v>157</v>
      </c>
      <c r="Z1001">
        <v>247</v>
      </c>
    </row>
    <row r="1002" spans="1:26" x14ac:dyDescent="0.3">
      <c r="A1002">
        <v>1001</v>
      </c>
      <c r="B1002" t="s">
        <v>2276</v>
      </c>
      <c r="C1002" t="s">
        <v>45</v>
      </c>
      <c r="D1002" t="s">
        <v>54</v>
      </c>
      <c r="E1002" t="s">
        <v>6356</v>
      </c>
      <c r="F1002" t="s">
        <v>6377</v>
      </c>
      <c r="G1002" t="s">
        <v>6393</v>
      </c>
      <c r="H1002" t="s">
        <v>6378</v>
      </c>
      <c r="I1002" t="s">
        <v>6396</v>
      </c>
      <c r="J1002" s="6">
        <f>AVERAGE(ai_job_market[[#This Row],[min_salary]],ai_job_market[[#This Row],[max_salary]])</f>
        <v>133281.5</v>
      </c>
      <c r="K1002" t="s">
        <v>6380</v>
      </c>
      <c r="L1002" t="s">
        <v>22</v>
      </c>
      <c r="M1002" t="s">
        <v>37</v>
      </c>
      <c r="N1002" t="s">
        <v>5437</v>
      </c>
      <c r="O1002" t="s">
        <v>4578</v>
      </c>
      <c r="P1002" s="5">
        <v>101199</v>
      </c>
      <c r="Q1002" s="5">
        <v>165364</v>
      </c>
      <c r="R1002" s="2">
        <v>45704</v>
      </c>
      <c r="S1002" t="s">
        <v>14</v>
      </c>
      <c r="T1002" t="s">
        <v>80</v>
      </c>
      <c r="U1002" t="s">
        <v>6383</v>
      </c>
      <c r="V1002" t="s">
        <v>6378</v>
      </c>
      <c r="W1002" t="s">
        <v>6356</v>
      </c>
      <c r="X1002">
        <v>86</v>
      </c>
      <c r="Y1002" t="s">
        <v>80</v>
      </c>
      <c r="Z1002">
        <v>249</v>
      </c>
    </row>
    <row r="1003" spans="1:26" x14ac:dyDescent="0.3">
      <c r="A1003">
        <v>1002</v>
      </c>
      <c r="B1003" t="s">
        <v>2279</v>
      </c>
      <c r="C1003" t="s">
        <v>19</v>
      </c>
      <c r="D1003" t="s">
        <v>12</v>
      </c>
      <c r="E1003" t="s">
        <v>128</v>
      </c>
      <c r="F1003" t="s">
        <v>6382</v>
      </c>
      <c r="G1003" t="s">
        <v>6396</v>
      </c>
      <c r="J1003">
        <f>AVERAGE(ai_job_market[[#This Row],[min_salary]],ai_job_market[[#This Row],[max_salary]])</f>
        <v>156339</v>
      </c>
      <c r="K1003"/>
      <c r="L1003" t="s">
        <v>14</v>
      </c>
      <c r="M1003" t="s">
        <v>51</v>
      </c>
      <c r="N1003" t="s">
        <v>5438</v>
      </c>
      <c r="O1003" t="s">
        <v>4678</v>
      </c>
      <c r="P1003">
        <v>131457</v>
      </c>
      <c r="Q1003">
        <v>181221</v>
      </c>
      <c r="R1003" s="2">
        <v>45820</v>
      </c>
      <c r="S1003" t="s">
        <v>14</v>
      </c>
      <c r="T1003" t="s">
        <v>70</v>
      </c>
      <c r="W1003" t="s">
        <v>128</v>
      </c>
      <c r="X1003">
        <v>92</v>
      </c>
      <c r="Y1003" t="s">
        <v>70</v>
      </c>
      <c r="Z1003">
        <v>268</v>
      </c>
    </row>
    <row r="1004" spans="1:26" x14ac:dyDescent="0.3">
      <c r="A1004">
        <v>1003</v>
      </c>
      <c r="B1004" t="s">
        <v>2281</v>
      </c>
      <c r="C1004" t="s">
        <v>40</v>
      </c>
      <c r="D1004" t="s">
        <v>54</v>
      </c>
      <c r="E1004" t="s">
        <v>6349</v>
      </c>
      <c r="F1004" t="s">
        <v>6382</v>
      </c>
      <c r="G1004" t="s">
        <v>6395</v>
      </c>
      <c r="H1004" t="s">
        <v>6376</v>
      </c>
      <c r="I1004" t="s">
        <v>6378</v>
      </c>
      <c r="J1004">
        <f>AVERAGE(ai_job_market[[#This Row],[min_salary]],ai_job_market[[#This Row],[max_salary]])</f>
        <v>151038.5</v>
      </c>
      <c r="K1004" t="s">
        <v>6391</v>
      </c>
      <c r="L1004" t="s">
        <v>22</v>
      </c>
      <c r="M1004" t="s">
        <v>15</v>
      </c>
      <c r="N1004" t="s">
        <v>5439</v>
      </c>
      <c r="O1004" t="s">
        <v>4655</v>
      </c>
      <c r="P1004">
        <v>142849</v>
      </c>
      <c r="Q1004">
        <v>159228</v>
      </c>
      <c r="R1004" s="2">
        <v>45820</v>
      </c>
      <c r="S1004" t="s">
        <v>69</v>
      </c>
      <c r="T1004" t="s">
        <v>157</v>
      </c>
      <c r="U1004" t="s">
        <v>6388</v>
      </c>
      <c r="W1004" t="s">
        <v>6349</v>
      </c>
      <c r="X1004">
        <v>96</v>
      </c>
      <c r="Y1004" t="s">
        <v>157</v>
      </c>
      <c r="Z1004">
        <v>247</v>
      </c>
    </row>
    <row r="1005" spans="1:26" x14ac:dyDescent="0.3">
      <c r="A1005">
        <v>1004</v>
      </c>
      <c r="B1005" t="s">
        <v>2283</v>
      </c>
      <c r="C1005" t="s">
        <v>45</v>
      </c>
      <c r="D1005" t="s">
        <v>35</v>
      </c>
      <c r="E1005" t="s">
        <v>6351</v>
      </c>
      <c r="F1005" t="s">
        <v>6379</v>
      </c>
      <c r="G1005" t="s">
        <v>6392</v>
      </c>
      <c r="H1005" t="s">
        <v>6375</v>
      </c>
      <c r="I1005" t="s">
        <v>6384</v>
      </c>
      <c r="J1005" s="6">
        <f>AVERAGE(ai_job_market[[#This Row],[min_salary]],ai_job_market[[#This Row],[max_salary]])</f>
        <v>147705</v>
      </c>
      <c r="K1005"/>
      <c r="L1005" t="s">
        <v>14</v>
      </c>
      <c r="M1005" t="s">
        <v>51</v>
      </c>
      <c r="N1005" t="s">
        <v>5440</v>
      </c>
      <c r="O1005" t="s">
        <v>4482</v>
      </c>
      <c r="P1005" s="5">
        <v>138773</v>
      </c>
      <c r="Q1005" s="5">
        <v>156637</v>
      </c>
      <c r="R1005" s="2">
        <v>45633</v>
      </c>
      <c r="S1005" t="s">
        <v>69</v>
      </c>
      <c r="T1005" t="s">
        <v>52</v>
      </c>
      <c r="W1005" t="s">
        <v>6351</v>
      </c>
      <c r="X1005">
        <v>89</v>
      </c>
      <c r="Y1005" t="s">
        <v>52</v>
      </c>
      <c r="Z1005">
        <v>238</v>
      </c>
    </row>
    <row r="1006" spans="1:26" x14ac:dyDescent="0.3">
      <c r="A1006">
        <v>1005</v>
      </c>
      <c r="B1006" t="s">
        <v>2285</v>
      </c>
      <c r="C1006" t="s">
        <v>11</v>
      </c>
      <c r="D1006" t="s">
        <v>12</v>
      </c>
      <c r="E1006" t="s">
        <v>6359</v>
      </c>
      <c r="F1006" t="s">
        <v>6377</v>
      </c>
      <c r="G1006" t="s">
        <v>6391</v>
      </c>
      <c r="H1006" t="s">
        <v>6379</v>
      </c>
      <c r="I1006" t="s">
        <v>6389</v>
      </c>
      <c r="J1006">
        <f>AVERAGE(ai_job_market[[#This Row],[min_salary]],ai_job_market[[#This Row],[max_salary]])</f>
        <v>70578.5</v>
      </c>
      <c r="K1006"/>
      <c r="L1006" t="s">
        <v>14</v>
      </c>
      <c r="M1006" t="s">
        <v>37</v>
      </c>
      <c r="N1006" t="s">
        <v>5441</v>
      </c>
      <c r="O1006" t="s">
        <v>4773</v>
      </c>
      <c r="P1006">
        <v>52554</v>
      </c>
      <c r="Q1006">
        <v>88603</v>
      </c>
      <c r="R1006" s="2">
        <v>45336</v>
      </c>
      <c r="S1006" t="s">
        <v>16</v>
      </c>
      <c r="T1006" t="s">
        <v>80</v>
      </c>
      <c r="U1006" t="s">
        <v>6388</v>
      </c>
      <c r="V1006" t="s">
        <v>6389</v>
      </c>
      <c r="W1006" t="s">
        <v>6359</v>
      </c>
      <c r="X1006">
        <v>104</v>
      </c>
      <c r="Y1006" t="s">
        <v>80</v>
      </c>
      <c r="Z1006">
        <v>249</v>
      </c>
    </row>
    <row r="1007" spans="1:26" x14ac:dyDescent="0.3">
      <c r="A1007">
        <v>1006</v>
      </c>
      <c r="B1007" t="s">
        <v>2287</v>
      </c>
      <c r="C1007" t="s">
        <v>49</v>
      </c>
      <c r="D1007" t="s">
        <v>12</v>
      </c>
      <c r="E1007" t="s">
        <v>6348</v>
      </c>
      <c r="F1007" t="s">
        <v>6375</v>
      </c>
      <c r="G1007" t="s">
        <v>6386</v>
      </c>
      <c r="J1007">
        <f>AVERAGE(ai_job_market[[#This Row],[min_salary]],ai_job_market[[#This Row],[max_salary]])</f>
        <v>65167</v>
      </c>
      <c r="K1007"/>
      <c r="L1007" t="s">
        <v>22</v>
      </c>
      <c r="M1007" t="s">
        <v>15</v>
      </c>
      <c r="N1007" t="s">
        <v>5442</v>
      </c>
      <c r="O1007" t="s">
        <v>4584</v>
      </c>
      <c r="P1007">
        <v>42445</v>
      </c>
      <c r="Q1007">
        <v>87889</v>
      </c>
      <c r="R1007" s="2">
        <v>45814</v>
      </c>
      <c r="S1007" t="s">
        <v>69</v>
      </c>
      <c r="T1007" t="s">
        <v>77</v>
      </c>
      <c r="W1007" t="s">
        <v>6348</v>
      </c>
      <c r="X1007">
        <v>78</v>
      </c>
      <c r="Y1007" t="s">
        <v>77</v>
      </c>
      <c r="Z1007">
        <v>251</v>
      </c>
    </row>
    <row r="1008" spans="1:26" x14ac:dyDescent="0.3">
      <c r="A1008">
        <v>1007</v>
      </c>
      <c r="B1008" t="s">
        <v>2289</v>
      </c>
      <c r="C1008" t="s">
        <v>45</v>
      </c>
      <c r="D1008" t="s">
        <v>25</v>
      </c>
      <c r="E1008" t="s">
        <v>6358</v>
      </c>
      <c r="F1008" t="s">
        <v>6382</v>
      </c>
      <c r="G1008" t="s">
        <v>6393</v>
      </c>
      <c r="H1008" t="s">
        <v>6375</v>
      </c>
      <c r="J1008">
        <f>AVERAGE(ai_job_market[[#This Row],[min_salary]],ai_job_market[[#This Row],[max_salary]])</f>
        <v>75687.5</v>
      </c>
      <c r="K1008"/>
      <c r="L1008" t="s">
        <v>27</v>
      </c>
      <c r="M1008" t="s">
        <v>51</v>
      </c>
      <c r="N1008" t="s">
        <v>5443</v>
      </c>
      <c r="O1008" t="s">
        <v>4450</v>
      </c>
      <c r="P1008">
        <v>42100</v>
      </c>
      <c r="Q1008">
        <v>109275</v>
      </c>
      <c r="R1008" s="2">
        <v>45374</v>
      </c>
      <c r="S1008" t="s">
        <v>16</v>
      </c>
      <c r="T1008" t="s">
        <v>52</v>
      </c>
      <c r="W1008" t="s">
        <v>6358</v>
      </c>
      <c r="X1008">
        <v>96</v>
      </c>
      <c r="Y1008" t="s">
        <v>52</v>
      </c>
      <c r="Z1008">
        <v>238</v>
      </c>
    </row>
    <row r="1009" spans="1:26" x14ac:dyDescent="0.3">
      <c r="A1009">
        <v>1008</v>
      </c>
      <c r="B1009" t="s">
        <v>2291</v>
      </c>
      <c r="C1009" t="s">
        <v>72</v>
      </c>
      <c r="D1009" t="s">
        <v>25</v>
      </c>
      <c r="E1009" t="s">
        <v>6352</v>
      </c>
      <c r="F1009" t="s">
        <v>6380</v>
      </c>
      <c r="G1009" t="s">
        <v>6377</v>
      </c>
      <c r="H1009" t="s">
        <v>6392</v>
      </c>
      <c r="I1009" t="s">
        <v>6378</v>
      </c>
      <c r="J1009" s="6">
        <f>AVERAGE(ai_job_market[[#This Row],[min_salary]],ai_job_market[[#This Row],[max_salary]])</f>
        <v>173019.5</v>
      </c>
      <c r="K1009" t="s">
        <v>6394</v>
      </c>
      <c r="L1009" t="s">
        <v>14</v>
      </c>
      <c r="M1009" t="s">
        <v>37</v>
      </c>
      <c r="N1009" t="s">
        <v>5444</v>
      </c>
      <c r="O1009" t="s">
        <v>4684</v>
      </c>
      <c r="P1009" s="5">
        <v>137547</v>
      </c>
      <c r="Q1009" s="5">
        <v>208492</v>
      </c>
      <c r="R1009" s="2">
        <v>45409</v>
      </c>
      <c r="S1009" t="s">
        <v>69</v>
      </c>
      <c r="T1009" t="s">
        <v>77</v>
      </c>
      <c r="U1009" t="s">
        <v>6376</v>
      </c>
      <c r="W1009" t="s">
        <v>6352</v>
      </c>
      <c r="X1009">
        <v>97</v>
      </c>
      <c r="Y1009" t="s">
        <v>77</v>
      </c>
      <c r="Z1009">
        <v>251</v>
      </c>
    </row>
    <row r="1010" spans="1:26" x14ac:dyDescent="0.3">
      <c r="A1010">
        <v>1009</v>
      </c>
      <c r="B1010" t="s">
        <v>2016</v>
      </c>
      <c r="C1010" t="s">
        <v>72</v>
      </c>
      <c r="D1010" t="s">
        <v>54</v>
      </c>
      <c r="E1010" t="s">
        <v>128</v>
      </c>
      <c r="F1010" t="s">
        <v>6374</v>
      </c>
      <c r="G1010" t="s">
        <v>6390</v>
      </c>
      <c r="H1010" t="s">
        <v>6385</v>
      </c>
      <c r="I1010" t="s">
        <v>6380</v>
      </c>
      <c r="J1010">
        <f>AVERAGE(ai_job_market[[#This Row],[min_salary]],ai_job_market[[#This Row],[max_salary]])</f>
        <v>156943.5</v>
      </c>
      <c r="K1010" t="s">
        <v>6381</v>
      </c>
      <c r="L1010" t="s">
        <v>27</v>
      </c>
      <c r="M1010" t="s">
        <v>37</v>
      </c>
      <c r="N1010" t="s">
        <v>5445</v>
      </c>
      <c r="O1010" t="s">
        <v>4395</v>
      </c>
      <c r="P1010">
        <v>141946</v>
      </c>
      <c r="Q1010">
        <v>171941</v>
      </c>
      <c r="R1010" s="2">
        <v>45733</v>
      </c>
      <c r="S1010" t="s">
        <v>69</v>
      </c>
      <c r="T1010" t="s">
        <v>101</v>
      </c>
      <c r="W1010" t="s">
        <v>128</v>
      </c>
      <c r="X1010">
        <v>92</v>
      </c>
      <c r="Y1010" t="s">
        <v>101</v>
      </c>
      <c r="Z1010">
        <v>255</v>
      </c>
    </row>
    <row r="1011" spans="1:26" x14ac:dyDescent="0.3">
      <c r="A1011">
        <v>1010</v>
      </c>
      <c r="B1011" t="s">
        <v>2294</v>
      </c>
      <c r="C1011" t="s">
        <v>49</v>
      </c>
      <c r="D1011" t="s">
        <v>25</v>
      </c>
      <c r="E1011" t="s">
        <v>80</v>
      </c>
      <c r="F1011" t="s">
        <v>6396</v>
      </c>
      <c r="G1011" t="s">
        <v>6376</v>
      </c>
      <c r="H1011" t="s">
        <v>6391</v>
      </c>
      <c r="I1011" t="s">
        <v>6387</v>
      </c>
      <c r="J1011">
        <f>AVERAGE(ai_job_market[[#This Row],[min_salary]],ai_job_market[[#This Row],[max_salary]])</f>
        <v>154934.5</v>
      </c>
      <c r="K1011" t="s">
        <v>6382</v>
      </c>
      <c r="L1011" t="s">
        <v>14</v>
      </c>
      <c r="M1011" t="s">
        <v>15</v>
      </c>
      <c r="N1011" t="s">
        <v>4477</v>
      </c>
      <c r="O1011" t="s">
        <v>4714</v>
      </c>
      <c r="P1011">
        <v>131712</v>
      </c>
      <c r="Q1011">
        <v>178157</v>
      </c>
      <c r="R1011" s="2">
        <v>45732</v>
      </c>
      <c r="S1011" t="s">
        <v>14</v>
      </c>
      <c r="T1011" t="s">
        <v>80</v>
      </c>
      <c r="W1011" t="s">
        <v>80</v>
      </c>
      <c r="X1011">
        <v>95</v>
      </c>
      <c r="Y1011" t="s">
        <v>80</v>
      </c>
      <c r="Z1011">
        <v>249</v>
      </c>
    </row>
    <row r="1012" spans="1:26" x14ac:dyDescent="0.3">
      <c r="A1012">
        <v>1011</v>
      </c>
      <c r="B1012" t="s">
        <v>2296</v>
      </c>
      <c r="C1012" t="s">
        <v>49</v>
      </c>
      <c r="D1012" t="s">
        <v>54</v>
      </c>
      <c r="E1012" t="s">
        <v>77</v>
      </c>
      <c r="F1012" t="s">
        <v>6391</v>
      </c>
      <c r="G1012" t="s">
        <v>6386</v>
      </c>
      <c r="H1012" t="s">
        <v>6397</v>
      </c>
      <c r="J1012" s="6">
        <f>AVERAGE(ai_job_market[[#This Row],[min_salary]],ai_job_market[[#This Row],[max_salary]])</f>
        <v>138093</v>
      </c>
      <c r="K1012"/>
      <c r="L1012" t="s">
        <v>14</v>
      </c>
      <c r="M1012" t="s">
        <v>42</v>
      </c>
      <c r="N1012" t="s">
        <v>5446</v>
      </c>
      <c r="O1012" t="s">
        <v>4608</v>
      </c>
      <c r="P1012" s="5">
        <v>91126</v>
      </c>
      <c r="Q1012" s="5">
        <v>185060</v>
      </c>
      <c r="R1012" s="2">
        <v>45478</v>
      </c>
      <c r="S1012" t="s">
        <v>69</v>
      </c>
      <c r="T1012" t="s">
        <v>77</v>
      </c>
      <c r="W1012" t="s">
        <v>77</v>
      </c>
      <c r="X1012">
        <v>111</v>
      </c>
      <c r="Y1012" t="s">
        <v>77</v>
      </c>
      <c r="Z1012">
        <v>251</v>
      </c>
    </row>
    <row r="1013" spans="1:26" x14ac:dyDescent="0.3">
      <c r="A1013">
        <v>1012</v>
      </c>
      <c r="B1013" t="s">
        <v>2298</v>
      </c>
      <c r="C1013" t="s">
        <v>45</v>
      </c>
      <c r="D1013" t="s">
        <v>67</v>
      </c>
      <c r="E1013" t="s">
        <v>6344</v>
      </c>
      <c r="F1013" t="s">
        <v>6377</v>
      </c>
      <c r="G1013" t="s">
        <v>6387</v>
      </c>
      <c r="H1013" t="s">
        <v>6374</v>
      </c>
      <c r="I1013" t="s">
        <v>6379</v>
      </c>
      <c r="J1013" s="6">
        <f>AVERAGE(ai_job_market[[#This Row],[min_salary]],ai_job_market[[#This Row],[max_salary]])</f>
        <v>121986.5</v>
      </c>
      <c r="K1013" t="s">
        <v>6386</v>
      </c>
      <c r="L1013" t="s">
        <v>22</v>
      </c>
      <c r="M1013" t="s">
        <v>15</v>
      </c>
      <c r="N1013" t="s">
        <v>5447</v>
      </c>
      <c r="O1013" t="s">
        <v>4456</v>
      </c>
      <c r="P1013" s="5">
        <v>100471</v>
      </c>
      <c r="Q1013" s="5">
        <v>143502</v>
      </c>
      <c r="R1013" s="2">
        <v>45542</v>
      </c>
      <c r="S1013" t="s">
        <v>16</v>
      </c>
      <c r="T1013" t="s">
        <v>128</v>
      </c>
      <c r="U1013" t="s">
        <v>6379</v>
      </c>
      <c r="V1013" t="s">
        <v>6388</v>
      </c>
      <c r="W1013" t="s">
        <v>6344</v>
      </c>
      <c r="X1013">
        <v>104</v>
      </c>
      <c r="Y1013" t="s">
        <v>128</v>
      </c>
      <c r="Z1013">
        <v>233</v>
      </c>
    </row>
    <row r="1014" spans="1:26" x14ac:dyDescent="0.3">
      <c r="A1014">
        <v>1013</v>
      </c>
      <c r="B1014" t="s">
        <v>2301</v>
      </c>
      <c r="C1014" t="s">
        <v>34</v>
      </c>
      <c r="D1014" t="s">
        <v>54</v>
      </c>
      <c r="E1014" t="s">
        <v>90</v>
      </c>
      <c r="F1014" t="s">
        <v>6382</v>
      </c>
      <c r="G1014" t="s">
        <v>6375</v>
      </c>
      <c r="H1014" t="s">
        <v>6385</v>
      </c>
      <c r="I1014" t="s">
        <v>6379</v>
      </c>
      <c r="J1014" s="6">
        <f>AVERAGE(ai_job_market[[#This Row],[min_salary]],ai_job_market[[#This Row],[max_salary]])</f>
        <v>62766</v>
      </c>
      <c r="K1014"/>
      <c r="L1014" t="s">
        <v>22</v>
      </c>
      <c r="M1014" t="s">
        <v>42</v>
      </c>
      <c r="N1014" t="s">
        <v>5448</v>
      </c>
      <c r="O1014" t="s">
        <v>4973</v>
      </c>
      <c r="P1014" s="5">
        <v>47058</v>
      </c>
      <c r="Q1014" s="5">
        <v>78474</v>
      </c>
      <c r="R1014" s="2">
        <v>45891</v>
      </c>
      <c r="S1014" t="s">
        <v>14</v>
      </c>
      <c r="T1014" t="s">
        <v>70</v>
      </c>
      <c r="U1014" t="s">
        <v>6375</v>
      </c>
      <c r="W1014" t="s">
        <v>90</v>
      </c>
      <c r="X1014">
        <v>80</v>
      </c>
      <c r="Y1014" t="s">
        <v>70</v>
      </c>
      <c r="Z1014">
        <v>268</v>
      </c>
    </row>
    <row r="1015" spans="1:26" x14ac:dyDescent="0.3">
      <c r="A1015">
        <v>1014</v>
      </c>
      <c r="B1015" t="s">
        <v>2303</v>
      </c>
      <c r="C1015" t="s">
        <v>72</v>
      </c>
      <c r="D1015" t="s">
        <v>135</v>
      </c>
      <c r="E1015" t="s">
        <v>6349</v>
      </c>
      <c r="F1015" t="s">
        <v>6378</v>
      </c>
      <c r="G1015" t="s">
        <v>6375</v>
      </c>
      <c r="H1015" t="s">
        <v>6379</v>
      </c>
      <c r="I1015" t="s">
        <v>6376</v>
      </c>
      <c r="J1015">
        <f>AVERAGE(ai_job_market[[#This Row],[min_salary]],ai_job_market[[#This Row],[max_salary]])</f>
        <v>143687</v>
      </c>
      <c r="K1015" t="s">
        <v>6393</v>
      </c>
      <c r="L1015" t="s">
        <v>27</v>
      </c>
      <c r="M1015" t="s">
        <v>51</v>
      </c>
      <c r="N1015" t="s">
        <v>5449</v>
      </c>
      <c r="O1015" t="s">
        <v>4710</v>
      </c>
      <c r="P1015">
        <v>102565</v>
      </c>
      <c r="Q1015">
        <v>184809</v>
      </c>
      <c r="R1015" s="2">
        <v>45875</v>
      </c>
      <c r="S1015" t="s">
        <v>16</v>
      </c>
      <c r="T1015" t="s">
        <v>128</v>
      </c>
      <c r="U1015" t="s">
        <v>6376</v>
      </c>
      <c r="W1015" t="s">
        <v>6349</v>
      </c>
      <c r="X1015">
        <v>96</v>
      </c>
      <c r="Y1015" t="s">
        <v>128</v>
      </c>
      <c r="Z1015">
        <v>233</v>
      </c>
    </row>
    <row r="1016" spans="1:26" x14ac:dyDescent="0.3">
      <c r="A1016">
        <v>1015</v>
      </c>
      <c r="B1016" t="s">
        <v>2305</v>
      </c>
      <c r="C1016" t="s">
        <v>34</v>
      </c>
      <c r="D1016" t="s">
        <v>12</v>
      </c>
      <c r="E1016" t="s">
        <v>6357</v>
      </c>
      <c r="F1016" t="s">
        <v>6389</v>
      </c>
      <c r="G1016" t="s">
        <v>6382</v>
      </c>
      <c r="H1016" t="s">
        <v>6380</v>
      </c>
      <c r="I1016" t="s">
        <v>6376</v>
      </c>
      <c r="J1016">
        <f>AVERAGE(ai_job_market[[#This Row],[min_salary]],ai_job_market[[#This Row],[max_salary]])</f>
        <v>102836</v>
      </c>
      <c r="K1016"/>
      <c r="L1016" t="s">
        <v>14</v>
      </c>
      <c r="M1016" t="s">
        <v>42</v>
      </c>
      <c r="N1016" t="s">
        <v>5450</v>
      </c>
      <c r="O1016" t="s">
        <v>4365</v>
      </c>
      <c r="P1016">
        <v>61954</v>
      </c>
      <c r="Q1016">
        <v>143718</v>
      </c>
      <c r="R1016" s="2">
        <v>45818</v>
      </c>
      <c r="S1016" t="s">
        <v>69</v>
      </c>
      <c r="T1016" t="s">
        <v>80</v>
      </c>
      <c r="W1016" t="s">
        <v>6357</v>
      </c>
      <c r="X1016">
        <v>88</v>
      </c>
      <c r="Y1016" t="s">
        <v>80</v>
      </c>
      <c r="Z1016">
        <v>249</v>
      </c>
    </row>
    <row r="1017" spans="1:26" x14ac:dyDescent="0.3">
      <c r="A1017">
        <v>1016</v>
      </c>
      <c r="B1017" t="s">
        <v>2307</v>
      </c>
      <c r="C1017" t="s">
        <v>19</v>
      </c>
      <c r="D1017" t="s">
        <v>20</v>
      </c>
      <c r="E1017" t="s">
        <v>6359</v>
      </c>
      <c r="F1017" t="s">
        <v>6387</v>
      </c>
      <c r="G1017" t="s">
        <v>6385</v>
      </c>
      <c r="J1017">
        <f>AVERAGE(ai_job_market[[#This Row],[min_salary]],ai_job_market[[#This Row],[max_salary]])</f>
        <v>110544.5</v>
      </c>
      <c r="K1017"/>
      <c r="L1017" t="s">
        <v>22</v>
      </c>
      <c r="M1017" t="s">
        <v>42</v>
      </c>
      <c r="N1017" t="s">
        <v>5451</v>
      </c>
      <c r="O1017" t="s">
        <v>4343</v>
      </c>
      <c r="P1017">
        <v>83274</v>
      </c>
      <c r="Q1017">
        <v>137815</v>
      </c>
      <c r="R1017" s="2">
        <v>45296</v>
      </c>
      <c r="S1017" t="s">
        <v>69</v>
      </c>
      <c r="T1017" t="s">
        <v>70</v>
      </c>
      <c r="U1017" t="s">
        <v>6389</v>
      </c>
      <c r="V1017" t="s">
        <v>6383</v>
      </c>
      <c r="W1017" t="s">
        <v>6359</v>
      </c>
      <c r="X1017">
        <v>104</v>
      </c>
      <c r="Y1017" t="s">
        <v>70</v>
      </c>
      <c r="Z1017">
        <v>268</v>
      </c>
    </row>
    <row r="1018" spans="1:26" x14ac:dyDescent="0.3">
      <c r="A1018">
        <v>1017</v>
      </c>
      <c r="B1018" t="s">
        <v>2309</v>
      </c>
      <c r="C1018" t="s">
        <v>11</v>
      </c>
      <c r="D1018" t="s">
        <v>12</v>
      </c>
      <c r="E1018" t="s">
        <v>6358</v>
      </c>
      <c r="F1018" t="s">
        <v>6381</v>
      </c>
      <c r="G1018" t="s">
        <v>6397</v>
      </c>
      <c r="H1018" t="s">
        <v>6384</v>
      </c>
      <c r="J1018">
        <f>AVERAGE(ai_job_market[[#This Row],[min_salary]],ai_job_market[[#This Row],[max_salary]])</f>
        <v>110114.5</v>
      </c>
      <c r="K1018"/>
      <c r="L1018" t="s">
        <v>27</v>
      </c>
      <c r="M1018" t="s">
        <v>15</v>
      </c>
      <c r="N1018" t="s">
        <v>5452</v>
      </c>
      <c r="O1018" t="s">
        <v>4312</v>
      </c>
      <c r="P1018">
        <v>82652</v>
      </c>
      <c r="Q1018">
        <v>137577</v>
      </c>
      <c r="R1018" s="2">
        <v>45802</v>
      </c>
      <c r="S1018" t="s">
        <v>14</v>
      </c>
      <c r="T1018" t="s">
        <v>70</v>
      </c>
      <c r="W1018" t="s">
        <v>6358</v>
      </c>
      <c r="X1018">
        <v>96</v>
      </c>
      <c r="Y1018" t="s">
        <v>70</v>
      </c>
      <c r="Z1018">
        <v>268</v>
      </c>
    </row>
    <row r="1019" spans="1:26" x14ac:dyDescent="0.3">
      <c r="A1019">
        <v>1018</v>
      </c>
      <c r="B1019" t="s">
        <v>2311</v>
      </c>
      <c r="C1019" t="s">
        <v>19</v>
      </c>
      <c r="D1019" t="s">
        <v>67</v>
      </c>
      <c r="E1019" t="s">
        <v>6349</v>
      </c>
      <c r="F1019" t="s">
        <v>6389</v>
      </c>
      <c r="G1019" t="s">
        <v>6378</v>
      </c>
      <c r="H1019" t="s">
        <v>6397</v>
      </c>
      <c r="I1019" t="s">
        <v>6376</v>
      </c>
      <c r="J1019">
        <f>AVERAGE(ai_job_market[[#This Row],[min_salary]],ai_job_market[[#This Row],[max_salary]])</f>
        <v>96796</v>
      </c>
      <c r="K1019" t="s">
        <v>6374</v>
      </c>
      <c r="L1019" t="s">
        <v>27</v>
      </c>
      <c r="M1019" t="s">
        <v>42</v>
      </c>
      <c r="N1019" t="s">
        <v>5453</v>
      </c>
      <c r="O1019" t="s">
        <v>4780</v>
      </c>
      <c r="P1019">
        <v>84254</v>
      </c>
      <c r="Q1019">
        <v>109338</v>
      </c>
      <c r="R1019" s="2">
        <v>45390</v>
      </c>
      <c r="S1019" t="s">
        <v>16</v>
      </c>
      <c r="T1019" t="s">
        <v>101</v>
      </c>
      <c r="W1019" t="s">
        <v>6349</v>
      </c>
      <c r="X1019">
        <v>96</v>
      </c>
      <c r="Y1019" t="s">
        <v>101</v>
      </c>
      <c r="Z1019">
        <v>255</v>
      </c>
    </row>
    <row r="1020" spans="1:26" x14ac:dyDescent="0.3">
      <c r="A1020">
        <v>1019</v>
      </c>
      <c r="B1020" t="s">
        <v>2313</v>
      </c>
      <c r="C1020" t="s">
        <v>45</v>
      </c>
      <c r="D1020" t="s">
        <v>20</v>
      </c>
      <c r="E1020" t="s">
        <v>6353</v>
      </c>
      <c r="F1020" t="s">
        <v>6390</v>
      </c>
      <c r="G1020" t="s">
        <v>6382</v>
      </c>
      <c r="H1020" t="s">
        <v>6374</v>
      </c>
      <c r="J1020">
        <f>AVERAGE(ai_job_market[[#This Row],[min_salary]],ai_job_market[[#This Row],[max_salary]])</f>
        <v>184948.5</v>
      </c>
      <c r="K1020"/>
      <c r="L1020" t="s">
        <v>14</v>
      </c>
      <c r="M1020" t="s">
        <v>15</v>
      </c>
      <c r="N1020" t="s">
        <v>5454</v>
      </c>
      <c r="O1020" t="s">
        <v>4710</v>
      </c>
      <c r="P1020">
        <v>135038</v>
      </c>
      <c r="Q1020">
        <v>234859</v>
      </c>
      <c r="R1020" s="2">
        <v>45760</v>
      </c>
      <c r="S1020" t="s">
        <v>16</v>
      </c>
      <c r="T1020" t="s">
        <v>80</v>
      </c>
      <c r="U1020" t="s">
        <v>6376</v>
      </c>
      <c r="W1020" t="s">
        <v>6353</v>
      </c>
      <c r="X1020">
        <v>86</v>
      </c>
      <c r="Y1020" t="s">
        <v>80</v>
      </c>
      <c r="Z1020">
        <v>249</v>
      </c>
    </row>
    <row r="1021" spans="1:26" x14ac:dyDescent="0.3">
      <c r="A1021">
        <v>1020</v>
      </c>
      <c r="B1021" t="s">
        <v>2315</v>
      </c>
      <c r="C1021" t="s">
        <v>11</v>
      </c>
      <c r="D1021" t="s">
        <v>54</v>
      </c>
      <c r="E1021" t="s">
        <v>70</v>
      </c>
      <c r="F1021" t="s">
        <v>6381</v>
      </c>
      <c r="G1021" t="s">
        <v>6374</v>
      </c>
      <c r="H1021" t="s">
        <v>6375</v>
      </c>
      <c r="J1021">
        <f>AVERAGE(ai_job_market[[#This Row],[min_salary]],ai_job_market[[#This Row],[max_salary]])</f>
        <v>93133</v>
      </c>
      <c r="K1021"/>
      <c r="L1021" t="s">
        <v>27</v>
      </c>
      <c r="M1021" t="s">
        <v>42</v>
      </c>
      <c r="N1021" t="s">
        <v>5455</v>
      </c>
      <c r="O1021" t="s">
        <v>4815</v>
      </c>
      <c r="P1021">
        <v>58091</v>
      </c>
      <c r="Q1021">
        <v>128175</v>
      </c>
      <c r="R1021" s="2">
        <v>45567</v>
      </c>
      <c r="S1021" t="s">
        <v>69</v>
      </c>
      <c r="T1021" t="s">
        <v>101</v>
      </c>
      <c r="U1021" t="s">
        <v>6388</v>
      </c>
      <c r="W1021" t="s">
        <v>70</v>
      </c>
      <c r="X1021">
        <v>100</v>
      </c>
      <c r="Y1021" t="s">
        <v>101</v>
      </c>
      <c r="Z1021">
        <v>255</v>
      </c>
    </row>
    <row r="1022" spans="1:26" x14ac:dyDescent="0.3">
      <c r="A1022">
        <v>1021</v>
      </c>
      <c r="B1022" t="s">
        <v>2317</v>
      </c>
      <c r="C1022" t="s">
        <v>19</v>
      </c>
      <c r="D1022" t="s">
        <v>12</v>
      </c>
      <c r="E1022" t="s">
        <v>6354</v>
      </c>
      <c r="F1022" t="s">
        <v>6381</v>
      </c>
      <c r="G1022" t="s">
        <v>6392</v>
      </c>
      <c r="J1022">
        <f>AVERAGE(ai_job_market[[#This Row],[min_salary]],ai_job_market[[#This Row],[max_salary]])</f>
        <v>101686.5</v>
      </c>
      <c r="K1022"/>
      <c r="L1022" t="s">
        <v>22</v>
      </c>
      <c r="M1022" t="s">
        <v>37</v>
      </c>
      <c r="N1022" t="s">
        <v>5456</v>
      </c>
      <c r="O1022" t="s">
        <v>4849</v>
      </c>
      <c r="P1022">
        <v>59630</v>
      </c>
      <c r="Q1022">
        <v>143743</v>
      </c>
      <c r="R1022" s="2">
        <v>45647</v>
      </c>
      <c r="S1022" t="s">
        <v>69</v>
      </c>
      <c r="T1022" t="s">
        <v>90</v>
      </c>
      <c r="U1022" t="s">
        <v>6383</v>
      </c>
      <c r="V1022" t="s">
        <v>6384</v>
      </c>
      <c r="W1022" t="s">
        <v>6354</v>
      </c>
      <c r="X1022">
        <v>75</v>
      </c>
      <c r="Y1022" t="s">
        <v>90</v>
      </c>
      <c r="Z1022">
        <v>259</v>
      </c>
    </row>
    <row r="1023" spans="1:26" x14ac:dyDescent="0.3">
      <c r="A1023">
        <v>1022</v>
      </c>
      <c r="B1023" t="s">
        <v>2320</v>
      </c>
      <c r="C1023" t="s">
        <v>11</v>
      </c>
      <c r="D1023" t="s">
        <v>67</v>
      </c>
      <c r="E1023" t="s">
        <v>70</v>
      </c>
      <c r="F1023" t="s">
        <v>6386</v>
      </c>
      <c r="G1023" t="s">
        <v>6387</v>
      </c>
      <c r="J1023">
        <f>AVERAGE(ai_job_market[[#This Row],[min_salary]],ai_job_market[[#This Row],[max_salary]])</f>
        <v>134120.5</v>
      </c>
      <c r="K1023"/>
      <c r="L1023" t="s">
        <v>22</v>
      </c>
      <c r="M1023" t="s">
        <v>51</v>
      </c>
      <c r="N1023" t="s">
        <v>5457</v>
      </c>
      <c r="O1023" t="s">
        <v>4599</v>
      </c>
      <c r="P1023">
        <v>90456</v>
      </c>
      <c r="Q1023">
        <v>177785</v>
      </c>
      <c r="R1023" s="2">
        <v>45305</v>
      </c>
      <c r="S1023" t="s">
        <v>16</v>
      </c>
      <c r="T1023" t="s">
        <v>90</v>
      </c>
      <c r="W1023" t="s">
        <v>70</v>
      </c>
      <c r="X1023">
        <v>100</v>
      </c>
      <c r="Y1023" t="s">
        <v>90</v>
      </c>
      <c r="Z1023">
        <v>259</v>
      </c>
    </row>
    <row r="1024" spans="1:26" x14ac:dyDescent="0.3">
      <c r="A1024">
        <v>1023</v>
      </c>
      <c r="B1024" t="s">
        <v>2322</v>
      </c>
      <c r="C1024" t="s">
        <v>49</v>
      </c>
      <c r="D1024" t="s">
        <v>67</v>
      </c>
      <c r="E1024" t="s">
        <v>70</v>
      </c>
      <c r="F1024" t="s">
        <v>6386</v>
      </c>
      <c r="G1024" t="s">
        <v>6390</v>
      </c>
      <c r="H1024" t="s">
        <v>6393</v>
      </c>
      <c r="I1024" t="s">
        <v>6382</v>
      </c>
      <c r="J1024">
        <f>AVERAGE(ai_job_market[[#This Row],[min_salary]],ai_job_market[[#This Row],[max_salary]])</f>
        <v>167631</v>
      </c>
      <c r="K1024"/>
      <c r="L1024" t="s">
        <v>27</v>
      </c>
      <c r="M1024" t="s">
        <v>51</v>
      </c>
      <c r="N1024" t="s">
        <v>5458</v>
      </c>
      <c r="O1024" t="s">
        <v>4393</v>
      </c>
      <c r="P1024">
        <v>130542</v>
      </c>
      <c r="Q1024">
        <v>204720</v>
      </c>
      <c r="R1024" s="2">
        <v>45604</v>
      </c>
      <c r="S1024" t="s">
        <v>69</v>
      </c>
      <c r="T1024" t="s">
        <v>52</v>
      </c>
      <c r="U1024" t="s">
        <v>6379</v>
      </c>
      <c r="W1024" t="s">
        <v>70</v>
      </c>
      <c r="X1024">
        <v>100</v>
      </c>
      <c r="Y1024" t="s">
        <v>52</v>
      </c>
      <c r="Z1024">
        <v>238</v>
      </c>
    </row>
    <row r="1025" spans="1:26" x14ac:dyDescent="0.3">
      <c r="A1025">
        <v>1024</v>
      </c>
      <c r="B1025" t="s">
        <v>2324</v>
      </c>
      <c r="C1025" t="s">
        <v>49</v>
      </c>
      <c r="D1025" t="s">
        <v>30</v>
      </c>
      <c r="E1025" t="s">
        <v>6350</v>
      </c>
      <c r="F1025" t="s">
        <v>6374</v>
      </c>
      <c r="G1025" t="s">
        <v>6389</v>
      </c>
      <c r="H1025" t="s">
        <v>6382</v>
      </c>
      <c r="I1025" t="s">
        <v>6381</v>
      </c>
      <c r="J1025">
        <f>AVERAGE(ai_job_market[[#This Row],[min_salary]],ai_job_market[[#This Row],[max_salary]])</f>
        <v>105337</v>
      </c>
      <c r="K1025"/>
      <c r="L1025" t="s">
        <v>27</v>
      </c>
      <c r="M1025" t="s">
        <v>51</v>
      </c>
      <c r="N1025" t="s">
        <v>5459</v>
      </c>
      <c r="O1025" t="s">
        <v>4615</v>
      </c>
      <c r="P1025">
        <v>74640</v>
      </c>
      <c r="Q1025">
        <v>136034</v>
      </c>
      <c r="R1025" s="2">
        <v>45748</v>
      </c>
      <c r="S1025" t="s">
        <v>16</v>
      </c>
      <c r="T1025" t="s">
        <v>101</v>
      </c>
      <c r="U1025" t="s">
        <v>6375</v>
      </c>
      <c r="V1025" t="s">
        <v>6389</v>
      </c>
      <c r="W1025" t="s">
        <v>6350</v>
      </c>
      <c r="X1025">
        <v>84</v>
      </c>
      <c r="Y1025" t="s">
        <v>101</v>
      </c>
      <c r="Z1025">
        <v>255</v>
      </c>
    </row>
    <row r="1026" spans="1:26" x14ac:dyDescent="0.3">
      <c r="A1026">
        <v>1025</v>
      </c>
      <c r="B1026" t="s">
        <v>2327</v>
      </c>
      <c r="C1026" t="s">
        <v>40</v>
      </c>
      <c r="D1026" t="s">
        <v>12</v>
      </c>
      <c r="E1026" t="s">
        <v>6352</v>
      </c>
      <c r="F1026" t="s">
        <v>6381</v>
      </c>
      <c r="G1026" t="s">
        <v>6380</v>
      </c>
      <c r="H1026" t="s">
        <v>6393</v>
      </c>
      <c r="I1026" t="s">
        <v>6395</v>
      </c>
      <c r="J1026">
        <f>AVERAGE(ai_job_market[[#This Row],[min_salary]],ai_job_market[[#This Row],[max_salary]])</f>
        <v>166850</v>
      </c>
      <c r="K1026"/>
      <c r="L1026" t="s">
        <v>27</v>
      </c>
      <c r="M1026" t="s">
        <v>51</v>
      </c>
      <c r="N1026" t="s">
        <v>5460</v>
      </c>
      <c r="O1026" t="s">
        <v>4692</v>
      </c>
      <c r="P1026">
        <v>134678</v>
      </c>
      <c r="Q1026">
        <v>199022</v>
      </c>
      <c r="R1026" s="2">
        <v>45778</v>
      </c>
      <c r="S1026" t="s">
        <v>16</v>
      </c>
      <c r="T1026" t="s">
        <v>101</v>
      </c>
      <c r="U1026" t="s">
        <v>6375</v>
      </c>
      <c r="W1026" t="s">
        <v>6352</v>
      </c>
      <c r="X1026">
        <v>97</v>
      </c>
      <c r="Y1026" t="s">
        <v>101</v>
      </c>
      <c r="Z1026">
        <v>255</v>
      </c>
    </row>
    <row r="1027" spans="1:26" x14ac:dyDescent="0.3">
      <c r="A1027">
        <v>1026</v>
      </c>
      <c r="B1027" t="s">
        <v>2329</v>
      </c>
      <c r="C1027" t="s">
        <v>40</v>
      </c>
      <c r="D1027" t="s">
        <v>12</v>
      </c>
      <c r="E1027" t="s">
        <v>6358</v>
      </c>
      <c r="F1027" t="s">
        <v>6382</v>
      </c>
      <c r="G1027" t="s">
        <v>6377</v>
      </c>
      <c r="H1027" t="s">
        <v>6393</v>
      </c>
      <c r="I1027" t="s">
        <v>6387</v>
      </c>
      <c r="J1027">
        <f>AVERAGE(ai_job_market[[#This Row],[min_salary]],ai_job_market[[#This Row],[max_salary]])</f>
        <v>80571.5</v>
      </c>
      <c r="K1027"/>
      <c r="L1027" t="s">
        <v>27</v>
      </c>
      <c r="M1027" t="s">
        <v>37</v>
      </c>
      <c r="N1027" t="s">
        <v>5461</v>
      </c>
      <c r="O1027" t="s">
        <v>4480</v>
      </c>
      <c r="P1027">
        <v>60699</v>
      </c>
      <c r="Q1027">
        <v>100444</v>
      </c>
      <c r="R1027" s="2">
        <v>45911</v>
      </c>
      <c r="S1027" t="s">
        <v>14</v>
      </c>
      <c r="T1027" t="s">
        <v>80</v>
      </c>
      <c r="U1027" t="s">
        <v>6375</v>
      </c>
      <c r="W1027" t="s">
        <v>6358</v>
      </c>
      <c r="X1027">
        <v>96</v>
      </c>
      <c r="Y1027" t="s">
        <v>80</v>
      </c>
      <c r="Z1027">
        <v>249</v>
      </c>
    </row>
    <row r="1028" spans="1:26" x14ac:dyDescent="0.3">
      <c r="A1028">
        <v>1027</v>
      </c>
      <c r="B1028" t="s">
        <v>2331</v>
      </c>
      <c r="C1028" t="s">
        <v>49</v>
      </c>
      <c r="D1028" t="s">
        <v>67</v>
      </c>
      <c r="E1028" t="s">
        <v>6355</v>
      </c>
      <c r="F1028" t="s">
        <v>6395</v>
      </c>
      <c r="G1028" t="s">
        <v>6377</v>
      </c>
      <c r="H1028" t="s">
        <v>6379</v>
      </c>
      <c r="J1028" s="6">
        <f>AVERAGE(ai_job_market[[#This Row],[min_salary]],ai_job_market[[#This Row],[max_salary]])</f>
        <v>143409</v>
      </c>
      <c r="K1028"/>
      <c r="L1028" t="s">
        <v>27</v>
      </c>
      <c r="M1028" t="s">
        <v>51</v>
      </c>
      <c r="N1028" t="s">
        <v>5462</v>
      </c>
      <c r="O1028" t="s">
        <v>4365</v>
      </c>
      <c r="P1028" s="5">
        <v>118562</v>
      </c>
      <c r="Q1028" s="5">
        <v>168256</v>
      </c>
      <c r="R1028" s="2">
        <v>45378</v>
      </c>
      <c r="S1028" t="s">
        <v>14</v>
      </c>
      <c r="T1028" t="s">
        <v>52</v>
      </c>
      <c r="U1028" t="s">
        <v>6379</v>
      </c>
      <c r="W1028" t="s">
        <v>6355</v>
      </c>
      <c r="X1028">
        <v>90</v>
      </c>
      <c r="Y1028" t="s">
        <v>52</v>
      </c>
      <c r="Z1028">
        <v>238</v>
      </c>
    </row>
    <row r="1029" spans="1:26" x14ac:dyDescent="0.3">
      <c r="A1029">
        <v>1028</v>
      </c>
      <c r="B1029" t="s">
        <v>2332</v>
      </c>
      <c r="C1029" t="s">
        <v>40</v>
      </c>
      <c r="D1029" t="s">
        <v>35</v>
      </c>
      <c r="E1029" t="s">
        <v>90</v>
      </c>
      <c r="F1029" t="s">
        <v>6380</v>
      </c>
      <c r="G1029" t="s">
        <v>6374</v>
      </c>
      <c r="J1029">
        <f>AVERAGE(ai_job_market[[#This Row],[min_salary]],ai_job_market[[#This Row],[max_salary]])</f>
        <v>172178.5</v>
      </c>
      <c r="K1029"/>
      <c r="L1029" t="s">
        <v>14</v>
      </c>
      <c r="M1029" t="s">
        <v>15</v>
      </c>
      <c r="N1029" t="s">
        <v>5463</v>
      </c>
      <c r="O1029" t="s">
        <v>4283</v>
      </c>
      <c r="P1029">
        <v>135565</v>
      </c>
      <c r="Q1029">
        <v>208792</v>
      </c>
      <c r="R1029" s="2">
        <v>45354</v>
      </c>
      <c r="S1029" t="s">
        <v>14</v>
      </c>
      <c r="T1029" t="s">
        <v>80</v>
      </c>
      <c r="W1029" t="s">
        <v>90</v>
      </c>
      <c r="X1029">
        <v>80</v>
      </c>
      <c r="Y1029" t="s">
        <v>80</v>
      </c>
      <c r="Z1029">
        <v>249</v>
      </c>
    </row>
    <row r="1030" spans="1:26" x14ac:dyDescent="0.3">
      <c r="A1030">
        <v>1029</v>
      </c>
      <c r="B1030" t="s">
        <v>2334</v>
      </c>
      <c r="C1030" t="s">
        <v>49</v>
      </c>
      <c r="D1030" t="s">
        <v>54</v>
      </c>
      <c r="E1030" t="s">
        <v>6347</v>
      </c>
      <c r="F1030" t="s">
        <v>6377</v>
      </c>
      <c r="G1030" t="s">
        <v>6376</v>
      </c>
      <c r="H1030" t="s">
        <v>6382</v>
      </c>
      <c r="I1030" t="s">
        <v>6375</v>
      </c>
      <c r="J1030">
        <f>AVERAGE(ai_job_market[[#This Row],[min_salary]],ai_job_market[[#This Row],[max_salary]])</f>
        <v>118072.5</v>
      </c>
      <c r="K1030"/>
      <c r="L1030" t="s">
        <v>22</v>
      </c>
      <c r="M1030" t="s">
        <v>51</v>
      </c>
      <c r="N1030" t="s">
        <v>5464</v>
      </c>
      <c r="O1030" t="s">
        <v>5170</v>
      </c>
      <c r="P1030">
        <v>102146</v>
      </c>
      <c r="Q1030">
        <v>133999</v>
      </c>
      <c r="R1030" s="2">
        <v>45275</v>
      </c>
      <c r="S1030" t="s">
        <v>14</v>
      </c>
      <c r="T1030" t="s">
        <v>80</v>
      </c>
      <c r="W1030" t="s">
        <v>6347</v>
      </c>
      <c r="X1030">
        <v>94</v>
      </c>
      <c r="Y1030" t="s">
        <v>80</v>
      </c>
      <c r="Z1030">
        <v>249</v>
      </c>
    </row>
    <row r="1031" spans="1:26" x14ac:dyDescent="0.3">
      <c r="A1031">
        <v>1030</v>
      </c>
      <c r="B1031" t="s">
        <v>2336</v>
      </c>
      <c r="C1031" t="s">
        <v>72</v>
      </c>
      <c r="D1031" t="s">
        <v>25</v>
      </c>
      <c r="E1031" t="s">
        <v>6359</v>
      </c>
      <c r="F1031" t="s">
        <v>6378</v>
      </c>
      <c r="G1031" t="s">
        <v>6395</v>
      </c>
      <c r="J1031">
        <f>AVERAGE(ai_job_market[[#This Row],[min_salary]],ai_job_market[[#This Row],[max_salary]])</f>
        <v>128800</v>
      </c>
      <c r="K1031"/>
      <c r="L1031" t="s">
        <v>27</v>
      </c>
      <c r="M1031" t="s">
        <v>15</v>
      </c>
      <c r="N1031" t="s">
        <v>5465</v>
      </c>
      <c r="O1031" t="s">
        <v>4503</v>
      </c>
      <c r="P1031">
        <v>119302</v>
      </c>
      <c r="Q1031">
        <v>138298</v>
      </c>
      <c r="R1031" s="2">
        <v>45540</v>
      </c>
      <c r="S1031" t="s">
        <v>69</v>
      </c>
      <c r="T1031" t="s">
        <v>101</v>
      </c>
      <c r="U1031" t="s">
        <v>6383</v>
      </c>
      <c r="W1031" t="s">
        <v>6359</v>
      </c>
      <c r="X1031">
        <v>104</v>
      </c>
      <c r="Y1031" t="s">
        <v>101</v>
      </c>
      <c r="Z1031">
        <v>255</v>
      </c>
    </row>
    <row r="1032" spans="1:26" x14ac:dyDescent="0.3">
      <c r="A1032">
        <v>1031</v>
      </c>
      <c r="B1032" t="s">
        <v>2338</v>
      </c>
      <c r="C1032" t="s">
        <v>40</v>
      </c>
      <c r="D1032" t="s">
        <v>12</v>
      </c>
      <c r="E1032" t="s">
        <v>6359</v>
      </c>
      <c r="F1032" t="s">
        <v>6376</v>
      </c>
      <c r="G1032" t="s">
        <v>6393</v>
      </c>
      <c r="H1032" t="s">
        <v>6389</v>
      </c>
      <c r="J1032">
        <f>AVERAGE(ai_job_market[[#This Row],[min_salary]],ai_job_market[[#This Row],[max_salary]])</f>
        <v>80228.5</v>
      </c>
      <c r="K1032"/>
      <c r="L1032" t="s">
        <v>27</v>
      </c>
      <c r="M1032" t="s">
        <v>37</v>
      </c>
      <c r="N1032" t="s">
        <v>5466</v>
      </c>
      <c r="O1032" t="s">
        <v>4382</v>
      </c>
      <c r="P1032">
        <v>49324</v>
      </c>
      <c r="Q1032">
        <v>111133</v>
      </c>
      <c r="R1032" s="2">
        <v>45385</v>
      </c>
      <c r="S1032" t="s">
        <v>16</v>
      </c>
      <c r="T1032" t="s">
        <v>77</v>
      </c>
      <c r="W1032" t="s">
        <v>6359</v>
      </c>
      <c r="X1032">
        <v>104</v>
      </c>
      <c r="Y1032" t="s">
        <v>77</v>
      </c>
      <c r="Z1032">
        <v>251</v>
      </c>
    </row>
    <row r="1033" spans="1:26" x14ac:dyDescent="0.3">
      <c r="A1033">
        <v>1032</v>
      </c>
      <c r="B1033" t="s">
        <v>2340</v>
      </c>
      <c r="C1033" t="s">
        <v>40</v>
      </c>
      <c r="D1033" t="s">
        <v>20</v>
      </c>
      <c r="E1033" t="s">
        <v>6353</v>
      </c>
      <c r="F1033" t="s">
        <v>6392</v>
      </c>
      <c r="G1033" t="s">
        <v>6390</v>
      </c>
      <c r="H1033" t="s">
        <v>6397</v>
      </c>
      <c r="I1033" t="s">
        <v>6380</v>
      </c>
      <c r="J1033">
        <f>AVERAGE(ai_job_market[[#This Row],[min_salary]],ai_job_market[[#This Row],[max_salary]])</f>
        <v>184972</v>
      </c>
      <c r="K1033" t="s">
        <v>6378</v>
      </c>
      <c r="L1033" t="s">
        <v>27</v>
      </c>
      <c r="M1033" t="s">
        <v>15</v>
      </c>
      <c r="N1033" t="s">
        <v>5467</v>
      </c>
      <c r="O1033" t="s">
        <v>4437</v>
      </c>
      <c r="P1033">
        <v>138580</v>
      </c>
      <c r="Q1033">
        <v>231364</v>
      </c>
      <c r="R1033" s="2">
        <v>45328</v>
      </c>
      <c r="S1033" t="s">
        <v>69</v>
      </c>
      <c r="T1033" t="s">
        <v>101</v>
      </c>
      <c r="U1033" t="s">
        <v>6378</v>
      </c>
      <c r="V1033" t="s">
        <v>6375</v>
      </c>
      <c r="W1033" t="s">
        <v>6353</v>
      </c>
      <c r="X1033">
        <v>86</v>
      </c>
      <c r="Y1033" t="s">
        <v>101</v>
      </c>
      <c r="Z1033">
        <v>255</v>
      </c>
    </row>
    <row r="1034" spans="1:26" x14ac:dyDescent="0.3">
      <c r="A1034">
        <v>1033</v>
      </c>
      <c r="B1034" t="s">
        <v>2343</v>
      </c>
      <c r="C1034" t="s">
        <v>34</v>
      </c>
      <c r="D1034" t="s">
        <v>25</v>
      </c>
      <c r="E1034" t="s">
        <v>6349</v>
      </c>
      <c r="F1034" t="s">
        <v>6378</v>
      </c>
      <c r="G1034" t="s">
        <v>6374</v>
      </c>
      <c r="H1034" t="s">
        <v>6395</v>
      </c>
      <c r="J1034">
        <f>AVERAGE(ai_job_market[[#This Row],[min_salary]],ai_job_market[[#This Row],[max_salary]])</f>
        <v>105607.5</v>
      </c>
      <c r="K1034"/>
      <c r="L1034" t="s">
        <v>14</v>
      </c>
      <c r="M1034" t="s">
        <v>37</v>
      </c>
      <c r="N1034" t="s">
        <v>5468</v>
      </c>
      <c r="O1034" t="s">
        <v>4973</v>
      </c>
      <c r="P1034">
        <v>74176</v>
      </c>
      <c r="Q1034">
        <v>137039</v>
      </c>
      <c r="R1034" s="2">
        <v>45602</v>
      </c>
      <c r="S1034" t="s">
        <v>16</v>
      </c>
      <c r="T1034" t="s">
        <v>90</v>
      </c>
      <c r="W1034" t="s">
        <v>6349</v>
      </c>
      <c r="X1034">
        <v>96</v>
      </c>
      <c r="Y1034" t="s">
        <v>90</v>
      </c>
      <c r="Z1034">
        <v>259</v>
      </c>
    </row>
    <row r="1035" spans="1:26" x14ac:dyDescent="0.3">
      <c r="A1035">
        <v>1034</v>
      </c>
      <c r="B1035" t="s">
        <v>2345</v>
      </c>
      <c r="C1035" t="s">
        <v>11</v>
      </c>
      <c r="D1035" t="s">
        <v>54</v>
      </c>
      <c r="E1035" t="s">
        <v>6354</v>
      </c>
      <c r="F1035" t="s">
        <v>6378</v>
      </c>
      <c r="G1035" t="s">
        <v>6374</v>
      </c>
      <c r="J1035">
        <f>AVERAGE(ai_job_market[[#This Row],[min_salary]],ai_job_market[[#This Row],[max_salary]])</f>
        <v>166223.5</v>
      </c>
      <c r="K1035"/>
      <c r="L1035" t="s">
        <v>14</v>
      </c>
      <c r="M1035" t="s">
        <v>42</v>
      </c>
      <c r="N1035" t="s">
        <v>5469</v>
      </c>
      <c r="O1035" t="s">
        <v>4608</v>
      </c>
      <c r="P1035">
        <v>131736</v>
      </c>
      <c r="Q1035">
        <v>200711</v>
      </c>
      <c r="R1035" s="2">
        <v>45801</v>
      </c>
      <c r="S1035" t="s">
        <v>16</v>
      </c>
      <c r="T1035" t="s">
        <v>90</v>
      </c>
      <c r="U1035" t="s">
        <v>6388</v>
      </c>
      <c r="W1035" t="s">
        <v>6354</v>
      </c>
      <c r="X1035">
        <v>75</v>
      </c>
      <c r="Y1035" t="s">
        <v>90</v>
      </c>
      <c r="Z1035">
        <v>259</v>
      </c>
    </row>
    <row r="1036" spans="1:26" x14ac:dyDescent="0.3">
      <c r="A1036">
        <v>1035</v>
      </c>
      <c r="B1036" t="s">
        <v>2347</v>
      </c>
      <c r="C1036" t="s">
        <v>40</v>
      </c>
      <c r="D1036" t="s">
        <v>25</v>
      </c>
      <c r="E1036" t="s">
        <v>6359</v>
      </c>
      <c r="F1036" t="s">
        <v>6397</v>
      </c>
      <c r="G1036" t="s">
        <v>6382</v>
      </c>
      <c r="H1036" t="s">
        <v>6396</v>
      </c>
      <c r="I1036" t="s">
        <v>6379</v>
      </c>
      <c r="J1036">
        <f>AVERAGE(ai_job_market[[#This Row],[min_salary]],ai_job_market[[#This Row],[max_salary]])</f>
        <v>194075</v>
      </c>
      <c r="K1036" t="s">
        <v>6391</v>
      </c>
      <c r="L1036" t="s">
        <v>14</v>
      </c>
      <c r="M1036" t="s">
        <v>37</v>
      </c>
      <c r="N1036" t="s">
        <v>5470</v>
      </c>
      <c r="O1036" t="s">
        <v>4424</v>
      </c>
      <c r="P1036">
        <v>147838</v>
      </c>
      <c r="Q1036">
        <v>240312</v>
      </c>
      <c r="R1036" s="2">
        <v>45777</v>
      </c>
      <c r="S1036" t="s">
        <v>16</v>
      </c>
      <c r="T1036" t="s">
        <v>128</v>
      </c>
      <c r="U1036" t="s">
        <v>6379</v>
      </c>
      <c r="V1036" t="s">
        <v>6384</v>
      </c>
      <c r="W1036" t="s">
        <v>6359</v>
      </c>
      <c r="X1036">
        <v>104</v>
      </c>
      <c r="Y1036" t="s">
        <v>128</v>
      </c>
      <c r="Z1036">
        <v>233</v>
      </c>
    </row>
    <row r="1037" spans="1:26" x14ac:dyDescent="0.3">
      <c r="A1037">
        <v>1036</v>
      </c>
      <c r="B1037" t="s">
        <v>2350</v>
      </c>
      <c r="C1037" t="s">
        <v>49</v>
      </c>
      <c r="D1037" t="s">
        <v>30</v>
      </c>
      <c r="E1037" t="s">
        <v>77</v>
      </c>
      <c r="F1037" t="s">
        <v>6380</v>
      </c>
      <c r="G1037" t="s">
        <v>6377</v>
      </c>
      <c r="H1037" t="s">
        <v>6390</v>
      </c>
      <c r="I1037" t="s">
        <v>6389</v>
      </c>
      <c r="J1037">
        <f>AVERAGE(ai_job_market[[#This Row],[min_salary]],ai_job_market[[#This Row],[max_salary]])</f>
        <v>102971.5</v>
      </c>
      <c r="K1037" t="s">
        <v>6385</v>
      </c>
      <c r="L1037" t="s">
        <v>22</v>
      </c>
      <c r="M1037" t="s">
        <v>51</v>
      </c>
      <c r="N1037" t="s">
        <v>5471</v>
      </c>
      <c r="O1037" t="s">
        <v>4476</v>
      </c>
      <c r="P1037">
        <v>73318</v>
      </c>
      <c r="Q1037">
        <v>132625</v>
      </c>
      <c r="R1037" s="2">
        <v>45373</v>
      </c>
      <c r="S1037" t="s">
        <v>69</v>
      </c>
      <c r="T1037" t="s">
        <v>101</v>
      </c>
      <c r="W1037" t="s">
        <v>77</v>
      </c>
      <c r="X1037">
        <v>111</v>
      </c>
      <c r="Y1037" t="s">
        <v>101</v>
      </c>
      <c r="Z1037">
        <v>255</v>
      </c>
    </row>
    <row r="1038" spans="1:26" x14ac:dyDescent="0.3">
      <c r="A1038">
        <v>1037</v>
      </c>
      <c r="B1038" t="s">
        <v>2352</v>
      </c>
      <c r="C1038" t="s">
        <v>34</v>
      </c>
      <c r="D1038" t="s">
        <v>20</v>
      </c>
      <c r="E1038" t="s">
        <v>6356</v>
      </c>
      <c r="F1038" t="s">
        <v>6382</v>
      </c>
      <c r="G1038" t="s">
        <v>6379</v>
      </c>
      <c r="J1038">
        <f>AVERAGE(ai_job_market[[#This Row],[min_salary]],ai_job_market[[#This Row],[max_salary]])</f>
        <v>83978.5</v>
      </c>
      <c r="K1038"/>
      <c r="L1038" t="s">
        <v>14</v>
      </c>
      <c r="M1038" t="s">
        <v>51</v>
      </c>
      <c r="N1038" t="s">
        <v>5472</v>
      </c>
      <c r="O1038" t="s">
        <v>4442</v>
      </c>
      <c r="P1038">
        <v>47247</v>
      </c>
      <c r="Q1038">
        <v>120710</v>
      </c>
      <c r="R1038" s="2">
        <v>45883</v>
      </c>
      <c r="S1038" t="s">
        <v>14</v>
      </c>
      <c r="T1038" t="s">
        <v>70</v>
      </c>
      <c r="W1038" t="s">
        <v>6356</v>
      </c>
      <c r="X1038">
        <v>86</v>
      </c>
      <c r="Y1038" t="s">
        <v>70</v>
      </c>
      <c r="Z1038">
        <v>268</v>
      </c>
    </row>
    <row r="1039" spans="1:26" x14ac:dyDescent="0.3">
      <c r="A1039">
        <v>1038</v>
      </c>
      <c r="B1039" t="s">
        <v>2354</v>
      </c>
      <c r="C1039" t="s">
        <v>72</v>
      </c>
      <c r="D1039" t="s">
        <v>67</v>
      </c>
      <c r="E1039" t="s">
        <v>6353</v>
      </c>
      <c r="F1039" t="s">
        <v>6391</v>
      </c>
      <c r="G1039" t="s">
        <v>6395</v>
      </c>
      <c r="H1039" t="s">
        <v>6394</v>
      </c>
      <c r="I1039" t="s">
        <v>6374</v>
      </c>
      <c r="J1039">
        <f>AVERAGE(ai_job_market[[#This Row],[min_salary]],ai_job_market[[#This Row],[max_salary]])</f>
        <v>168046</v>
      </c>
      <c r="K1039"/>
      <c r="L1039" t="s">
        <v>22</v>
      </c>
      <c r="M1039" t="s">
        <v>51</v>
      </c>
      <c r="N1039" t="s">
        <v>5473</v>
      </c>
      <c r="O1039" t="s">
        <v>4307</v>
      </c>
      <c r="P1039">
        <v>147851</v>
      </c>
      <c r="Q1039">
        <v>188241</v>
      </c>
      <c r="R1039" s="2">
        <v>45880</v>
      </c>
      <c r="S1039" t="s">
        <v>69</v>
      </c>
      <c r="T1039" t="s">
        <v>157</v>
      </c>
      <c r="U1039" t="s">
        <v>6379</v>
      </c>
      <c r="W1039" t="s">
        <v>6353</v>
      </c>
      <c r="X1039">
        <v>86</v>
      </c>
      <c r="Y1039" t="s">
        <v>157</v>
      </c>
      <c r="Z1039">
        <v>247</v>
      </c>
    </row>
    <row r="1040" spans="1:26" x14ac:dyDescent="0.3">
      <c r="A1040">
        <v>1039</v>
      </c>
      <c r="B1040" t="s">
        <v>2356</v>
      </c>
      <c r="C1040" t="s">
        <v>19</v>
      </c>
      <c r="D1040" t="s">
        <v>12</v>
      </c>
      <c r="E1040" t="s">
        <v>6353</v>
      </c>
      <c r="F1040" t="s">
        <v>6394</v>
      </c>
      <c r="G1040" t="s">
        <v>6381</v>
      </c>
      <c r="H1040" t="s">
        <v>6377</v>
      </c>
      <c r="I1040" t="s">
        <v>6397</v>
      </c>
      <c r="J1040" s="6">
        <f>AVERAGE(ai_job_market[[#This Row],[min_salary]],ai_job_market[[#This Row],[max_salary]])</f>
        <v>111273</v>
      </c>
      <c r="K1040" t="s">
        <v>6378</v>
      </c>
      <c r="L1040" t="s">
        <v>22</v>
      </c>
      <c r="M1040" t="s">
        <v>15</v>
      </c>
      <c r="N1040" t="s">
        <v>5474</v>
      </c>
      <c r="O1040" t="s">
        <v>4401</v>
      </c>
      <c r="P1040" s="5">
        <v>83545</v>
      </c>
      <c r="Q1040" s="5">
        <v>139001</v>
      </c>
      <c r="R1040" s="2">
        <v>45542</v>
      </c>
      <c r="S1040" t="s">
        <v>16</v>
      </c>
      <c r="T1040" t="s">
        <v>157</v>
      </c>
      <c r="W1040" t="s">
        <v>6353</v>
      </c>
      <c r="X1040">
        <v>86</v>
      </c>
      <c r="Y1040" t="s">
        <v>157</v>
      </c>
      <c r="Z1040">
        <v>247</v>
      </c>
    </row>
    <row r="1041" spans="1:26" x14ac:dyDescent="0.3">
      <c r="A1041">
        <v>1040</v>
      </c>
      <c r="B1041" t="s">
        <v>2358</v>
      </c>
      <c r="C1041" t="s">
        <v>40</v>
      </c>
      <c r="D1041" t="s">
        <v>35</v>
      </c>
      <c r="E1041" t="s">
        <v>6352</v>
      </c>
      <c r="F1041" t="s">
        <v>6376</v>
      </c>
      <c r="G1041" t="s">
        <v>6384</v>
      </c>
      <c r="H1041" t="s">
        <v>6380</v>
      </c>
      <c r="J1041" s="6">
        <f>AVERAGE(ai_job_market[[#This Row],[min_salary]],ai_job_market[[#This Row],[max_salary]])</f>
        <v>131966.5</v>
      </c>
      <c r="K1041"/>
      <c r="L1041" t="s">
        <v>22</v>
      </c>
      <c r="M1041" t="s">
        <v>37</v>
      </c>
      <c r="N1041" t="s">
        <v>5475</v>
      </c>
      <c r="O1041" t="s">
        <v>4437</v>
      </c>
      <c r="P1041" s="5">
        <v>113683</v>
      </c>
      <c r="Q1041" s="5">
        <v>150250</v>
      </c>
      <c r="R1041" s="2">
        <v>45271</v>
      </c>
      <c r="S1041" t="s">
        <v>14</v>
      </c>
      <c r="T1041" t="s">
        <v>80</v>
      </c>
      <c r="W1041" t="s">
        <v>6352</v>
      </c>
      <c r="X1041">
        <v>97</v>
      </c>
      <c r="Y1041" t="s">
        <v>80</v>
      </c>
      <c r="Z1041">
        <v>249</v>
      </c>
    </row>
    <row r="1042" spans="1:26" x14ac:dyDescent="0.3">
      <c r="A1042">
        <v>1041</v>
      </c>
      <c r="B1042" t="s">
        <v>2360</v>
      </c>
      <c r="C1042" t="s">
        <v>19</v>
      </c>
      <c r="D1042" t="s">
        <v>135</v>
      </c>
      <c r="E1042" t="s">
        <v>6345</v>
      </c>
      <c r="F1042" t="s">
        <v>6374</v>
      </c>
      <c r="G1042" t="s">
        <v>6394</v>
      </c>
      <c r="H1042" t="s">
        <v>6386</v>
      </c>
      <c r="I1042" t="s">
        <v>6389</v>
      </c>
      <c r="J1042">
        <f>AVERAGE(ai_job_market[[#This Row],[min_salary]],ai_job_market[[#This Row],[max_salary]])</f>
        <v>124638</v>
      </c>
      <c r="K1042"/>
      <c r="L1042" t="s">
        <v>14</v>
      </c>
      <c r="M1042" t="s">
        <v>51</v>
      </c>
      <c r="N1042" t="s">
        <v>5476</v>
      </c>
      <c r="O1042" t="s">
        <v>4289</v>
      </c>
      <c r="P1042">
        <v>85570</v>
      </c>
      <c r="Q1042">
        <v>163706</v>
      </c>
      <c r="R1042" s="2">
        <v>45687</v>
      </c>
      <c r="S1042" t="s">
        <v>14</v>
      </c>
      <c r="T1042" t="s">
        <v>101</v>
      </c>
      <c r="U1042" t="s">
        <v>6378</v>
      </c>
      <c r="W1042" t="s">
        <v>6345</v>
      </c>
      <c r="X1042">
        <v>101</v>
      </c>
      <c r="Y1042" t="s">
        <v>101</v>
      </c>
      <c r="Z1042">
        <v>255</v>
      </c>
    </row>
    <row r="1043" spans="1:26" x14ac:dyDescent="0.3">
      <c r="A1043">
        <v>1042</v>
      </c>
      <c r="B1043" t="s">
        <v>2362</v>
      </c>
      <c r="C1043" t="s">
        <v>72</v>
      </c>
      <c r="D1043" t="s">
        <v>12</v>
      </c>
      <c r="E1043" t="s">
        <v>80</v>
      </c>
      <c r="F1043" t="s">
        <v>6381</v>
      </c>
      <c r="G1043" t="s">
        <v>6376</v>
      </c>
      <c r="J1043" s="6">
        <f>AVERAGE(ai_job_market[[#This Row],[min_salary]],ai_job_market[[#This Row],[max_salary]])</f>
        <v>78404.5</v>
      </c>
      <c r="K1043"/>
      <c r="L1043" t="s">
        <v>14</v>
      </c>
      <c r="M1043" t="s">
        <v>15</v>
      </c>
      <c r="N1043" t="s">
        <v>4679</v>
      </c>
      <c r="O1043" t="s">
        <v>4722</v>
      </c>
      <c r="P1043" s="5">
        <v>47968</v>
      </c>
      <c r="Q1043" s="5">
        <v>108841</v>
      </c>
      <c r="R1043" s="2">
        <v>45476</v>
      </c>
      <c r="S1043" t="s">
        <v>69</v>
      </c>
      <c r="T1043" t="s">
        <v>90</v>
      </c>
      <c r="U1043" t="s">
        <v>6379</v>
      </c>
      <c r="V1043" t="s">
        <v>6375</v>
      </c>
      <c r="W1043" t="s">
        <v>80</v>
      </c>
      <c r="X1043">
        <v>95</v>
      </c>
      <c r="Y1043" t="s">
        <v>90</v>
      </c>
      <c r="Z1043">
        <v>259</v>
      </c>
    </row>
    <row r="1044" spans="1:26" x14ac:dyDescent="0.3">
      <c r="A1044">
        <v>1043</v>
      </c>
      <c r="B1044" t="s">
        <v>2364</v>
      </c>
      <c r="C1044" t="s">
        <v>11</v>
      </c>
      <c r="D1044" t="s">
        <v>12</v>
      </c>
      <c r="E1044" t="s">
        <v>6359</v>
      </c>
      <c r="F1044" t="s">
        <v>6384</v>
      </c>
      <c r="G1044" t="s">
        <v>6375</v>
      </c>
      <c r="H1044" t="s">
        <v>6396</v>
      </c>
      <c r="I1044" t="s">
        <v>6378</v>
      </c>
      <c r="J1044">
        <f>AVERAGE(ai_job_market[[#This Row],[min_salary]],ai_job_market[[#This Row],[max_salary]])</f>
        <v>146787.5</v>
      </c>
      <c r="K1044"/>
      <c r="L1044" t="s">
        <v>27</v>
      </c>
      <c r="M1044" t="s">
        <v>51</v>
      </c>
      <c r="N1044" t="s">
        <v>5477</v>
      </c>
      <c r="O1044" t="s">
        <v>4454</v>
      </c>
      <c r="P1044">
        <v>110576</v>
      </c>
      <c r="Q1044">
        <v>182999</v>
      </c>
      <c r="R1044" s="2">
        <v>45369</v>
      </c>
      <c r="S1044" t="s">
        <v>16</v>
      </c>
      <c r="T1044" t="s">
        <v>77</v>
      </c>
      <c r="U1044" t="s">
        <v>6375</v>
      </c>
      <c r="V1044" t="s">
        <v>6383</v>
      </c>
      <c r="W1044" t="s">
        <v>6359</v>
      </c>
      <c r="X1044">
        <v>104</v>
      </c>
      <c r="Y1044" t="s">
        <v>77</v>
      </c>
      <c r="Z1044">
        <v>251</v>
      </c>
    </row>
    <row r="1045" spans="1:26" x14ac:dyDescent="0.3">
      <c r="A1045">
        <v>1044</v>
      </c>
      <c r="B1045" t="s">
        <v>2366</v>
      </c>
      <c r="C1045" t="s">
        <v>19</v>
      </c>
      <c r="D1045" t="s">
        <v>135</v>
      </c>
      <c r="E1045" t="s">
        <v>6352</v>
      </c>
      <c r="F1045" t="s">
        <v>6397</v>
      </c>
      <c r="G1045" t="s">
        <v>6389</v>
      </c>
      <c r="H1045" t="s">
        <v>6376</v>
      </c>
      <c r="I1045" t="s">
        <v>6390</v>
      </c>
      <c r="J1045" s="6">
        <f>AVERAGE(ai_job_market[[#This Row],[min_salary]],ai_job_market[[#This Row],[max_salary]])</f>
        <v>120750</v>
      </c>
      <c r="K1045" t="s">
        <v>6395</v>
      </c>
      <c r="L1045" t="s">
        <v>27</v>
      </c>
      <c r="M1045" t="s">
        <v>37</v>
      </c>
      <c r="N1045" t="s">
        <v>5478</v>
      </c>
      <c r="O1045" t="s">
        <v>4331</v>
      </c>
      <c r="P1045" s="5">
        <v>80195</v>
      </c>
      <c r="Q1045" s="5">
        <v>161305</v>
      </c>
      <c r="R1045" s="2">
        <v>45870</v>
      </c>
      <c r="S1045" t="s">
        <v>69</v>
      </c>
      <c r="T1045" t="s">
        <v>80</v>
      </c>
      <c r="W1045" t="s">
        <v>6352</v>
      </c>
      <c r="X1045">
        <v>97</v>
      </c>
      <c r="Y1045" t="s">
        <v>80</v>
      </c>
      <c r="Z1045">
        <v>249</v>
      </c>
    </row>
    <row r="1046" spans="1:26" x14ac:dyDescent="0.3">
      <c r="A1046">
        <v>1045</v>
      </c>
      <c r="B1046" t="s">
        <v>2368</v>
      </c>
      <c r="C1046" t="s">
        <v>40</v>
      </c>
      <c r="D1046" t="s">
        <v>30</v>
      </c>
      <c r="E1046" t="s">
        <v>6346</v>
      </c>
      <c r="F1046" t="s">
        <v>6381</v>
      </c>
      <c r="G1046" t="s">
        <v>6379</v>
      </c>
      <c r="H1046" t="s">
        <v>6387</v>
      </c>
      <c r="J1046">
        <f>AVERAGE(ai_job_market[[#This Row],[min_salary]],ai_job_market[[#This Row],[max_salary]])</f>
        <v>173988</v>
      </c>
      <c r="K1046"/>
      <c r="L1046" t="s">
        <v>14</v>
      </c>
      <c r="M1046" t="s">
        <v>42</v>
      </c>
      <c r="N1046" t="s">
        <v>4959</v>
      </c>
      <c r="O1046" t="s">
        <v>4648</v>
      </c>
      <c r="P1046">
        <v>131293</v>
      </c>
      <c r="Q1046">
        <v>216683</v>
      </c>
      <c r="R1046" s="2">
        <v>45584</v>
      </c>
      <c r="S1046" t="s">
        <v>69</v>
      </c>
      <c r="T1046" t="s">
        <v>77</v>
      </c>
      <c r="U1046" t="s">
        <v>6388</v>
      </c>
      <c r="W1046" t="s">
        <v>6346</v>
      </c>
      <c r="X1046">
        <v>78</v>
      </c>
      <c r="Y1046" t="s">
        <v>77</v>
      </c>
      <c r="Z1046">
        <v>251</v>
      </c>
    </row>
    <row r="1047" spans="1:26" x14ac:dyDescent="0.3">
      <c r="A1047">
        <v>1046</v>
      </c>
      <c r="B1047" t="s">
        <v>392</v>
      </c>
      <c r="C1047" t="s">
        <v>34</v>
      </c>
      <c r="D1047" t="s">
        <v>135</v>
      </c>
      <c r="E1047" t="s">
        <v>6357</v>
      </c>
      <c r="F1047" t="s">
        <v>6396</v>
      </c>
      <c r="G1047" t="s">
        <v>6386</v>
      </c>
      <c r="H1047" t="s">
        <v>6389</v>
      </c>
      <c r="I1047" t="s">
        <v>6384</v>
      </c>
      <c r="J1047">
        <f>AVERAGE(ai_job_market[[#This Row],[min_salary]],ai_job_market[[#This Row],[max_salary]])</f>
        <v>145954.5</v>
      </c>
      <c r="K1047" t="s">
        <v>6378</v>
      </c>
      <c r="L1047" t="s">
        <v>14</v>
      </c>
      <c r="M1047" t="s">
        <v>42</v>
      </c>
      <c r="N1047" t="s">
        <v>5479</v>
      </c>
      <c r="O1047" t="s">
        <v>4783</v>
      </c>
      <c r="P1047">
        <v>113368</v>
      </c>
      <c r="Q1047">
        <v>178541</v>
      </c>
      <c r="R1047" s="2">
        <v>45320</v>
      </c>
      <c r="S1047" t="s">
        <v>69</v>
      </c>
      <c r="T1047" t="s">
        <v>52</v>
      </c>
      <c r="W1047" t="s">
        <v>6357</v>
      </c>
      <c r="X1047">
        <v>88</v>
      </c>
      <c r="Y1047" t="s">
        <v>52</v>
      </c>
      <c r="Z1047">
        <v>238</v>
      </c>
    </row>
    <row r="1048" spans="1:26" x14ac:dyDescent="0.3">
      <c r="A1048">
        <v>1047</v>
      </c>
      <c r="B1048" t="s">
        <v>2371</v>
      </c>
      <c r="C1048" t="s">
        <v>19</v>
      </c>
      <c r="D1048" t="s">
        <v>12</v>
      </c>
      <c r="E1048" t="s">
        <v>90</v>
      </c>
      <c r="F1048" t="s">
        <v>6374</v>
      </c>
      <c r="G1048" t="s">
        <v>6391</v>
      </c>
      <c r="H1048" t="s">
        <v>6385</v>
      </c>
      <c r="I1048" t="s">
        <v>6382</v>
      </c>
      <c r="J1048">
        <f>AVERAGE(ai_job_market[[#This Row],[min_salary]],ai_job_market[[#This Row],[max_salary]])</f>
        <v>92775</v>
      </c>
      <c r="K1048" t="s">
        <v>6394</v>
      </c>
      <c r="L1048" t="s">
        <v>14</v>
      </c>
      <c r="M1048" t="s">
        <v>37</v>
      </c>
      <c r="N1048" t="s">
        <v>5480</v>
      </c>
      <c r="O1048" t="s">
        <v>4301</v>
      </c>
      <c r="P1048">
        <v>86846</v>
      </c>
      <c r="Q1048">
        <v>98704</v>
      </c>
      <c r="R1048" s="2">
        <v>45691</v>
      </c>
      <c r="S1048" t="s">
        <v>69</v>
      </c>
      <c r="T1048" t="s">
        <v>52</v>
      </c>
      <c r="U1048" t="s">
        <v>6389</v>
      </c>
      <c r="V1048" t="s">
        <v>6383</v>
      </c>
      <c r="W1048" t="s">
        <v>90</v>
      </c>
      <c r="X1048">
        <v>80</v>
      </c>
      <c r="Y1048" t="s">
        <v>52</v>
      </c>
      <c r="Z1048">
        <v>238</v>
      </c>
    </row>
    <row r="1049" spans="1:26" x14ac:dyDescent="0.3">
      <c r="A1049">
        <v>1048</v>
      </c>
      <c r="B1049" t="s">
        <v>2373</v>
      </c>
      <c r="C1049" t="s">
        <v>19</v>
      </c>
      <c r="D1049" t="s">
        <v>67</v>
      </c>
      <c r="E1049" t="s">
        <v>6345</v>
      </c>
      <c r="F1049" t="s">
        <v>6385</v>
      </c>
      <c r="G1049" t="s">
        <v>6377</v>
      </c>
      <c r="H1049" t="s">
        <v>6381</v>
      </c>
      <c r="I1049" t="s">
        <v>6375</v>
      </c>
      <c r="J1049">
        <f>AVERAGE(ai_job_market[[#This Row],[min_salary]],ai_job_market[[#This Row],[max_salary]])</f>
        <v>133077</v>
      </c>
      <c r="K1049"/>
      <c r="L1049" t="s">
        <v>14</v>
      </c>
      <c r="M1049" t="s">
        <v>51</v>
      </c>
      <c r="N1049" t="s">
        <v>5481</v>
      </c>
      <c r="O1049" t="s">
        <v>4433</v>
      </c>
      <c r="P1049">
        <v>125414</v>
      </c>
      <c r="Q1049">
        <v>140740</v>
      </c>
      <c r="R1049" s="2">
        <v>45505</v>
      </c>
      <c r="S1049" t="s">
        <v>14</v>
      </c>
      <c r="T1049" t="s">
        <v>52</v>
      </c>
      <c r="U1049" t="s">
        <v>6375</v>
      </c>
      <c r="W1049" t="s">
        <v>6345</v>
      </c>
      <c r="X1049">
        <v>101</v>
      </c>
      <c r="Y1049" t="s">
        <v>52</v>
      </c>
      <c r="Z1049">
        <v>238</v>
      </c>
    </row>
    <row r="1050" spans="1:26" x14ac:dyDescent="0.3">
      <c r="A1050">
        <v>1049</v>
      </c>
      <c r="B1050" t="s">
        <v>2375</v>
      </c>
      <c r="C1050" t="s">
        <v>45</v>
      </c>
      <c r="D1050" t="s">
        <v>35</v>
      </c>
      <c r="E1050" t="s">
        <v>6354</v>
      </c>
      <c r="F1050" t="s">
        <v>6384</v>
      </c>
      <c r="G1050" t="s">
        <v>6397</v>
      </c>
      <c r="H1050" t="s">
        <v>6391</v>
      </c>
      <c r="I1050" t="s">
        <v>6376</v>
      </c>
      <c r="J1050">
        <f>AVERAGE(ai_job_market[[#This Row],[min_salary]],ai_job_market[[#This Row],[max_salary]])</f>
        <v>135501.5</v>
      </c>
      <c r="K1050"/>
      <c r="L1050" t="s">
        <v>27</v>
      </c>
      <c r="M1050" t="s">
        <v>51</v>
      </c>
      <c r="N1050" t="s">
        <v>5482</v>
      </c>
      <c r="O1050" t="s">
        <v>4482</v>
      </c>
      <c r="P1050">
        <v>127708</v>
      </c>
      <c r="Q1050">
        <v>143295</v>
      </c>
      <c r="R1050" s="2">
        <v>45601</v>
      </c>
      <c r="S1050" t="s">
        <v>69</v>
      </c>
      <c r="T1050" t="s">
        <v>77</v>
      </c>
      <c r="W1050" t="s">
        <v>6354</v>
      </c>
      <c r="X1050">
        <v>75</v>
      </c>
      <c r="Y1050" t="s">
        <v>77</v>
      </c>
      <c r="Z1050">
        <v>251</v>
      </c>
    </row>
    <row r="1051" spans="1:26" x14ac:dyDescent="0.3">
      <c r="A1051">
        <v>1050</v>
      </c>
      <c r="B1051" t="s">
        <v>2377</v>
      </c>
      <c r="C1051" t="s">
        <v>34</v>
      </c>
      <c r="D1051" t="s">
        <v>67</v>
      </c>
      <c r="E1051" t="s">
        <v>70</v>
      </c>
      <c r="F1051" t="s">
        <v>6377</v>
      </c>
      <c r="G1051" t="s">
        <v>6387</v>
      </c>
      <c r="H1051" t="s">
        <v>6381</v>
      </c>
      <c r="J1051">
        <f>AVERAGE(ai_job_market[[#This Row],[min_salary]],ai_job_market[[#This Row],[max_salary]])</f>
        <v>172356</v>
      </c>
      <c r="K1051"/>
      <c r="L1051" t="s">
        <v>22</v>
      </c>
      <c r="M1051" t="s">
        <v>42</v>
      </c>
      <c r="N1051" t="s">
        <v>5483</v>
      </c>
      <c r="O1051" t="s">
        <v>4518</v>
      </c>
      <c r="P1051">
        <v>136117</v>
      </c>
      <c r="Q1051">
        <v>208595</v>
      </c>
      <c r="R1051" s="2">
        <v>45220</v>
      </c>
      <c r="S1051" t="s">
        <v>14</v>
      </c>
      <c r="T1051" t="s">
        <v>80</v>
      </c>
      <c r="U1051" t="s">
        <v>6376</v>
      </c>
      <c r="V1051" t="s">
        <v>6383</v>
      </c>
      <c r="W1051" t="s">
        <v>70</v>
      </c>
      <c r="X1051">
        <v>100</v>
      </c>
      <c r="Y1051" t="s">
        <v>80</v>
      </c>
      <c r="Z1051">
        <v>249</v>
      </c>
    </row>
    <row r="1052" spans="1:26" x14ac:dyDescent="0.3">
      <c r="A1052">
        <v>1051</v>
      </c>
      <c r="B1052" t="s">
        <v>2380</v>
      </c>
      <c r="C1052" t="s">
        <v>45</v>
      </c>
      <c r="D1052" t="s">
        <v>35</v>
      </c>
      <c r="E1052" t="s">
        <v>101</v>
      </c>
      <c r="F1052" t="s">
        <v>6395</v>
      </c>
      <c r="G1052" t="s">
        <v>6387</v>
      </c>
      <c r="H1052" t="s">
        <v>6374</v>
      </c>
      <c r="I1052" t="s">
        <v>6396</v>
      </c>
      <c r="J1052">
        <f>AVERAGE(ai_job_market[[#This Row],[min_salary]],ai_job_market[[#This Row],[max_salary]])</f>
        <v>89387.5</v>
      </c>
      <c r="K1052" t="s">
        <v>6391</v>
      </c>
      <c r="L1052" t="s">
        <v>22</v>
      </c>
      <c r="M1052" t="s">
        <v>15</v>
      </c>
      <c r="N1052" t="s">
        <v>5484</v>
      </c>
      <c r="O1052" t="s">
        <v>4556</v>
      </c>
      <c r="P1052">
        <v>74834</v>
      </c>
      <c r="Q1052">
        <v>103941</v>
      </c>
      <c r="R1052" s="2">
        <v>45447</v>
      </c>
      <c r="S1052" t="s">
        <v>14</v>
      </c>
      <c r="T1052" t="s">
        <v>157</v>
      </c>
      <c r="W1052" t="s">
        <v>101</v>
      </c>
      <c r="X1052">
        <v>76</v>
      </c>
      <c r="Y1052" t="s">
        <v>157</v>
      </c>
      <c r="Z1052">
        <v>247</v>
      </c>
    </row>
    <row r="1053" spans="1:26" x14ac:dyDescent="0.3">
      <c r="A1053">
        <v>1052</v>
      </c>
      <c r="B1053" t="s">
        <v>2382</v>
      </c>
      <c r="C1053" t="s">
        <v>45</v>
      </c>
      <c r="D1053" t="s">
        <v>20</v>
      </c>
      <c r="E1053" t="s">
        <v>6344</v>
      </c>
      <c r="F1053" t="s">
        <v>6396</v>
      </c>
      <c r="G1053" t="s">
        <v>6379</v>
      </c>
      <c r="H1053" t="s">
        <v>6390</v>
      </c>
      <c r="J1053">
        <f>AVERAGE(ai_job_market[[#This Row],[min_salary]],ai_job_market[[#This Row],[max_salary]])</f>
        <v>143740.5</v>
      </c>
      <c r="K1053"/>
      <c r="L1053" t="s">
        <v>14</v>
      </c>
      <c r="M1053" t="s">
        <v>51</v>
      </c>
      <c r="N1053" t="s">
        <v>5485</v>
      </c>
      <c r="O1053" t="s">
        <v>4420</v>
      </c>
      <c r="P1053">
        <v>123956</v>
      </c>
      <c r="Q1053">
        <v>163525</v>
      </c>
      <c r="R1053" s="2">
        <v>45365</v>
      </c>
      <c r="S1053" t="s">
        <v>16</v>
      </c>
      <c r="T1053" t="s">
        <v>70</v>
      </c>
      <c r="U1053" t="s">
        <v>6378</v>
      </c>
      <c r="W1053" t="s">
        <v>6344</v>
      </c>
      <c r="X1053">
        <v>104</v>
      </c>
      <c r="Y1053" t="s">
        <v>70</v>
      </c>
      <c r="Z1053">
        <v>268</v>
      </c>
    </row>
    <row r="1054" spans="1:26" x14ac:dyDescent="0.3">
      <c r="A1054">
        <v>1053</v>
      </c>
      <c r="B1054" t="s">
        <v>2384</v>
      </c>
      <c r="C1054" t="s">
        <v>34</v>
      </c>
      <c r="D1054" t="s">
        <v>67</v>
      </c>
      <c r="E1054" t="s">
        <v>6357</v>
      </c>
      <c r="F1054" t="s">
        <v>6374</v>
      </c>
      <c r="G1054" t="s">
        <v>6397</v>
      </c>
      <c r="J1054">
        <f>AVERAGE(ai_job_market[[#This Row],[min_salary]],ai_job_market[[#This Row],[max_salary]])</f>
        <v>178767</v>
      </c>
      <c r="K1054"/>
      <c r="L1054" t="s">
        <v>14</v>
      </c>
      <c r="M1054" t="s">
        <v>51</v>
      </c>
      <c r="N1054" t="s">
        <v>5486</v>
      </c>
      <c r="O1054" t="s">
        <v>4648</v>
      </c>
      <c r="P1054">
        <v>138221</v>
      </c>
      <c r="Q1054">
        <v>219313</v>
      </c>
      <c r="R1054" s="2">
        <v>45603</v>
      </c>
      <c r="S1054" t="s">
        <v>16</v>
      </c>
      <c r="T1054" t="s">
        <v>77</v>
      </c>
      <c r="U1054" t="s">
        <v>6384</v>
      </c>
      <c r="W1054" t="s">
        <v>6357</v>
      </c>
      <c r="X1054">
        <v>88</v>
      </c>
      <c r="Y1054" t="s">
        <v>77</v>
      </c>
      <c r="Z1054">
        <v>251</v>
      </c>
    </row>
    <row r="1055" spans="1:26" x14ac:dyDescent="0.3">
      <c r="A1055">
        <v>1054</v>
      </c>
      <c r="B1055" t="s">
        <v>2386</v>
      </c>
      <c r="C1055" t="s">
        <v>40</v>
      </c>
      <c r="D1055" t="s">
        <v>35</v>
      </c>
      <c r="E1055" t="s">
        <v>6356</v>
      </c>
      <c r="F1055" t="s">
        <v>6394</v>
      </c>
      <c r="G1055" t="s">
        <v>6385</v>
      </c>
      <c r="J1055">
        <f>AVERAGE(ai_job_market[[#This Row],[min_salary]],ai_job_market[[#This Row],[max_salary]])</f>
        <v>65873</v>
      </c>
      <c r="K1055"/>
      <c r="L1055" t="s">
        <v>22</v>
      </c>
      <c r="M1055" t="s">
        <v>42</v>
      </c>
      <c r="N1055" t="s">
        <v>5487</v>
      </c>
      <c r="O1055" t="s">
        <v>4363</v>
      </c>
      <c r="P1055">
        <v>46907</v>
      </c>
      <c r="Q1055">
        <v>84839</v>
      </c>
      <c r="R1055" s="2">
        <v>45878</v>
      </c>
      <c r="S1055" t="s">
        <v>16</v>
      </c>
      <c r="T1055" t="s">
        <v>77</v>
      </c>
      <c r="U1055" t="s">
        <v>6384</v>
      </c>
      <c r="W1055" t="s">
        <v>6356</v>
      </c>
      <c r="X1055">
        <v>86</v>
      </c>
      <c r="Y1055" t="s">
        <v>77</v>
      </c>
      <c r="Z1055">
        <v>251</v>
      </c>
    </row>
    <row r="1056" spans="1:26" x14ac:dyDescent="0.3">
      <c r="A1056">
        <v>1055</v>
      </c>
      <c r="B1056" t="s">
        <v>2388</v>
      </c>
      <c r="C1056" t="s">
        <v>45</v>
      </c>
      <c r="D1056" t="s">
        <v>35</v>
      </c>
      <c r="E1056" t="s">
        <v>6348</v>
      </c>
      <c r="F1056" t="s">
        <v>6381</v>
      </c>
      <c r="G1056" t="s">
        <v>6380</v>
      </c>
      <c r="H1056" t="s">
        <v>6395</v>
      </c>
      <c r="I1056" t="s">
        <v>6386</v>
      </c>
      <c r="J1056">
        <f>AVERAGE(ai_job_market[[#This Row],[min_salary]],ai_job_market[[#This Row],[max_salary]])</f>
        <v>181452</v>
      </c>
      <c r="K1056"/>
      <c r="L1056" t="s">
        <v>22</v>
      </c>
      <c r="M1056" t="s">
        <v>15</v>
      </c>
      <c r="N1056" t="s">
        <v>5488</v>
      </c>
      <c r="O1056" t="s">
        <v>4318</v>
      </c>
      <c r="P1056">
        <v>136391</v>
      </c>
      <c r="Q1056">
        <v>226513</v>
      </c>
      <c r="R1056" s="2">
        <v>45476</v>
      </c>
      <c r="S1056" t="s">
        <v>69</v>
      </c>
      <c r="T1056" t="s">
        <v>128</v>
      </c>
      <c r="U1056" t="s">
        <v>6388</v>
      </c>
      <c r="V1056" t="s">
        <v>6384</v>
      </c>
      <c r="W1056" t="s">
        <v>6348</v>
      </c>
      <c r="X1056">
        <v>78</v>
      </c>
      <c r="Y1056" t="s">
        <v>128</v>
      </c>
      <c r="Z1056">
        <v>233</v>
      </c>
    </row>
    <row r="1057" spans="1:26" x14ac:dyDescent="0.3">
      <c r="A1057">
        <v>1056</v>
      </c>
      <c r="B1057" t="s">
        <v>2390</v>
      </c>
      <c r="C1057" t="s">
        <v>45</v>
      </c>
      <c r="D1057" t="s">
        <v>12</v>
      </c>
      <c r="E1057" t="s">
        <v>6354</v>
      </c>
      <c r="F1057" t="s">
        <v>6381</v>
      </c>
      <c r="G1057" t="s">
        <v>6395</v>
      </c>
      <c r="H1057" t="s">
        <v>6377</v>
      </c>
      <c r="I1057" t="s">
        <v>6378</v>
      </c>
      <c r="J1057">
        <f>AVERAGE(ai_job_market[[#This Row],[min_salary]],ai_job_market[[#This Row],[max_salary]])</f>
        <v>123660.5</v>
      </c>
      <c r="K1057" t="s">
        <v>6375</v>
      </c>
      <c r="L1057" t="s">
        <v>14</v>
      </c>
      <c r="M1057" t="s">
        <v>37</v>
      </c>
      <c r="N1057" t="s">
        <v>5489</v>
      </c>
      <c r="O1057" t="s">
        <v>4601</v>
      </c>
      <c r="P1057">
        <v>113830</v>
      </c>
      <c r="Q1057">
        <v>133491</v>
      </c>
      <c r="R1057" s="2">
        <v>45847</v>
      </c>
      <c r="S1057" t="s">
        <v>14</v>
      </c>
      <c r="T1057" t="s">
        <v>52</v>
      </c>
      <c r="U1057" t="s">
        <v>6383</v>
      </c>
      <c r="W1057" t="s">
        <v>6354</v>
      </c>
      <c r="X1057">
        <v>75</v>
      </c>
      <c r="Y1057" t="s">
        <v>52</v>
      </c>
      <c r="Z1057">
        <v>238</v>
      </c>
    </row>
    <row r="1058" spans="1:26" x14ac:dyDescent="0.3">
      <c r="A1058">
        <v>1057</v>
      </c>
      <c r="B1058" t="s">
        <v>2392</v>
      </c>
      <c r="C1058" t="s">
        <v>40</v>
      </c>
      <c r="D1058" t="s">
        <v>12</v>
      </c>
      <c r="E1058" t="s">
        <v>6345</v>
      </c>
      <c r="F1058" t="s">
        <v>6377</v>
      </c>
      <c r="G1058" t="s">
        <v>6376</v>
      </c>
      <c r="H1058" t="s">
        <v>6375</v>
      </c>
      <c r="J1058">
        <f>AVERAGE(ai_job_market[[#This Row],[min_salary]],ai_job_market[[#This Row],[max_salary]])</f>
        <v>59203</v>
      </c>
      <c r="K1058"/>
      <c r="L1058" t="s">
        <v>22</v>
      </c>
      <c r="M1058" t="s">
        <v>15</v>
      </c>
      <c r="N1058" t="s">
        <v>5490</v>
      </c>
      <c r="O1058" t="s">
        <v>4528</v>
      </c>
      <c r="P1058">
        <v>45973</v>
      </c>
      <c r="Q1058">
        <v>72433</v>
      </c>
      <c r="R1058" s="2">
        <v>45454</v>
      </c>
      <c r="S1058" t="s">
        <v>14</v>
      </c>
      <c r="T1058" t="s">
        <v>157</v>
      </c>
      <c r="W1058" t="s">
        <v>6345</v>
      </c>
      <c r="X1058">
        <v>101</v>
      </c>
      <c r="Y1058" t="s">
        <v>157</v>
      </c>
      <c r="Z1058">
        <v>247</v>
      </c>
    </row>
    <row r="1059" spans="1:26" x14ac:dyDescent="0.3">
      <c r="A1059">
        <v>1058</v>
      </c>
      <c r="B1059" t="s">
        <v>2394</v>
      </c>
      <c r="C1059" t="s">
        <v>45</v>
      </c>
      <c r="D1059" t="s">
        <v>12</v>
      </c>
      <c r="E1059" t="s">
        <v>6350</v>
      </c>
      <c r="F1059" t="s">
        <v>6394</v>
      </c>
      <c r="G1059" t="s">
        <v>6396</v>
      </c>
      <c r="H1059" t="s">
        <v>6390</v>
      </c>
      <c r="I1059" t="s">
        <v>6384</v>
      </c>
      <c r="J1059">
        <f>AVERAGE(ai_job_market[[#This Row],[min_salary]],ai_job_market[[#This Row],[max_salary]])</f>
        <v>117509.5</v>
      </c>
      <c r="K1059"/>
      <c r="L1059" t="s">
        <v>27</v>
      </c>
      <c r="M1059" t="s">
        <v>51</v>
      </c>
      <c r="N1059" t="s">
        <v>5491</v>
      </c>
      <c r="O1059" t="s">
        <v>4640</v>
      </c>
      <c r="P1059">
        <v>85501</v>
      </c>
      <c r="Q1059">
        <v>149518</v>
      </c>
      <c r="R1059" s="2">
        <v>45412</v>
      </c>
      <c r="S1059" t="s">
        <v>16</v>
      </c>
      <c r="T1059" t="s">
        <v>77</v>
      </c>
      <c r="U1059" t="s">
        <v>6376</v>
      </c>
      <c r="W1059" t="s">
        <v>6350</v>
      </c>
      <c r="X1059">
        <v>84</v>
      </c>
      <c r="Y1059" t="s">
        <v>77</v>
      </c>
      <c r="Z1059">
        <v>251</v>
      </c>
    </row>
    <row r="1060" spans="1:26" x14ac:dyDescent="0.3">
      <c r="A1060">
        <v>1059</v>
      </c>
      <c r="B1060" t="s">
        <v>2396</v>
      </c>
      <c r="C1060" t="s">
        <v>72</v>
      </c>
      <c r="D1060" t="s">
        <v>20</v>
      </c>
      <c r="E1060" t="s">
        <v>6350</v>
      </c>
      <c r="F1060" t="s">
        <v>6381</v>
      </c>
      <c r="G1060" t="s">
        <v>6392</v>
      </c>
      <c r="H1060" t="s">
        <v>6375</v>
      </c>
      <c r="I1060" t="s">
        <v>6389</v>
      </c>
      <c r="J1060">
        <f>AVERAGE(ai_job_market[[#This Row],[min_salary]],ai_job_market[[#This Row],[max_salary]])</f>
        <v>153591.5</v>
      </c>
      <c r="K1060" t="s">
        <v>6378</v>
      </c>
      <c r="L1060" t="s">
        <v>27</v>
      </c>
      <c r="M1060" t="s">
        <v>37</v>
      </c>
      <c r="N1060" t="s">
        <v>5492</v>
      </c>
      <c r="O1060" t="s">
        <v>4648</v>
      </c>
      <c r="P1060">
        <v>137862</v>
      </c>
      <c r="Q1060">
        <v>169321</v>
      </c>
      <c r="R1060" s="2">
        <v>45894</v>
      </c>
      <c r="S1060" t="s">
        <v>14</v>
      </c>
      <c r="T1060" t="s">
        <v>157</v>
      </c>
      <c r="U1060" t="s">
        <v>6384</v>
      </c>
      <c r="W1060" t="s">
        <v>6350</v>
      </c>
      <c r="X1060">
        <v>84</v>
      </c>
      <c r="Y1060" t="s">
        <v>157</v>
      </c>
      <c r="Z1060">
        <v>247</v>
      </c>
    </row>
    <row r="1061" spans="1:26" x14ac:dyDescent="0.3">
      <c r="A1061">
        <v>1060</v>
      </c>
      <c r="B1061" t="s">
        <v>719</v>
      </c>
      <c r="C1061" t="s">
        <v>19</v>
      </c>
      <c r="D1061" t="s">
        <v>30</v>
      </c>
      <c r="E1061" t="s">
        <v>6358</v>
      </c>
      <c r="F1061" t="s">
        <v>6381</v>
      </c>
      <c r="G1061" t="s">
        <v>6374</v>
      </c>
      <c r="H1061" t="s">
        <v>6384</v>
      </c>
      <c r="J1061">
        <f>AVERAGE(ai_job_market[[#This Row],[min_salary]],ai_job_market[[#This Row],[max_salary]])</f>
        <v>122711</v>
      </c>
      <c r="K1061"/>
      <c r="L1061" t="s">
        <v>14</v>
      </c>
      <c r="M1061" t="s">
        <v>51</v>
      </c>
      <c r="N1061" t="s">
        <v>5493</v>
      </c>
      <c r="O1061" t="s">
        <v>4562</v>
      </c>
      <c r="P1061">
        <v>104563</v>
      </c>
      <c r="Q1061">
        <v>140859</v>
      </c>
      <c r="R1061" s="2">
        <v>45720</v>
      </c>
      <c r="S1061" t="s">
        <v>69</v>
      </c>
      <c r="T1061" t="s">
        <v>70</v>
      </c>
      <c r="U1061" t="s">
        <v>6389</v>
      </c>
      <c r="V1061" t="s">
        <v>6378</v>
      </c>
      <c r="W1061" t="s">
        <v>6358</v>
      </c>
      <c r="X1061">
        <v>96</v>
      </c>
      <c r="Y1061" t="s">
        <v>70</v>
      </c>
      <c r="Z1061">
        <v>268</v>
      </c>
    </row>
    <row r="1062" spans="1:26" x14ac:dyDescent="0.3">
      <c r="A1062">
        <v>1061</v>
      </c>
      <c r="B1062" t="s">
        <v>2399</v>
      </c>
      <c r="C1062" t="s">
        <v>19</v>
      </c>
      <c r="D1062" t="s">
        <v>35</v>
      </c>
      <c r="E1062" t="s">
        <v>80</v>
      </c>
      <c r="F1062" t="s">
        <v>6382</v>
      </c>
      <c r="G1062" t="s">
        <v>6392</v>
      </c>
      <c r="H1062" t="s">
        <v>6374</v>
      </c>
      <c r="I1062" t="s">
        <v>6391</v>
      </c>
      <c r="J1062">
        <f>AVERAGE(ai_job_market[[#This Row],[min_salary]],ai_job_market[[#This Row],[max_salary]])</f>
        <v>136902</v>
      </c>
      <c r="K1062"/>
      <c r="L1062" t="s">
        <v>14</v>
      </c>
      <c r="M1062" t="s">
        <v>15</v>
      </c>
      <c r="N1062" t="s">
        <v>5494</v>
      </c>
      <c r="O1062" t="s">
        <v>4540</v>
      </c>
      <c r="P1062">
        <v>119393</v>
      </c>
      <c r="Q1062">
        <v>154411</v>
      </c>
      <c r="R1062" s="2">
        <v>45277</v>
      </c>
      <c r="S1062" t="s">
        <v>14</v>
      </c>
      <c r="T1062" t="s">
        <v>90</v>
      </c>
      <c r="U1062" t="s">
        <v>6384</v>
      </c>
      <c r="W1062" t="s">
        <v>80</v>
      </c>
      <c r="X1062">
        <v>95</v>
      </c>
      <c r="Y1062" t="s">
        <v>90</v>
      </c>
      <c r="Z1062">
        <v>259</v>
      </c>
    </row>
    <row r="1063" spans="1:26" x14ac:dyDescent="0.3">
      <c r="A1063">
        <v>1062</v>
      </c>
      <c r="B1063" t="s">
        <v>2401</v>
      </c>
      <c r="C1063" t="s">
        <v>11</v>
      </c>
      <c r="D1063" t="s">
        <v>35</v>
      </c>
      <c r="E1063" t="s">
        <v>6347</v>
      </c>
      <c r="F1063" t="s">
        <v>6394</v>
      </c>
      <c r="G1063" t="s">
        <v>6379</v>
      </c>
      <c r="H1063" t="s">
        <v>6396</v>
      </c>
      <c r="J1063">
        <f>AVERAGE(ai_job_market[[#This Row],[min_salary]],ai_job_market[[#This Row],[max_salary]])</f>
        <v>58967.5</v>
      </c>
      <c r="K1063"/>
      <c r="L1063" t="s">
        <v>22</v>
      </c>
      <c r="M1063" t="s">
        <v>37</v>
      </c>
      <c r="N1063" t="s">
        <v>4908</v>
      </c>
      <c r="O1063" t="s">
        <v>4615</v>
      </c>
      <c r="P1063">
        <v>52342</v>
      </c>
      <c r="Q1063">
        <v>65593</v>
      </c>
      <c r="R1063" s="2">
        <v>45296</v>
      </c>
      <c r="S1063" t="s">
        <v>14</v>
      </c>
      <c r="T1063" t="s">
        <v>70</v>
      </c>
      <c r="U1063" t="s">
        <v>6375</v>
      </c>
      <c r="W1063" t="s">
        <v>6347</v>
      </c>
      <c r="X1063">
        <v>94</v>
      </c>
      <c r="Y1063" t="s">
        <v>70</v>
      </c>
      <c r="Z1063">
        <v>268</v>
      </c>
    </row>
    <row r="1064" spans="1:26" x14ac:dyDescent="0.3">
      <c r="A1064">
        <v>1063</v>
      </c>
      <c r="B1064" t="s">
        <v>2403</v>
      </c>
      <c r="C1064" t="s">
        <v>34</v>
      </c>
      <c r="D1064" t="s">
        <v>54</v>
      </c>
      <c r="E1064" t="s">
        <v>6357</v>
      </c>
      <c r="F1064" t="s">
        <v>6397</v>
      </c>
      <c r="G1064" t="s">
        <v>6380</v>
      </c>
      <c r="H1064" t="s">
        <v>6378</v>
      </c>
      <c r="I1064" t="s">
        <v>6384</v>
      </c>
      <c r="J1064">
        <f>AVERAGE(ai_job_market[[#This Row],[min_salary]],ai_job_market[[#This Row],[max_salary]])</f>
        <v>152401.5</v>
      </c>
      <c r="K1064"/>
      <c r="L1064" t="s">
        <v>22</v>
      </c>
      <c r="M1064" t="s">
        <v>42</v>
      </c>
      <c r="N1064" t="s">
        <v>5086</v>
      </c>
      <c r="O1064" t="s">
        <v>4743</v>
      </c>
      <c r="P1064">
        <v>110675</v>
      </c>
      <c r="Q1064">
        <v>194128</v>
      </c>
      <c r="R1064" s="2">
        <v>45261</v>
      </c>
      <c r="S1064" t="s">
        <v>16</v>
      </c>
      <c r="T1064" t="s">
        <v>90</v>
      </c>
      <c r="U1064" t="s">
        <v>6376</v>
      </c>
      <c r="V1064" t="s">
        <v>6378</v>
      </c>
      <c r="W1064" t="s">
        <v>6357</v>
      </c>
      <c r="X1064">
        <v>88</v>
      </c>
      <c r="Y1064" t="s">
        <v>90</v>
      </c>
      <c r="Z1064">
        <v>259</v>
      </c>
    </row>
    <row r="1065" spans="1:26" x14ac:dyDescent="0.3">
      <c r="A1065">
        <v>1064</v>
      </c>
      <c r="B1065" t="s">
        <v>2405</v>
      </c>
      <c r="C1065" t="s">
        <v>34</v>
      </c>
      <c r="D1065" t="s">
        <v>35</v>
      </c>
      <c r="E1065" t="s">
        <v>6359</v>
      </c>
      <c r="F1065" t="s">
        <v>6396</v>
      </c>
      <c r="G1065" t="s">
        <v>6391</v>
      </c>
      <c r="H1065" t="s">
        <v>6381</v>
      </c>
      <c r="I1065" t="s">
        <v>6378</v>
      </c>
      <c r="J1065">
        <f>AVERAGE(ai_job_market[[#This Row],[min_salary]],ai_job_market[[#This Row],[max_salary]])</f>
        <v>138101.5</v>
      </c>
      <c r="K1065" t="s">
        <v>6382</v>
      </c>
      <c r="L1065" t="s">
        <v>27</v>
      </c>
      <c r="M1065" t="s">
        <v>42</v>
      </c>
      <c r="N1065" t="s">
        <v>5495</v>
      </c>
      <c r="O1065" t="s">
        <v>4490</v>
      </c>
      <c r="P1065">
        <v>93518</v>
      </c>
      <c r="Q1065">
        <v>182685</v>
      </c>
      <c r="R1065" s="2">
        <v>45820</v>
      </c>
      <c r="S1065" t="s">
        <v>16</v>
      </c>
      <c r="T1065" t="s">
        <v>128</v>
      </c>
      <c r="U1065" t="s">
        <v>6388</v>
      </c>
      <c r="V1065" t="s">
        <v>6378</v>
      </c>
      <c r="W1065" t="s">
        <v>6359</v>
      </c>
      <c r="X1065">
        <v>104</v>
      </c>
      <c r="Y1065" t="s">
        <v>128</v>
      </c>
      <c r="Z1065">
        <v>233</v>
      </c>
    </row>
    <row r="1066" spans="1:26" x14ac:dyDescent="0.3">
      <c r="A1066">
        <v>1065</v>
      </c>
      <c r="B1066" t="s">
        <v>2408</v>
      </c>
      <c r="C1066" t="s">
        <v>49</v>
      </c>
      <c r="D1066" t="s">
        <v>67</v>
      </c>
      <c r="E1066" t="s">
        <v>6345</v>
      </c>
      <c r="F1066" t="s">
        <v>6393</v>
      </c>
      <c r="G1066" t="s">
        <v>6380</v>
      </c>
      <c r="H1066" t="s">
        <v>6392</v>
      </c>
      <c r="I1066" t="s">
        <v>6384</v>
      </c>
      <c r="J1066">
        <f>AVERAGE(ai_job_market[[#This Row],[min_salary]],ai_job_market[[#This Row],[max_salary]])</f>
        <v>111910</v>
      </c>
      <c r="K1066" t="s">
        <v>6385</v>
      </c>
      <c r="L1066" t="s">
        <v>27</v>
      </c>
      <c r="M1066" t="s">
        <v>37</v>
      </c>
      <c r="N1066" t="s">
        <v>5496</v>
      </c>
      <c r="O1066" t="s">
        <v>4554</v>
      </c>
      <c r="P1066">
        <v>80174</v>
      </c>
      <c r="Q1066">
        <v>143646</v>
      </c>
      <c r="R1066" s="2">
        <v>45225</v>
      </c>
      <c r="S1066" t="s">
        <v>14</v>
      </c>
      <c r="T1066" t="s">
        <v>128</v>
      </c>
      <c r="U1066" t="s">
        <v>6383</v>
      </c>
      <c r="V1066" t="s">
        <v>6388</v>
      </c>
      <c r="W1066" t="s">
        <v>6345</v>
      </c>
      <c r="X1066">
        <v>101</v>
      </c>
      <c r="Y1066" t="s">
        <v>128</v>
      </c>
      <c r="Z1066">
        <v>233</v>
      </c>
    </row>
    <row r="1067" spans="1:26" x14ac:dyDescent="0.3">
      <c r="A1067">
        <v>1066</v>
      </c>
      <c r="B1067" t="s">
        <v>2410</v>
      </c>
      <c r="C1067" t="s">
        <v>45</v>
      </c>
      <c r="D1067" t="s">
        <v>12</v>
      </c>
      <c r="E1067" t="s">
        <v>6350</v>
      </c>
      <c r="F1067" t="s">
        <v>6377</v>
      </c>
      <c r="G1067" t="s">
        <v>6374</v>
      </c>
      <c r="J1067" s="6">
        <f>AVERAGE(ai_job_market[[#This Row],[min_salary]],ai_job_market[[#This Row],[max_salary]])</f>
        <v>136380</v>
      </c>
      <c r="K1067"/>
      <c r="L1067" t="s">
        <v>22</v>
      </c>
      <c r="M1067" t="s">
        <v>37</v>
      </c>
      <c r="N1067" t="s">
        <v>5497</v>
      </c>
      <c r="O1067" t="s">
        <v>4301</v>
      </c>
      <c r="P1067" s="5">
        <v>90229</v>
      </c>
      <c r="Q1067" s="5">
        <v>182531</v>
      </c>
      <c r="R1067" s="2">
        <v>45729</v>
      </c>
      <c r="S1067" t="s">
        <v>14</v>
      </c>
      <c r="T1067" t="s">
        <v>70</v>
      </c>
      <c r="W1067" t="s">
        <v>6350</v>
      </c>
      <c r="X1067">
        <v>84</v>
      </c>
      <c r="Y1067" t="s">
        <v>70</v>
      </c>
      <c r="Z1067">
        <v>268</v>
      </c>
    </row>
    <row r="1068" spans="1:26" x14ac:dyDescent="0.3">
      <c r="A1068">
        <v>1067</v>
      </c>
      <c r="B1068" t="s">
        <v>2412</v>
      </c>
      <c r="C1068" t="s">
        <v>49</v>
      </c>
      <c r="D1068" t="s">
        <v>25</v>
      </c>
      <c r="E1068" t="s">
        <v>128</v>
      </c>
      <c r="F1068" t="s">
        <v>6380</v>
      </c>
      <c r="G1068" t="s">
        <v>6386</v>
      </c>
      <c r="H1068" t="s">
        <v>6374</v>
      </c>
      <c r="J1068">
        <f>AVERAGE(ai_job_market[[#This Row],[min_salary]],ai_job_market[[#This Row],[max_salary]])</f>
        <v>90661</v>
      </c>
      <c r="K1068"/>
      <c r="L1068" t="s">
        <v>27</v>
      </c>
      <c r="M1068" t="s">
        <v>15</v>
      </c>
      <c r="N1068" t="s">
        <v>5498</v>
      </c>
      <c r="O1068" t="s">
        <v>4333</v>
      </c>
      <c r="P1068">
        <v>42741</v>
      </c>
      <c r="Q1068">
        <v>138581</v>
      </c>
      <c r="R1068" s="2">
        <v>45305</v>
      </c>
      <c r="S1068" t="s">
        <v>14</v>
      </c>
      <c r="T1068" t="s">
        <v>90</v>
      </c>
      <c r="U1068" t="s">
        <v>6375</v>
      </c>
      <c r="V1068" t="s">
        <v>6384</v>
      </c>
      <c r="W1068" t="s">
        <v>128</v>
      </c>
      <c r="X1068">
        <v>92</v>
      </c>
      <c r="Y1068" t="s">
        <v>90</v>
      </c>
      <c r="Z1068">
        <v>259</v>
      </c>
    </row>
    <row r="1069" spans="1:26" x14ac:dyDescent="0.3">
      <c r="A1069">
        <v>1068</v>
      </c>
      <c r="B1069" t="s">
        <v>2414</v>
      </c>
      <c r="C1069" t="s">
        <v>34</v>
      </c>
      <c r="D1069" t="s">
        <v>54</v>
      </c>
      <c r="E1069" t="s">
        <v>101</v>
      </c>
      <c r="F1069" t="s">
        <v>6382</v>
      </c>
      <c r="G1069" t="s">
        <v>6390</v>
      </c>
      <c r="H1069" t="s">
        <v>6395</v>
      </c>
      <c r="I1069" t="s">
        <v>6384</v>
      </c>
      <c r="J1069">
        <f>AVERAGE(ai_job_market[[#This Row],[min_salary]],ai_job_market[[#This Row],[max_salary]])</f>
        <v>176093</v>
      </c>
      <c r="K1069" t="s">
        <v>6379</v>
      </c>
      <c r="L1069" t="s">
        <v>14</v>
      </c>
      <c r="M1069" t="s">
        <v>15</v>
      </c>
      <c r="N1069" t="s">
        <v>5499</v>
      </c>
      <c r="O1069" t="s">
        <v>4582</v>
      </c>
      <c r="P1069">
        <v>141028</v>
      </c>
      <c r="Q1069">
        <v>211158</v>
      </c>
      <c r="R1069" s="2">
        <v>45900</v>
      </c>
      <c r="S1069" t="s">
        <v>69</v>
      </c>
      <c r="T1069" t="s">
        <v>70</v>
      </c>
      <c r="U1069" t="s">
        <v>6375</v>
      </c>
      <c r="V1069" t="s">
        <v>6383</v>
      </c>
      <c r="W1069" t="s">
        <v>101</v>
      </c>
      <c r="X1069">
        <v>76</v>
      </c>
      <c r="Y1069" t="s">
        <v>70</v>
      </c>
      <c r="Z1069">
        <v>268</v>
      </c>
    </row>
    <row r="1070" spans="1:26" x14ac:dyDescent="0.3">
      <c r="A1070">
        <v>1069</v>
      </c>
      <c r="B1070" t="s">
        <v>2417</v>
      </c>
      <c r="C1070" t="s">
        <v>40</v>
      </c>
      <c r="D1070" t="s">
        <v>54</v>
      </c>
      <c r="E1070" t="s">
        <v>6353</v>
      </c>
      <c r="F1070" t="s">
        <v>6379</v>
      </c>
      <c r="G1070" t="s">
        <v>6389</v>
      </c>
      <c r="H1070" t="s">
        <v>6395</v>
      </c>
      <c r="I1070" t="s">
        <v>6391</v>
      </c>
      <c r="J1070">
        <f>AVERAGE(ai_job_market[[#This Row],[min_salary]],ai_job_market[[#This Row],[max_salary]])</f>
        <v>91834</v>
      </c>
      <c r="K1070" t="s">
        <v>6380</v>
      </c>
      <c r="L1070" t="s">
        <v>27</v>
      </c>
      <c r="M1070" t="s">
        <v>51</v>
      </c>
      <c r="N1070" t="s">
        <v>5500</v>
      </c>
      <c r="O1070" t="s">
        <v>4646</v>
      </c>
      <c r="P1070">
        <v>62711</v>
      </c>
      <c r="Q1070">
        <v>120957</v>
      </c>
      <c r="R1070" s="2">
        <v>45705</v>
      </c>
      <c r="S1070" t="s">
        <v>69</v>
      </c>
      <c r="T1070" t="s">
        <v>52</v>
      </c>
      <c r="W1070" t="s">
        <v>6353</v>
      </c>
      <c r="X1070">
        <v>86</v>
      </c>
      <c r="Y1070" t="s">
        <v>52</v>
      </c>
      <c r="Z1070">
        <v>238</v>
      </c>
    </row>
    <row r="1071" spans="1:26" x14ac:dyDescent="0.3">
      <c r="A1071">
        <v>1070</v>
      </c>
      <c r="B1071" t="s">
        <v>2419</v>
      </c>
      <c r="C1071" t="s">
        <v>11</v>
      </c>
      <c r="D1071" t="s">
        <v>54</v>
      </c>
      <c r="E1071" t="s">
        <v>6352</v>
      </c>
      <c r="F1071" t="s">
        <v>6396</v>
      </c>
      <c r="G1071" t="s">
        <v>6385</v>
      </c>
      <c r="H1071" t="s">
        <v>6390</v>
      </c>
      <c r="J1071">
        <f>AVERAGE(ai_job_market[[#This Row],[min_salary]],ai_job_market[[#This Row],[max_salary]])</f>
        <v>152448</v>
      </c>
      <c r="K1071"/>
      <c r="L1071" t="s">
        <v>14</v>
      </c>
      <c r="M1071" t="s">
        <v>15</v>
      </c>
      <c r="N1071" t="s">
        <v>5501</v>
      </c>
      <c r="O1071" t="s">
        <v>4346</v>
      </c>
      <c r="P1071">
        <v>140092</v>
      </c>
      <c r="Q1071">
        <v>164804</v>
      </c>
      <c r="R1071" s="2">
        <v>45716</v>
      </c>
      <c r="S1071" t="s">
        <v>14</v>
      </c>
      <c r="T1071" t="s">
        <v>101</v>
      </c>
      <c r="W1071" t="s">
        <v>6352</v>
      </c>
      <c r="X1071">
        <v>97</v>
      </c>
      <c r="Y1071" t="s">
        <v>101</v>
      </c>
      <c r="Z1071">
        <v>255</v>
      </c>
    </row>
    <row r="1072" spans="1:26" x14ac:dyDescent="0.3">
      <c r="A1072">
        <v>1071</v>
      </c>
      <c r="B1072" t="s">
        <v>2421</v>
      </c>
      <c r="C1072" t="s">
        <v>19</v>
      </c>
      <c r="D1072" t="s">
        <v>30</v>
      </c>
      <c r="E1072" t="s">
        <v>6352</v>
      </c>
      <c r="F1072" t="s">
        <v>6381</v>
      </c>
      <c r="G1072" t="s">
        <v>6376</v>
      </c>
      <c r="H1072" t="s">
        <v>6392</v>
      </c>
      <c r="I1072" t="s">
        <v>6378</v>
      </c>
      <c r="J1072">
        <f>AVERAGE(ai_job_market[[#This Row],[min_salary]],ai_job_market[[#This Row],[max_salary]])</f>
        <v>78289.5</v>
      </c>
      <c r="K1072"/>
      <c r="L1072" t="s">
        <v>14</v>
      </c>
      <c r="M1072" t="s">
        <v>51</v>
      </c>
      <c r="N1072" t="s">
        <v>5502</v>
      </c>
      <c r="O1072" t="s">
        <v>4714</v>
      </c>
      <c r="P1072">
        <v>72382</v>
      </c>
      <c r="Q1072">
        <v>84197</v>
      </c>
      <c r="R1072" s="2">
        <v>45760</v>
      </c>
      <c r="S1072" t="s">
        <v>14</v>
      </c>
      <c r="T1072" t="s">
        <v>90</v>
      </c>
      <c r="U1072" t="s">
        <v>6379</v>
      </c>
      <c r="W1072" t="s">
        <v>6352</v>
      </c>
      <c r="X1072">
        <v>97</v>
      </c>
      <c r="Y1072" t="s">
        <v>90</v>
      </c>
      <c r="Z1072">
        <v>259</v>
      </c>
    </row>
    <row r="1073" spans="1:26" x14ac:dyDescent="0.3">
      <c r="A1073">
        <v>1072</v>
      </c>
      <c r="B1073" t="s">
        <v>2423</v>
      </c>
      <c r="C1073" t="s">
        <v>72</v>
      </c>
      <c r="D1073" t="s">
        <v>67</v>
      </c>
      <c r="E1073" t="s">
        <v>77</v>
      </c>
      <c r="F1073" t="s">
        <v>6386</v>
      </c>
      <c r="G1073" t="s">
        <v>6382</v>
      </c>
      <c r="H1073" t="s">
        <v>6396</v>
      </c>
      <c r="I1073" t="s">
        <v>6374</v>
      </c>
      <c r="J1073">
        <f>AVERAGE(ai_job_market[[#This Row],[min_salary]],ai_job_market[[#This Row],[max_salary]])</f>
        <v>103274</v>
      </c>
      <c r="K1073" t="s">
        <v>6391</v>
      </c>
      <c r="L1073" t="s">
        <v>22</v>
      </c>
      <c r="M1073" t="s">
        <v>42</v>
      </c>
      <c r="N1073" t="s">
        <v>4636</v>
      </c>
      <c r="O1073" t="s">
        <v>4484</v>
      </c>
      <c r="P1073">
        <v>91789</v>
      </c>
      <c r="Q1073">
        <v>114759</v>
      </c>
      <c r="R1073" s="2">
        <v>45831</v>
      </c>
      <c r="S1073" t="s">
        <v>16</v>
      </c>
      <c r="T1073" t="s">
        <v>77</v>
      </c>
      <c r="U1073" t="s">
        <v>6384</v>
      </c>
      <c r="V1073" t="s">
        <v>6388</v>
      </c>
      <c r="W1073" t="s">
        <v>77</v>
      </c>
      <c r="X1073">
        <v>111</v>
      </c>
      <c r="Y1073" t="s">
        <v>77</v>
      </c>
      <c r="Z1073">
        <v>251</v>
      </c>
    </row>
    <row r="1074" spans="1:26" x14ac:dyDescent="0.3">
      <c r="A1074">
        <v>1073</v>
      </c>
      <c r="B1074" t="s">
        <v>2425</v>
      </c>
      <c r="C1074" t="s">
        <v>40</v>
      </c>
      <c r="D1074" t="s">
        <v>30</v>
      </c>
      <c r="E1074" t="s">
        <v>6354</v>
      </c>
      <c r="F1074" t="s">
        <v>6382</v>
      </c>
      <c r="G1074" t="s">
        <v>6397</v>
      </c>
      <c r="H1074" t="s">
        <v>6375</v>
      </c>
      <c r="I1074" t="s">
        <v>6391</v>
      </c>
      <c r="J1074">
        <f>AVERAGE(ai_job_market[[#This Row],[min_salary]],ai_job_market[[#This Row],[max_salary]])</f>
        <v>132767</v>
      </c>
      <c r="K1074" t="s">
        <v>6390</v>
      </c>
      <c r="L1074" t="s">
        <v>27</v>
      </c>
      <c r="M1074" t="s">
        <v>51</v>
      </c>
      <c r="N1074" t="s">
        <v>5503</v>
      </c>
      <c r="O1074" t="s">
        <v>4289</v>
      </c>
      <c r="P1074">
        <v>112036</v>
      </c>
      <c r="Q1074">
        <v>153498</v>
      </c>
      <c r="R1074" s="2">
        <v>45696</v>
      </c>
      <c r="S1074" t="s">
        <v>16</v>
      </c>
      <c r="T1074" t="s">
        <v>70</v>
      </c>
      <c r="W1074" t="s">
        <v>6354</v>
      </c>
      <c r="X1074">
        <v>75</v>
      </c>
      <c r="Y1074" t="s">
        <v>70</v>
      </c>
      <c r="Z1074">
        <v>268</v>
      </c>
    </row>
    <row r="1075" spans="1:26" x14ac:dyDescent="0.3">
      <c r="A1075">
        <v>1074</v>
      </c>
      <c r="B1075" t="s">
        <v>2427</v>
      </c>
      <c r="C1075" t="s">
        <v>11</v>
      </c>
      <c r="D1075" t="s">
        <v>67</v>
      </c>
      <c r="E1075" t="s">
        <v>6353</v>
      </c>
      <c r="F1075" t="s">
        <v>6392</v>
      </c>
      <c r="G1075" t="s">
        <v>6390</v>
      </c>
      <c r="H1075" t="s">
        <v>6377</v>
      </c>
      <c r="I1075" t="s">
        <v>6393</v>
      </c>
      <c r="J1075">
        <f>AVERAGE(ai_job_market[[#This Row],[min_salary]],ai_job_market[[#This Row],[max_salary]])</f>
        <v>62334</v>
      </c>
      <c r="K1075"/>
      <c r="L1075" t="s">
        <v>14</v>
      </c>
      <c r="M1075" t="s">
        <v>15</v>
      </c>
      <c r="N1075" t="s">
        <v>4733</v>
      </c>
      <c r="O1075" t="s">
        <v>4287</v>
      </c>
      <c r="P1075">
        <v>45224</v>
      </c>
      <c r="Q1075">
        <v>79444</v>
      </c>
      <c r="R1075" s="2">
        <v>45821</v>
      </c>
      <c r="S1075" t="s">
        <v>69</v>
      </c>
      <c r="T1075" t="s">
        <v>101</v>
      </c>
      <c r="W1075" t="s">
        <v>6353</v>
      </c>
      <c r="X1075">
        <v>86</v>
      </c>
      <c r="Y1075" t="s">
        <v>101</v>
      </c>
      <c r="Z1075">
        <v>255</v>
      </c>
    </row>
    <row r="1076" spans="1:26" x14ac:dyDescent="0.3">
      <c r="A1076">
        <v>1075</v>
      </c>
      <c r="B1076" t="s">
        <v>2429</v>
      </c>
      <c r="C1076" t="s">
        <v>45</v>
      </c>
      <c r="D1076" t="s">
        <v>25</v>
      </c>
      <c r="E1076" t="s">
        <v>70</v>
      </c>
      <c r="F1076" t="s">
        <v>6390</v>
      </c>
      <c r="G1076" t="s">
        <v>6396</v>
      </c>
      <c r="J1076" s="6">
        <f>AVERAGE(ai_job_market[[#This Row],[min_salary]],ai_job_market[[#This Row],[max_salary]])</f>
        <v>77274.5</v>
      </c>
      <c r="K1076"/>
      <c r="L1076" t="s">
        <v>27</v>
      </c>
      <c r="M1076" t="s">
        <v>51</v>
      </c>
      <c r="N1076" t="s">
        <v>5504</v>
      </c>
      <c r="O1076" t="s">
        <v>4503</v>
      </c>
      <c r="P1076" s="5">
        <v>62949</v>
      </c>
      <c r="Q1076" s="5">
        <v>91600</v>
      </c>
      <c r="R1076" s="2">
        <v>45279</v>
      </c>
      <c r="S1076" t="s">
        <v>69</v>
      </c>
      <c r="T1076" t="s">
        <v>128</v>
      </c>
      <c r="W1076" t="s">
        <v>70</v>
      </c>
      <c r="X1076">
        <v>100</v>
      </c>
      <c r="Y1076" t="s">
        <v>128</v>
      </c>
      <c r="Z1076">
        <v>233</v>
      </c>
    </row>
    <row r="1077" spans="1:26" x14ac:dyDescent="0.3">
      <c r="A1077">
        <v>1076</v>
      </c>
      <c r="B1077" t="s">
        <v>2431</v>
      </c>
      <c r="C1077" t="s">
        <v>45</v>
      </c>
      <c r="D1077" t="s">
        <v>12</v>
      </c>
      <c r="E1077" t="s">
        <v>6358</v>
      </c>
      <c r="F1077" t="s">
        <v>6376</v>
      </c>
      <c r="G1077" t="s">
        <v>6390</v>
      </c>
      <c r="H1077" t="s">
        <v>6384</v>
      </c>
      <c r="I1077" t="s">
        <v>6389</v>
      </c>
      <c r="J1077">
        <f>AVERAGE(ai_job_market[[#This Row],[min_salary]],ai_job_market[[#This Row],[max_salary]])</f>
        <v>111778</v>
      </c>
      <c r="K1077" t="s">
        <v>6381</v>
      </c>
      <c r="L1077" t="s">
        <v>22</v>
      </c>
      <c r="M1077" t="s">
        <v>15</v>
      </c>
      <c r="N1077" t="s">
        <v>5505</v>
      </c>
      <c r="O1077" t="s">
        <v>4780</v>
      </c>
      <c r="P1077">
        <v>67630</v>
      </c>
      <c r="Q1077">
        <v>155926</v>
      </c>
      <c r="R1077" s="2">
        <v>45772</v>
      </c>
      <c r="S1077" t="s">
        <v>16</v>
      </c>
      <c r="T1077" t="s">
        <v>80</v>
      </c>
      <c r="U1077" t="s">
        <v>6388</v>
      </c>
      <c r="V1077" t="s">
        <v>6378</v>
      </c>
      <c r="W1077" t="s">
        <v>6358</v>
      </c>
      <c r="X1077">
        <v>96</v>
      </c>
      <c r="Y1077" t="s">
        <v>80</v>
      </c>
      <c r="Z1077">
        <v>249</v>
      </c>
    </row>
    <row r="1078" spans="1:26" x14ac:dyDescent="0.3">
      <c r="A1078">
        <v>1077</v>
      </c>
      <c r="B1078" t="s">
        <v>2433</v>
      </c>
      <c r="C1078" t="s">
        <v>40</v>
      </c>
      <c r="D1078" t="s">
        <v>135</v>
      </c>
      <c r="E1078" t="s">
        <v>6357</v>
      </c>
      <c r="F1078" t="s">
        <v>6396</v>
      </c>
      <c r="G1078" t="s">
        <v>6392</v>
      </c>
      <c r="H1078" t="s">
        <v>6394</v>
      </c>
      <c r="I1078" t="s">
        <v>6378</v>
      </c>
      <c r="J1078">
        <f>AVERAGE(ai_job_market[[#This Row],[min_salary]],ai_job_market[[#This Row],[max_salary]])</f>
        <v>114608.5</v>
      </c>
      <c r="K1078"/>
      <c r="L1078" t="s">
        <v>27</v>
      </c>
      <c r="M1078" t="s">
        <v>37</v>
      </c>
      <c r="N1078" t="s">
        <v>5506</v>
      </c>
      <c r="O1078" t="s">
        <v>4684</v>
      </c>
      <c r="P1078">
        <v>92512</v>
      </c>
      <c r="Q1078">
        <v>136705</v>
      </c>
      <c r="R1078" s="2">
        <v>45272</v>
      </c>
      <c r="S1078" t="s">
        <v>14</v>
      </c>
      <c r="T1078" t="s">
        <v>80</v>
      </c>
      <c r="U1078" t="s">
        <v>6375</v>
      </c>
      <c r="W1078" t="s">
        <v>6357</v>
      </c>
      <c r="X1078">
        <v>88</v>
      </c>
      <c r="Y1078" t="s">
        <v>80</v>
      </c>
      <c r="Z1078">
        <v>249</v>
      </c>
    </row>
    <row r="1079" spans="1:26" x14ac:dyDescent="0.3">
      <c r="A1079">
        <v>1078</v>
      </c>
      <c r="B1079" t="s">
        <v>2435</v>
      </c>
      <c r="C1079" t="s">
        <v>34</v>
      </c>
      <c r="D1079" t="s">
        <v>12</v>
      </c>
      <c r="E1079" t="s">
        <v>6346</v>
      </c>
      <c r="F1079" t="s">
        <v>6381</v>
      </c>
      <c r="G1079" t="s">
        <v>6390</v>
      </c>
      <c r="H1079" t="s">
        <v>6386</v>
      </c>
      <c r="I1079" t="s">
        <v>6397</v>
      </c>
      <c r="J1079">
        <f>AVERAGE(ai_job_market[[#This Row],[min_salary]],ai_job_market[[#This Row],[max_salary]])</f>
        <v>106980</v>
      </c>
      <c r="K1079"/>
      <c r="L1079" t="s">
        <v>14</v>
      </c>
      <c r="M1079" t="s">
        <v>42</v>
      </c>
      <c r="N1079" t="s">
        <v>5507</v>
      </c>
      <c r="O1079" t="s">
        <v>4601</v>
      </c>
      <c r="P1079">
        <v>96374</v>
      </c>
      <c r="Q1079">
        <v>117586</v>
      </c>
      <c r="R1079" s="2">
        <v>45461</v>
      </c>
      <c r="S1079" t="s">
        <v>16</v>
      </c>
      <c r="T1079" t="s">
        <v>80</v>
      </c>
      <c r="U1079" t="s">
        <v>6378</v>
      </c>
      <c r="W1079" t="s">
        <v>6346</v>
      </c>
      <c r="X1079">
        <v>78</v>
      </c>
      <c r="Y1079" t="s">
        <v>80</v>
      </c>
      <c r="Z1079">
        <v>249</v>
      </c>
    </row>
    <row r="1080" spans="1:26" x14ac:dyDescent="0.3">
      <c r="A1080">
        <v>1079</v>
      </c>
      <c r="B1080" t="s">
        <v>2437</v>
      </c>
      <c r="C1080" t="s">
        <v>72</v>
      </c>
      <c r="D1080" t="s">
        <v>67</v>
      </c>
      <c r="E1080" t="s">
        <v>6356</v>
      </c>
      <c r="F1080" t="s">
        <v>6386</v>
      </c>
      <c r="G1080" t="s">
        <v>6374</v>
      </c>
      <c r="H1080" t="s">
        <v>6379</v>
      </c>
      <c r="I1080" t="s">
        <v>6378</v>
      </c>
      <c r="J1080">
        <f>AVERAGE(ai_job_market[[#This Row],[min_salary]],ai_job_market[[#This Row],[max_salary]])</f>
        <v>104487.5</v>
      </c>
      <c r="K1080"/>
      <c r="L1080" t="s">
        <v>14</v>
      </c>
      <c r="M1080" t="s">
        <v>51</v>
      </c>
      <c r="N1080" t="s">
        <v>5508</v>
      </c>
      <c r="O1080" t="s">
        <v>4371</v>
      </c>
      <c r="P1080">
        <v>72840</v>
      </c>
      <c r="Q1080">
        <v>136135</v>
      </c>
      <c r="R1080" s="2">
        <v>45805</v>
      </c>
      <c r="S1080" t="s">
        <v>16</v>
      </c>
      <c r="T1080" t="s">
        <v>128</v>
      </c>
      <c r="W1080" t="s">
        <v>6356</v>
      </c>
      <c r="X1080">
        <v>86</v>
      </c>
      <c r="Y1080" t="s">
        <v>128</v>
      </c>
      <c r="Z1080">
        <v>233</v>
      </c>
    </row>
    <row r="1081" spans="1:26" x14ac:dyDescent="0.3">
      <c r="A1081">
        <v>1080</v>
      </c>
      <c r="B1081" t="s">
        <v>2439</v>
      </c>
      <c r="C1081" t="s">
        <v>72</v>
      </c>
      <c r="D1081" t="s">
        <v>67</v>
      </c>
      <c r="E1081" t="s">
        <v>6347</v>
      </c>
      <c r="F1081" t="s">
        <v>6386</v>
      </c>
      <c r="G1081" t="s">
        <v>6389</v>
      </c>
      <c r="H1081" t="s">
        <v>6385</v>
      </c>
      <c r="I1081" t="s">
        <v>6387</v>
      </c>
      <c r="J1081">
        <f>AVERAGE(ai_job_market[[#This Row],[min_salary]],ai_job_market[[#This Row],[max_salary]])</f>
        <v>149956</v>
      </c>
      <c r="K1081"/>
      <c r="L1081" t="s">
        <v>14</v>
      </c>
      <c r="M1081" t="s">
        <v>42</v>
      </c>
      <c r="N1081" t="s">
        <v>5509</v>
      </c>
      <c r="O1081" t="s">
        <v>4767</v>
      </c>
      <c r="P1081">
        <v>107564</v>
      </c>
      <c r="Q1081">
        <v>192348</v>
      </c>
      <c r="R1081" s="2">
        <v>45901</v>
      </c>
      <c r="S1081" t="s">
        <v>14</v>
      </c>
      <c r="T1081" t="s">
        <v>77</v>
      </c>
      <c r="W1081" t="s">
        <v>6347</v>
      </c>
      <c r="X1081">
        <v>94</v>
      </c>
      <c r="Y1081" t="s">
        <v>77</v>
      </c>
      <c r="Z1081">
        <v>251</v>
      </c>
    </row>
    <row r="1082" spans="1:26" x14ac:dyDescent="0.3">
      <c r="A1082">
        <v>1081</v>
      </c>
      <c r="B1082" t="s">
        <v>2441</v>
      </c>
      <c r="C1082" t="s">
        <v>45</v>
      </c>
      <c r="D1082" t="s">
        <v>30</v>
      </c>
      <c r="E1082" t="s">
        <v>6347</v>
      </c>
      <c r="F1082" t="s">
        <v>6389</v>
      </c>
      <c r="G1082" t="s">
        <v>6379</v>
      </c>
      <c r="H1082" t="s">
        <v>6377</v>
      </c>
      <c r="I1082" t="s">
        <v>6375</v>
      </c>
      <c r="J1082">
        <f>AVERAGE(ai_job_market[[#This Row],[min_salary]],ai_job_market[[#This Row],[max_salary]])</f>
        <v>127538</v>
      </c>
      <c r="K1082" t="s">
        <v>6390</v>
      </c>
      <c r="L1082" t="s">
        <v>27</v>
      </c>
      <c r="M1082" t="s">
        <v>15</v>
      </c>
      <c r="N1082" t="s">
        <v>5510</v>
      </c>
      <c r="O1082" t="s">
        <v>4587</v>
      </c>
      <c r="P1082">
        <v>101793</v>
      </c>
      <c r="Q1082">
        <v>153283</v>
      </c>
      <c r="R1082" s="2">
        <v>45487</v>
      </c>
      <c r="S1082" t="s">
        <v>69</v>
      </c>
      <c r="T1082" t="s">
        <v>128</v>
      </c>
      <c r="U1082" t="s">
        <v>6376</v>
      </c>
      <c r="V1082" t="s">
        <v>6388</v>
      </c>
      <c r="W1082" t="s">
        <v>6347</v>
      </c>
      <c r="X1082">
        <v>94</v>
      </c>
      <c r="Y1082" t="s">
        <v>128</v>
      </c>
      <c r="Z1082">
        <v>233</v>
      </c>
    </row>
    <row r="1083" spans="1:26" x14ac:dyDescent="0.3">
      <c r="A1083">
        <v>1082</v>
      </c>
      <c r="B1083" t="s">
        <v>879</v>
      </c>
      <c r="C1083" t="s">
        <v>72</v>
      </c>
      <c r="D1083" t="s">
        <v>12</v>
      </c>
      <c r="E1083" t="s">
        <v>6352</v>
      </c>
      <c r="F1083" t="s">
        <v>6396</v>
      </c>
      <c r="G1083" t="s">
        <v>6390</v>
      </c>
      <c r="H1083" t="s">
        <v>6395</v>
      </c>
      <c r="I1083" t="s">
        <v>6380</v>
      </c>
      <c r="J1083">
        <f>AVERAGE(ai_job_market[[#This Row],[min_salary]],ai_job_market[[#This Row],[max_salary]])</f>
        <v>134659.5</v>
      </c>
      <c r="K1083" t="s">
        <v>6392</v>
      </c>
      <c r="L1083" t="s">
        <v>22</v>
      </c>
      <c r="M1083" t="s">
        <v>42</v>
      </c>
      <c r="N1083" t="s">
        <v>5511</v>
      </c>
      <c r="O1083" t="s">
        <v>4601</v>
      </c>
      <c r="P1083">
        <v>111604</v>
      </c>
      <c r="Q1083">
        <v>157715</v>
      </c>
      <c r="R1083" s="2">
        <v>45741</v>
      </c>
      <c r="S1083" t="s">
        <v>69</v>
      </c>
      <c r="T1083" t="s">
        <v>52</v>
      </c>
      <c r="U1083" t="s">
        <v>6389</v>
      </c>
      <c r="W1083" t="s">
        <v>6352</v>
      </c>
      <c r="X1083">
        <v>97</v>
      </c>
      <c r="Y1083" t="s">
        <v>52</v>
      </c>
      <c r="Z1083">
        <v>238</v>
      </c>
    </row>
    <row r="1084" spans="1:26" x14ac:dyDescent="0.3">
      <c r="A1084">
        <v>1083</v>
      </c>
      <c r="B1084" t="s">
        <v>2444</v>
      </c>
      <c r="C1084" t="s">
        <v>40</v>
      </c>
      <c r="D1084" t="s">
        <v>25</v>
      </c>
      <c r="E1084" t="s">
        <v>6347</v>
      </c>
      <c r="F1084" t="s">
        <v>6396</v>
      </c>
      <c r="G1084" t="s">
        <v>6378</v>
      </c>
      <c r="H1084" t="s">
        <v>6377</v>
      </c>
      <c r="I1084" t="s">
        <v>6385</v>
      </c>
      <c r="J1084">
        <f>AVERAGE(ai_job_market[[#This Row],[min_salary]],ai_job_market[[#This Row],[max_salary]])</f>
        <v>133737.5</v>
      </c>
      <c r="K1084" t="s">
        <v>6375</v>
      </c>
      <c r="L1084" t="s">
        <v>22</v>
      </c>
      <c r="M1084" t="s">
        <v>42</v>
      </c>
      <c r="N1084" t="s">
        <v>5512</v>
      </c>
      <c r="O1084" t="s">
        <v>4410</v>
      </c>
      <c r="P1084">
        <v>124909</v>
      </c>
      <c r="Q1084">
        <v>142566</v>
      </c>
      <c r="R1084" s="2">
        <v>45901</v>
      </c>
      <c r="S1084" t="s">
        <v>14</v>
      </c>
      <c r="T1084" t="s">
        <v>90</v>
      </c>
      <c r="U1084" t="s">
        <v>6379</v>
      </c>
      <c r="V1084" t="s">
        <v>6388</v>
      </c>
      <c r="W1084" t="s">
        <v>6347</v>
      </c>
      <c r="X1084">
        <v>94</v>
      </c>
      <c r="Y1084" t="s">
        <v>90</v>
      </c>
      <c r="Z1084">
        <v>259</v>
      </c>
    </row>
    <row r="1085" spans="1:26" x14ac:dyDescent="0.3">
      <c r="A1085">
        <v>1084</v>
      </c>
      <c r="B1085" t="s">
        <v>2446</v>
      </c>
      <c r="C1085" t="s">
        <v>19</v>
      </c>
      <c r="D1085" t="s">
        <v>35</v>
      </c>
      <c r="E1085" t="s">
        <v>6346</v>
      </c>
      <c r="F1085" t="s">
        <v>6391</v>
      </c>
      <c r="G1085" t="s">
        <v>6380</v>
      </c>
      <c r="H1085" t="s">
        <v>6386</v>
      </c>
      <c r="I1085" t="s">
        <v>6375</v>
      </c>
      <c r="J1085">
        <f>AVERAGE(ai_job_market[[#This Row],[min_salary]],ai_job_market[[#This Row],[max_salary]])</f>
        <v>186577</v>
      </c>
      <c r="K1085"/>
      <c r="L1085" t="s">
        <v>22</v>
      </c>
      <c r="M1085" t="s">
        <v>37</v>
      </c>
      <c r="N1085" t="s">
        <v>4686</v>
      </c>
      <c r="O1085" t="s">
        <v>4309</v>
      </c>
      <c r="P1085">
        <v>142140</v>
      </c>
      <c r="Q1085">
        <v>231014</v>
      </c>
      <c r="R1085" s="2">
        <v>45337</v>
      </c>
      <c r="S1085" t="s">
        <v>69</v>
      </c>
      <c r="T1085" t="s">
        <v>80</v>
      </c>
      <c r="U1085" t="s">
        <v>6389</v>
      </c>
      <c r="V1085" t="s">
        <v>6376</v>
      </c>
      <c r="W1085" t="s">
        <v>6346</v>
      </c>
      <c r="X1085">
        <v>78</v>
      </c>
      <c r="Y1085" t="s">
        <v>80</v>
      </c>
      <c r="Z1085">
        <v>249</v>
      </c>
    </row>
    <row r="1086" spans="1:26" x14ac:dyDescent="0.3">
      <c r="A1086">
        <v>1085</v>
      </c>
      <c r="B1086" t="s">
        <v>2448</v>
      </c>
      <c r="C1086" t="s">
        <v>19</v>
      </c>
      <c r="D1086" t="s">
        <v>54</v>
      </c>
      <c r="E1086" t="s">
        <v>6352</v>
      </c>
      <c r="F1086" t="s">
        <v>6396</v>
      </c>
      <c r="G1086" t="s">
        <v>6381</v>
      </c>
      <c r="H1086" t="s">
        <v>6376</v>
      </c>
      <c r="J1086">
        <f>AVERAGE(ai_job_market[[#This Row],[min_salary]],ai_job_market[[#This Row],[max_salary]])</f>
        <v>114475.5</v>
      </c>
      <c r="K1086"/>
      <c r="L1086" t="s">
        <v>22</v>
      </c>
      <c r="M1086" t="s">
        <v>15</v>
      </c>
      <c r="N1086" t="s">
        <v>5513</v>
      </c>
      <c r="O1086" t="s">
        <v>4293</v>
      </c>
      <c r="P1086">
        <v>74360</v>
      </c>
      <c r="Q1086">
        <v>154591</v>
      </c>
      <c r="R1086" s="2">
        <v>45284</v>
      </c>
      <c r="S1086" t="s">
        <v>69</v>
      </c>
      <c r="T1086" t="s">
        <v>101</v>
      </c>
      <c r="U1086" t="s">
        <v>6383</v>
      </c>
      <c r="V1086" t="s">
        <v>6375</v>
      </c>
      <c r="W1086" t="s">
        <v>6352</v>
      </c>
      <c r="X1086">
        <v>97</v>
      </c>
      <c r="Y1086" t="s">
        <v>101</v>
      </c>
      <c r="Z1086">
        <v>255</v>
      </c>
    </row>
    <row r="1087" spans="1:26" x14ac:dyDescent="0.3">
      <c r="A1087">
        <v>1086</v>
      </c>
      <c r="B1087" t="s">
        <v>2451</v>
      </c>
      <c r="C1087" t="s">
        <v>11</v>
      </c>
      <c r="D1087" t="s">
        <v>12</v>
      </c>
      <c r="E1087" t="s">
        <v>6349</v>
      </c>
      <c r="F1087" t="s">
        <v>6384</v>
      </c>
      <c r="G1087" t="s">
        <v>6389</v>
      </c>
      <c r="H1087" t="s">
        <v>6394</v>
      </c>
      <c r="I1087" t="s">
        <v>6382</v>
      </c>
      <c r="J1087">
        <f>AVERAGE(ai_job_market[[#This Row],[min_salary]],ai_job_market[[#This Row],[max_salary]])</f>
        <v>173965.5</v>
      </c>
      <c r="K1087" t="s">
        <v>6376</v>
      </c>
      <c r="L1087" t="s">
        <v>22</v>
      </c>
      <c r="M1087" t="s">
        <v>37</v>
      </c>
      <c r="N1087" t="s">
        <v>5514</v>
      </c>
      <c r="O1087" t="s">
        <v>4648</v>
      </c>
      <c r="P1087">
        <v>142266</v>
      </c>
      <c r="Q1087">
        <v>205665</v>
      </c>
      <c r="R1087" s="2">
        <v>45388</v>
      </c>
      <c r="S1087" t="s">
        <v>16</v>
      </c>
      <c r="T1087" t="s">
        <v>70</v>
      </c>
      <c r="U1087" t="s">
        <v>6378</v>
      </c>
      <c r="V1087" t="s">
        <v>6375</v>
      </c>
      <c r="W1087" t="s">
        <v>6349</v>
      </c>
      <c r="X1087">
        <v>96</v>
      </c>
      <c r="Y1087" t="s">
        <v>70</v>
      </c>
      <c r="Z1087">
        <v>268</v>
      </c>
    </row>
    <row r="1088" spans="1:26" x14ac:dyDescent="0.3">
      <c r="A1088">
        <v>1087</v>
      </c>
      <c r="B1088" t="s">
        <v>2454</v>
      </c>
      <c r="C1088" t="s">
        <v>40</v>
      </c>
      <c r="D1088" t="s">
        <v>67</v>
      </c>
      <c r="E1088" t="s">
        <v>6356</v>
      </c>
      <c r="F1088" t="s">
        <v>6382</v>
      </c>
      <c r="G1088" t="s">
        <v>6377</v>
      </c>
      <c r="J1088">
        <f>AVERAGE(ai_job_market[[#This Row],[min_salary]],ai_job_market[[#This Row],[max_salary]])</f>
        <v>129362.5</v>
      </c>
      <c r="K1088"/>
      <c r="L1088" t="s">
        <v>22</v>
      </c>
      <c r="M1088" t="s">
        <v>15</v>
      </c>
      <c r="N1088" t="s">
        <v>5515</v>
      </c>
      <c r="O1088" t="s">
        <v>4599</v>
      </c>
      <c r="P1088">
        <v>85449</v>
      </c>
      <c r="Q1088">
        <v>173276</v>
      </c>
      <c r="R1088" s="2">
        <v>45681</v>
      </c>
      <c r="S1088" t="s">
        <v>14</v>
      </c>
      <c r="T1088" t="s">
        <v>70</v>
      </c>
      <c r="U1088" t="s">
        <v>6375</v>
      </c>
      <c r="W1088" t="s">
        <v>6356</v>
      </c>
      <c r="X1088">
        <v>86</v>
      </c>
      <c r="Y1088" t="s">
        <v>70</v>
      </c>
      <c r="Z1088">
        <v>268</v>
      </c>
    </row>
    <row r="1089" spans="1:26" x14ac:dyDescent="0.3">
      <c r="A1089">
        <v>1088</v>
      </c>
      <c r="B1089" t="s">
        <v>2456</v>
      </c>
      <c r="C1089" t="s">
        <v>72</v>
      </c>
      <c r="D1089" t="s">
        <v>30</v>
      </c>
      <c r="E1089" t="s">
        <v>6354</v>
      </c>
      <c r="F1089" t="s">
        <v>6381</v>
      </c>
      <c r="G1089" t="s">
        <v>6391</v>
      </c>
      <c r="H1089" t="s">
        <v>6389</v>
      </c>
      <c r="I1089" t="s">
        <v>6397</v>
      </c>
      <c r="J1089">
        <f>AVERAGE(ai_job_market[[#This Row],[min_salary]],ai_job_market[[#This Row],[max_salary]])</f>
        <v>77838.5</v>
      </c>
      <c r="K1089" t="s">
        <v>6377</v>
      </c>
      <c r="L1089" t="s">
        <v>14</v>
      </c>
      <c r="M1089" t="s">
        <v>37</v>
      </c>
      <c r="N1089" t="s">
        <v>5516</v>
      </c>
      <c r="O1089" t="s">
        <v>4927</v>
      </c>
      <c r="P1089">
        <v>72838</v>
      </c>
      <c r="Q1089">
        <v>82839</v>
      </c>
      <c r="R1089" s="2">
        <v>45195</v>
      </c>
      <c r="S1089" t="s">
        <v>69</v>
      </c>
      <c r="T1089" t="s">
        <v>157</v>
      </c>
      <c r="W1089" t="s">
        <v>6354</v>
      </c>
      <c r="X1089">
        <v>75</v>
      </c>
      <c r="Y1089" t="s">
        <v>157</v>
      </c>
      <c r="Z1089">
        <v>247</v>
      </c>
    </row>
    <row r="1090" spans="1:26" x14ac:dyDescent="0.3">
      <c r="A1090">
        <v>1089</v>
      </c>
      <c r="B1090" t="s">
        <v>2458</v>
      </c>
      <c r="C1090" t="s">
        <v>45</v>
      </c>
      <c r="D1090" t="s">
        <v>20</v>
      </c>
      <c r="E1090" t="s">
        <v>6355</v>
      </c>
      <c r="F1090" t="s">
        <v>6392</v>
      </c>
      <c r="G1090" t="s">
        <v>6375</v>
      </c>
      <c r="H1090" t="s">
        <v>6385</v>
      </c>
      <c r="I1090" t="s">
        <v>6377</v>
      </c>
      <c r="J1090">
        <f>AVERAGE(ai_job_market[[#This Row],[min_salary]],ai_job_market[[#This Row],[max_salary]])</f>
        <v>76485</v>
      </c>
      <c r="K1090" t="s">
        <v>6382</v>
      </c>
      <c r="L1090" t="s">
        <v>27</v>
      </c>
      <c r="M1090" t="s">
        <v>42</v>
      </c>
      <c r="N1090" t="s">
        <v>5517</v>
      </c>
      <c r="O1090" t="s">
        <v>4666</v>
      </c>
      <c r="P1090">
        <v>58883</v>
      </c>
      <c r="Q1090">
        <v>94087</v>
      </c>
      <c r="R1090" s="2">
        <v>45304</v>
      </c>
      <c r="S1090" t="s">
        <v>14</v>
      </c>
      <c r="T1090" t="s">
        <v>157</v>
      </c>
      <c r="U1090" t="s">
        <v>6384</v>
      </c>
      <c r="W1090" t="s">
        <v>6355</v>
      </c>
      <c r="X1090">
        <v>90</v>
      </c>
      <c r="Y1090" t="s">
        <v>157</v>
      </c>
      <c r="Z1090">
        <v>247</v>
      </c>
    </row>
    <row r="1091" spans="1:26" x14ac:dyDescent="0.3">
      <c r="A1091">
        <v>1090</v>
      </c>
      <c r="B1091" t="s">
        <v>2460</v>
      </c>
      <c r="C1091" t="s">
        <v>40</v>
      </c>
      <c r="D1091" t="s">
        <v>12</v>
      </c>
      <c r="E1091" t="s">
        <v>77</v>
      </c>
      <c r="F1091" t="s">
        <v>6396</v>
      </c>
      <c r="G1091" t="s">
        <v>6386</v>
      </c>
      <c r="H1091" t="s">
        <v>6384</v>
      </c>
      <c r="J1091">
        <f>AVERAGE(ai_job_market[[#This Row],[min_salary]],ai_job_market[[#This Row],[max_salary]])</f>
        <v>187086</v>
      </c>
      <c r="K1091"/>
      <c r="L1091" t="s">
        <v>27</v>
      </c>
      <c r="M1091" t="s">
        <v>51</v>
      </c>
      <c r="N1091" t="s">
        <v>5518</v>
      </c>
      <c r="O1091" t="s">
        <v>4314</v>
      </c>
      <c r="P1091">
        <v>137871</v>
      </c>
      <c r="Q1091">
        <v>236301</v>
      </c>
      <c r="R1091" s="2">
        <v>45492</v>
      </c>
      <c r="S1091" t="s">
        <v>14</v>
      </c>
      <c r="T1091" t="s">
        <v>128</v>
      </c>
      <c r="W1091" t="s">
        <v>77</v>
      </c>
      <c r="X1091">
        <v>111</v>
      </c>
      <c r="Y1091" t="s">
        <v>128</v>
      </c>
      <c r="Z1091">
        <v>233</v>
      </c>
    </row>
    <row r="1092" spans="1:26" x14ac:dyDescent="0.3">
      <c r="A1092">
        <v>1091</v>
      </c>
      <c r="B1092" t="s">
        <v>2462</v>
      </c>
      <c r="C1092" t="s">
        <v>49</v>
      </c>
      <c r="D1092" t="s">
        <v>25</v>
      </c>
      <c r="E1092" t="s">
        <v>6355</v>
      </c>
      <c r="F1092" t="s">
        <v>6390</v>
      </c>
      <c r="G1092" t="s">
        <v>6385</v>
      </c>
      <c r="H1092" t="s">
        <v>6379</v>
      </c>
      <c r="J1092">
        <f>AVERAGE(ai_job_market[[#This Row],[min_salary]],ai_job_market[[#This Row],[max_salary]])</f>
        <v>110571.5</v>
      </c>
      <c r="K1092"/>
      <c r="L1092" t="s">
        <v>22</v>
      </c>
      <c r="M1092" t="s">
        <v>42</v>
      </c>
      <c r="N1092" t="s">
        <v>5519</v>
      </c>
      <c r="O1092" t="s">
        <v>4743</v>
      </c>
      <c r="P1092">
        <v>72807</v>
      </c>
      <c r="Q1092">
        <v>148336</v>
      </c>
      <c r="R1092" s="2">
        <v>45727</v>
      </c>
      <c r="S1092" t="s">
        <v>16</v>
      </c>
      <c r="T1092" t="s">
        <v>80</v>
      </c>
      <c r="U1092" t="s">
        <v>6388</v>
      </c>
      <c r="W1092" t="s">
        <v>6355</v>
      </c>
      <c r="X1092">
        <v>90</v>
      </c>
      <c r="Y1092" t="s">
        <v>80</v>
      </c>
      <c r="Z1092">
        <v>249</v>
      </c>
    </row>
    <row r="1093" spans="1:26" x14ac:dyDescent="0.3">
      <c r="A1093">
        <v>1092</v>
      </c>
      <c r="B1093" t="s">
        <v>2464</v>
      </c>
      <c r="C1093" t="s">
        <v>34</v>
      </c>
      <c r="D1093" t="s">
        <v>30</v>
      </c>
      <c r="E1093" t="s">
        <v>6354</v>
      </c>
      <c r="F1093" t="s">
        <v>6396</v>
      </c>
      <c r="G1093" t="s">
        <v>6378</v>
      </c>
      <c r="H1093" t="s">
        <v>6389</v>
      </c>
      <c r="I1093" t="s">
        <v>6391</v>
      </c>
      <c r="J1093">
        <f>AVERAGE(ai_job_market[[#This Row],[min_salary]],ai_job_market[[#This Row],[max_salary]])</f>
        <v>151514</v>
      </c>
      <c r="K1093" t="s">
        <v>6395</v>
      </c>
      <c r="L1093" t="s">
        <v>22</v>
      </c>
      <c r="M1093" t="s">
        <v>15</v>
      </c>
      <c r="N1093" t="s">
        <v>5520</v>
      </c>
      <c r="O1093" t="s">
        <v>4509</v>
      </c>
      <c r="P1093">
        <v>121770</v>
      </c>
      <c r="Q1093">
        <v>181258</v>
      </c>
      <c r="R1093" s="2">
        <v>45345</v>
      </c>
      <c r="S1093" t="s">
        <v>69</v>
      </c>
      <c r="T1093" t="s">
        <v>77</v>
      </c>
      <c r="U1093" t="s">
        <v>6388</v>
      </c>
      <c r="W1093" t="s">
        <v>6354</v>
      </c>
      <c r="X1093">
        <v>75</v>
      </c>
      <c r="Y1093" t="s">
        <v>77</v>
      </c>
      <c r="Z1093">
        <v>251</v>
      </c>
    </row>
    <row r="1094" spans="1:26" x14ac:dyDescent="0.3">
      <c r="A1094">
        <v>1093</v>
      </c>
      <c r="B1094" t="s">
        <v>2466</v>
      </c>
      <c r="C1094" t="s">
        <v>49</v>
      </c>
      <c r="D1094" t="s">
        <v>12</v>
      </c>
      <c r="E1094" t="s">
        <v>90</v>
      </c>
      <c r="F1094" t="s">
        <v>6381</v>
      </c>
      <c r="G1094" t="s">
        <v>6382</v>
      </c>
      <c r="J1094">
        <f>AVERAGE(ai_job_market[[#This Row],[min_salary]],ai_job_market[[#This Row],[max_salary]])</f>
        <v>100524</v>
      </c>
      <c r="K1094"/>
      <c r="L1094" t="s">
        <v>27</v>
      </c>
      <c r="M1094" t="s">
        <v>51</v>
      </c>
      <c r="N1094" t="s">
        <v>5521</v>
      </c>
      <c r="O1094" t="s">
        <v>4393</v>
      </c>
      <c r="P1094">
        <v>59736</v>
      </c>
      <c r="Q1094">
        <v>141312</v>
      </c>
      <c r="R1094" s="2">
        <v>45910</v>
      </c>
      <c r="S1094" t="s">
        <v>16</v>
      </c>
      <c r="T1094" t="s">
        <v>52</v>
      </c>
      <c r="U1094" t="s">
        <v>6383</v>
      </c>
      <c r="W1094" t="s">
        <v>90</v>
      </c>
      <c r="X1094">
        <v>80</v>
      </c>
      <c r="Y1094" t="s">
        <v>52</v>
      </c>
      <c r="Z1094">
        <v>238</v>
      </c>
    </row>
    <row r="1095" spans="1:26" x14ac:dyDescent="0.3">
      <c r="A1095">
        <v>1094</v>
      </c>
      <c r="B1095" t="s">
        <v>2468</v>
      </c>
      <c r="C1095" t="s">
        <v>45</v>
      </c>
      <c r="D1095" t="s">
        <v>12</v>
      </c>
      <c r="E1095" t="s">
        <v>6354</v>
      </c>
      <c r="F1095" t="s">
        <v>6394</v>
      </c>
      <c r="G1095" t="s">
        <v>6390</v>
      </c>
      <c r="J1095">
        <f>AVERAGE(ai_job_market[[#This Row],[min_salary]],ai_job_market[[#This Row],[max_salary]])</f>
        <v>87406.5</v>
      </c>
      <c r="K1095"/>
      <c r="L1095" t="s">
        <v>14</v>
      </c>
      <c r="M1095" t="s">
        <v>51</v>
      </c>
      <c r="N1095" t="s">
        <v>5522</v>
      </c>
      <c r="O1095" t="s">
        <v>4794</v>
      </c>
      <c r="P1095">
        <v>54563</v>
      </c>
      <c r="Q1095">
        <v>120250</v>
      </c>
      <c r="R1095" s="2">
        <v>45288</v>
      </c>
      <c r="S1095" t="s">
        <v>16</v>
      </c>
      <c r="T1095" t="s">
        <v>80</v>
      </c>
      <c r="U1095" t="s">
        <v>6389</v>
      </c>
      <c r="V1095" t="s">
        <v>6375</v>
      </c>
      <c r="W1095" t="s">
        <v>6354</v>
      </c>
      <c r="X1095">
        <v>75</v>
      </c>
      <c r="Y1095" t="s">
        <v>80</v>
      </c>
      <c r="Z1095">
        <v>249</v>
      </c>
    </row>
    <row r="1096" spans="1:26" x14ac:dyDescent="0.3">
      <c r="A1096">
        <v>1095</v>
      </c>
      <c r="B1096" t="s">
        <v>2471</v>
      </c>
      <c r="C1096" t="s">
        <v>19</v>
      </c>
      <c r="D1096" t="s">
        <v>30</v>
      </c>
      <c r="E1096" t="s">
        <v>6350</v>
      </c>
      <c r="F1096" t="s">
        <v>6374</v>
      </c>
      <c r="G1096" t="s">
        <v>6392</v>
      </c>
      <c r="H1096" t="s">
        <v>6386</v>
      </c>
      <c r="I1096" t="s">
        <v>6376</v>
      </c>
      <c r="J1096">
        <f>AVERAGE(ai_job_market[[#This Row],[min_salary]],ai_job_market[[#This Row],[max_salary]])</f>
        <v>100666</v>
      </c>
      <c r="K1096" t="s">
        <v>6394</v>
      </c>
      <c r="L1096" t="s">
        <v>22</v>
      </c>
      <c r="M1096" t="s">
        <v>15</v>
      </c>
      <c r="N1096" t="s">
        <v>5523</v>
      </c>
      <c r="O1096" t="s">
        <v>4456</v>
      </c>
      <c r="P1096">
        <v>59528</v>
      </c>
      <c r="Q1096">
        <v>141804</v>
      </c>
      <c r="R1096" s="2">
        <v>45637</v>
      </c>
      <c r="S1096" t="s">
        <v>14</v>
      </c>
      <c r="T1096" t="s">
        <v>77</v>
      </c>
      <c r="W1096" t="s">
        <v>6350</v>
      </c>
      <c r="X1096">
        <v>84</v>
      </c>
      <c r="Y1096" t="s">
        <v>77</v>
      </c>
      <c r="Z1096">
        <v>251</v>
      </c>
    </row>
    <row r="1097" spans="1:26" x14ac:dyDescent="0.3">
      <c r="A1097">
        <v>1096</v>
      </c>
      <c r="B1097" t="s">
        <v>2473</v>
      </c>
      <c r="C1097" t="s">
        <v>72</v>
      </c>
      <c r="D1097" t="s">
        <v>20</v>
      </c>
      <c r="E1097" t="s">
        <v>128</v>
      </c>
      <c r="F1097" t="s">
        <v>6397</v>
      </c>
      <c r="G1097" t="s">
        <v>6378</v>
      </c>
      <c r="H1097" t="s">
        <v>6391</v>
      </c>
      <c r="I1097" t="s">
        <v>6379</v>
      </c>
      <c r="J1097">
        <f>AVERAGE(ai_job_market[[#This Row],[min_salary]],ai_job_market[[#This Row],[max_salary]])</f>
        <v>149045.5</v>
      </c>
      <c r="K1097"/>
      <c r="L1097" t="s">
        <v>22</v>
      </c>
      <c r="M1097" t="s">
        <v>15</v>
      </c>
      <c r="N1097" t="s">
        <v>5524</v>
      </c>
      <c r="O1097" t="s">
        <v>4442</v>
      </c>
      <c r="P1097">
        <v>135458</v>
      </c>
      <c r="Q1097">
        <v>162633</v>
      </c>
      <c r="R1097" s="2">
        <v>45919</v>
      </c>
      <c r="S1097" t="s">
        <v>14</v>
      </c>
      <c r="T1097" t="s">
        <v>77</v>
      </c>
      <c r="U1097" t="s">
        <v>6383</v>
      </c>
      <c r="V1097" t="s">
        <v>6384</v>
      </c>
      <c r="W1097" t="s">
        <v>128</v>
      </c>
      <c r="X1097">
        <v>92</v>
      </c>
      <c r="Y1097" t="s">
        <v>77</v>
      </c>
      <c r="Z1097">
        <v>251</v>
      </c>
    </row>
    <row r="1098" spans="1:26" x14ac:dyDescent="0.3">
      <c r="A1098">
        <v>1097</v>
      </c>
      <c r="B1098" t="s">
        <v>2475</v>
      </c>
      <c r="C1098" t="s">
        <v>72</v>
      </c>
      <c r="D1098" t="s">
        <v>67</v>
      </c>
      <c r="E1098" t="s">
        <v>6346</v>
      </c>
      <c r="F1098" t="s">
        <v>6376</v>
      </c>
      <c r="G1098" t="s">
        <v>6380</v>
      </c>
      <c r="H1098" t="s">
        <v>6387</v>
      </c>
      <c r="I1098" t="s">
        <v>6386</v>
      </c>
      <c r="J1098">
        <f>AVERAGE(ai_job_market[[#This Row],[min_salary]],ai_job_market[[#This Row],[max_salary]])</f>
        <v>148213.5</v>
      </c>
      <c r="K1098" t="s">
        <v>6382</v>
      </c>
      <c r="L1098" t="s">
        <v>14</v>
      </c>
      <c r="M1098" t="s">
        <v>51</v>
      </c>
      <c r="N1098" t="s">
        <v>5525</v>
      </c>
      <c r="O1098" t="s">
        <v>4786</v>
      </c>
      <c r="P1098">
        <v>120849</v>
      </c>
      <c r="Q1098">
        <v>175578</v>
      </c>
      <c r="R1098" s="2">
        <v>45736</v>
      </c>
      <c r="S1098" t="s">
        <v>69</v>
      </c>
      <c r="T1098" t="s">
        <v>80</v>
      </c>
      <c r="W1098" t="s">
        <v>6346</v>
      </c>
      <c r="X1098">
        <v>78</v>
      </c>
      <c r="Y1098" t="s">
        <v>80</v>
      </c>
      <c r="Z1098">
        <v>249</v>
      </c>
    </row>
    <row r="1099" spans="1:26" x14ac:dyDescent="0.3">
      <c r="A1099">
        <v>1098</v>
      </c>
      <c r="B1099" t="s">
        <v>2477</v>
      </c>
      <c r="C1099" t="s">
        <v>45</v>
      </c>
      <c r="D1099" t="s">
        <v>54</v>
      </c>
      <c r="E1099" t="s">
        <v>6355</v>
      </c>
      <c r="F1099" t="s">
        <v>6387</v>
      </c>
      <c r="G1099" t="s">
        <v>6393</v>
      </c>
      <c r="H1099" t="s">
        <v>6381</v>
      </c>
      <c r="I1099" t="s">
        <v>6389</v>
      </c>
      <c r="J1099">
        <f>AVERAGE(ai_job_market[[#This Row],[min_salary]],ai_job_market[[#This Row],[max_salary]])</f>
        <v>138483.5</v>
      </c>
      <c r="K1099" t="s">
        <v>6392</v>
      </c>
      <c r="L1099" t="s">
        <v>27</v>
      </c>
      <c r="M1099" t="s">
        <v>51</v>
      </c>
      <c r="N1099" t="s">
        <v>5526</v>
      </c>
      <c r="O1099" t="s">
        <v>4791</v>
      </c>
      <c r="P1099">
        <v>114398</v>
      </c>
      <c r="Q1099">
        <v>162569</v>
      </c>
      <c r="R1099" s="2">
        <v>45210</v>
      </c>
      <c r="S1099" t="s">
        <v>16</v>
      </c>
      <c r="T1099" t="s">
        <v>80</v>
      </c>
      <c r="U1099" t="s">
        <v>6379</v>
      </c>
      <c r="W1099" t="s">
        <v>6355</v>
      </c>
      <c r="X1099">
        <v>90</v>
      </c>
      <c r="Y1099" t="s">
        <v>80</v>
      </c>
      <c r="Z1099">
        <v>249</v>
      </c>
    </row>
    <row r="1100" spans="1:26" x14ac:dyDescent="0.3">
      <c r="A1100">
        <v>1099</v>
      </c>
      <c r="B1100" t="s">
        <v>2479</v>
      </c>
      <c r="C1100" t="s">
        <v>19</v>
      </c>
      <c r="D1100" t="s">
        <v>30</v>
      </c>
      <c r="E1100" t="s">
        <v>6349</v>
      </c>
      <c r="F1100" t="s">
        <v>6391</v>
      </c>
      <c r="G1100" t="s">
        <v>6385</v>
      </c>
      <c r="H1100" t="s">
        <v>6374</v>
      </c>
      <c r="I1100" t="s">
        <v>6393</v>
      </c>
      <c r="J1100">
        <f>AVERAGE(ai_job_market[[#This Row],[min_salary]],ai_job_market[[#This Row],[max_salary]])</f>
        <v>115909.5</v>
      </c>
      <c r="K1100"/>
      <c r="L1100" t="s">
        <v>27</v>
      </c>
      <c r="M1100" t="s">
        <v>42</v>
      </c>
      <c r="N1100" t="s">
        <v>5527</v>
      </c>
      <c r="O1100" t="s">
        <v>4401</v>
      </c>
      <c r="P1100">
        <v>102033</v>
      </c>
      <c r="Q1100">
        <v>129786</v>
      </c>
      <c r="R1100" s="2">
        <v>45551</v>
      </c>
      <c r="S1100" t="s">
        <v>14</v>
      </c>
      <c r="T1100" t="s">
        <v>101</v>
      </c>
      <c r="W1100" t="s">
        <v>6349</v>
      </c>
      <c r="X1100">
        <v>96</v>
      </c>
      <c r="Y1100" t="s">
        <v>101</v>
      </c>
      <c r="Z1100">
        <v>255</v>
      </c>
    </row>
    <row r="1101" spans="1:26" x14ac:dyDescent="0.3">
      <c r="A1101">
        <v>1100</v>
      </c>
      <c r="B1101" t="s">
        <v>2481</v>
      </c>
      <c r="C1101" t="s">
        <v>40</v>
      </c>
      <c r="D1101" t="s">
        <v>30</v>
      </c>
      <c r="E1101" t="s">
        <v>6344</v>
      </c>
      <c r="F1101" t="s">
        <v>6393</v>
      </c>
      <c r="G1101" t="s">
        <v>6380</v>
      </c>
      <c r="H1101" t="s">
        <v>6392</v>
      </c>
      <c r="J1101">
        <f>AVERAGE(ai_job_market[[#This Row],[min_salary]],ai_job_market[[#This Row],[max_salary]])</f>
        <v>130657.5</v>
      </c>
      <c r="K1101"/>
      <c r="L1101" t="s">
        <v>14</v>
      </c>
      <c r="M1101" t="s">
        <v>51</v>
      </c>
      <c r="N1101" t="s">
        <v>5528</v>
      </c>
      <c r="O1101" t="s">
        <v>4488</v>
      </c>
      <c r="P1101">
        <v>109096</v>
      </c>
      <c r="Q1101">
        <v>152219</v>
      </c>
      <c r="R1101" s="2">
        <v>45212</v>
      </c>
      <c r="S1101" t="s">
        <v>69</v>
      </c>
      <c r="T1101" t="s">
        <v>80</v>
      </c>
      <c r="U1101" t="s">
        <v>6388</v>
      </c>
      <c r="W1101" t="s">
        <v>6344</v>
      </c>
      <c r="X1101">
        <v>104</v>
      </c>
      <c r="Y1101" t="s">
        <v>80</v>
      </c>
      <c r="Z1101">
        <v>249</v>
      </c>
    </row>
    <row r="1102" spans="1:26" x14ac:dyDescent="0.3">
      <c r="A1102">
        <v>1101</v>
      </c>
      <c r="B1102" t="s">
        <v>2483</v>
      </c>
      <c r="C1102" t="s">
        <v>11</v>
      </c>
      <c r="D1102" t="s">
        <v>67</v>
      </c>
      <c r="E1102" t="s">
        <v>77</v>
      </c>
      <c r="F1102" t="s">
        <v>6385</v>
      </c>
      <c r="G1102" t="s">
        <v>6387</v>
      </c>
      <c r="H1102" t="s">
        <v>6376</v>
      </c>
      <c r="I1102" t="s">
        <v>6377</v>
      </c>
      <c r="J1102">
        <f>AVERAGE(ai_job_market[[#This Row],[min_salary]],ai_job_market[[#This Row],[max_salary]])</f>
        <v>83249.5</v>
      </c>
      <c r="K1102" t="s">
        <v>6392</v>
      </c>
      <c r="L1102" t="s">
        <v>14</v>
      </c>
      <c r="M1102" t="s">
        <v>51</v>
      </c>
      <c r="N1102" t="s">
        <v>5529</v>
      </c>
      <c r="O1102" t="s">
        <v>4660</v>
      </c>
      <c r="P1102">
        <v>42116</v>
      </c>
      <c r="Q1102">
        <v>124383</v>
      </c>
      <c r="R1102" s="2">
        <v>45464</v>
      </c>
      <c r="S1102" t="s">
        <v>16</v>
      </c>
      <c r="T1102" t="s">
        <v>128</v>
      </c>
      <c r="U1102" t="s">
        <v>6378</v>
      </c>
      <c r="V1102" t="s">
        <v>6389</v>
      </c>
      <c r="W1102" t="s">
        <v>77</v>
      </c>
      <c r="X1102">
        <v>111</v>
      </c>
      <c r="Y1102" t="s">
        <v>128</v>
      </c>
      <c r="Z1102">
        <v>233</v>
      </c>
    </row>
    <row r="1103" spans="1:26" x14ac:dyDescent="0.3">
      <c r="A1103">
        <v>1102</v>
      </c>
      <c r="B1103" t="s">
        <v>2486</v>
      </c>
      <c r="C1103" t="s">
        <v>34</v>
      </c>
      <c r="D1103" t="s">
        <v>35</v>
      </c>
      <c r="E1103" t="s">
        <v>6358</v>
      </c>
      <c r="F1103" t="s">
        <v>6387</v>
      </c>
      <c r="G1103" t="s">
        <v>6397</v>
      </c>
      <c r="H1103" t="s">
        <v>6385</v>
      </c>
      <c r="I1103" t="s">
        <v>6381</v>
      </c>
      <c r="J1103">
        <f>AVERAGE(ai_job_market[[#This Row],[min_salary]],ai_job_market[[#This Row],[max_salary]])</f>
        <v>140450.5</v>
      </c>
      <c r="K1103"/>
      <c r="L1103" t="s">
        <v>27</v>
      </c>
      <c r="M1103" t="s">
        <v>51</v>
      </c>
      <c r="N1103" t="s">
        <v>5530</v>
      </c>
      <c r="O1103" t="s">
        <v>4714</v>
      </c>
      <c r="P1103">
        <v>101352</v>
      </c>
      <c r="Q1103">
        <v>179549</v>
      </c>
      <c r="R1103" s="2">
        <v>45498</v>
      </c>
      <c r="S1103" t="s">
        <v>16</v>
      </c>
      <c r="T1103" t="s">
        <v>157</v>
      </c>
      <c r="W1103" t="s">
        <v>6358</v>
      </c>
      <c r="X1103">
        <v>96</v>
      </c>
      <c r="Y1103" t="s">
        <v>157</v>
      </c>
      <c r="Z1103">
        <v>247</v>
      </c>
    </row>
    <row r="1104" spans="1:26" x14ac:dyDescent="0.3">
      <c r="A1104">
        <v>1103</v>
      </c>
      <c r="B1104" t="s">
        <v>2488</v>
      </c>
      <c r="C1104" t="s">
        <v>72</v>
      </c>
      <c r="D1104" t="s">
        <v>135</v>
      </c>
      <c r="E1104" t="s">
        <v>6353</v>
      </c>
      <c r="F1104" t="s">
        <v>6397</v>
      </c>
      <c r="G1104" t="s">
        <v>6374</v>
      </c>
      <c r="J1104">
        <f>AVERAGE(ai_job_market[[#This Row],[min_salary]],ai_job_market[[#This Row],[max_salary]])</f>
        <v>110308.5</v>
      </c>
      <c r="K1104"/>
      <c r="L1104" t="s">
        <v>22</v>
      </c>
      <c r="M1104" t="s">
        <v>15</v>
      </c>
      <c r="N1104" t="s">
        <v>5531</v>
      </c>
      <c r="O1104" t="s">
        <v>5030</v>
      </c>
      <c r="P1104">
        <v>66107</v>
      </c>
      <c r="Q1104">
        <v>154510</v>
      </c>
      <c r="R1104" s="2">
        <v>45617</v>
      </c>
      <c r="S1104" t="s">
        <v>16</v>
      </c>
      <c r="T1104" t="s">
        <v>77</v>
      </c>
      <c r="U1104" t="s">
        <v>6375</v>
      </c>
      <c r="W1104" t="s">
        <v>6353</v>
      </c>
      <c r="X1104">
        <v>86</v>
      </c>
      <c r="Y1104" t="s">
        <v>77</v>
      </c>
      <c r="Z1104">
        <v>251</v>
      </c>
    </row>
    <row r="1105" spans="1:26" x14ac:dyDescent="0.3">
      <c r="A1105">
        <v>1104</v>
      </c>
      <c r="B1105" t="s">
        <v>2490</v>
      </c>
      <c r="C1105" t="s">
        <v>34</v>
      </c>
      <c r="D1105" t="s">
        <v>67</v>
      </c>
      <c r="E1105" t="s">
        <v>70</v>
      </c>
      <c r="F1105" t="s">
        <v>6391</v>
      </c>
      <c r="G1105" t="s">
        <v>6375</v>
      </c>
      <c r="H1105" t="s">
        <v>6378</v>
      </c>
      <c r="J1105">
        <f>AVERAGE(ai_job_market[[#This Row],[min_salary]],ai_job_market[[#This Row],[max_salary]])</f>
        <v>54206.5</v>
      </c>
      <c r="K1105"/>
      <c r="L1105" t="s">
        <v>22</v>
      </c>
      <c r="M1105" t="s">
        <v>42</v>
      </c>
      <c r="N1105" t="s">
        <v>5532</v>
      </c>
      <c r="O1105" t="s">
        <v>4329</v>
      </c>
      <c r="P1105">
        <v>47058</v>
      </c>
      <c r="Q1105">
        <v>61355</v>
      </c>
      <c r="R1105" s="2">
        <v>45629</v>
      </c>
      <c r="S1105" t="s">
        <v>14</v>
      </c>
      <c r="T1105" t="s">
        <v>101</v>
      </c>
      <c r="W1105" t="s">
        <v>70</v>
      </c>
      <c r="X1105">
        <v>100</v>
      </c>
      <c r="Y1105" t="s">
        <v>101</v>
      </c>
      <c r="Z1105">
        <v>255</v>
      </c>
    </row>
    <row r="1106" spans="1:26" x14ac:dyDescent="0.3">
      <c r="A1106">
        <v>1105</v>
      </c>
      <c r="B1106" t="s">
        <v>2492</v>
      </c>
      <c r="C1106" t="s">
        <v>34</v>
      </c>
      <c r="D1106" t="s">
        <v>135</v>
      </c>
      <c r="E1106" t="s">
        <v>6351</v>
      </c>
      <c r="F1106" t="s">
        <v>6377</v>
      </c>
      <c r="G1106" t="s">
        <v>6378</v>
      </c>
      <c r="J1106">
        <f>AVERAGE(ai_job_market[[#This Row],[min_salary]],ai_job_market[[#This Row],[max_salary]])</f>
        <v>155207.5</v>
      </c>
      <c r="K1106"/>
      <c r="L1106" t="s">
        <v>27</v>
      </c>
      <c r="M1106" t="s">
        <v>15</v>
      </c>
      <c r="N1106" t="s">
        <v>5533</v>
      </c>
      <c r="O1106" t="s">
        <v>4478</v>
      </c>
      <c r="P1106">
        <v>134451</v>
      </c>
      <c r="Q1106">
        <v>175964</v>
      </c>
      <c r="R1106" s="2">
        <v>45241</v>
      </c>
      <c r="S1106" t="s">
        <v>69</v>
      </c>
      <c r="T1106" t="s">
        <v>70</v>
      </c>
      <c r="W1106" t="s">
        <v>6351</v>
      </c>
      <c r="X1106">
        <v>89</v>
      </c>
      <c r="Y1106" t="s">
        <v>70</v>
      </c>
      <c r="Z1106">
        <v>268</v>
      </c>
    </row>
    <row r="1107" spans="1:26" x14ac:dyDescent="0.3">
      <c r="A1107">
        <v>1106</v>
      </c>
      <c r="B1107" t="s">
        <v>2494</v>
      </c>
      <c r="C1107" t="s">
        <v>19</v>
      </c>
      <c r="D1107" t="s">
        <v>12</v>
      </c>
      <c r="E1107" t="s">
        <v>6358</v>
      </c>
      <c r="F1107" t="s">
        <v>6397</v>
      </c>
      <c r="G1107" t="s">
        <v>6382</v>
      </c>
      <c r="H1107" t="s">
        <v>6386</v>
      </c>
      <c r="J1107">
        <f>AVERAGE(ai_job_market[[#This Row],[min_salary]],ai_job_market[[#This Row],[max_salary]])</f>
        <v>88779.5</v>
      </c>
      <c r="K1107"/>
      <c r="L1107" t="s">
        <v>27</v>
      </c>
      <c r="M1107" t="s">
        <v>15</v>
      </c>
      <c r="N1107" t="s">
        <v>5534</v>
      </c>
      <c r="O1107" t="s">
        <v>5214</v>
      </c>
      <c r="P1107">
        <v>65526</v>
      </c>
      <c r="Q1107">
        <v>112033</v>
      </c>
      <c r="R1107" s="2">
        <v>45364</v>
      </c>
      <c r="S1107" t="s">
        <v>69</v>
      </c>
      <c r="T1107" t="s">
        <v>101</v>
      </c>
      <c r="U1107" t="s">
        <v>6375</v>
      </c>
      <c r="V1107" t="s">
        <v>6388</v>
      </c>
      <c r="W1107" t="s">
        <v>6358</v>
      </c>
      <c r="X1107">
        <v>96</v>
      </c>
      <c r="Y1107" t="s">
        <v>101</v>
      </c>
      <c r="Z1107">
        <v>255</v>
      </c>
    </row>
    <row r="1108" spans="1:26" x14ac:dyDescent="0.3">
      <c r="A1108">
        <v>1107</v>
      </c>
      <c r="B1108" t="s">
        <v>2497</v>
      </c>
      <c r="C1108" t="s">
        <v>40</v>
      </c>
      <c r="D1108" t="s">
        <v>67</v>
      </c>
      <c r="E1108" t="s">
        <v>6351</v>
      </c>
      <c r="F1108" t="s">
        <v>6391</v>
      </c>
      <c r="G1108" t="s">
        <v>6381</v>
      </c>
      <c r="J1108">
        <f>AVERAGE(ai_job_market[[#This Row],[min_salary]],ai_job_market[[#This Row],[max_salary]])</f>
        <v>121133.5</v>
      </c>
      <c r="K1108"/>
      <c r="L1108" t="s">
        <v>14</v>
      </c>
      <c r="M1108" t="s">
        <v>51</v>
      </c>
      <c r="N1108" t="s">
        <v>5535</v>
      </c>
      <c r="O1108" t="s">
        <v>4524</v>
      </c>
      <c r="P1108">
        <v>98233</v>
      </c>
      <c r="Q1108">
        <v>144034</v>
      </c>
      <c r="R1108" s="2">
        <v>45674</v>
      </c>
      <c r="S1108" t="s">
        <v>16</v>
      </c>
      <c r="T1108" t="s">
        <v>90</v>
      </c>
      <c r="U1108" t="s">
        <v>6388</v>
      </c>
      <c r="V1108" t="s">
        <v>6375</v>
      </c>
      <c r="W1108" t="s">
        <v>6351</v>
      </c>
      <c r="X1108">
        <v>89</v>
      </c>
      <c r="Y1108" t="s">
        <v>90</v>
      </c>
      <c r="Z1108">
        <v>259</v>
      </c>
    </row>
    <row r="1109" spans="1:26" x14ac:dyDescent="0.3">
      <c r="A1109">
        <v>1108</v>
      </c>
      <c r="B1109" t="s">
        <v>2499</v>
      </c>
      <c r="C1109" t="s">
        <v>11</v>
      </c>
      <c r="D1109" t="s">
        <v>25</v>
      </c>
      <c r="E1109" t="s">
        <v>6353</v>
      </c>
      <c r="F1109" t="s">
        <v>6380</v>
      </c>
      <c r="G1109" t="s">
        <v>6374</v>
      </c>
      <c r="J1109">
        <f>AVERAGE(ai_job_market[[#This Row],[min_salary]],ai_job_market[[#This Row],[max_salary]])</f>
        <v>78205.5</v>
      </c>
      <c r="K1109"/>
      <c r="L1109" t="s">
        <v>22</v>
      </c>
      <c r="M1109" t="s">
        <v>51</v>
      </c>
      <c r="N1109" t="s">
        <v>5536</v>
      </c>
      <c r="O1109" t="s">
        <v>5537</v>
      </c>
      <c r="P1109">
        <v>63107</v>
      </c>
      <c r="Q1109">
        <v>93304</v>
      </c>
      <c r="R1109" s="2">
        <v>45497</v>
      </c>
      <c r="S1109" t="s">
        <v>69</v>
      </c>
      <c r="T1109" t="s">
        <v>80</v>
      </c>
      <c r="U1109" t="s">
        <v>6388</v>
      </c>
      <c r="V1109" t="s">
        <v>6389</v>
      </c>
      <c r="W1109" t="s">
        <v>6353</v>
      </c>
      <c r="X1109">
        <v>86</v>
      </c>
      <c r="Y1109" t="s">
        <v>80</v>
      </c>
      <c r="Z1109">
        <v>249</v>
      </c>
    </row>
    <row r="1110" spans="1:26" x14ac:dyDescent="0.3">
      <c r="A1110">
        <v>1109</v>
      </c>
      <c r="B1110" t="s">
        <v>2501</v>
      </c>
      <c r="C1110" t="s">
        <v>19</v>
      </c>
      <c r="D1110" t="s">
        <v>25</v>
      </c>
      <c r="E1110" t="s">
        <v>6359</v>
      </c>
      <c r="F1110" t="s">
        <v>6393</v>
      </c>
      <c r="G1110" t="s">
        <v>6380</v>
      </c>
      <c r="H1110" t="s">
        <v>6389</v>
      </c>
      <c r="I1110" t="s">
        <v>6386</v>
      </c>
      <c r="J1110">
        <f>AVERAGE(ai_job_market[[#This Row],[min_salary]],ai_job_market[[#This Row],[max_salary]])</f>
        <v>137462</v>
      </c>
      <c r="K1110" t="s">
        <v>6375</v>
      </c>
      <c r="L1110" t="s">
        <v>14</v>
      </c>
      <c r="M1110" t="s">
        <v>37</v>
      </c>
      <c r="N1110" t="s">
        <v>5538</v>
      </c>
      <c r="O1110" t="s">
        <v>4634</v>
      </c>
      <c r="P1110">
        <v>111226</v>
      </c>
      <c r="Q1110">
        <v>163698</v>
      </c>
      <c r="R1110" s="2">
        <v>45548</v>
      </c>
      <c r="S1110" t="s">
        <v>14</v>
      </c>
      <c r="T1110" t="s">
        <v>70</v>
      </c>
      <c r="U1110" t="s">
        <v>6384</v>
      </c>
      <c r="V1110" t="s">
        <v>6383</v>
      </c>
      <c r="W1110" t="s">
        <v>6359</v>
      </c>
      <c r="X1110">
        <v>104</v>
      </c>
      <c r="Y1110" t="s">
        <v>70</v>
      </c>
      <c r="Z1110">
        <v>268</v>
      </c>
    </row>
    <row r="1111" spans="1:26" x14ac:dyDescent="0.3">
      <c r="A1111">
        <v>1110</v>
      </c>
      <c r="B1111" t="s">
        <v>2503</v>
      </c>
      <c r="C1111" t="s">
        <v>19</v>
      </c>
      <c r="D1111" t="s">
        <v>30</v>
      </c>
      <c r="E1111" t="s">
        <v>101</v>
      </c>
      <c r="F1111" t="s">
        <v>6382</v>
      </c>
      <c r="G1111" t="s">
        <v>6378</v>
      </c>
      <c r="H1111" t="s">
        <v>6386</v>
      </c>
      <c r="I1111" t="s">
        <v>6397</v>
      </c>
      <c r="J1111">
        <f>AVERAGE(ai_job_market[[#This Row],[min_salary]],ai_job_market[[#This Row],[max_salary]])</f>
        <v>115309.5</v>
      </c>
      <c r="K1111"/>
      <c r="L1111" t="s">
        <v>14</v>
      </c>
      <c r="M1111" t="s">
        <v>37</v>
      </c>
      <c r="N1111" t="s">
        <v>5539</v>
      </c>
      <c r="O1111" t="s">
        <v>4584</v>
      </c>
      <c r="P1111">
        <v>75074</v>
      </c>
      <c r="Q1111">
        <v>155545</v>
      </c>
      <c r="R1111" s="2">
        <v>45241</v>
      </c>
      <c r="S1111" t="s">
        <v>16</v>
      </c>
      <c r="T1111" t="s">
        <v>77</v>
      </c>
      <c r="U1111" t="s">
        <v>6379</v>
      </c>
      <c r="W1111" t="s">
        <v>101</v>
      </c>
      <c r="X1111">
        <v>76</v>
      </c>
      <c r="Y1111" t="s">
        <v>77</v>
      </c>
      <c r="Z1111">
        <v>251</v>
      </c>
    </row>
    <row r="1112" spans="1:26" x14ac:dyDescent="0.3">
      <c r="A1112">
        <v>1111</v>
      </c>
      <c r="B1112" t="s">
        <v>2505</v>
      </c>
      <c r="C1112" t="s">
        <v>40</v>
      </c>
      <c r="D1112" t="s">
        <v>25</v>
      </c>
      <c r="E1112" t="s">
        <v>6348</v>
      </c>
      <c r="F1112" t="s">
        <v>6396</v>
      </c>
      <c r="G1112" t="s">
        <v>6392</v>
      </c>
      <c r="H1112" t="s">
        <v>6379</v>
      </c>
      <c r="I1112" t="s">
        <v>6376</v>
      </c>
      <c r="J1112">
        <f>AVERAGE(ai_job_market[[#This Row],[min_salary]],ai_job_market[[#This Row],[max_salary]])</f>
        <v>113066</v>
      </c>
      <c r="K1112" t="s">
        <v>6384</v>
      </c>
      <c r="L1112" t="s">
        <v>14</v>
      </c>
      <c r="M1112" t="s">
        <v>15</v>
      </c>
      <c r="N1112" t="s">
        <v>5540</v>
      </c>
      <c r="O1112" t="s">
        <v>4469</v>
      </c>
      <c r="P1112">
        <v>80973</v>
      </c>
      <c r="Q1112">
        <v>145159</v>
      </c>
      <c r="R1112" s="2">
        <v>45202</v>
      </c>
      <c r="S1112" t="s">
        <v>16</v>
      </c>
      <c r="T1112" t="s">
        <v>157</v>
      </c>
      <c r="U1112" t="s">
        <v>6379</v>
      </c>
      <c r="V1112" t="s">
        <v>6375</v>
      </c>
      <c r="W1112" t="s">
        <v>6348</v>
      </c>
      <c r="X1112">
        <v>78</v>
      </c>
      <c r="Y1112" t="s">
        <v>157</v>
      </c>
      <c r="Z1112">
        <v>247</v>
      </c>
    </row>
    <row r="1113" spans="1:26" x14ac:dyDescent="0.3">
      <c r="A1113">
        <v>1112</v>
      </c>
      <c r="B1113" t="s">
        <v>2507</v>
      </c>
      <c r="C1113" t="s">
        <v>49</v>
      </c>
      <c r="D1113" t="s">
        <v>25</v>
      </c>
      <c r="E1113" t="s">
        <v>77</v>
      </c>
      <c r="F1113" t="s">
        <v>6381</v>
      </c>
      <c r="G1113" t="s">
        <v>6376</v>
      </c>
      <c r="J1113">
        <f>AVERAGE(ai_job_market[[#This Row],[min_salary]],ai_job_market[[#This Row],[max_salary]])</f>
        <v>106442</v>
      </c>
      <c r="K1113"/>
      <c r="L1113" t="s">
        <v>14</v>
      </c>
      <c r="M1113" t="s">
        <v>37</v>
      </c>
      <c r="N1113" t="s">
        <v>5541</v>
      </c>
      <c r="O1113" t="s">
        <v>4538</v>
      </c>
      <c r="P1113">
        <v>93507</v>
      </c>
      <c r="Q1113">
        <v>119377</v>
      </c>
      <c r="R1113" s="2">
        <v>45409</v>
      </c>
      <c r="S1113" t="s">
        <v>69</v>
      </c>
      <c r="T1113" t="s">
        <v>70</v>
      </c>
      <c r="W1113" t="s">
        <v>77</v>
      </c>
      <c r="X1113">
        <v>111</v>
      </c>
      <c r="Y1113" t="s">
        <v>70</v>
      </c>
      <c r="Z1113">
        <v>268</v>
      </c>
    </row>
    <row r="1114" spans="1:26" x14ac:dyDescent="0.3">
      <c r="A1114">
        <v>1113</v>
      </c>
      <c r="B1114" t="s">
        <v>2509</v>
      </c>
      <c r="C1114" t="s">
        <v>34</v>
      </c>
      <c r="D1114" t="s">
        <v>54</v>
      </c>
      <c r="E1114" t="s">
        <v>6356</v>
      </c>
      <c r="F1114" t="s">
        <v>6389</v>
      </c>
      <c r="G1114" t="s">
        <v>6376</v>
      </c>
      <c r="J1114">
        <f>AVERAGE(ai_job_market[[#This Row],[min_salary]],ai_job_market[[#This Row],[max_salary]])</f>
        <v>64705</v>
      </c>
      <c r="K1114"/>
      <c r="L1114" t="s">
        <v>22</v>
      </c>
      <c r="M1114" t="s">
        <v>51</v>
      </c>
      <c r="N1114" t="s">
        <v>5542</v>
      </c>
      <c r="O1114" t="s">
        <v>4307</v>
      </c>
      <c r="P1114">
        <v>50076</v>
      </c>
      <c r="Q1114">
        <v>79334</v>
      </c>
      <c r="R1114" s="2">
        <v>45586</v>
      </c>
      <c r="S1114" t="s">
        <v>16</v>
      </c>
      <c r="T1114" t="s">
        <v>101</v>
      </c>
      <c r="U1114" t="s">
        <v>6378</v>
      </c>
      <c r="W1114" t="s">
        <v>6356</v>
      </c>
      <c r="X1114">
        <v>86</v>
      </c>
      <c r="Y1114" t="s">
        <v>101</v>
      </c>
      <c r="Z1114">
        <v>255</v>
      </c>
    </row>
    <row r="1115" spans="1:26" x14ac:dyDescent="0.3">
      <c r="A1115">
        <v>1114</v>
      </c>
      <c r="B1115" t="s">
        <v>2511</v>
      </c>
      <c r="C1115" t="s">
        <v>45</v>
      </c>
      <c r="D1115" t="s">
        <v>35</v>
      </c>
      <c r="E1115" t="s">
        <v>6350</v>
      </c>
      <c r="F1115" t="s">
        <v>6390</v>
      </c>
      <c r="G1115" t="s">
        <v>6382</v>
      </c>
      <c r="J1115" s="6">
        <f>AVERAGE(ai_job_market[[#This Row],[min_salary]],ai_job_market[[#This Row],[max_salary]])</f>
        <v>177054.5</v>
      </c>
      <c r="K1115"/>
      <c r="L1115" t="s">
        <v>27</v>
      </c>
      <c r="M1115" t="s">
        <v>37</v>
      </c>
      <c r="N1115" t="s">
        <v>5543</v>
      </c>
      <c r="O1115" t="s">
        <v>4988</v>
      </c>
      <c r="P1115" s="5">
        <v>134300</v>
      </c>
      <c r="Q1115" s="5">
        <v>219809</v>
      </c>
      <c r="R1115" s="2">
        <v>45753</v>
      </c>
      <c r="S1115" t="s">
        <v>14</v>
      </c>
      <c r="T1115" t="s">
        <v>101</v>
      </c>
      <c r="U1115" t="s">
        <v>6378</v>
      </c>
      <c r="V1115" t="s">
        <v>6384</v>
      </c>
      <c r="W1115" t="s">
        <v>6350</v>
      </c>
      <c r="X1115">
        <v>84</v>
      </c>
      <c r="Y1115" t="s">
        <v>101</v>
      </c>
      <c r="Z1115">
        <v>255</v>
      </c>
    </row>
    <row r="1116" spans="1:26" x14ac:dyDescent="0.3">
      <c r="A1116">
        <v>1115</v>
      </c>
      <c r="B1116" t="s">
        <v>2513</v>
      </c>
      <c r="C1116" t="s">
        <v>19</v>
      </c>
      <c r="D1116" t="s">
        <v>67</v>
      </c>
      <c r="E1116" t="s">
        <v>6349</v>
      </c>
      <c r="F1116" t="s">
        <v>6391</v>
      </c>
      <c r="G1116" t="s">
        <v>6385</v>
      </c>
      <c r="J1116">
        <f>AVERAGE(ai_job_market[[#This Row],[min_salary]],ai_job_market[[#This Row],[max_salary]])</f>
        <v>143227.5</v>
      </c>
      <c r="K1116"/>
      <c r="L1116" t="s">
        <v>27</v>
      </c>
      <c r="M1116" t="s">
        <v>51</v>
      </c>
      <c r="N1116" t="s">
        <v>5544</v>
      </c>
      <c r="O1116" t="s">
        <v>4634</v>
      </c>
      <c r="P1116">
        <v>97395</v>
      </c>
      <c r="Q1116">
        <v>189060</v>
      </c>
      <c r="R1116" s="2">
        <v>45649</v>
      </c>
      <c r="S1116" t="s">
        <v>16</v>
      </c>
      <c r="T1116" t="s">
        <v>77</v>
      </c>
      <c r="U1116" t="s">
        <v>6379</v>
      </c>
      <c r="W1116" t="s">
        <v>6349</v>
      </c>
      <c r="X1116">
        <v>96</v>
      </c>
      <c r="Y1116" t="s">
        <v>77</v>
      </c>
      <c r="Z1116">
        <v>251</v>
      </c>
    </row>
    <row r="1117" spans="1:26" x14ac:dyDescent="0.3">
      <c r="A1117">
        <v>1116</v>
      </c>
      <c r="B1117" t="s">
        <v>2515</v>
      </c>
      <c r="C1117" t="s">
        <v>45</v>
      </c>
      <c r="D1117" t="s">
        <v>67</v>
      </c>
      <c r="E1117" t="s">
        <v>6350</v>
      </c>
      <c r="F1117" t="s">
        <v>6380</v>
      </c>
      <c r="G1117" t="s">
        <v>6395</v>
      </c>
      <c r="H1117" t="s">
        <v>6384</v>
      </c>
      <c r="J1117">
        <f>AVERAGE(ai_job_market[[#This Row],[min_salary]],ai_job_market[[#This Row],[max_salary]])</f>
        <v>182145</v>
      </c>
      <c r="K1117"/>
      <c r="L1117" t="s">
        <v>22</v>
      </c>
      <c r="M1117" t="s">
        <v>51</v>
      </c>
      <c r="N1117" t="s">
        <v>5545</v>
      </c>
      <c r="O1117" t="s">
        <v>4576</v>
      </c>
      <c r="P1117">
        <v>144238</v>
      </c>
      <c r="Q1117">
        <v>220052</v>
      </c>
      <c r="R1117" s="2">
        <v>45305</v>
      </c>
      <c r="S1117" t="s">
        <v>14</v>
      </c>
      <c r="T1117" t="s">
        <v>101</v>
      </c>
      <c r="U1117" t="s">
        <v>6384</v>
      </c>
      <c r="W1117" t="s">
        <v>6350</v>
      </c>
      <c r="X1117">
        <v>84</v>
      </c>
      <c r="Y1117" t="s">
        <v>101</v>
      </c>
      <c r="Z1117">
        <v>255</v>
      </c>
    </row>
    <row r="1118" spans="1:26" x14ac:dyDescent="0.3">
      <c r="A1118">
        <v>1117</v>
      </c>
      <c r="B1118" t="s">
        <v>2517</v>
      </c>
      <c r="C1118" t="s">
        <v>40</v>
      </c>
      <c r="D1118" t="s">
        <v>35</v>
      </c>
      <c r="E1118" t="s">
        <v>6353</v>
      </c>
      <c r="F1118" t="s">
        <v>6385</v>
      </c>
      <c r="G1118" t="s">
        <v>6381</v>
      </c>
      <c r="H1118" t="s">
        <v>6377</v>
      </c>
      <c r="I1118" t="s">
        <v>6389</v>
      </c>
      <c r="J1118">
        <f>AVERAGE(ai_job_market[[#This Row],[min_salary]],ai_job_market[[#This Row],[max_salary]])</f>
        <v>190330.5</v>
      </c>
      <c r="K1118" t="s">
        <v>6384</v>
      </c>
      <c r="L1118" t="s">
        <v>14</v>
      </c>
      <c r="M1118" t="s">
        <v>37</v>
      </c>
      <c r="N1118" t="s">
        <v>5306</v>
      </c>
      <c r="O1118" t="s">
        <v>4538</v>
      </c>
      <c r="P1118">
        <v>149741</v>
      </c>
      <c r="Q1118">
        <v>230920</v>
      </c>
      <c r="R1118" s="2">
        <v>45477</v>
      </c>
      <c r="S1118" t="s">
        <v>16</v>
      </c>
      <c r="T1118" t="s">
        <v>70</v>
      </c>
      <c r="U1118" t="s">
        <v>6389</v>
      </c>
      <c r="V1118" t="s">
        <v>6384</v>
      </c>
      <c r="W1118" t="s">
        <v>6353</v>
      </c>
      <c r="X1118">
        <v>86</v>
      </c>
      <c r="Y1118" t="s">
        <v>70</v>
      </c>
      <c r="Z1118">
        <v>268</v>
      </c>
    </row>
    <row r="1119" spans="1:26" x14ac:dyDescent="0.3">
      <c r="A1119">
        <v>1118</v>
      </c>
      <c r="B1119" t="s">
        <v>2520</v>
      </c>
      <c r="C1119" t="s">
        <v>72</v>
      </c>
      <c r="D1119" t="s">
        <v>135</v>
      </c>
      <c r="E1119" t="s">
        <v>70</v>
      </c>
      <c r="F1119" t="s">
        <v>6374</v>
      </c>
      <c r="G1119" t="s">
        <v>6392</v>
      </c>
      <c r="J1119">
        <f>AVERAGE(ai_job_market[[#This Row],[min_salary]],ai_job_market[[#This Row],[max_salary]])</f>
        <v>121556.5</v>
      </c>
      <c r="K1119"/>
      <c r="L1119" t="s">
        <v>22</v>
      </c>
      <c r="M1119" t="s">
        <v>37</v>
      </c>
      <c r="N1119" t="s">
        <v>4400</v>
      </c>
      <c r="O1119" t="s">
        <v>4582</v>
      </c>
      <c r="P1119">
        <v>106079</v>
      </c>
      <c r="Q1119">
        <v>137034</v>
      </c>
      <c r="R1119" s="2">
        <v>45268</v>
      </c>
      <c r="S1119" t="s">
        <v>14</v>
      </c>
      <c r="T1119" t="s">
        <v>157</v>
      </c>
      <c r="U1119" t="s">
        <v>6384</v>
      </c>
      <c r="V1119" t="s">
        <v>6378</v>
      </c>
      <c r="W1119" t="s">
        <v>70</v>
      </c>
      <c r="X1119">
        <v>100</v>
      </c>
      <c r="Y1119" t="s">
        <v>157</v>
      </c>
      <c r="Z1119">
        <v>247</v>
      </c>
    </row>
    <row r="1120" spans="1:26" x14ac:dyDescent="0.3">
      <c r="A1120">
        <v>1119</v>
      </c>
      <c r="B1120" t="s">
        <v>2523</v>
      </c>
      <c r="C1120" t="s">
        <v>45</v>
      </c>
      <c r="D1120" t="s">
        <v>20</v>
      </c>
      <c r="E1120" t="s">
        <v>6359</v>
      </c>
      <c r="F1120" t="s">
        <v>6396</v>
      </c>
      <c r="G1120" t="s">
        <v>6395</v>
      </c>
      <c r="H1120" t="s">
        <v>6393</v>
      </c>
      <c r="J1120">
        <f>AVERAGE(ai_job_market[[#This Row],[min_salary]],ai_job_market[[#This Row],[max_salary]])</f>
        <v>132009</v>
      </c>
      <c r="K1120"/>
      <c r="L1120" t="s">
        <v>22</v>
      </c>
      <c r="M1120" t="s">
        <v>42</v>
      </c>
      <c r="N1120" t="s">
        <v>5546</v>
      </c>
      <c r="O1120" t="s">
        <v>4526</v>
      </c>
      <c r="P1120">
        <v>98445</v>
      </c>
      <c r="Q1120">
        <v>165573</v>
      </c>
      <c r="R1120" s="2">
        <v>45623</v>
      </c>
      <c r="S1120" t="s">
        <v>69</v>
      </c>
      <c r="T1120" t="s">
        <v>80</v>
      </c>
      <c r="U1120" t="s">
        <v>6376</v>
      </c>
      <c r="W1120" t="s">
        <v>6359</v>
      </c>
      <c r="X1120">
        <v>104</v>
      </c>
      <c r="Y1120" t="s">
        <v>80</v>
      </c>
      <c r="Z1120">
        <v>249</v>
      </c>
    </row>
    <row r="1121" spans="1:26" x14ac:dyDescent="0.3">
      <c r="A1121">
        <v>1120</v>
      </c>
      <c r="B1121" t="s">
        <v>2525</v>
      </c>
      <c r="C1121" t="s">
        <v>72</v>
      </c>
      <c r="D1121" t="s">
        <v>54</v>
      </c>
      <c r="E1121" t="s">
        <v>6350</v>
      </c>
      <c r="F1121" t="s">
        <v>6384</v>
      </c>
      <c r="G1121" t="s">
        <v>6378</v>
      </c>
      <c r="H1121" t="s">
        <v>6386</v>
      </c>
      <c r="I1121" t="s">
        <v>6374</v>
      </c>
      <c r="J1121">
        <f>AVERAGE(ai_job_market[[#This Row],[min_salary]],ai_job_market[[#This Row],[max_salary]])</f>
        <v>65931</v>
      </c>
      <c r="K1121"/>
      <c r="L1121" t="s">
        <v>22</v>
      </c>
      <c r="M1121" t="s">
        <v>37</v>
      </c>
      <c r="N1121" t="s">
        <v>5547</v>
      </c>
      <c r="O1121" t="s">
        <v>4518</v>
      </c>
      <c r="P1121">
        <v>43140</v>
      </c>
      <c r="Q1121">
        <v>88722</v>
      </c>
      <c r="R1121" s="2">
        <v>45552</v>
      </c>
      <c r="S1121" t="s">
        <v>69</v>
      </c>
      <c r="T1121" t="s">
        <v>157</v>
      </c>
      <c r="U1121" t="s">
        <v>6375</v>
      </c>
      <c r="W1121" t="s">
        <v>6350</v>
      </c>
      <c r="X1121">
        <v>84</v>
      </c>
      <c r="Y1121" t="s">
        <v>157</v>
      </c>
      <c r="Z1121">
        <v>247</v>
      </c>
    </row>
    <row r="1122" spans="1:26" x14ac:dyDescent="0.3">
      <c r="A1122">
        <v>1121</v>
      </c>
      <c r="B1122" t="s">
        <v>2527</v>
      </c>
      <c r="C1122" t="s">
        <v>49</v>
      </c>
      <c r="D1122" t="s">
        <v>30</v>
      </c>
      <c r="E1122" t="s">
        <v>101</v>
      </c>
      <c r="F1122" t="s">
        <v>6379</v>
      </c>
      <c r="G1122" t="s">
        <v>6389</v>
      </c>
      <c r="H1122" t="s">
        <v>6392</v>
      </c>
      <c r="J1122">
        <f>AVERAGE(ai_job_market[[#This Row],[min_salary]],ai_job_market[[#This Row],[max_salary]])</f>
        <v>86689.5</v>
      </c>
      <c r="K1122"/>
      <c r="L1122" t="s">
        <v>14</v>
      </c>
      <c r="M1122" t="s">
        <v>42</v>
      </c>
      <c r="N1122" t="s">
        <v>5548</v>
      </c>
      <c r="O1122" t="s">
        <v>4418</v>
      </c>
      <c r="P1122">
        <v>52046</v>
      </c>
      <c r="Q1122">
        <v>121333</v>
      </c>
      <c r="R1122" s="2">
        <v>45320</v>
      </c>
      <c r="S1122" t="s">
        <v>16</v>
      </c>
      <c r="T1122" t="s">
        <v>157</v>
      </c>
      <c r="U1122" t="s">
        <v>6379</v>
      </c>
      <c r="V1122" t="s">
        <v>6376</v>
      </c>
      <c r="W1122" t="s">
        <v>101</v>
      </c>
      <c r="X1122">
        <v>76</v>
      </c>
      <c r="Y1122" t="s">
        <v>157</v>
      </c>
      <c r="Z1122">
        <v>247</v>
      </c>
    </row>
    <row r="1123" spans="1:26" x14ac:dyDescent="0.3">
      <c r="A1123">
        <v>1122</v>
      </c>
      <c r="B1123" t="s">
        <v>2529</v>
      </c>
      <c r="C1123" t="s">
        <v>40</v>
      </c>
      <c r="D1123" t="s">
        <v>30</v>
      </c>
      <c r="E1123" t="s">
        <v>6349</v>
      </c>
      <c r="F1123" t="s">
        <v>6378</v>
      </c>
      <c r="G1123" t="s">
        <v>6376</v>
      </c>
      <c r="H1123" t="s">
        <v>6387</v>
      </c>
      <c r="I1123" t="s">
        <v>6393</v>
      </c>
      <c r="J1123">
        <f>AVERAGE(ai_job_market[[#This Row],[min_salary]],ai_job_market[[#This Row],[max_salary]])</f>
        <v>111885</v>
      </c>
      <c r="K1123" t="s">
        <v>6375</v>
      </c>
      <c r="L1123" t="s">
        <v>27</v>
      </c>
      <c r="M1123" t="s">
        <v>42</v>
      </c>
      <c r="N1123" t="s">
        <v>5549</v>
      </c>
      <c r="O1123" t="s">
        <v>4357</v>
      </c>
      <c r="P1123">
        <v>99858</v>
      </c>
      <c r="Q1123">
        <v>123912</v>
      </c>
      <c r="R1123" s="2">
        <v>45684</v>
      </c>
      <c r="S1123" t="s">
        <v>69</v>
      </c>
      <c r="T1123" t="s">
        <v>90</v>
      </c>
      <c r="U1123" t="s">
        <v>6375</v>
      </c>
      <c r="W1123" t="s">
        <v>6349</v>
      </c>
      <c r="X1123">
        <v>96</v>
      </c>
      <c r="Y1123" t="s">
        <v>90</v>
      </c>
      <c r="Z1123">
        <v>259</v>
      </c>
    </row>
    <row r="1124" spans="1:26" x14ac:dyDescent="0.3">
      <c r="A1124">
        <v>1123</v>
      </c>
      <c r="B1124" t="s">
        <v>2531</v>
      </c>
      <c r="C1124" t="s">
        <v>34</v>
      </c>
      <c r="D1124" t="s">
        <v>25</v>
      </c>
      <c r="E1124" t="s">
        <v>6349</v>
      </c>
      <c r="F1124" t="s">
        <v>6382</v>
      </c>
      <c r="G1124" t="s">
        <v>6387</v>
      </c>
      <c r="H1124" t="s">
        <v>6396</v>
      </c>
      <c r="I1124" t="s">
        <v>6381</v>
      </c>
      <c r="J1124" s="6">
        <f>AVERAGE(ai_job_market[[#This Row],[min_salary]],ai_job_market[[#This Row],[max_salary]])</f>
        <v>125497.5</v>
      </c>
      <c r="K1124"/>
      <c r="L1124" t="s">
        <v>14</v>
      </c>
      <c r="M1124" t="s">
        <v>37</v>
      </c>
      <c r="N1124" t="s">
        <v>5550</v>
      </c>
      <c r="O1124" t="s">
        <v>4791</v>
      </c>
      <c r="P1124" s="5">
        <v>88347</v>
      </c>
      <c r="Q1124" s="5">
        <v>162648</v>
      </c>
      <c r="R1124" s="2">
        <v>45404</v>
      </c>
      <c r="S1124" t="s">
        <v>14</v>
      </c>
      <c r="T1124" t="s">
        <v>90</v>
      </c>
      <c r="U1124" t="s">
        <v>6375</v>
      </c>
      <c r="V1124" t="s">
        <v>6388</v>
      </c>
      <c r="W1124" t="s">
        <v>6349</v>
      </c>
      <c r="X1124">
        <v>96</v>
      </c>
      <c r="Y1124" t="s">
        <v>90</v>
      </c>
      <c r="Z1124">
        <v>259</v>
      </c>
    </row>
    <row r="1125" spans="1:26" x14ac:dyDescent="0.3">
      <c r="A1125">
        <v>1124</v>
      </c>
      <c r="B1125" t="s">
        <v>2534</v>
      </c>
      <c r="C1125" t="s">
        <v>40</v>
      </c>
      <c r="D1125" t="s">
        <v>67</v>
      </c>
      <c r="E1125" t="s">
        <v>6352</v>
      </c>
      <c r="F1125" t="s">
        <v>6377</v>
      </c>
      <c r="G1125" t="s">
        <v>6391</v>
      </c>
      <c r="J1125">
        <f>AVERAGE(ai_job_market[[#This Row],[min_salary]],ai_job_market[[#This Row],[max_salary]])</f>
        <v>127050</v>
      </c>
      <c r="K1125"/>
      <c r="L1125" t="s">
        <v>27</v>
      </c>
      <c r="M1125" t="s">
        <v>42</v>
      </c>
      <c r="N1125" t="s">
        <v>5551</v>
      </c>
      <c r="O1125" t="s">
        <v>4714</v>
      </c>
      <c r="P1125">
        <v>111367</v>
      </c>
      <c r="Q1125">
        <v>142733</v>
      </c>
      <c r="R1125" s="2">
        <v>45637</v>
      </c>
      <c r="S1125" t="s">
        <v>16</v>
      </c>
      <c r="T1125" t="s">
        <v>80</v>
      </c>
      <c r="U1125" t="s">
        <v>6389</v>
      </c>
      <c r="V1125" t="s">
        <v>6379</v>
      </c>
      <c r="W1125" t="s">
        <v>6352</v>
      </c>
      <c r="X1125">
        <v>97</v>
      </c>
      <c r="Y1125" t="s">
        <v>80</v>
      </c>
      <c r="Z1125">
        <v>249</v>
      </c>
    </row>
    <row r="1126" spans="1:26" x14ac:dyDescent="0.3">
      <c r="A1126">
        <v>1125</v>
      </c>
      <c r="B1126" t="s">
        <v>2536</v>
      </c>
      <c r="C1126" t="s">
        <v>11</v>
      </c>
      <c r="D1126" t="s">
        <v>12</v>
      </c>
      <c r="E1126" t="s">
        <v>6358</v>
      </c>
      <c r="F1126" t="s">
        <v>6387</v>
      </c>
      <c r="G1126" t="s">
        <v>6379</v>
      </c>
      <c r="H1126" t="s">
        <v>6385</v>
      </c>
      <c r="J1126">
        <f>AVERAGE(ai_job_market[[#This Row],[min_salary]],ai_job_market[[#This Row],[max_salary]])</f>
        <v>111235.5</v>
      </c>
      <c r="K1126"/>
      <c r="L1126" t="s">
        <v>27</v>
      </c>
      <c r="M1126" t="s">
        <v>15</v>
      </c>
      <c r="N1126" t="s">
        <v>5552</v>
      </c>
      <c r="O1126" t="s">
        <v>4591</v>
      </c>
      <c r="P1126">
        <v>78429</v>
      </c>
      <c r="Q1126">
        <v>144042</v>
      </c>
      <c r="R1126" s="2">
        <v>45873</v>
      </c>
      <c r="S1126" t="s">
        <v>14</v>
      </c>
      <c r="T1126" t="s">
        <v>52</v>
      </c>
      <c r="U1126" t="s">
        <v>6383</v>
      </c>
      <c r="W1126" t="s">
        <v>6358</v>
      </c>
      <c r="X1126">
        <v>96</v>
      </c>
      <c r="Y1126" t="s">
        <v>52</v>
      </c>
      <c r="Z1126">
        <v>238</v>
      </c>
    </row>
    <row r="1127" spans="1:26" x14ac:dyDescent="0.3">
      <c r="A1127">
        <v>1126</v>
      </c>
      <c r="B1127" t="s">
        <v>2538</v>
      </c>
      <c r="C1127" t="s">
        <v>49</v>
      </c>
      <c r="D1127" t="s">
        <v>20</v>
      </c>
      <c r="E1127" t="s">
        <v>6350</v>
      </c>
      <c r="F1127" t="s">
        <v>6393</v>
      </c>
      <c r="G1127" t="s">
        <v>6392</v>
      </c>
      <c r="J1127">
        <f>AVERAGE(ai_job_market[[#This Row],[min_salary]],ai_job_market[[#This Row],[max_salary]])</f>
        <v>175832</v>
      </c>
      <c r="K1127"/>
      <c r="L1127" t="s">
        <v>22</v>
      </c>
      <c r="M1127" t="s">
        <v>42</v>
      </c>
      <c r="N1127" t="s">
        <v>5553</v>
      </c>
      <c r="O1127" t="s">
        <v>4452</v>
      </c>
      <c r="P1127">
        <v>134633</v>
      </c>
      <c r="Q1127">
        <v>217031</v>
      </c>
      <c r="R1127" s="2">
        <v>45715</v>
      </c>
      <c r="S1127" t="s">
        <v>16</v>
      </c>
      <c r="T1127" t="s">
        <v>128</v>
      </c>
      <c r="U1127" t="s">
        <v>6388</v>
      </c>
      <c r="W1127" t="s">
        <v>6350</v>
      </c>
      <c r="X1127">
        <v>84</v>
      </c>
      <c r="Y1127" t="s">
        <v>128</v>
      </c>
      <c r="Z1127">
        <v>233</v>
      </c>
    </row>
    <row r="1128" spans="1:26" x14ac:dyDescent="0.3">
      <c r="A1128">
        <v>1127</v>
      </c>
      <c r="B1128" t="s">
        <v>2540</v>
      </c>
      <c r="C1128" t="s">
        <v>72</v>
      </c>
      <c r="D1128" t="s">
        <v>54</v>
      </c>
      <c r="E1128" t="s">
        <v>6354</v>
      </c>
      <c r="F1128" t="s">
        <v>6378</v>
      </c>
      <c r="G1128" t="s">
        <v>6395</v>
      </c>
      <c r="J1128">
        <f>AVERAGE(ai_job_market[[#This Row],[min_salary]],ai_job_market[[#This Row],[max_salary]])</f>
        <v>162266</v>
      </c>
      <c r="K1128"/>
      <c r="L1128" t="s">
        <v>22</v>
      </c>
      <c r="M1128" t="s">
        <v>51</v>
      </c>
      <c r="N1128" t="s">
        <v>5554</v>
      </c>
      <c r="O1128" t="s">
        <v>4849</v>
      </c>
      <c r="P1128">
        <v>112953</v>
      </c>
      <c r="Q1128">
        <v>211579</v>
      </c>
      <c r="R1128" s="2">
        <v>45582</v>
      </c>
      <c r="S1128" t="s">
        <v>14</v>
      </c>
      <c r="T1128" t="s">
        <v>77</v>
      </c>
      <c r="U1128" t="s">
        <v>6379</v>
      </c>
      <c r="W1128" t="s">
        <v>6354</v>
      </c>
      <c r="X1128">
        <v>75</v>
      </c>
      <c r="Y1128" t="s">
        <v>77</v>
      </c>
      <c r="Z1128">
        <v>251</v>
      </c>
    </row>
    <row r="1129" spans="1:26" x14ac:dyDescent="0.3">
      <c r="A1129">
        <v>1128</v>
      </c>
      <c r="B1129" t="s">
        <v>2542</v>
      </c>
      <c r="C1129" t="s">
        <v>49</v>
      </c>
      <c r="D1129" t="s">
        <v>67</v>
      </c>
      <c r="E1129" t="s">
        <v>6356</v>
      </c>
      <c r="F1129" t="s">
        <v>6377</v>
      </c>
      <c r="G1129" t="s">
        <v>6385</v>
      </c>
      <c r="J1129">
        <f>AVERAGE(ai_job_market[[#This Row],[min_salary]],ai_job_market[[#This Row],[max_salary]])</f>
        <v>152379.5</v>
      </c>
      <c r="K1129"/>
      <c r="L1129" t="s">
        <v>14</v>
      </c>
      <c r="M1129" t="s">
        <v>37</v>
      </c>
      <c r="N1129" t="s">
        <v>5555</v>
      </c>
      <c r="O1129" t="s">
        <v>4559</v>
      </c>
      <c r="P1129">
        <v>144779</v>
      </c>
      <c r="Q1129">
        <v>159980</v>
      </c>
      <c r="R1129" s="2">
        <v>45274</v>
      </c>
      <c r="S1129" t="s">
        <v>14</v>
      </c>
      <c r="T1129" t="s">
        <v>77</v>
      </c>
      <c r="W1129" t="s">
        <v>6356</v>
      </c>
      <c r="X1129">
        <v>86</v>
      </c>
      <c r="Y1129" t="s">
        <v>77</v>
      </c>
      <c r="Z1129">
        <v>251</v>
      </c>
    </row>
    <row r="1130" spans="1:26" x14ac:dyDescent="0.3">
      <c r="A1130">
        <v>1129</v>
      </c>
      <c r="B1130" t="s">
        <v>2544</v>
      </c>
      <c r="C1130" t="s">
        <v>34</v>
      </c>
      <c r="D1130" t="s">
        <v>35</v>
      </c>
      <c r="E1130" t="s">
        <v>6356</v>
      </c>
      <c r="F1130" t="s">
        <v>6382</v>
      </c>
      <c r="G1130" t="s">
        <v>6375</v>
      </c>
      <c r="H1130" t="s">
        <v>6396</v>
      </c>
      <c r="J1130">
        <f>AVERAGE(ai_job_market[[#This Row],[min_salary]],ai_job_market[[#This Row],[max_salary]])</f>
        <v>140707.5</v>
      </c>
      <c r="K1130"/>
      <c r="L1130" t="s">
        <v>27</v>
      </c>
      <c r="M1130" t="s">
        <v>37</v>
      </c>
      <c r="N1130" t="s">
        <v>5556</v>
      </c>
      <c r="O1130" t="s">
        <v>4385</v>
      </c>
      <c r="P1130">
        <v>117277</v>
      </c>
      <c r="Q1130">
        <v>164138</v>
      </c>
      <c r="R1130" s="2">
        <v>45905</v>
      </c>
      <c r="S1130" t="s">
        <v>14</v>
      </c>
      <c r="T1130" t="s">
        <v>77</v>
      </c>
      <c r="U1130" t="s">
        <v>6384</v>
      </c>
      <c r="W1130" t="s">
        <v>6356</v>
      </c>
      <c r="X1130">
        <v>86</v>
      </c>
      <c r="Y1130" t="s">
        <v>77</v>
      </c>
      <c r="Z1130">
        <v>251</v>
      </c>
    </row>
    <row r="1131" spans="1:26" x14ac:dyDescent="0.3">
      <c r="A1131">
        <v>1130</v>
      </c>
      <c r="B1131" t="s">
        <v>2546</v>
      </c>
      <c r="C1131" t="s">
        <v>72</v>
      </c>
      <c r="D1131" t="s">
        <v>67</v>
      </c>
      <c r="E1131" t="s">
        <v>6359</v>
      </c>
      <c r="F1131" t="s">
        <v>6379</v>
      </c>
      <c r="G1131" t="s">
        <v>6396</v>
      </c>
      <c r="H1131" t="s">
        <v>6382</v>
      </c>
      <c r="I1131" t="s">
        <v>6397</v>
      </c>
      <c r="J1131" s="6">
        <f>AVERAGE(ai_job_market[[#This Row],[min_salary]],ai_job_market[[#This Row],[max_salary]])</f>
        <v>58969.5</v>
      </c>
      <c r="K1131" t="s">
        <v>6392</v>
      </c>
      <c r="L1131" t="s">
        <v>14</v>
      </c>
      <c r="M1131" t="s">
        <v>51</v>
      </c>
      <c r="N1131" t="s">
        <v>5557</v>
      </c>
      <c r="O1131" t="s">
        <v>4469</v>
      </c>
      <c r="P1131" s="5">
        <v>53255</v>
      </c>
      <c r="Q1131" s="5">
        <v>64684</v>
      </c>
      <c r="R1131" s="2">
        <v>45916</v>
      </c>
      <c r="S1131" t="s">
        <v>14</v>
      </c>
      <c r="T1131" t="s">
        <v>80</v>
      </c>
      <c r="U1131" t="s">
        <v>6375</v>
      </c>
      <c r="W1131" t="s">
        <v>6359</v>
      </c>
      <c r="X1131">
        <v>104</v>
      </c>
      <c r="Y1131" t="s">
        <v>80</v>
      </c>
      <c r="Z1131">
        <v>249</v>
      </c>
    </row>
    <row r="1132" spans="1:26" x14ac:dyDescent="0.3">
      <c r="A1132">
        <v>1131</v>
      </c>
      <c r="B1132" t="s">
        <v>2548</v>
      </c>
      <c r="C1132" t="s">
        <v>72</v>
      </c>
      <c r="D1132" t="s">
        <v>35</v>
      </c>
      <c r="E1132" t="s">
        <v>6350</v>
      </c>
      <c r="F1132" t="s">
        <v>6397</v>
      </c>
      <c r="G1132" t="s">
        <v>6387</v>
      </c>
      <c r="H1132" t="s">
        <v>6396</v>
      </c>
      <c r="J1132">
        <f>AVERAGE(ai_job_market[[#This Row],[min_salary]],ai_job_market[[#This Row],[max_salary]])</f>
        <v>139698</v>
      </c>
      <c r="K1132"/>
      <c r="L1132" t="s">
        <v>27</v>
      </c>
      <c r="M1132" t="s">
        <v>51</v>
      </c>
      <c r="N1132" t="s">
        <v>5086</v>
      </c>
      <c r="O1132" t="s">
        <v>4704</v>
      </c>
      <c r="P1132">
        <v>113739</v>
      </c>
      <c r="Q1132">
        <v>165657</v>
      </c>
      <c r="R1132" s="2">
        <v>45448</v>
      </c>
      <c r="S1132" t="s">
        <v>69</v>
      </c>
      <c r="T1132" t="s">
        <v>157</v>
      </c>
      <c r="W1132" t="s">
        <v>6350</v>
      </c>
      <c r="X1132">
        <v>84</v>
      </c>
      <c r="Y1132" t="s">
        <v>157</v>
      </c>
      <c r="Z1132">
        <v>247</v>
      </c>
    </row>
    <row r="1133" spans="1:26" x14ac:dyDescent="0.3">
      <c r="A1133">
        <v>1132</v>
      </c>
      <c r="B1133" t="s">
        <v>2550</v>
      </c>
      <c r="C1133" t="s">
        <v>72</v>
      </c>
      <c r="D1133" t="s">
        <v>20</v>
      </c>
      <c r="E1133" t="s">
        <v>70</v>
      </c>
      <c r="F1133" t="s">
        <v>6382</v>
      </c>
      <c r="G1133" t="s">
        <v>6384</v>
      </c>
      <c r="H1133" t="s">
        <v>6380</v>
      </c>
      <c r="J1133">
        <f>AVERAGE(ai_job_market[[#This Row],[min_salary]],ai_job_market[[#This Row],[max_salary]])</f>
        <v>88501.5</v>
      </c>
      <c r="K1133"/>
      <c r="L1133" t="s">
        <v>14</v>
      </c>
      <c r="M1133" t="s">
        <v>42</v>
      </c>
      <c r="N1133" t="s">
        <v>5558</v>
      </c>
      <c r="O1133" t="s">
        <v>4608</v>
      </c>
      <c r="P1133">
        <v>64726</v>
      </c>
      <c r="Q1133">
        <v>112277</v>
      </c>
      <c r="R1133" s="2">
        <v>45589</v>
      </c>
      <c r="S1133" t="s">
        <v>14</v>
      </c>
      <c r="T1133" t="s">
        <v>70</v>
      </c>
      <c r="U1133" t="s">
        <v>6383</v>
      </c>
      <c r="W1133" t="s">
        <v>70</v>
      </c>
      <c r="X1133">
        <v>100</v>
      </c>
      <c r="Y1133" t="s">
        <v>70</v>
      </c>
      <c r="Z1133">
        <v>268</v>
      </c>
    </row>
    <row r="1134" spans="1:26" x14ac:dyDescent="0.3">
      <c r="A1134">
        <v>1133</v>
      </c>
      <c r="B1134" t="s">
        <v>2552</v>
      </c>
      <c r="C1134" t="s">
        <v>49</v>
      </c>
      <c r="D1134" t="s">
        <v>67</v>
      </c>
      <c r="E1134" t="s">
        <v>90</v>
      </c>
      <c r="F1134" t="s">
        <v>6392</v>
      </c>
      <c r="G1134" t="s">
        <v>6386</v>
      </c>
      <c r="J1134">
        <f>AVERAGE(ai_job_market[[#This Row],[min_salary]],ai_job_market[[#This Row],[max_salary]])</f>
        <v>55065</v>
      </c>
      <c r="K1134"/>
      <c r="L1134" t="s">
        <v>27</v>
      </c>
      <c r="M1134" t="s">
        <v>37</v>
      </c>
      <c r="N1134" t="s">
        <v>5559</v>
      </c>
      <c r="O1134" t="s">
        <v>4684</v>
      </c>
      <c r="P1134">
        <v>47268</v>
      </c>
      <c r="Q1134">
        <v>62862</v>
      </c>
      <c r="R1134" s="2">
        <v>45253</v>
      </c>
      <c r="S1134" t="s">
        <v>69</v>
      </c>
      <c r="T1134" t="s">
        <v>128</v>
      </c>
      <c r="U1134" t="s">
        <v>6389</v>
      </c>
      <c r="V1134" t="s">
        <v>6384</v>
      </c>
      <c r="W1134" t="s">
        <v>90</v>
      </c>
      <c r="X1134">
        <v>80</v>
      </c>
      <c r="Y1134" t="s">
        <v>128</v>
      </c>
      <c r="Z1134">
        <v>233</v>
      </c>
    </row>
    <row r="1135" spans="1:26" x14ac:dyDescent="0.3">
      <c r="A1135">
        <v>1134</v>
      </c>
      <c r="B1135" t="s">
        <v>2433</v>
      </c>
      <c r="C1135" t="s">
        <v>45</v>
      </c>
      <c r="D1135" t="s">
        <v>20</v>
      </c>
      <c r="E1135" t="s">
        <v>6357</v>
      </c>
      <c r="F1135" t="s">
        <v>6386</v>
      </c>
      <c r="G1135" t="s">
        <v>6395</v>
      </c>
      <c r="H1135" t="s">
        <v>6394</v>
      </c>
      <c r="I1135" t="s">
        <v>6374</v>
      </c>
      <c r="J1135">
        <f>AVERAGE(ai_job_market[[#This Row],[min_salary]],ai_job_market[[#This Row],[max_salary]])</f>
        <v>142225</v>
      </c>
      <c r="K1135"/>
      <c r="L1135" t="s">
        <v>22</v>
      </c>
      <c r="M1135" t="s">
        <v>51</v>
      </c>
      <c r="N1135" t="s">
        <v>5560</v>
      </c>
      <c r="O1135" t="s">
        <v>4387</v>
      </c>
      <c r="P1135">
        <v>119846</v>
      </c>
      <c r="Q1135">
        <v>164604</v>
      </c>
      <c r="R1135" s="2">
        <v>45827</v>
      </c>
      <c r="S1135" t="s">
        <v>69</v>
      </c>
      <c r="T1135" t="s">
        <v>77</v>
      </c>
      <c r="W1135" t="s">
        <v>6357</v>
      </c>
      <c r="X1135">
        <v>88</v>
      </c>
      <c r="Y1135" t="s">
        <v>77</v>
      </c>
      <c r="Z1135">
        <v>251</v>
      </c>
    </row>
    <row r="1136" spans="1:26" x14ac:dyDescent="0.3">
      <c r="A1136">
        <v>1135</v>
      </c>
      <c r="B1136" t="s">
        <v>2556</v>
      </c>
      <c r="C1136" t="s">
        <v>45</v>
      </c>
      <c r="D1136" t="s">
        <v>30</v>
      </c>
      <c r="E1136" t="s">
        <v>6348</v>
      </c>
      <c r="F1136" t="s">
        <v>6381</v>
      </c>
      <c r="G1136" t="s">
        <v>6395</v>
      </c>
      <c r="H1136" t="s">
        <v>6397</v>
      </c>
      <c r="I1136" t="s">
        <v>6374</v>
      </c>
      <c r="J1136">
        <f>AVERAGE(ai_job_market[[#This Row],[min_salary]],ai_job_market[[#This Row],[max_salary]])</f>
        <v>103970</v>
      </c>
      <c r="K1136"/>
      <c r="L1136" t="s">
        <v>22</v>
      </c>
      <c r="M1136" t="s">
        <v>51</v>
      </c>
      <c r="N1136" t="s">
        <v>5561</v>
      </c>
      <c r="O1136" t="s">
        <v>4385</v>
      </c>
      <c r="P1136">
        <v>66099</v>
      </c>
      <c r="Q1136">
        <v>141841</v>
      </c>
      <c r="R1136" s="2">
        <v>45235</v>
      </c>
      <c r="S1136" t="s">
        <v>14</v>
      </c>
      <c r="T1136" t="s">
        <v>128</v>
      </c>
      <c r="U1136" t="s">
        <v>6384</v>
      </c>
      <c r="V1136" t="s">
        <v>6376</v>
      </c>
      <c r="W1136" t="s">
        <v>6348</v>
      </c>
      <c r="X1136">
        <v>78</v>
      </c>
      <c r="Y1136" t="s">
        <v>128</v>
      </c>
      <c r="Z1136">
        <v>233</v>
      </c>
    </row>
    <row r="1137" spans="1:26" x14ac:dyDescent="0.3">
      <c r="A1137">
        <v>1136</v>
      </c>
      <c r="B1137" t="s">
        <v>2558</v>
      </c>
      <c r="C1137" t="s">
        <v>19</v>
      </c>
      <c r="D1137" t="s">
        <v>30</v>
      </c>
      <c r="E1137" t="s">
        <v>6344</v>
      </c>
      <c r="F1137" t="s">
        <v>6395</v>
      </c>
      <c r="G1137" t="s">
        <v>6379</v>
      </c>
      <c r="H1137" t="s">
        <v>6377</v>
      </c>
      <c r="I1137" t="s">
        <v>6397</v>
      </c>
      <c r="J1137">
        <f>AVERAGE(ai_job_market[[#This Row],[min_salary]],ai_job_market[[#This Row],[max_salary]])</f>
        <v>104934.5</v>
      </c>
      <c r="K1137"/>
      <c r="L1137" t="s">
        <v>14</v>
      </c>
      <c r="M1137" t="s">
        <v>37</v>
      </c>
      <c r="N1137" t="s">
        <v>5562</v>
      </c>
      <c r="O1137" t="s">
        <v>4442</v>
      </c>
      <c r="P1137">
        <v>72050</v>
      </c>
      <c r="Q1137">
        <v>137819</v>
      </c>
      <c r="R1137" s="2">
        <v>45382</v>
      </c>
      <c r="S1137" t="s">
        <v>14</v>
      </c>
      <c r="T1137" t="s">
        <v>128</v>
      </c>
      <c r="U1137" t="s">
        <v>6389</v>
      </c>
      <c r="V1137" t="s">
        <v>6388</v>
      </c>
      <c r="W1137" t="s">
        <v>6344</v>
      </c>
      <c r="X1137">
        <v>104</v>
      </c>
      <c r="Y1137" t="s">
        <v>128</v>
      </c>
      <c r="Z1137">
        <v>233</v>
      </c>
    </row>
    <row r="1138" spans="1:26" x14ac:dyDescent="0.3">
      <c r="A1138">
        <v>1137</v>
      </c>
      <c r="B1138" t="s">
        <v>2561</v>
      </c>
      <c r="C1138" t="s">
        <v>49</v>
      </c>
      <c r="D1138" t="s">
        <v>30</v>
      </c>
      <c r="E1138" t="s">
        <v>6355</v>
      </c>
      <c r="F1138" t="s">
        <v>6397</v>
      </c>
      <c r="G1138" t="s">
        <v>6378</v>
      </c>
      <c r="J1138">
        <f>AVERAGE(ai_job_market[[#This Row],[min_salary]],ai_job_market[[#This Row],[max_salary]])</f>
        <v>130580.5</v>
      </c>
      <c r="K1138"/>
      <c r="L1138" t="s">
        <v>27</v>
      </c>
      <c r="M1138" t="s">
        <v>42</v>
      </c>
      <c r="N1138" t="s">
        <v>5563</v>
      </c>
      <c r="O1138" t="s">
        <v>4584</v>
      </c>
      <c r="P1138">
        <v>90239</v>
      </c>
      <c r="Q1138">
        <v>170922</v>
      </c>
      <c r="R1138" s="2">
        <v>45740</v>
      </c>
      <c r="S1138" t="s">
        <v>69</v>
      </c>
      <c r="T1138" t="s">
        <v>52</v>
      </c>
      <c r="W1138" t="s">
        <v>6355</v>
      </c>
      <c r="X1138">
        <v>90</v>
      </c>
      <c r="Y1138" t="s">
        <v>52</v>
      </c>
      <c r="Z1138">
        <v>238</v>
      </c>
    </row>
    <row r="1139" spans="1:26" x14ac:dyDescent="0.3">
      <c r="A1139">
        <v>1138</v>
      </c>
      <c r="B1139" t="s">
        <v>2563</v>
      </c>
      <c r="C1139" t="s">
        <v>45</v>
      </c>
      <c r="D1139" t="s">
        <v>12</v>
      </c>
      <c r="E1139" t="s">
        <v>101</v>
      </c>
      <c r="F1139" t="s">
        <v>6379</v>
      </c>
      <c r="G1139" t="s">
        <v>6393</v>
      </c>
      <c r="H1139" t="s">
        <v>6381</v>
      </c>
      <c r="I1139" t="s">
        <v>6391</v>
      </c>
      <c r="J1139">
        <f>AVERAGE(ai_job_market[[#This Row],[min_salary]],ai_job_market[[#This Row],[max_salary]])</f>
        <v>136259</v>
      </c>
      <c r="K1139" t="s">
        <v>6389</v>
      </c>
      <c r="L1139" t="s">
        <v>22</v>
      </c>
      <c r="M1139" t="s">
        <v>42</v>
      </c>
      <c r="N1139" t="s">
        <v>5564</v>
      </c>
      <c r="O1139" t="s">
        <v>4584</v>
      </c>
      <c r="P1139">
        <v>94397</v>
      </c>
      <c r="Q1139">
        <v>178121</v>
      </c>
      <c r="R1139" s="2">
        <v>45506</v>
      </c>
      <c r="S1139" t="s">
        <v>16</v>
      </c>
      <c r="T1139" t="s">
        <v>70</v>
      </c>
      <c r="U1139" t="s">
        <v>6378</v>
      </c>
      <c r="V1139" t="s">
        <v>6383</v>
      </c>
      <c r="W1139" t="s">
        <v>101</v>
      </c>
      <c r="X1139">
        <v>76</v>
      </c>
      <c r="Y1139" t="s">
        <v>70</v>
      </c>
      <c r="Z1139">
        <v>268</v>
      </c>
    </row>
    <row r="1140" spans="1:26" x14ac:dyDescent="0.3">
      <c r="A1140">
        <v>1139</v>
      </c>
      <c r="B1140" t="s">
        <v>2566</v>
      </c>
      <c r="C1140" t="s">
        <v>34</v>
      </c>
      <c r="D1140" t="s">
        <v>54</v>
      </c>
      <c r="E1140" t="s">
        <v>6354</v>
      </c>
      <c r="F1140" t="s">
        <v>6381</v>
      </c>
      <c r="G1140" t="s">
        <v>6394</v>
      </c>
      <c r="H1140" t="s">
        <v>6397</v>
      </c>
      <c r="I1140" t="s">
        <v>6392</v>
      </c>
      <c r="J1140">
        <f>AVERAGE(ai_job_market[[#This Row],[min_salary]],ai_job_market[[#This Row],[max_salary]])</f>
        <v>135710</v>
      </c>
      <c r="K1140"/>
      <c r="L1140" t="s">
        <v>22</v>
      </c>
      <c r="M1140" t="s">
        <v>51</v>
      </c>
      <c r="N1140" t="s">
        <v>5565</v>
      </c>
      <c r="O1140" t="s">
        <v>4762</v>
      </c>
      <c r="P1140">
        <v>110310</v>
      </c>
      <c r="Q1140">
        <v>161110</v>
      </c>
      <c r="R1140" s="2">
        <v>45491</v>
      </c>
      <c r="S1140" t="s">
        <v>69</v>
      </c>
      <c r="T1140" t="s">
        <v>77</v>
      </c>
      <c r="W1140" t="s">
        <v>6354</v>
      </c>
      <c r="X1140">
        <v>75</v>
      </c>
      <c r="Y1140" t="s">
        <v>77</v>
      </c>
      <c r="Z1140">
        <v>251</v>
      </c>
    </row>
    <row r="1141" spans="1:26" x14ac:dyDescent="0.3">
      <c r="A1141">
        <v>1140</v>
      </c>
      <c r="B1141" t="s">
        <v>2568</v>
      </c>
      <c r="C1141" t="s">
        <v>34</v>
      </c>
      <c r="D1141" t="s">
        <v>67</v>
      </c>
      <c r="E1141" t="s">
        <v>70</v>
      </c>
      <c r="F1141" t="s">
        <v>6380</v>
      </c>
      <c r="G1141" t="s">
        <v>6396</v>
      </c>
      <c r="H1141" t="s">
        <v>6392</v>
      </c>
      <c r="J1141">
        <f>AVERAGE(ai_job_market[[#This Row],[min_salary]],ai_job_market[[#This Row],[max_salary]])</f>
        <v>99497.5</v>
      </c>
      <c r="K1141"/>
      <c r="L1141" t="s">
        <v>27</v>
      </c>
      <c r="M1141" t="s">
        <v>51</v>
      </c>
      <c r="N1141" t="s">
        <v>5176</v>
      </c>
      <c r="O1141" t="s">
        <v>4680</v>
      </c>
      <c r="P1141">
        <v>55784</v>
      </c>
      <c r="Q1141">
        <v>143211</v>
      </c>
      <c r="R1141" s="2">
        <v>45424</v>
      </c>
      <c r="S1141" t="s">
        <v>14</v>
      </c>
      <c r="T1141" t="s">
        <v>90</v>
      </c>
      <c r="U1141" t="s">
        <v>6378</v>
      </c>
      <c r="W1141" t="s">
        <v>70</v>
      </c>
      <c r="X1141">
        <v>100</v>
      </c>
      <c r="Y1141" t="s">
        <v>90</v>
      </c>
      <c r="Z1141">
        <v>259</v>
      </c>
    </row>
    <row r="1142" spans="1:26" x14ac:dyDescent="0.3">
      <c r="A1142">
        <v>1141</v>
      </c>
      <c r="B1142" t="s">
        <v>2570</v>
      </c>
      <c r="C1142" t="s">
        <v>34</v>
      </c>
      <c r="D1142" t="s">
        <v>25</v>
      </c>
      <c r="E1142" t="s">
        <v>6352</v>
      </c>
      <c r="F1142" t="s">
        <v>6392</v>
      </c>
      <c r="G1142" t="s">
        <v>6389</v>
      </c>
      <c r="H1142" t="s">
        <v>6378</v>
      </c>
      <c r="I1142" t="s">
        <v>6391</v>
      </c>
      <c r="J1142" s="6">
        <f>AVERAGE(ai_job_market[[#This Row],[min_salary]],ai_job_market[[#This Row],[max_salary]])</f>
        <v>174940</v>
      </c>
      <c r="K1142"/>
      <c r="L1142" t="s">
        <v>22</v>
      </c>
      <c r="M1142" t="s">
        <v>42</v>
      </c>
      <c r="N1142" t="s">
        <v>5566</v>
      </c>
      <c r="O1142" t="s">
        <v>4637</v>
      </c>
      <c r="P1142" s="5">
        <v>149975</v>
      </c>
      <c r="Q1142" s="5">
        <v>199905</v>
      </c>
      <c r="R1142" s="2">
        <v>45393</v>
      </c>
      <c r="S1142" t="s">
        <v>16</v>
      </c>
      <c r="T1142" t="s">
        <v>70</v>
      </c>
      <c r="U1142" t="s">
        <v>6383</v>
      </c>
      <c r="W1142" t="s">
        <v>6352</v>
      </c>
      <c r="X1142">
        <v>97</v>
      </c>
      <c r="Y1142" t="s">
        <v>70</v>
      </c>
      <c r="Z1142">
        <v>268</v>
      </c>
    </row>
    <row r="1143" spans="1:26" x14ac:dyDescent="0.3">
      <c r="A1143">
        <v>1142</v>
      </c>
      <c r="B1143" t="s">
        <v>2572</v>
      </c>
      <c r="C1143" t="s">
        <v>45</v>
      </c>
      <c r="D1143" t="s">
        <v>12</v>
      </c>
      <c r="E1143" t="s">
        <v>6354</v>
      </c>
      <c r="F1143" t="s">
        <v>6393</v>
      </c>
      <c r="G1143" t="s">
        <v>6381</v>
      </c>
      <c r="H1143" t="s">
        <v>6377</v>
      </c>
      <c r="I1143" t="s">
        <v>6385</v>
      </c>
      <c r="J1143" s="6">
        <f>AVERAGE(ai_job_market[[#This Row],[min_salary]],ai_job_market[[#This Row],[max_salary]])</f>
        <v>89048.5</v>
      </c>
      <c r="K1143" t="s">
        <v>6397</v>
      </c>
      <c r="L1143" t="s">
        <v>14</v>
      </c>
      <c r="M1143" t="s">
        <v>51</v>
      </c>
      <c r="N1143" t="s">
        <v>5567</v>
      </c>
      <c r="O1143" t="s">
        <v>4357</v>
      </c>
      <c r="P1143" s="5">
        <v>82338</v>
      </c>
      <c r="Q1143" s="5">
        <v>95759</v>
      </c>
      <c r="R1143" s="2">
        <v>45886</v>
      </c>
      <c r="S1143" t="s">
        <v>14</v>
      </c>
      <c r="T1143" t="s">
        <v>128</v>
      </c>
      <c r="U1143" t="s">
        <v>6388</v>
      </c>
      <c r="W1143" t="s">
        <v>6354</v>
      </c>
      <c r="X1143">
        <v>75</v>
      </c>
      <c r="Y1143" t="s">
        <v>128</v>
      </c>
      <c r="Z1143">
        <v>233</v>
      </c>
    </row>
    <row r="1144" spans="1:26" x14ac:dyDescent="0.3">
      <c r="A1144">
        <v>1143</v>
      </c>
      <c r="B1144" t="s">
        <v>2574</v>
      </c>
      <c r="C1144" t="s">
        <v>34</v>
      </c>
      <c r="D1144" t="s">
        <v>25</v>
      </c>
      <c r="E1144" t="s">
        <v>6357</v>
      </c>
      <c r="F1144" t="s">
        <v>6379</v>
      </c>
      <c r="G1144" t="s">
        <v>6393</v>
      </c>
      <c r="H1144" t="s">
        <v>6387</v>
      </c>
      <c r="J1144">
        <f>AVERAGE(ai_job_market[[#This Row],[min_salary]],ai_job_market[[#This Row],[max_salary]])</f>
        <v>94029.5</v>
      </c>
      <c r="K1144"/>
      <c r="L1144" t="s">
        <v>14</v>
      </c>
      <c r="M1144" t="s">
        <v>42</v>
      </c>
      <c r="N1144" t="s">
        <v>5568</v>
      </c>
      <c r="O1144" t="s">
        <v>4307</v>
      </c>
      <c r="P1144">
        <v>76484</v>
      </c>
      <c r="Q1144">
        <v>111575</v>
      </c>
      <c r="R1144" s="2">
        <v>45624</v>
      </c>
      <c r="S1144" t="s">
        <v>16</v>
      </c>
      <c r="T1144" t="s">
        <v>77</v>
      </c>
      <c r="W1144" t="s">
        <v>6357</v>
      </c>
      <c r="X1144">
        <v>88</v>
      </c>
      <c r="Y1144" t="s">
        <v>77</v>
      </c>
      <c r="Z1144">
        <v>251</v>
      </c>
    </row>
    <row r="1145" spans="1:26" x14ac:dyDescent="0.3">
      <c r="A1145">
        <v>1144</v>
      </c>
      <c r="B1145" t="s">
        <v>2576</v>
      </c>
      <c r="C1145" t="s">
        <v>40</v>
      </c>
      <c r="D1145" t="s">
        <v>67</v>
      </c>
      <c r="E1145" t="s">
        <v>80</v>
      </c>
      <c r="F1145" t="s">
        <v>6394</v>
      </c>
      <c r="G1145" t="s">
        <v>6377</v>
      </c>
      <c r="H1145" t="s">
        <v>6395</v>
      </c>
      <c r="I1145" t="s">
        <v>6378</v>
      </c>
      <c r="J1145">
        <f>AVERAGE(ai_job_market[[#This Row],[min_salary]],ai_job_market[[#This Row],[max_salary]])</f>
        <v>181485</v>
      </c>
      <c r="K1145"/>
      <c r="L1145" t="s">
        <v>27</v>
      </c>
      <c r="M1145" t="s">
        <v>51</v>
      </c>
      <c r="N1145" t="s">
        <v>5569</v>
      </c>
      <c r="O1145" t="s">
        <v>4444</v>
      </c>
      <c r="P1145">
        <v>147639</v>
      </c>
      <c r="Q1145">
        <v>215331</v>
      </c>
      <c r="R1145" s="2">
        <v>45557</v>
      </c>
      <c r="S1145" t="s">
        <v>69</v>
      </c>
      <c r="T1145" t="s">
        <v>128</v>
      </c>
      <c r="W1145" t="s">
        <v>80</v>
      </c>
      <c r="X1145">
        <v>95</v>
      </c>
      <c r="Y1145" t="s">
        <v>128</v>
      </c>
      <c r="Z1145">
        <v>233</v>
      </c>
    </row>
    <row r="1146" spans="1:26" x14ac:dyDescent="0.3">
      <c r="A1146">
        <v>1145</v>
      </c>
      <c r="B1146" t="s">
        <v>2578</v>
      </c>
      <c r="C1146" t="s">
        <v>49</v>
      </c>
      <c r="D1146" t="s">
        <v>54</v>
      </c>
      <c r="E1146" t="s">
        <v>6350</v>
      </c>
      <c r="F1146" t="s">
        <v>6393</v>
      </c>
      <c r="G1146" t="s">
        <v>6396</v>
      </c>
      <c r="H1146" t="s">
        <v>6377</v>
      </c>
      <c r="I1146" t="s">
        <v>6384</v>
      </c>
      <c r="J1146">
        <f>AVERAGE(ai_job_market[[#This Row],[min_salary]],ai_job_market[[#This Row],[max_salary]])</f>
        <v>85812.5</v>
      </c>
      <c r="K1146" t="s">
        <v>6378</v>
      </c>
      <c r="L1146" t="s">
        <v>14</v>
      </c>
      <c r="M1146" t="s">
        <v>37</v>
      </c>
      <c r="N1146" t="s">
        <v>5570</v>
      </c>
      <c r="O1146" t="s">
        <v>4454</v>
      </c>
      <c r="P1146">
        <v>63255</v>
      </c>
      <c r="Q1146">
        <v>108370</v>
      </c>
      <c r="R1146" s="2">
        <v>45575</v>
      </c>
      <c r="S1146" t="s">
        <v>14</v>
      </c>
      <c r="T1146" t="s">
        <v>157</v>
      </c>
      <c r="U1146" t="s">
        <v>6389</v>
      </c>
      <c r="W1146" t="s">
        <v>6350</v>
      </c>
      <c r="X1146">
        <v>84</v>
      </c>
      <c r="Y1146" t="s">
        <v>157</v>
      </c>
      <c r="Z1146">
        <v>247</v>
      </c>
    </row>
    <row r="1147" spans="1:26" x14ac:dyDescent="0.3">
      <c r="A1147">
        <v>1146</v>
      </c>
      <c r="B1147" t="s">
        <v>2580</v>
      </c>
      <c r="C1147" t="s">
        <v>40</v>
      </c>
      <c r="D1147" t="s">
        <v>54</v>
      </c>
      <c r="E1147" t="s">
        <v>77</v>
      </c>
      <c r="F1147" t="s">
        <v>6391</v>
      </c>
      <c r="G1147" t="s">
        <v>6389</v>
      </c>
      <c r="H1147" t="s">
        <v>6375</v>
      </c>
      <c r="I1147" t="s">
        <v>6396</v>
      </c>
      <c r="J1147" s="6">
        <f>AVERAGE(ai_job_market[[#This Row],[min_salary]],ai_job_market[[#This Row],[max_salary]])</f>
        <v>161619</v>
      </c>
      <c r="K1147"/>
      <c r="L1147" t="s">
        <v>27</v>
      </c>
      <c r="M1147" t="s">
        <v>42</v>
      </c>
      <c r="N1147" t="s">
        <v>5571</v>
      </c>
      <c r="O1147" t="s">
        <v>4380</v>
      </c>
      <c r="P1147" s="5">
        <v>129625</v>
      </c>
      <c r="Q1147" s="5">
        <v>193613</v>
      </c>
      <c r="R1147" s="2">
        <v>45862</v>
      </c>
      <c r="S1147" t="s">
        <v>69</v>
      </c>
      <c r="T1147" t="s">
        <v>128</v>
      </c>
      <c r="W1147" t="s">
        <v>77</v>
      </c>
      <c r="X1147">
        <v>111</v>
      </c>
      <c r="Y1147" t="s">
        <v>128</v>
      </c>
      <c r="Z1147">
        <v>233</v>
      </c>
    </row>
    <row r="1148" spans="1:26" x14ac:dyDescent="0.3">
      <c r="A1148">
        <v>1147</v>
      </c>
      <c r="B1148" t="s">
        <v>2582</v>
      </c>
      <c r="C1148" t="s">
        <v>72</v>
      </c>
      <c r="D1148" t="s">
        <v>35</v>
      </c>
      <c r="E1148" t="s">
        <v>6355</v>
      </c>
      <c r="F1148" t="s">
        <v>6389</v>
      </c>
      <c r="G1148" t="s">
        <v>6393</v>
      </c>
      <c r="H1148" t="s">
        <v>6377</v>
      </c>
      <c r="I1148" t="s">
        <v>6390</v>
      </c>
      <c r="J1148">
        <f>AVERAGE(ai_job_market[[#This Row],[min_salary]],ai_job_market[[#This Row],[max_salary]])</f>
        <v>165923</v>
      </c>
      <c r="K1148"/>
      <c r="L1148" t="s">
        <v>27</v>
      </c>
      <c r="M1148" t="s">
        <v>42</v>
      </c>
      <c r="N1148" t="s">
        <v>5572</v>
      </c>
      <c r="O1148" t="s">
        <v>4566</v>
      </c>
      <c r="P1148">
        <v>136317</v>
      </c>
      <c r="Q1148">
        <v>195529</v>
      </c>
      <c r="R1148" s="2">
        <v>45863</v>
      </c>
      <c r="S1148" t="s">
        <v>16</v>
      </c>
      <c r="T1148" t="s">
        <v>101</v>
      </c>
      <c r="U1148" t="s">
        <v>6375</v>
      </c>
      <c r="V1148" t="s">
        <v>6379</v>
      </c>
      <c r="W1148" t="s">
        <v>6355</v>
      </c>
      <c r="X1148">
        <v>90</v>
      </c>
      <c r="Y1148" t="s">
        <v>101</v>
      </c>
      <c r="Z1148">
        <v>255</v>
      </c>
    </row>
    <row r="1149" spans="1:26" x14ac:dyDescent="0.3">
      <c r="A1149">
        <v>1148</v>
      </c>
      <c r="B1149" t="s">
        <v>2584</v>
      </c>
      <c r="C1149" t="s">
        <v>72</v>
      </c>
      <c r="D1149" t="s">
        <v>30</v>
      </c>
      <c r="E1149" t="s">
        <v>6358</v>
      </c>
      <c r="F1149" t="s">
        <v>6389</v>
      </c>
      <c r="G1149" t="s">
        <v>6381</v>
      </c>
      <c r="H1149" t="s">
        <v>6386</v>
      </c>
      <c r="J1149" s="6">
        <f>AVERAGE(ai_job_market[[#This Row],[min_salary]],ai_job_market[[#This Row],[max_salary]])</f>
        <v>164311.5</v>
      </c>
      <c r="K1149"/>
      <c r="L1149" t="s">
        <v>14</v>
      </c>
      <c r="M1149" t="s">
        <v>15</v>
      </c>
      <c r="N1149" t="s">
        <v>5573</v>
      </c>
      <c r="O1149" t="s">
        <v>4403</v>
      </c>
      <c r="P1149" s="5">
        <v>148403</v>
      </c>
      <c r="Q1149" s="5">
        <v>180220</v>
      </c>
      <c r="R1149" s="2">
        <v>45473</v>
      </c>
      <c r="S1149" t="s">
        <v>14</v>
      </c>
      <c r="T1149" t="s">
        <v>157</v>
      </c>
      <c r="U1149" t="s">
        <v>6379</v>
      </c>
      <c r="V1149" t="s">
        <v>6388</v>
      </c>
      <c r="W1149" t="s">
        <v>6358</v>
      </c>
      <c r="X1149">
        <v>96</v>
      </c>
      <c r="Y1149" t="s">
        <v>157</v>
      </c>
      <c r="Z1149">
        <v>247</v>
      </c>
    </row>
    <row r="1150" spans="1:26" x14ac:dyDescent="0.3">
      <c r="A1150">
        <v>1149</v>
      </c>
      <c r="B1150" t="s">
        <v>2586</v>
      </c>
      <c r="C1150" t="s">
        <v>11</v>
      </c>
      <c r="D1150" t="s">
        <v>12</v>
      </c>
      <c r="E1150" t="s">
        <v>6344</v>
      </c>
      <c r="F1150" t="s">
        <v>6387</v>
      </c>
      <c r="G1150" t="s">
        <v>6396</v>
      </c>
      <c r="H1150" t="s">
        <v>6376</v>
      </c>
      <c r="I1150" t="s">
        <v>6392</v>
      </c>
      <c r="J1150">
        <f>AVERAGE(ai_job_market[[#This Row],[min_salary]],ai_job_market[[#This Row],[max_salary]])</f>
        <v>155008.5</v>
      </c>
      <c r="K1150" t="s">
        <v>6379</v>
      </c>
      <c r="L1150" t="s">
        <v>22</v>
      </c>
      <c r="M1150" t="s">
        <v>15</v>
      </c>
      <c r="N1150" t="s">
        <v>5574</v>
      </c>
      <c r="O1150" t="s">
        <v>4309</v>
      </c>
      <c r="P1150">
        <v>142640</v>
      </c>
      <c r="Q1150">
        <v>167377</v>
      </c>
      <c r="R1150" s="2">
        <v>45399</v>
      </c>
      <c r="S1150" t="s">
        <v>16</v>
      </c>
      <c r="T1150" t="s">
        <v>157</v>
      </c>
      <c r="W1150" t="s">
        <v>6344</v>
      </c>
      <c r="X1150">
        <v>104</v>
      </c>
      <c r="Y1150" t="s">
        <v>157</v>
      </c>
      <c r="Z1150">
        <v>247</v>
      </c>
    </row>
    <row r="1151" spans="1:26" x14ac:dyDescent="0.3">
      <c r="A1151">
        <v>1150</v>
      </c>
      <c r="B1151" t="s">
        <v>2588</v>
      </c>
      <c r="C1151" t="s">
        <v>45</v>
      </c>
      <c r="D1151" t="s">
        <v>54</v>
      </c>
      <c r="E1151" t="s">
        <v>6350</v>
      </c>
      <c r="F1151" t="s">
        <v>6396</v>
      </c>
      <c r="G1151" t="s">
        <v>6384</v>
      </c>
      <c r="H1151" t="s">
        <v>6375</v>
      </c>
      <c r="J1151" s="6">
        <f>AVERAGE(ai_job_market[[#This Row],[min_salary]],ai_job_market[[#This Row],[max_salary]])</f>
        <v>180726.5</v>
      </c>
      <c r="K1151"/>
      <c r="L1151" t="s">
        <v>27</v>
      </c>
      <c r="M1151" t="s">
        <v>51</v>
      </c>
      <c r="N1151" t="s">
        <v>5575</v>
      </c>
      <c r="O1151" t="s">
        <v>4556</v>
      </c>
      <c r="P1151" s="5">
        <v>143807</v>
      </c>
      <c r="Q1151" s="5">
        <v>217646</v>
      </c>
      <c r="R1151" s="2">
        <v>45712</v>
      </c>
      <c r="S1151" t="s">
        <v>69</v>
      </c>
      <c r="T1151" t="s">
        <v>77</v>
      </c>
      <c r="W1151" t="s">
        <v>6350</v>
      </c>
      <c r="X1151">
        <v>84</v>
      </c>
      <c r="Y1151" t="s">
        <v>77</v>
      </c>
      <c r="Z1151">
        <v>251</v>
      </c>
    </row>
    <row r="1152" spans="1:26" x14ac:dyDescent="0.3">
      <c r="A1152">
        <v>1151</v>
      </c>
      <c r="B1152" t="s">
        <v>2590</v>
      </c>
      <c r="C1152" t="s">
        <v>34</v>
      </c>
      <c r="D1152" t="s">
        <v>20</v>
      </c>
      <c r="E1152" t="s">
        <v>6348</v>
      </c>
      <c r="F1152" t="s">
        <v>6385</v>
      </c>
      <c r="G1152" t="s">
        <v>6395</v>
      </c>
      <c r="H1152" t="s">
        <v>6393</v>
      </c>
      <c r="I1152" t="s">
        <v>6396</v>
      </c>
      <c r="J1152">
        <f>AVERAGE(ai_job_market[[#This Row],[min_salary]],ai_job_market[[#This Row],[max_salary]])</f>
        <v>89196</v>
      </c>
      <c r="K1152"/>
      <c r="L1152" t="s">
        <v>27</v>
      </c>
      <c r="M1152" t="s">
        <v>51</v>
      </c>
      <c r="N1152" t="s">
        <v>4304</v>
      </c>
      <c r="O1152" t="s">
        <v>4335</v>
      </c>
      <c r="P1152">
        <v>83586</v>
      </c>
      <c r="Q1152">
        <v>94806</v>
      </c>
      <c r="R1152" s="2">
        <v>45474</v>
      </c>
      <c r="S1152" t="s">
        <v>14</v>
      </c>
      <c r="T1152" t="s">
        <v>157</v>
      </c>
      <c r="U1152" t="s">
        <v>6375</v>
      </c>
      <c r="V1152" t="s">
        <v>6388</v>
      </c>
      <c r="W1152" t="s">
        <v>6348</v>
      </c>
      <c r="X1152">
        <v>78</v>
      </c>
      <c r="Y1152" t="s">
        <v>157</v>
      </c>
      <c r="Z1152">
        <v>247</v>
      </c>
    </row>
    <row r="1153" spans="1:26" x14ac:dyDescent="0.3">
      <c r="A1153">
        <v>1152</v>
      </c>
      <c r="B1153" t="s">
        <v>2593</v>
      </c>
      <c r="C1153" t="s">
        <v>45</v>
      </c>
      <c r="D1153" t="s">
        <v>67</v>
      </c>
      <c r="E1153" t="s">
        <v>6348</v>
      </c>
      <c r="F1153" t="s">
        <v>6376</v>
      </c>
      <c r="G1153" t="s">
        <v>6394</v>
      </c>
      <c r="J1153">
        <f>AVERAGE(ai_job_market[[#This Row],[min_salary]],ai_job_market[[#This Row],[max_salary]])</f>
        <v>181105.5</v>
      </c>
      <c r="K1153"/>
      <c r="L1153" t="s">
        <v>22</v>
      </c>
      <c r="M1153" t="s">
        <v>15</v>
      </c>
      <c r="N1153" t="s">
        <v>5576</v>
      </c>
      <c r="O1153" t="s">
        <v>4549</v>
      </c>
      <c r="P1153">
        <v>147570</v>
      </c>
      <c r="Q1153">
        <v>214641</v>
      </c>
      <c r="R1153" s="2">
        <v>45741</v>
      </c>
      <c r="S1153" t="s">
        <v>69</v>
      </c>
      <c r="T1153" t="s">
        <v>77</v>
      </c>
      <c r="W1153" t="s">
        <v>6348</v>
      </c>
      <c r="X1153">
        <v>78</v>
      </c>
      <c r="Y1153" t="s">
        <v>77</v>
      </c>
      <c r="Z1153">
        <v>251</v>
      </c>
    </row>
    <row r="1154" spans="1:26" x14ac:dyDescent="0.3">
      <c r="A1154">
        <v>1153</v>
      </c>
      <c r="B1154" t="s">
        <v>2595</v>
      </c>
      <c r="C1154" t="s">
        <v>11</v>
      </c>
      <c r="D1154" t="s">
        <v>54</v>
      </c>
      <c r="E1154" t="s">
        <v>90</v>
      </c>
      <c r="F1154" t="s">
        <v>6386</v>
      </c>
      <c r="G1154" t="s">
        <v>6392</v>
      </c>
      <c r="H1154" t="s">
        <v>6381</v>
      </c>
      <c r="I1154" t="s">
        <v>6391</v>
      </c>
      <c r="J1154">
        <f>AVERAGE(ai_job_market[[#This Row],[min_salary]],ai_job_market[[#This Row],[max_salary]])</f>
        <v>139418</v>
      </c>
      <c r="K1154"/>
      <c r="L1154" t="s">
        <v>27</v>
      </c>
      <c r="M1154" t="s">
        <v>15</v>
      </c>
      <c r="N1154" t="s">
        <v>5334</v>
      </c>
      <c r="O1154" t="s">
        <v>4524</v>
      </c>
      <c r="P1154">
        <v>130398</v>
      </c>
      <c r="Q1154">
        <v>148438</v>
      </c>
      <c r="R1154" s="2">
        <v>45588</v>
      </c>
      <c r="S1154" t="s">
        <v>14</v>
      </c>
      <c r="T1154" t="s">
        <v>70</v>
      </c>
      <c r="U1154" t="s">
        <v>6383</v>
      </c>
      <c r="W1154" t="s">
        <v>90</v>
      </c>
      <c r="X1154">
        <v>80</v>
      </c>
      <c r="Y1154" t="s">
        <v>70</v>
      </c>
      <c r="Z1154">
        <v>268</v>
      </c>
    </row>
    <row r="1155" spans="1:26" x14ac:dyDescent="0.3">
      <c r="A1155">
        <v>1154</v>
      </c>
      <c r="B1155" t="s">
        <v>2597</v>
      </c>
      <c r="C1155" t="s">
        <v>72</v>
      </c>
      <c r="D1155" t="s">
        <v>25</v>
      </c>
      <c r="E1155" t="s">
        <v>6345</v>
      </c>
      <c r="F1155" t="s">
        <v>6374</v>
      </c>
      <c r="G1155" t="s">
        <v>6384</v>
      </c>
      <c r="H1155" t="s">
        <v>6381</v>
      </c>
      <c r="J1155">
        <f>AVERAGE(ai_job_market[[#This Row],[min_salary]],ai_job_market[[#This Row],[max_salary]])</f>
        <v>165305</v>
      </c>
      <c r="K1155"/>
      <c r="L1155" t="s">
        <v>14</v>
      </c>
      <c r="M1155" t="s">
        <v>15</v>
      </c>
      <c r="N1155" t="s">
        <v>5577</v>
      </c>
      <c r="O1155" t="s">
        <v>4380</v>
      </c>
      <c r="P1155">
        <v>126850</v>
      </c>
      <c r="Q1155">
        <v>203760</v>
      </c>
      <c r="R1155" s="2">
        <v>45253</v>
      </c>
      <c r="S1155" t="s">
        <v>69</v>
      </c>
      <c r="T1155" t="s">
        <v>80</v>
      </c>
      <c r="U1155" t="s">
        <v>6378</v>
      </c>
      <c r="V1155" t="s">
        <v>6389</v>
      </c>
      <c r="W1155" t="s">
        <v>6345</v>
      </c>
      <c r="X1155">
        <v>101</v>
      </c>
      <c r="Y1155" t="s">
        <v>80</v>
      </c>
      <c r="Z1155">
        <v>249</v>
      </c>
    </row>
    <row r="1156" spans="1:26" x14ac:dyDescent="0.3">
      <c r="A1156">
        <v>1155</v>
      </c>
      <c r="B1156" t="s">
        <v>2600</v>
      </c>
      <c r="C1156" t="s">
        <v>19</v>
      </c>
      <c r="D1156" t="s">
        <v>135</v>
      </c>
      <c r="E1156" t="s">
        <v>128</v>
      </c>
      <c r="F1156" t="s">
        <v>6387</v>
      </c>
      <c r="G1156" t="s">
        <v>6397</v>
      </c>
      <c r="H1156" t="s">
        <v>6377</v>
      </c>
      <c r="I1156" t="s">
        <v>6380</v>
      </c>
      <c r="J1156">
        <f>AVERAGE(ai_job_market[[#This Row],[min_salary]],ai_job_market[[#This Row],[max_salary]])</f>
        <v>106807.5</v>
      </c>
      <c r="K1156" t="s">
        <v>6385</v>
      </c>
      <c r="L1156" t="s">
        <v>22</v>
      </c>
      <c r="M1156" t="s">
        <v>51</v>
      </c>
      <c r="N1156" t="s">
        <v>5578</v>
      </c>
      <c r="O1156" t="s">
        <v>4626</v>
      </c>
      <c r="P1156">
        <v>63340</v>
      </c>
      <c r="Q1156">
        <v>150275</v>
      </c>
      <c r="R1156" s="2">
        <v>45392</v>
      </c>
      <c r="S1156" t="s">
        <v>16</v>
      </c>
      <c r="T1156" t="s">
        <v>157</v>
      </c>
      <c r="W1156" t="s">
        <v>128</v>
      </c>
      <c r="X1156">
        <v>92</v>
      </c>
      <c r="Y1156" t="s">
        <v>157</v>
      </c>
      <c r="Z1156">
        <v>247</v>
      </c>
    </row>
    <row r="1157" spans="1:26" x14ac:dyDescent="0.3">
      <c r="A1157">
        <v>1156</v>
      </c>
      <c r="B1157" t="s">
        <v>2602</v>
      </c>
      <c r="C1157" t="s">
        <v>19</v>
      </c>
      <c r="D1157" t="s">
        <v>12</v>
      </c>
      <c r="E1157" t="s">
        <v>6356</v>
      </c>
      <c r="F1157" t="s">
        <v>6379</v>
      </c>
      <c r="G1157" t="s">
        <v>6374</v>
      </c>
      <c r="J1157" s="6">
        <f>AVERAGE(ai_job_market[[#This Row],[min_salary]],ai_job_market[[#This Row],[max_salary]])</f>
        <v>97306.5</v>
      </c>
      <c r="K1157"/>
      <c r="L1157" t="s">
        <v>22</v>
      </c>
      <c r="M1157" t="s">
        <v>51</v>
      </c>
      <c r="N1157" t="s">
        <v>5579</v>
      </c>
      <c r="O1157" t="s">
        <v>4797</v>
      </c>
      <c r="P1157" s="5">
        <v>52424</v>
      </c>
      <c r="Q1157" s="5">
        <v>142189</v>
      </c>
      <c r="R1157" s="2">
        <v>45523</v>
      </c>
      <c r="S1157" t="s">
        <v>14</v>
      </c>
      <c r="T1157" t="s">
        <v>80</v>
      </c>
      <c r="U1157" t="s">
        <v>6379</v>
      </c>
      <c r="W1157" t="s">
        <v>6356</v>
      </c>
      <c r="X1157">
        <v>86</v>
      </c>
      <c r="Y1157" t="s">
        <v>80</v>
      </c>
      <c r="Z1157">
        <v>249</v>
      </c>
    </row>
    <row r="1158" spans="1:26" x14ac:dyDescent="0.3">
      <c r="A1158">
        <v>1157</v>
      </c>
      <c r="B1158" t="s">
        <v>2604</v>
      </c>
      <c r="C1158" t="s">
        <v>49</v>
      </c>
      <c r="D1158" t="s">
        <v>25</v>
      </c>
      <c r="E1158" t="s">
        <v>70</v>
      </c>
      <c r="F1158" t="s">
        <v>6377</v>
      </c>
      <c r="G1158" t="s">
        <v>6390</v>
      </c>
      <c r="J1158">
        <f>AVERAGE(ai_job_market[[#This Row],[min_salary]],ai_job_market[[#This Row],[max_salary]])</f>
        <v>79928.5</v>
      </c>
      <c r="K1158"/>
      <c r="L1158" t="s">
        <v>14</v>
      </c>
      <c r="M1158" t="s">
        <v>37</v>
      </c>
      <c r="N1158" t="s">
        <v>4841</v>
      </c>
      <c r="O1158" t="s">
        <v>4699</v>
      </c>
      <c r="P1158">
        <v>41157</v>
      </c>
      <c r="Q1158">
        <v>118700</v>
      </c>
      <c r="R1158" s="2">
        <v>45346</v>
      </c>
      <c r="S1158" t="s">
        <v>16</v>
      </c>
      <c r="T1158" t="s">
        <v>80</v>
      </c>
      <c r="W1158" t="s">
        <v>70</v>
      </c>
      <c r="X1158">
        <v>100</v>
      </c>
      <c r="Y1158" t="s">
        <v>80</v>
      </c>
      <c r="Z1158">
        <v>249</v>
      </c>
    </row>
    <row r="1159" spans="1:26" x14ac:dyDescent="0.3">
      <c r="A1159">
        <v>1158</v>
      </c>
      <c r="B1159" t="s">
        <v>2606</v>
      </c>
      <c r="C1159" t="s">
        <v>34</v>
      </c>
      <c r="D1159" t="s">
        <v>30</v>
      </c>
      <c r="E1159" t="s">
        <v>90</v>
      </c>
      <c r="F1159" t="s">
        <v>6375</v>
      </c>
      <c r="G1159" t="s">
        <v>6381</v>
      </c>
      <c r="H1159" t="s">
        <v>6384</v>
      </c>
      <c r="J1159" s="6">
        <f>AVERAGE(ai_job_market[[#This Row],[min_salary]],ai_job_market[[#This Row],[max_salary]])</f>
        <v>145323</v>
      </c>
      <c r="K1159"/>
      <c r="L1159" t="s">
        <v>14</v>
      </c>
      <c r="M1159" t="s">
        <v>37</v>
      </c>
      <c r="N1159" t="s">
        <v>5580</v>
      </c>
      <c r="O1159" t="s">
        <v>4615</v>
      </c>
      <c r="P1159" s="5">
        <v>134795</v>
      </c>
      <c r="Q1159" s="5">
        <v>155851</v>
      </c>
      <c r="R1159" s="2">
        <v>45721</v>
      </c>
      <c r="S1159" t="s">
        <v>69</v>
      </c>
      <c r="T1159" t="s">
        <v>90</v>
      </c>
      <c r="U1159" t="s">
        <v>6379</v>
      </c>
      <c r="V1159" t="s">
        <v>6378</v>
      </c>
      <c r="W1159" t="s">
        <v>90</v>
      </c>
      <c r="X1159">
        <v>80</v>
      </c>
      <c r="Y1159" t="s">
        <v>90</v>
      </c>
      <c r="Z1159">
        <v>259</v>
      </c>
    </row>
    <row r="1160" spans="1:26" x14ac:dyDescent="0.3">
      <c r="A1160">
        <v>1159</v>
      </c>
      <c r="B1160" t="s">
        <v>2608</v>
      </c>
      <c r="C1160" t="s">
        <v>45</v>
      </c>
      <c r="D1160" t="s">
        <v>35</v>
      </c>
      <c r="E1160" t="s">
        <v>6346</v>
      </c>
      <c r="F1160" t="s">
        <v>6382</v>
      </c>
      <c r="G1160" t="s">
        <v>6386</v>
      </c>
      <c r="H1160" t="s">
        <v>6391</v>
      </c>
      <c r="I1160" t="s">
        <v>6392</v>
      </c>
      <c r="J1160">
        <f>AVERAGE(ai_job_market[[#This Row],[min_salary]],ai_job_market[[#This Row],[max_salary]])</f>
        <v>156726.5</v>
      </c>
      <c r="K1160" t="s">
        <v>6375</v>
      </c>
      <c r="L1160" t="s">
        <v>27</v>
      </c>
      <c r="M1160" t="s">
        <v>37</v>
      </c>
      <c r="N1160" t="s">
        <v>5581</v>
      </c>
      <c r="O1160" t="s">
        <v>4305</v>
      </c>
      <c r="P1160">
        <v>147660</v>
      </c>
      <c r="Q1160">
        <v>165793</v>
      </c>
      <c r="R1160" s="2">
        <v>45782</v>
      </c>
      <c r="S1160" t="s">
        <v>69</v>
      </c>
      <c r="T1160" t="s">
        <v>77</v>
      </c>
      <c r="U1160" t="s">
        <v>6383</v>
      </c>
      <c r="V1160" t="s">
        <v>6389</v>
      </c>
      <c r="W1160" t="s">
        <v>6346</v>
      </c>
      <c r="X1160">
        <v>78</v>
      </c>
      <c r="Y1160" t="s">
        <v>77</v>
      </c>
      <c r="Z1160">
        <v>251</v>
      </c>
    </row>
    <row r="1161" spans="1:26" x14ac:dyDescent="0.3">
      <c r="A1161">
        <v>1160</v>
      </c>
      <c r="B1161" t="s">
        <v>2610</v>
      </c>
      <c r="C1161" t="s">
        <v>11</v>
      </c>
      <c r="D1161" t="s">
        <v>54</v>
      </c>
      <c r="E1161" t="s">
        <v>6346</v>
      </c>
      <c r="F1161" t="s">
        <v>6382</v>
      </c>
      <c r="G1161" t="s">
        <v>6397</v>
      </c>
      <c r="J1161" s="6">
        <f>AVERAGE(ai_job_market[[#This Row],[min_salary]],ai_job_market[[#This Row],[max_salary]])</f>
        <v>117271</v>
      </c>
      <c r="K1161"/>
      <c r="L1161" t="s">
        <v>27</v>
      </c>
      <c r="M1161" t="s">
        <v>37</v>
      </c>
      <c r="N1161" t="s">
        <v>4765</v>
      </c>
      <c r="O1161" t="s">
        <v>4309</v>
      </c>
      <c r="P1161" s="5">
        <v>68918</v>
      </c>
      <c r="Q1161" s="5">
        <v>165624</v>
      </c>
      <c r="R1161" s="2">
        <v>45308</v>
      </c>
      <c r="S1161" t="s">
        <v>14</v>
      </c>
      <c r="T1161" t="s">
        <v>157</v>
      </c>
      <c r="U1161" t="s">
        <v>6379</v>
      </c>
      <c r="V1161" t="s">
        <v>6389</v>
      </c>
      <c r="W1161" t="s">
        <v>6346</v>
      </c>
      <c r="X1161">
        <v>78</v>
      </c>
      <c r="Y1161" t="s">
        <v>157</v>
      </c>
      <c r="Z1161">
        <v>247</v>
      </c>
    </row>
    <row r="1162" spans="1:26" x14ac:dyDescent="0.3">
      <c r="A1162">
        <v>1161</v>
      </c>
      <c r="B1162" t="s">
        <v>219</v>
      </c>
      <c r="C1162" t="s">
        <v>11</v>
      </c>
      <c r="D1162" t="s">
        <v>54</v>
      </c>
      <c r="E1162" t="s">
        <v>6357</v>
      </c>
      <c r="F1162" t="s">
        <v>6382</v>
      </c>
      <c r="G1162" t="s">
        <v>6380</v>
      </c>
      <c r="H1162" t="s">
        <v>6379</v>
      </c>
      <c r="I1162" t="s">
        <v>6396</v>
      </c>
      <c r="J1162">
        <f>AVERAGE(ai_job_market[[#This Row],[min_salary]],ai_job_market[[#This Row],[max_salary]])</f>
        <v>114963</v>
      </c>
      <c r="K1162"/>
      <c r="L1162" t="s">
        <v>22</v>
      </c>
      <c r="M1162" t="s">
        <v>15</v>
      </c>
      <c r="N1162" t="s">
        <v>5582</v>
      </c>
      <c r="O1162" t="s">
        <v>4624</v>
      </c>
      <c r="P1162">
        <v>80600</v>
      </c>
      <c r="Q1162">
        <v>149326</v>
      </c>
      <c r="R1162" s="2">
        <v>45268</v>
      </c>
      <c r="S1162" t="s">
        <v>16</v>
      </c>
      <c r="T1162" t="s">
        <v>80</v>
      </c>
      <c r="U1162" t="s">
        <v>6389</v>
      </c>
      <c r="W1162" t="s">
        <v>6357</v>
      </c>
      <c r="X1162">
        <v>88</v>
      </c>
      <c r="Y1162" t="s">
        <v>80</v>
      </c>
      <c r="Z1162">
        <v>249</v>
      </c>
    </row>
    <row r="1163" spans="1:26" x14ac:dyDescent="0.3">
      <c r="A1163">
        <v>1162</v>
      </c>
      <c r="B1163" t="s">
        <v>2614</v>
      </c>
      <c r="C1163" t="s">
        <v>34</v>
      </c>
      <c r="D1163" t="s">
        <v>135</v>
      </c>
      <c r="E1163" t="s">
        <v>6347</v>
      </c>
      <c r="F1163" t="s">
        <v>6387</v>
      </c>
      <c r="G1163" t="s">
        <v>6374</v>
      </c>
      <c r="H1163" t="s">
        <v>6391</v>
      </c>
      <c r="J1163">
        <f>AVERAGE(ai_job_market[[#This Row],[min_salary]],ai_job_market[[#This Row],[max_salary]])</f>
        <v>89558.5</v>
      </c>
      <c r="K1163"/>
      <c r="L1163" t="s">
        <v>14</v>
      </c>
      <c r="M1163" t="s">
        <v>37</v>
      </c>
      <c r="N1163" t="s">
        <v>5583</v>
      </c>
      <c r="O1163" t="s">
        <v>4486</v>
      </c>
      <c r="P1163">
        <v>60613</v>
      </c>
      <c r="Q1163">
        <v>118504</v>
      </c>
      <c r="R1163" s="2">
        <v>45307</v>
      </c>
      <c r="S1163" t="s">
        <v>14</v>
      </c>
      <c r="T1163" t="s">
        <v>101</v>
      </c>
      <c r="U1163" t="s">
        <v>6378</v>
      </c>
      <c r="W1163" t="s">
        <v>6347</v>
      </c>
      <c r="X1163">
        <v>94</v>
      </c>
      <c r="Y1163" t="s">
        <v>101</v>
      </c>
      <c r="Z1163">
        <v>255</v>
      </c>
    </row>
    <row r="1164" spans="1:26" x14ac:dyDescent="0.3">
      <c r="A1164">
        <v>1163</v>
      </c>
      <c r="B1164" t="s">
        <v>2616</v>
      </c>
      <c r="C1164" t="s">
        <v>45</v>
      </c>
      <c r="D1164" t="s">
        <v>20</v>
      </c>
      <c r="E1164" t="s">
        <v>6352</v>
      </c>
      <c r="F1164" t="s">
        <v>6384</v>
      </c>
      <c r="G1164" t="s">
        <v>6380</v>
      </c>
      <c r="H1164" t="s">
        <v>6389</v>
      </c>
      <c r="J1164" s="6">
        <f>AVERAGE(ai_job_market[[#This Row],[min_salary]],ai_job_market[[#This Row],[max_salary]])</f>
        <v>108823.5</v>
      </c>
      <c r="K1164"/>
      <c r="L1164" t="s">
        <v>22</v>
      </c>
      <c r="M1164" t="s">
        <v>42</v>
      </c>
      <c r="N1164" t="s">
        <v>5584</v>
      </c>
      <c r="O1164" t="s">
        <v>4544</v>
      </c>
      <c r="P1164" s="5">
        <v>91079</v>
      </c>
      <c r="Q1164" s="5">
        <v>126568</v>
      </c>
      <c r="R1164" s="2">
        <v>45671</v>
      </c>
      <c r="S1164" t="s">
        <v>14</v>
      </c>
      <c r="T1164" t="s">
        <v>52</v>
      </c>
      <c r="U1164" t="s">
        <v>6376</v>
      </c>
      <c r="W1164" t="s">
        <v>6352</v>
      </c>
      <c r="X1164">
        <v>97</v>
      </c>
      <c r="Y1164" t="s">
        <v>52</v>
      </c>
      <c r="Z1164">
        <v>238</v>
      </c>
    </row>
    <row r="1165" spans="1:26" x14ac:dyDescent="0.3">
      <c r="A1165">
        <v>1164</v>
      </c>
      <c r="B1165" t="s">
        <v>2618</v>
      </c>
      <c r="C1165" t="s">
        <v>72</v>
      </c>
      <c r="D1165" t="s">
        <v>25</v>
      </c>
      <c r="E1165" t="s">
        <v>6353</v>
      </c>
      <c r="F1165" t="s">
        <v>6381</v>
      </c>
      <c r="G1165" t="s">
        <v>6380</v>
      </c>
      <c r="H1165" t="s">
        <v>6390</v>
      </c>
      <c r="I1165" t="s">
        <v>6386</v>
      </c>
      <c r="J1165">
        <f>AVERAGE(ai_job_market[[#This Row],[min_salary]],ai_job_market[[#This Row],[max_salary]])</f>
        <v>65357.5</v>
      </c>
      <c r="K1165" t="s">
        <v>6395</v>
      </c>
      <c r="L1165" t="s">
        <v>14</v>
      </c>
      <c r="M1165" t="s">
        <v>37</v>
      </c>
      <c r="N1165" t="s">
        <v>5585</v>
      </c>
      <c r="O1165" t="s">
        <v>4316</v>
      </c>
      <c r="P1165">
        <v>52422</v>
      </c>
      <c r="Q1165">
        <v>78293</v>
      </c>
      <c r="R1165" s="2">
        <v>45324</v>
      </c>
      <c r="S1165" t="s">
        <v>69</v>
      </c>
      <c r="T1165" t="s">
        <v>157</v>
      </c>
      <c r="U1165" t="s">
        <v>6379</v>
      </c>
      <c r="W1165" t="s">
        <v>6353</v>
      </c>
      <c r="X1165">
        <v>86</v>
      </c>
      <c r="Y1165" t="s">
        <v>157</v>
      </c>
      <c r="Z1165">
        <v>247</v>
      </c>
    </row>
    <row r="1166" spans="1:26" x14ac:dyDescent="0.3">
      <c r="A1166">
        <v>1165</v>
      </c>
      <c r="B1166" t="s">
        <v>2620</v>
      </c>
      <c r="C1166" t="s">
        <v>49</v>
      </c>
      <c r="D1166" t="s">
        <v>35</v>
      </c>
      <c r="E1166" t="s">
        <v>6348</v>
      </c>
      <c r="F1166" t="s">
        <v>6394</v>
      </c>
      <c r="G1166" t="s">
        <v>6384</v>
      </c>
      <c r="H1166" t="s">
        <v>6381</v>
      </c>
      <c r="J1166">
        <f>AVERAGE(ai_job_market[[#This Row],[min_salary]],ai_job_market[[#This Row],[max_salary]])</f>
        <v>128120</v>
      </c>
      <c r="K1166"/>
      <c r="L1166" t="s">
        <v>22</v>
      </c>
      <c r="M1166" t="s">
        <v>51</v>
      </c>
      <c r="N1166" t="s">
        <v>5586</v>
      </c>
      <c r="O1166" t="s">
        <v>4343</v>
      </c>
      <c r="P1166">
        <v>81248</v>
      </c>
      <c r="Q1166">
        <v>174992</v>
      </c>
      <c r="R1166" s="2">
        <v>45435</v>
      </c>
      <c r="S1166" t="s">
        <v>14</v>
      </c>
      <c r="T1166" t="s">
        <v>157</v>
      </c>
      <c r="U1166" t="s">
        <v>6379</v>
      </c>
      <c r="V1166" t="s">
        <v>6388</v>
      </c>
      <c r="W1166" t="s">
        <v>6348</v>
      </c>
      <c r="X1166">
        <v>78</v>
      </c>
      <c r="Y1166" t="s">
        <v>157</v>
      </c>
      <c r="Z1166">
        <v>247</v>
      </c>
    </row>
    <row r="1167" spans="1:26" x14ac:dyDescent="0.3">
      <c r="A1167">
        <v>1166</v>
      </c>
      <c r="B1167" t="s">
        <v>2622</v>
      </c>
      <c r="C1167" t="s">
        <v>45</v>
      </c>
      <c r="D1167" t="s">
        <v>30</v>
      </c>
      <c r="E1167" t="s">
        <v>6358</v>
      </c>
      <c r="F1167" t="s">
        <v>6381</v>
      </c>
      <c r="G1167" t="s">
        <v>6384</v>
      </c>
      <c r="J1167">
        <f>AVERAGE(ai_job_market[[#This Row],[min_salary]],ai_job_market[[#This Row],[max_salary]])</f>
        <v>74838.5</v>
      </c>
      <c r="K1167"/>
      <c r="L1167" t="s">
        <v>22</v>
      </c>
      <c r="M1167" t="s">
        <v>51</v>
      </c>
      <c r="N1167" t="s">
        <v>5587</v>
      </c>
      <c r="O1167" t="s">
        <v>4601</v>
      </c>
      <c r="P1167">
        <v>67293</v>
      </c>
      <c r="Q1167">
        <v>82384</v>
      </c>
      <c r="R1167" s="2">
        <v>45779</v>
      </c>
      <c r="S1167" t="s">
        <v>14</v>
      </c>
      <c r="T1167" t="s">
        <v>101</v>
      </c>
      <c r="W1167" t="s">
        <v>6358</v>
      </c>
      <c r="X1167">
        <v>96</v>
      </c>
      <c r="Y1167" t="s">
        <v>101</v>
      </c>
      <c r="Z1167">
        <v>255</v>
      </c>
    </row>
    <row r="1168" spans="1:26" x14ac:dyDescent="0.3">
      <c r="A1168">
        <v>1167</v>
      </c>
      <c r="B1168" t="s">
        <v>2624</v>
      </c>
      <c r="C1168" t="s">
        <v>19</v>
      </c>
      <c r="D1168" t="s">
        <v>35</v>
      </c>
      <c r="E1168" t="s">
        <v>6345</v>
      </c>
      <c r="F1168" t="s">
        <v>6376</v>
      </c>
      <c r="G1168" t="s">
        <v>6375</v>
      </c>
      <c r="H1168" t="s">
        <v>6385</v>
      </c>
      <c r="I1168" t="s">
        <v>6377</v>
      </c>
      <c r="J1168">
        <f>AVERAGE(ai_job_market[[#This Row],[min_salary]],ai_job_market[[#This Row],[max_salary]])</f>
        <v>115827.5</v>
      </c>
      <c r="K1168"/>
      <c r="L1168" t="s">
        <v>14</v>
      </c>
      <c r="M1168" t="s">
        <v>37</v>
      </c>
      <c r="N1168" t="s">
        <v>5588</v>
      </c>
      <c r="O1168" t="s">
        <v>4469</v>
      </c>
      <c r="P1168">
        <v>78872</v>
      </c>
      <c r="Q1168">
        <v>152783</v>
      </c>
      <c r="R1168" s="2">
        <v>45473</v>
      </c>
      <c r="S1168" t="s">
        <v>16</v>
      </c>
      <c r="T1168" t="s">
        <v>157</v>
      </c>
      <c r="W1168" t="s">
        <v>6345</v>
      </c>
      <c r="X1168">
        <v>101</v>
      </c>
      <c r="Y1168" t="s">
        <v>157</v>
      </c>
      <c r="Z1168">
        <v>247</v>
      </c>
    </row>
    <row r="1169" spans="1:26" x14ac:dyDescent="0.3">
      <c r="A1169">
        <v>1168</v>
      </c>
      <c r="B1169" t="s">
        <v>2626</v>
      </c>
      <c r="C1169" t="s">
        <v>40</v>
      </c>
      <c r="D1169" t="s">
        <v>67</v>
      </c>
      <c r="E1169" t="s">
        <v>70</v>
      </c>
      <c r="F1169" t="s">
        <v>6381</v>
      </c>
      <c r="G1169" t="s">
        <v>6394</v>
      </c>
      <c r="H1169" t="s">
        <v>6387</v>
      </c>
      <c r="I1169" t="s">
        <v>6395</v>
      </c>
      <c r="J1169">
        <f>AVERAGE(ai_job_market[[#This Row],[min_salary]],ai_job_market[[#This Row],[max_salary]])</f>
        <v>129638.5</v>
      </c>
      <c r="K1169"/>
      <c r="L1169" t="s">
        <v>27</v>
      </c>
      <c r="M1169" t="s">
        <v>51</v>
      </c>
      <c r="N1169" t="s">
        <v>5589</v>
      </c>
      <c r="O1169" t="s">
        <v>4297</v>
      </c>
      <c r="P1169">
        <v>122910</v>
      </c>
      <c r="Q1169">
        <v>136367</v>
      </c>
      <c r="R1169" s="2">
        <v>45206</v>
      </c>
      <c r="S1169" t="s">
        <v>69</v>
      </c>
      <c r="T1169" t="s">
        <v>77</v>
      </c>
      <c r="U1169" t="s">
        <v>6389</v>
      </c>
      <c r="V1169" t="s">
        <v>6376</v>
      </c>
      <c r="W1169" t="s">
        <v>70</v>
      </c>
      <c r="X1169">
        <v>100</v>
      </c>
      <c r="Y1169" t="s">
        <v>77</v>
      </c>
      <c r="Z1169">
        <v>251</v>
      </c>
    </row>
    <row r="1170" spans="1:26" x14ac:dyDescent="0.3">
      <c r="A1170">
        <v>1169</v>
      </c>
      <c r="B1170" t="s">
        <v>2628</v>
      </c>
      <c r="C1170" t="s">
        <v>72</v>
      </c>
      <c r="D1170" t="s">
        <v>35</v>
      </c>
      <c r="E1170" t="s">
        <v>101</v>
      </c>
      <c r="F1170" t="s">
        <v>6374</v>
      </c>
      <c r="G1170" t="s">
        <v>6384</v>
      </c>
      <c r="J1170">
        <f>AVERAGE(ai_job_market[[#This Row],[min_salary]],ai_job_market[[#This Row],[max_salary]])</f>
        <v>120209</v>
      </c>
      <c r="K1170"/>
      <c r="L1170" t="s">
        <v>27</v>
      </c>
      <c r="M1170" t="s">
        <v>51</v>
      </c>
      <c r="N1170" t="s">
        <v>5590</v>
      </c>
      <c r="O1170" t="s">
        <v>4646</v>
      </c>
      <c r="P1170">
        <v>100828</v>
      </c>
      <c r="Q1170">
        <v>139590</v>
      </c>
      <c r="R1170" s="2">
        <v>45919</v>
      </c>
      <c r="S1170" t="s">
        <v>14</v>
      </c>
      <c r="T1170" t="s">
        <v>157</v>
      </c>
      <c r="U1170" t="s">
        <v>6379</v>
      </c>
      <c r="W1170" t="s">
        <v>101</v>
      </c>
      <c r="X1170">
        <v>76</v>
      </c>
      <c r="Y1170" t="s">
        <v>157</v>
      </c>
      <c r="Z1170">
        <v>247</v>
      </c>
    </row>
    <row r="1171" spans="1:26" x14ac:dyDescent="0.3">
      <c r="A1171">
        <v>1170</v>
      </c>
      <c r="B1171" t="s">
        <v>2630</v>
      </c>
      <c r="C1171" t="s">
        <v>45</v>
      </c>
      <c r="D1171" t="s">
        <v>20</v>
      </c>
      <c r="E1171" t="s">
        <v>6357</v>
      </c>
      <c r="F1171" t="s">
        <v>6380</v>
      </c>
      <c r="G1171" t="s">
        <v>6374</v>
      </c>
      <c r="H1171" t="s">
        <v>6396</v>
      </c>
      <c r="J1171">
        <f>AVERAGE(ai_job_market[[#This Row],[min_salary]],ai_job_market[[#This Row],[max_salary]])</f>
        <v>70330.5</v>
      </c>
      <c r="K1171"/>
      <c r="L1171" t="s">
        <v>14</v>
      </c>
      <c r="M1171" t="s">
        <v>51</v>
      </c>
      <c r="N1171" t="s">
        <v>5591</v>
      </c>
      <c r="O1171" t="s">
        <v>4497</v>
      </c>
      <c r="P1171">
        <v>52943</v>
      </c>
      <c r="Q1171">
        <v>87718</v>
      </c>
      <c r="R1171" s="2">
        <v>45363</v>
      </c>
      <c r="S1171" t="s">
        <v>69</v>
      </c>
      <c r="T1171" t="s">
        <v>52</v>
      </c>
      <c r="U1171" t="s">
        <v>6384</v>
      </c>
      <c r="V1171" t="s">
        <v>6383</v>
      </c>
      <c r="W1171" t="s">
        <v>6357</v>
      </c>
      <c r="X1171">
        <v>88</v>
      </c>
      <c r="Y1171" t="s">
        <v>52</v>
      </c>
      <c r="Z1171">
        <v>238</v>
      </c>
    </row>
    <row r="1172" spans="1:26" x14ac:dyDescent="0.3">
      <c r="A1172">
        <v>1171</v>
      </c>
      <c r="B1172" t="s">
        <v>2632</v>
      </c>
      <c r="C1172" t="s">
        <v>34</v>
      </c>
      <c r="D1172" t="s">
        <v>35</v>
      </c>
      <c r="E1172" t="s">
        <v>80</v>
      </c>
      <c r="F1172" t="s">
        <v>6389</v>
      </c>
      <c r="G1172" t="s">
        <v>6381</v>
      </c>
      <c r="H1172" t="s">
        <v>6375</v>
      </c>
      <c r="J1172">
        <f>AVERAGE(ai_job_market[[#This Row],[min_salary]],ai_job_market[[#This Row],[max_salary]])</f>
        <v>100350</v>
      </c>
      <c r="K1172"/>
      <c r="L1172" t="s">
        <v>14</v>
      </c>
      <c r="M1172" t="s">
        <v>15</v>
      </c>
      <c r="N1172" t="s">
        <v>5464</v>
      </c>
      <c r="O1172" t="s">
        <v>4538</v>
      </c>
      <c r="P1172">
        <v>84079</v>
      </c>
      <c r="Q1172">
        <v>116621</v>
      </c>
      <c r="R1172" s="2">
        <v>45386</v>
      </c>
      <c r="S1172" t="s">
        <v>16</v>
      </c>
      <c r="T1172" t="s">
        <v>90</v>
      </c>
      <c r="W1172" t="s">
        <v>80</v>
      </c>
      <c r="X1172">
        <v>95</v>
      </c>
      <c r="Y1172" t="s">
        <v>90</v>
      </c>
      <c r="Z1172">
        <v>259</v>
      </c>
    </row>
    <row r="1173" spans="1:26" x14ac:dyDescent="0.3">
      <c r="A1173">
        <v>1172</v>
      </c>
      <c r="B1173" t="s">
        <v>2634</v>
      </c>
      <c r="C1173" t="s">
        <v>11</v>
      </c>
      <c r="D1173" t="s">
        <v>25</v>
      </c>
      <c r="E1173" t="s">
        <v>101</v>
      </c>
      <c r="F1173" t="s">
        <v>6384</v>
      </c>
      <c r="G1173" t="s">
        <v>6391</v>
      </c>
      <c r="H1173" t="s">
        <v>6380</v>
      </c>
      <c r="J1173" s="6">
        <f>AVERAGE(ai_job_market[[#This Row],[min_salary]],ai_job_market[[#This Row],[max_salary]])</f>
        <v>115511</v>
      </c>
      <c r="K1173"/>
      <c r="L1173" t="s">
        <v>22</v>
      </c>
      <c r="M1173" t="s">
        <v>15</v>
      </c>
      <c r="N1173" t="s">
        <v>5592</v>
      </c>
      <c r="O1173" t="s">
        <v>4450</v>
      </c>
      <c r="P1173" s="5">
        <v>77131</v>
      </c>
      <c r="Q1173" s="5">
        <v>153891</v>
      </c>
      <c r="R1173" s="2">
        <v>45506</v>
      </c>
      <c r="S1173" t="s">
        <v>16</v>
      </c>
      <c r="T1173" t="s">
        <v>157</v>
      </c>
      <c r="U1173" t="s">
        <v>6384</v>
      </c>
      <c r="V1173" t="s">
        <v>6376</v>
      </c>
      <c r="W1173" t="s">
        <v>101</v>
      </c>
      <c r="X1173">
        <v>76</v>
      </c>
      <c r="Y1173" t="s">
        <v>157</v>
      </c>
      <c r="Z1173">
        <v>247</v>
      </c>
    </row>
    <row r="1174" spans="1:26" x14ac:dyDescent="0.3">
      <c r="A1174">
        <v>1173</v>
      </c>
      <c r="B1174" t="s">
        <v>2636</v>
      </c>
      <c r="C1174" t="s">
        <v>40</v>
      </c>
      <c r="D1174" t="s">
        <v>30</v>
      </c>
      <c r="E1174" t="s">
        <v>6348</v>
      </c>
      <c r="F1174" t="s">
        <v>6386</v>
      </c>
      <c r="G1174" t="s">
        <v>6377</v>
      </c>
      <c r="H1174" t="s">
        <v>6381</v>
      </c>
      <c r="I1174" t="s">
        <v>6391</v>
      </c>
      <c r="J1174">
        <f>AVERAGE(ai_job_market[[#This Row],[min_salary]],ai_job_market[[#This Row],[max_salary]])</f>
        <v>72481</v>
      </c>
      <c r="K1174" t="s">
        <v>6394</v>
      </c>
      <c r="L1174" t="s">
        <v>14</v>
      </c>
      <c r="M1174" t="s">
        <v>37</v>
      </c>
      <c r="N1174" t="s">
        <v>5593</v>
      </c>
      <c r="O1174" t="s">
        <v>4486</v>
      </c>
      <c r="P1174">
        <v>64114</v>
      </c>
      <c r="Q1174">
        <v>80848</v>
      </c>
      <c r="R1174" s="2">
        <v>45660</v>
      </c>
      <c r="S1174" t="s">
        <v>14</v>
      </c>
      <c r="T1174" t="s">
        <v>80</v>
      </c>
      <c r="W1174" t="s">
        <v>6348</v>
      </c>
      <c r="X1174">
        <v>78</v>
      </c>
      <c r="Y1174" t="s">
        <v>80</v>
      </c>
      <c r="Z1174">
        <v>249</v>
      </c>
    </row>
    <row r="1175" spans="1:26" x14ac:dyDescent="0.3">
      <c r="A1175">
        <v>1174</v>
      </c>
      <c r="B1175" t="s">
        <v>2638</v>
      </c>
      <c r="C1175" t="s">
        <v>19</v>
      </c>
      <c r="D1175" t="s">
        <v>30</v>
      </c>
      <c r="E1175" t="s">
        <v>90</v>
      </c>
      <c r="F1175" t="s">
        <v>6390</v>
      </c>
      <c r="G1175" t="s">
        <v>6376</v>
      </c>
      <c r="H1175" t="s">
        <v>6387</v>
      </c>
      <c r="I1175" t="s">
        <v>6377</v>
      </c>
      <c r="J1175">
        <f>AVERAGE(ai_job_market[[#This Row],[min_salary]],ai_job_market[[#This Row],[max_salary]])</f>
        <v>144139</v>
      </c>
      <c r="K1175"/>
      <c r="L1175" t="s">
        <v>14</v>
      </c>
      <c r="M1175" t="s">
        <v>15</v>
      </c>
      <c r="N1175" t="s">
        <v>5594</v>
      </c>
      <c r="O1175" t="s">
        <v>4320</v>
      </c>
      <c r="P1175">
        <v>94393</v>
      </c>
      <c r="Q1175">
        <v>193885</v>
      </c>
      <c r="R1175" s="2">
        <v>45378</v>
      </c>
      <c r="S1175" t="s">
        <v>69</v>
      </c>
      <c r="T1175" t="s">
        <v>157</v>
      </c>
      <c r="U1175" t="s">
        <v>6384</v>
      </c>
      <c r="V1175" t="s">
        <v>6378</v>
      </c>
      <c r="W1175" t="s">
        <v>90</v>
      </c>
      <c r="X1175">
        <v>80</v>
      </c>
      <c r="Y1175" t="s">
        <v>157</v>
      </c>
      <c r="Z1175">
        <v>247</v>
      </c>
    </row>
    <row r="1176" spans="1:26" x14ac:dyDescent="0.3">
      <c r="A1176">
        <v>1175</v>
      </c>
      <c r="B1176" t="s">
        <v>2640</v>
      </c>
      <c r="C1176" t="s">
        <v>45</v>
      </c>
      <c r="D1176" t="s">
        <v>30</v>
      </c>
      <c r="E1176" t="s">
        <v>6357</v>
      </c>
      <c r="F1176" t="s">
        <v>6376</v>
      </c>
      <c r="G1176" t="s">
        <v>6374</v>
      </c>
      <c r="H1176" t="s">
        <v>6389</v>
      </c>
      <c r="I1176" t="s">
        <v>6382</v>
      </c>
      <c r="J1176">
        <f>AVERAGE(ai_job_market[[#This Row],[min_salary]],ai_job_market[[#This Row],[max_salary]])</f>
        <v>139389</v>
      </c>
      <c r="K1176"/>
      <c r="L1176" t="s">
        <v>22</v>
      </c>
      <c r="M1176" t="s">
        <v>15</v>
      </c>
      <c r="N1176" t="s">
        <v>5595</v>
      </c>
      <c r="O1176" t="s">
        <v>4554</v>
      </c>
      <c r="P1176">
        <v>130255</v>
      </c>
      <c r="Q1176">
        <v>148523</v>
      </c>
      <c r="R1176" s="2">
        <v>45617</v>
      </c>
      <c r="S1176" t="s">
        <v>16</v>
      </c>
      <c r="T1176" t="s">
        <v>90</v>
      </c>
      <c r="U1176" t="s">
        <v>6379</v>
      </c>
      <c r="W1176" t="s">
        <v>6357</v>
      </c>
      <c r="X1176">
        <v>88</v>
      </c>
      <c r="Y1176" t="s">
        <v>90</v>
      </c>
      <c r="Z1176">
        <v>259</v>
      </c>
    </row>
    <row r="1177" spans="1:26" x14ac:dyDescent="0.3">
      <c r="A1177">
        <v>1176</v>
      </c>
      <c r="B1177" t="s">
        <v>2360</v>
      </c>
      <c r="C1177" t="s">
        <v>49</v>
      </c>
      <c r="D1177" t="s">
        <v>54</v>
      </c>
      <c r="E1177" t="s">
        <v>6344</v>
      </c>
      <c r="F1177" t="s">
        <v>6377</v>
      </c>
      <c r="G1177" t="s">
        <v>6381</v>
      </c>
      <c r="H1177" t="s">
        <v>6380</v>
      </c>
      <c r="I1177" t="s">
        <v>6375</v>
      </c>
      <c r="J1177">
        <f>AVERAGE(ai_job_market[[#This Row],[min_salary]],ai_job_market[[#This Row],[max_salary]])</f>
        <v>165696.5</v>
      </c>
      <c r="K1177"/>
      <c r="L1177" t="s">
        <v>14</v>
      </c>
      <c r="M1177" t="s">
        <v>51</v>
      </c>
      <c r="N1177" t="s">
        <v>5596</v>
      </c>
      <c r="O1177" t="s">
        <v>4786</v>
      </c>
      <c r="P1177">
        <v>116734</v>
      </c>
      <c r="Q1177">
        <v>214659</v>
      </c>
      <c r="R1177" s="2">
        <v>45593</v>
      </c>
      <c r="S1177" t="s">
        <v>14</v>
      </c>
      <c r="T1177" t="s">
        <v>52</v>
      </c>
      <c r="U1177" t="s">
        <v>6389</v>
      </c>
      <c r="V1177" t="s">
        <v>6384</v>
      </c>
      <c r="W1177" t="s">
        <v>6344</v>
      </c>
      <c r="X1177">
        <v>104</v>
      </c>
      <c r="Y1177" t="s">
        <v>52</v>
      </c>
      <c r="Z1177">
        <v>238</v>
      </c>
    </row>
    <row r="1178" spans="1:26" x14ac:dyDescent="0.3">
      <c r="A1178">
        <v>1177</v>
      </c>
      <c r="B1178" t="s">
        <v>2643</v>
      </c>
      <c r="C1178" t="s">
        <v>49</v>
      </c>
      <c r="D1178" t="s">
        <v>30</v>
      </c>
      <c r="E1178" t="s">
        <v>6345</v>
      </c>
      <c r="F1178" t="s">
        <v>6377</v>
      </c>
      <c r="G1178" t="s">
        <v>6385</v>
      </c>
      <c r="H1178" t="s">
        <v>6394</v>
      </c>
      <c r="I1178" t="s">
        <v>6393</v>
      </c>
      <c r="J1178">
        <f>AVERAGE(ai_job_market[[#This Row],[min_salary]],ai_job_market[[#This Row],[max_salary]])</f>
        <v>154440</v>
      </c>
      <c r="K1178"/>
      <c r="L1178" t="s">
        <v>22</v>
      </c>
      <c r="M1178" t="s">
        <v>15</v>
      </c>
      <c r="N1178" t="s">
        <v>5597</v>
      </c>
      <c r="O1178" t="s">
        <v>4385</v>
      </c>
      <c r="P1178">
        <v>148619</v>
      </c>
      <c r="Q1178">
        <v>160261</v>
      </c>
      <c r="R1178" s="2">
        <v>45544</v>
      </c>
      <c r="S1178" t="s">
        <v>14</v>
      </c>
      <c r="T1178" t="s">
        <v>128</v>
      </c>
      <c r="U1178" t="s">
        <v>6388</v>
      </c>
      <c r="V1178" t="s">
        <v>6376</v>
      </c>
      <c r="W1178" t="s">
        <v>6345</v>
      </c>
      <c r="X1178">
        <v>101</v>
      </c>
      <c r="Y1178" t="s">
        <v>128</v>
      </c>
      <c r="Z1178">
        <v>233</v>
      </c>
    </row>
    <row r="1179" spans="1:26" x14ac:dyDescent="0.3">
      <c r="A1179">
        <v>1178</v>
      </c>
      <c r="B1179" t="s">
        <v>2645</v>
      </c>
      <c r="C1179" t="s">
        <v>49</v>
      </c>
      <c r="D1179" t="s">
        <v>12</v>
      </c>
      <c r="E1179" t="s">
        <v>90</v>
      </c>
      <c r="F1179" t="s">
        <v>6379</v>
      </c>
      <c r="G1179" t="s">
        <v>6396</v>
      </c>
      <c r="H1179" t="s">
        <v>6385</v>
      </c>
      <c r="J1179">
        <f>AVERAGE(ai_job_market[[#This Row],[min_salary]],ai_job_market[[#This Row],[max_salary]])</f>
        <v>109805.5</v>
      </c>
      <c r="K1179"/>
      <c r="L1179" t="s">
        <v>27</v>
      </c>
      <c r="M1179" t="s">
        <v>37</v>
      </c>
      <c r="N1179" t="s">
        <v>5598</v>
      </c>
      <c r="O1179" t="s">
        <v>4307</v>
      </c>
      <c r="P1179">
        <v>95762</v>
      </c>
      <c r="Q1179">
        <v>123849</v>
      </c>
      <c r="R1179" s="2">
        <v>45858</v>
      </c>
      <c r="S1179" t="s">
        <v>69</v>
      </c>
      <c r="T1179" t="s">
        <v>101</v>
      </c>
      <c r="U1179" t="s">
        <v>6388</v>
      </c>
      <c r="W1179" t="s">
        <v>90</v>
      </c>
      <c r="X1179">
        <v>80</v>
      </c>
      <c r="Y1179" t="s">
        <v>101</v>
      </c>
      <c r="Z1179">
        <v>255</v>
      </c>
    </row>
    <row r="1180" spans="1:26" x14ac:dyDescent="0.3">
      <c r="A1180">
        <v>1179</v>
      </c>
      <c r="B1180" t="s">
        <v>2647</v>
      </c>
      <c r="C1180" t="s">
        <v>11</v>
      </c>
      <c r="D1180" t="s">
        <v>20</v>
      </c>
      <c r="E1180" t="s">
        <v>6350</v>
      </c>
      <c r="F1180" t="s">
        <v>6380</v>
      </c>
      <c r="G1180" t="s">
        <v>6390</v>
      </c>
      <c r="H1180" t="s">
        <v>6396</v>
      </c>
      <c r="J1180">
        <f>AVERAGE(ai_job_market[[#This Row],[min_salary]],ai_job_market[[#This Row],[max_salary]])</f>
        <v>179113.5</v>
      </c>
      <c r="K1180"/>
      <c r="L1180" t="s">
        <v>14</v>
      </c>
      <c r="M1180" t="s">
        <v>37</v>
      </c>
      <c r="N1180" t="s">
        <v>5599</v>
      </c>
      <c r="O1180" t="s">
        <v>4312</v>
      </c>
      <c r="P1180">
        <v>144929</v>
      </c>
      <c r="Q1180">
        <v>213298</v>
      </c>
      <c r="R1180" s="2">
        <v>45780</v>
      </c>
      <c r="S1180" t="s">
        <v>14</v>
      </c>
      <c r="T1180" t="s">
        <v>128</v>
      </c>
      <c r="U1180" t="s">
        <v>6379</v>
      </c>
      <c r="V1180" t="s">
        <v>6389</v>
      </c>
      <c r="W1180" t="s">
        <v>6350</v>
      </c>
      <c r="X1180">
        <v>84</v>
      </c>
      <c r="Y1180" t="s">
        <v>128</v>
      </c>
      <c r="Z1180">
        <v>233</v>
      </c>
    </row>
    <row r="1181" spans="1:26" x14ac:dyDescent="0.3">
      <c r="A1181">
        <v>1180</v>
      </c>
      <c r="B1181" t="s">
        <v>2649</v>
      </c>
      <c r="C1181" t="s">
        <v>11</v>
      </c>
      <c r="D1181" t="s">
        <v>30</v>
      </c>
      <c r="E1181" t="s">
        <v>6354</v>
      </c>
      <c r="F1181" t="s">
        <v>6382</v>
      </c>
      <c r="G1181" t="s">
        <v>6389</v>
      </c>
      <c r="H1181" t="s">
        <v>6391</v>
      </c>
      <c r="I1181" t="s">
        <v>6392</v>
      </c>
      <c r="J1181">
        <f>AVERAGE(ai_job_market[[#This Row],[min_salary]],ai_job_market[[#This Row],[max_salary]])</f>
        <v>93769</v>
      </c>
      <c r="K1181"/>
      <c r="L1181" t="s">
        <v>27</v>
      </c>
      <c r="M1181" t="s">
        <v>15</v>
      </c>
      <c r="N1181" t="s">
        <v>5600</v>
      </c>
      <c r="O1181" t="s">
        <v>4511</v>
      </c>
      <c r="P1181">
        <v>64077</v>
      </c>
      <c r="Q1181">
        <v>123461</v>
      </c>
      <c r="R1181" s="2">
        <v>45280</v>
      </c>
      <c r="S1181" t="s">
        <v>14</v>
      </c>
      <c r="T1181" t="s">
        <v>90</v>
      </c>
      <c r="U1181" t="s">
        <v>6378</v>
      </c>
      <c r="V1181" t="s">
        <v>6376</v>
      </c>
      <c r="W1181" t="s">
        <v>6354</v>
      </c>
      <c r="X1181">
        <v>75</v>
      </c>
      <c r="Y1181" t="s">
        <v>90</v>
      </c>
      <c r="Z1181">
        <v>259</v>
      </c>
    </row>
    <row r="1182" spans="1:26" x14ac:dyDescent="0.3">
      <c r="A1182">
        <v>1181</v>
      </c>
      <c r="B1182" t="s">
        <v>2651</v>
      </c>
      <c r="C1182" t="s">
        <v>40</v>
      </c>
      <c r="D1182" t="s">
        <v>35</v>
      </c>
      <c r="E1182" t="s">
        <v>70</v>
      </c>
      <c r="F1182" t="s">
        <v>6397</v>
      </c>
      <c r="G1182" t="s">
        <v>6396</v>
      </c>
      <c r="H1182" t="s">
        <v>6385</v>
      </c>
      <c r="I1182" t="s">
        <v>6378</v>
      </c>
      <c r="J1182">
        <f>AVERAGE(ai_job_market[[#This Row],[min_salary]],ai_job_market[[#This Row],[max_salary]])</f>
        <v>106513.5</v>
      </c>
      <c r="K1182"/>
      <c r="L1182" t="s">
        <v>27</v>
      </c>
      <c r="M1182" t="s">
        <v>37</v>
      </c>
      <c r="N1182" t="s">
        <v>5601</v>
      </c>
      <c r="O1182" t="s">
        <v>4615</v>
      </c>
      <c r="P1182">
        <v>84270</v>
      </c>
      <c r="Q1182">
        <v>128757</v>
      </c>
      <c r="R1182" s="2">
        <v>45733</v>
      </c>
      <c r="S1182" t="s">
        <v>69</v>
      </c>
      <c r="T1182" t="s">
        <v>70</v>
      </c>
      <c r="U1182" t="s">
        <v>6383</v>
      </c>
      <c r="W1182" t="s">
        <v>70</v>
      </c>
      <c r="X1182">
        <v>100</v>
      </c>
      <c r="Y1182" t="s">
        <v>70</v>
      </c>
      <c r="Z1182">
        <v>268</v>
      </c>
    </row>
    <row r="1183" spans="1:26" x14ac:dyDescent="0.3">
      <c r="A1183">
        <v>1182</v>
      </c>
      <c r="B1183" t="s">
        <v>2653</v>
      </c>
      <c r="C1183" t="s">
        <v>72</v>
      </c>
      <c r="D1183" t="s">
        <v>12</v>
      </c>
      <c r="E1183" t="s">
        <v>6352</v>
      </c>
      <c r="F1183" t="s">
        <v>6374</v>
      </c>
      <c r="G1183" t="s">
        <v>6391</v>
      </c>
      <c r="H1183" t="s">
        <v>6397</v>
      </c>
      <c r="I1183" t="s">
        <v>6384</v>
      </c>
      <c r="J1183">
        <f>AVERAGE(ai_job_market[[#This Row],[min_salary]],ai_job_market[[#This Row],[max_salary]])</f>
        <v>182573.5</v>
      </c>
      <c r="K1183"/>
      <c r="L1183" t="s">
        <v>14</v>
      </c>
      <c r="M1183" t="s">
        <v>42</v>
      </c>
      <c r="N1183" t="s">
        <v>5602</v>
      </c>
      <c r="O1183" t="s">
        <v>4538</v>
      </c>
      <c r="P1183">
        <v>134675</v>
      </c>
      <c r="Q1183">
        <v>230472</v>
      </c>
      <c r="R1183" s="2">
        <v>45691</v>
      </c>
      <c r="S1183" t="s">
        <v>14</v>
      </c>
      <c r="T1183" t="s">
        <v>101</v>
      </c>
      <c r="U1183" t="s">
        <v>6379</v>
      </c>
      <c r="V1183" t="s">
        <v>6388</v>
      </c>
      <c r="W1183" t="s">
        <v>6352</v>
      </c>
      <c r="X1183">
        <v>97</v>
      </c>
      <c r="Y1183" t="s">
        <v>101</v>
      </c>
      <c r="Z1183">
        <v>255</v>
      </c>
    </row>
    <row r="1184" spans="1:26" x14ac:dyDescent="0.3">
      <c r="A1184">
        <v>1183</v>
      </c>
      <c r="B1184" t="s">
        <v>2655</v>
      </c>
      <c r="C1184" t="s">
        <v>19</v>
      </c>
      <c r="D1184" t="s">
        <v>30</v>
      </c>
      <c r="E1184" t="s">
        <v>6359</v>
      </c>
      <c r="F1184" t="s">
        <v>6390</v>
      </c>
      <c r="G1184" t="s">
        <v>6387</v>
      </c>
      <c r="H1184" t="s">
        <v>6389</v>
      </c>
      <c r="I1184" t="s">
        <v>6395</v>
      </c>
      <c r="J1184">
        <f>AVERAGE(ai_job_market[[#This Row],[min_salary]],ai_job_market[[#This Row],[max_salary]])</f>
        <v>103697</v>
      </c>
      <c r="K1184" t="s">
        <v>6392</v>
      </c>
      <c r="L1184" t="s">
        <v>14</v>
      </c>
      <c r="M1184" t="s">
        <v>15</v>
      </c>
      <c r="N1184" t="s">
        <v>5603</v>
      </c>
      <c r="O1184" t="s">
        <v>4466</v>
      </c>
      <c r="P1184">
        <v>60301</v>
      </c>
      <c r="Q1184">
        <v>147093</v>
      </c>
      <c r="R1184" s="2">
        <v>45666</v>
      </c>
      <c r="S1184" t="s">
        <v>69</v>
      </c>
      <c r="T1184" t="s">
        <v>70</v>
      </c>
      <c r="W1184" t="s">
        <v>6359</v>
      </c>
      <c r="X1184">
        <v>104</v>
      </c>
      <c r="Y1184" t="s">
        <v>70</v>
      </c>
      <c r="Z1184">
        <v>268</v>
      </c>
    </row>
    <row r="1185" spans="1:26" x14ac:dyDescent="0.3">
      <c r="A1185">
        <v>1184</v>
      </c>
      <c r="B1185" t="s">
        <v>2657</v>
      </c>
      <c r="C1185" t="s">
        <v>19</v>
      </c>
      <c r="D1185" t="s">
        <v>35</v>
      </c>
      <c r="E1185" t="s">
        <v>6349</v>
      </c>
      <c r="F1185" t="s">
        <v>6394</v>
      </c>
      <c r="G1185" t="s">
        <v>6377</v>
      </c>
      <c r="J1185">
        <f>AVERAGE(ai_job_market[[#This Row],[min_salary]],ai_job_market[[#This Row],[max_salary]])</f>
        <v>108761.5</v>
      </c>
      <c r="K1185"/>
      <c r="L1185" t="s">
        <v>22</v>
      </c>
      <c r="M1185" t="s">
        <v>15</v>
      </c>
      <c r="N1185" t="s">
        <v>5604</v>
      </c>
      <c r="O1185" t="s">
        <v>4307</v>
      </c>
      <c r="P1185">
        <v>80142</v>
      </c>
      <c r="Q1185">
        <v>137381</v>
      </c>
      <c r="R1185" s="2">
        <v>45697</v>
      </c>
      <c r="S1185" t="s">
        <v>14</v>
      </c>
      <c r="T1185" t="s">
        <v>70</v>
      </c>
      <c r="U1185" t="s">
        <v>6376</v>
      </c>
      <c r="W1185" t="s">
        <v>6349</v>
      </c>
      <c r="X1185">
        <v>96</v>
      </c>
      <c r="Y1185" t="s">
        <v>70</v>
      </c>
      <c r="Z1185">
        <v>268</v>
      </c>
    </row>
    <row r="1186" spans="1:26" x14ac:dyDescent="0.3">
      <c r="A1186">
        <v>1185</v>
      </c>
      <c r="B1186" t="s">
        <v>2659</v>
      </c>
      <c r="C1186" t="s">
        <v>45</v>
      </c>
      <c r="D1186" t="s">
        <v>135</v>
      </c>
      <c r="E1186" t="s">
        <v>6352</v>
      </c>
      <c r="F1186" t="s">
        <v>6392</v>
      </c>
      <c r="G1186" t="s">
        <v>6381</v>
      </c>
      <c r="H1186" t="s">
        <v>6390</v>
      </c>
      <c r="I1186" t="s">
        <v>6396</v>
      </c>
      <c r="J1186">
        <f>AVERAGE(ai_job_market[[#This Row],[min_salary]],ai_job_market[[#This Row],[max_salary]])</f>
        <v>148416</v>
      </c>
      <c r="K1186"/>
      <c r="L1186" t="s">
        <v>27</v>
      </c>
      <c r="M1186" t="s">
        <v>37</v>
      </c>
      <c r="N1186" t="s">
        <v>5605</v>
      </c>
      <c r="O1186" t="s">
        <v>4397</v>
      </c>
      <c r="P1186">
        <v>139587</v>
      </c>
      <c r="Q1186">
        <v>157245</v>
      </c>
      <c r="R1186" s="2">
        <v>45534</v>
      </c>
      <c r="S1186" t="s">
        <v>69</v>
      </c>
      <c r="T1186" t="s">
        <v>90</v>
      </c>
      <c r="U1186" t="s">
        <v>6375</v>
      </c>
      <c r="W1186" t="s">
        <v>6352</v>
      </c>
      <c r="X1186">
        <v>97</v>
      </c>
      <c r="Y1186" t="s">
        <v>90</v>
      </c>
      <c r="Z1186">
        <v>259</v>
      </c>
    </row>
    <row r="1187" spans="1:26" x14ac:dyDescent="0.3">
      <c r="A1187">
        <v>1186</v>
      </c>
      <c r="B1187" t="s">
        <v>2661</v>
      </c>
      <c r="C1187" t="s">
        <v>19</v>
      </c>
      <c r="D1187" t="s">
        <v>135</v>
      </c>
      <c r="E1187" t="s">
        <v>80</v>
      </c>
      <c r="F1187" t="s">
        <v>6374</v>
      </c>
      <c r="G1187" t="s">
        <v>6385</v>
      </c>
      <c r="H1187" t="s">
        <v>6395</v>
      </c>
      <c r="I1187" t="s">
        <v>6379</v>
      </c>
      <c r="J1187">
        <f>AVERAGE(ai_job_market[[#This Row],[min_salary]],ai_job_market[[#This Row],[max_salary]])</f>
        <v>164119</v>
      </c>
      <c r="K1187"/>
      <c r="L1187" t="s">
        <v>27</v>
      </c>
      <c r="M1187" t="s">
        <v>15</v>
      </c>
      <c r="N1187" t="s">
        <v>5606</v>
      </c>
      <c r="O1187" t="s">
        <v>4476</v>
      </c>
      <c r="P1187">
        <v>132458</v>
      </c>
      <c r="Q1187">
        <v>195780</v>
      </c>
      <c r="R1187" s="2">
        <v>45870</v>
      </c>
      <c r="S1187" t="s">
        <v>16</v>
      </c>
      <c r="T1187" t="s">
        <v>80</v>
      </c>
      <c r="U1187" t="s">
        <v>6379</v>
      </c>
      <c r="W1187" t="s">
        <v>80</v>
      </c>
      <c r="X1187">
        <v>95</v>
      </c>
      <c r="Y1187" t="s">
        <v>80</v>
      </c>
      <c r="Z1187">
        <v>249</v>
      </c>
    </row>
    <row r="1188" spans="1:26" x14ac:dyDescent="0.3">
      <c r="A1188">
        <v>1187</v>
      </c>
      <c r="B1188" t="s">
        <v>2663</v>
      </c>
      <c r="C1188" t="s">
        <v>34</v>
      </c>
      <c r="D1188" t="s">
        <v>54</v>
      </c>
      <c r="E1188" t="s">
        <v>6358</v>
      </c>
      <c r="F1188" t="s">
        <v>6391</v>
      </c>
      <c r="G1188" t="s">
        <v>6393</v>
      </c>
      <c r="H1188" t="s">
        <v>6397</v>
      </c>
      <c r="I1188" t="s">
        <v>6385</v>
      </c>
      <c r="J1188">
        <f>AVERAGE(ai_job_market[[#This Row],[min_salary]],ai_job_market[[#This Row],[max_salary]])</f>
        <v>63998</v>
      </c>
      <c r="K1188" t="s">
        <v>6387</v>
      </c>
      <c r="L1188" t="s">
        <v>27</v>
      </c>
      <c r="M1188" t="s">
        <v>37</v>
      </c>
      <c r="N1188" t="s">
        <v>5607</v>
      </c>
      <c r="O1188" t="s">
        <v>4664</v>
      </c>
      <c r="P1188">
        <v>44138</v>
      </c>
      <c r="Q1188">
        <v>83858</v>
      </c>
      <c r="R1188" s="2">
        <v>45899</v>
      </c>
      <c r="S1188" t="s">
        <v>16</v>
      </c>
      <c r="T1188" t="s">
        <v>70</v>
      </c>
      <c r="U1188" t="s">
        <v>6384</v>
      </c>
      <c r="V1188" t="s">
        <v>6389</v>
      </c>
      <c r="W1188" t="s">
        <v>6358</v>
      </c>
      <c r="X1188">
        <v>96</v>
      </c>
      <c r="Y1188" t="s">
        <v>70</v>
      </c>
      <c r="Z1188">
        <v>268</v>
      </c>
    </row>
    <row r="1189" spans="1:26" x14ac:dyDescent="0.3">
      <c r="A1189">
        <v>1188</v>
      </c>
      <c r="B1189" t="s">
        <v>2666</v>
      </c>
      <c r="C1189" t="s">
        <v>45</v>
      </c>
      <c r="D1189" t="s">
        <v>54</v>
      </c>
      <c r="E1189" t="s">
        <v>80</v>
      </c>
      <c r="F1189" t="s">
        <v>6374</v>
      </c>
      <c r="G1189" t="s">
        <v>6381</v>
      </c>
      <c r="H1189" t="s">
        <v>6394</v>
      </c>
      <c r="I1189" t="s">
        <v>6397</v>
      </c>
      <c r="J1189">
        <f>AVERAGE(ai_job_market[[#This Row],[min_salary]],ai_job_market[[#This Row],[max_salary]])</f>
        <v>110730.5</v>
      </c>
      <c r="K1189"/>
      <c r="L1189" t="s">
        <v>27</v>
      </c>
      <c r="M1189" t="s">
        <v>37</v>
      </c>
      <c r="N1189" t="s">
        <v>5608</v>
      </c>
      <c r="O1189" t="s">
        <v>5113</v>
      </c>
      <c r="P1189">
        <v>85552</v>
      </c>
      <c r="Q1189">
        <v>135909</v>
      </c>
      <c r="R1189" s="2">
        <v>45444</v>
      </c>
      <c r="S1189" t="s">
        <v>14</v>
      </c>
      <c r="T1189" t="s">
        <v>77</v>
      </c>
      <c r="U1189" t="s">
        <v>6384</v>
      </c>
      <c r="W1189" t="s">
        <v>80</v>
      </c>
      <c r="X1189">
        <v>95</v>
      </c>
      <c r="Y1189" t="s">
        <v>77</v>
      </c>
      <c r="Z1189">
        <v>251</v>
      </c>
    </row>
    <row r="1190" spans="1:26" x14ac:dyDescent="0.3">
      <c r="A1190">
        <v>1189</v>
      </c>
      <c r="B1190" t="s">
        <v>2668</v>
      </c>
      <c r="C1190" t="s">
        <v>34</v>
      </c>
      <c r="D1190" t="s">
        <v>35</v>
      </c>
      <c r="E1190" t="s">
        <v>101</v>
      </c>
      <c r="F1190" t="s">
        <v>6377</v>
      </c>
      <c r="G1190" t="s">
        <v>6394</v>
      </c>
      <c r="H1190" t="s">
        <v>6392</v>
      </c>
      <c r="I1190" t="s">
        <v>6396</v>
      </c>
      <c r="J1190" s="6">
        <f>AVERAGE(ai_job_market[[#This Row],[min_salary]],ai_job_market[[#This Row],[max_salary]])</f>
        <v>108449.5</v>
      </c>
      <c r="K1190" t="s">
        <v>6386</v>
      </c>
      <c r="L1190" t="s">
        <v>27</v>
      </c>
      <c r="M1190" t="s">
        <v>42</v>
      </c>
      <c r="N1190" t="s">
        <v>5609</v>
      </c>
      <c r="O1190" t="s">
        <v>4619</v>
      </c>
      <c r="P1190" s="5">
        <v>78016</v>
      </c>
      <c r="Q1190" s="5">
        <v>138883</v>
      </c>
      <c r="R1190" s="2">
        <v>45374</v>
      </c>
      <c r="S1190" t="s">
        <v>69</v>
      </c>
      <c r="T1190" t="s">
        <v>77</v>
      </c>
      <c r="U1190" t="s">
        <v>6376</v>
      </c>
      <c r="W1190" t="s">
        <v>101</v>
      </c>
      <c r="X1190">
        <v>76</v>
      </c>
      <c r="Y1190" t="s">
        <v>77</v>
      </c>
      <c r="Z1190">
        <v>251</v>
      </c>
    </row>
    <row r="1191" spans="1:26" x14ac:dyDescent="0.3">
      <c r="A1191">
        <v>1190</v>
      </c>
      <c r="B1191" t="s">
        <v>2670</v>
      </c>
      <c r="C1191" t="s">
        <v>34</v>
      </c>
      <c r="D1191" t="s">
        <v>135</v>
      </c>
      <c r="E1191" t="s">
        <v>6352</v>
      </c>
      <c r="F1191" t="s">
        <v>6394</v>
      </c>
      <c r="G1191" t="s">
        <v>6379</v>
      </c>
      <c r="H1191" t="s">
        <v>6376</v>
      </c>
      <c r="I1191" t="s">
        <v>6378</v>
      </c>
      <c r="J1191" s="6">
        <f>AVERAGE(ai_job_market[[#This Row],[min_salary]],ai_job_market[[#This Row],[max_salary]])</f>
        <v>147662</v>
      </c>
      <c r="K1191"/>
      <c r="L1191" t="s">
        <v>22</v>
      </c>
      <c r="M1191" t="s">
        <v>42</v>
      </c>
      <c r="N1191" t="s">
        <v>5610</v>
      </c>
      <c r="O1191" t="s">
        <v>4643</v>
      </c>
      <c r="P1191" s="5">
        <v>132214</v>
      </c>
      <c r="Q1191" s="5">
        <v>163110</v>
      </c>
      <c r="R1191" s="2">
        <v>45202</v>
      </c>
      <c r="S1191" t="s">
        <v>14</v>
      </c>
      <c r="T1191" t="s">
        <v>80</v>
      </c>
      <c r="U1191" t="s">
        <v>6376</v>
      </c>
      <c r="V1191" t="s">
        <v>6375</v>
      </c>
      <c r="W1191" t="s">
        <v>6352</v>
      </c>
      <c r="X1191">
        <v>97</v>
      </c>
      <c r="Y1191" t="s">
        <v>80</v>
      </c>
      <c r="Z1191">
        <v>249</v>
      </c>
    </row>
    <row r="1192" spans="1:26" x14ac:dyDescent="0.3">
      <c r="A1192">
        <v>1191</v>
      </c>
      <c r="B1192" t="s">
        <v>2672</v>
      </c>
      <c r="C1192" t="s">
        <v>72</v>
      </c>
      <c r="D1192" t="s">
        <v>54</v>
      </c>
      <c r="E1192" t="s">
        <v>6354</v>
      </c>
      <c r="F1192" t="s">
        <v>6395</v>
      </c>
      <c r="G1192" t="s">
        <v>6379</v>
      </c>
      <c r="H1192" t="s">
        <v>6376</v>
      </c>
      <c r="J1192">
        <f>AVERAGE(ai_job_market[[#This Row],[min_salary]],ai_job_market[[#This Row],[max_salary]])</f>
        <v>147306.5</v>
      </c>
      <c r="K1192"/>
      <c r="L1192" t="s">
        <v>22</v>
      </c>
      <c r="M1192" t="s">
        <v>15</v>
      </c>
      <c r="N1192" t="s">
        <v>4757</v>
      </c>
      <c r="O1192" t="s">
        <v>4490</v>
      </c>
      <c r="P1192">
        <v>139424</v>
      </c>
      <c r="Q1192">
        <v>155189</v>
      </c>
      <c r="R1192" s="2">
        <v>45412</v>
      </c>
      <c r="S1192" t="s">
        <v>16</v>
      </c>
      <c r="T1192" t="s">
        <v>52</v>
      </c>
      <c r="U1192" t="s">
        <v>6389</v>
      </c>
      <c r="W1192" t="s">
        <v>6354</v>
      </c>
      <c r="X1192">
        <v>75</v>
      </c>
      <c r="Y1192" t="s">
        <v>52</v>
      </c>
      <c r="Z1192">
        <v>238</v>
      </c>
    </row>
    <row r="1193" spans="1:26" x14ac:dyDescent="0.3">
      <c r="A1193">
        <v>1192</v>
      </c>
      <c r="B1193" t="s">
        <v>2674</v>
      </c>
      <c r="C1193" t="s">
        <v>72</v>
      </c>
      <c r="D1193" t="s">
        <v>135</v>
      </c>
      <c r="E1193" t="s">
        <v>128</v>
      </c>
      <c r="F1193" t="s">
        <v>6395</v>
      </c>
      <c r="G1193" t="s">
        <v>6382</v>
      </c>
      <c r="H1193" t="s">
        <v>6376</v>
      </c>
      <c r="J1193">
        <f>AVERAGE(ai_job_market[[#This Row],[min_salary]],ai_job_market[[#This Row],[max_salary]])</f>
        <v>106784.5</v>
      </c>
      <c r="K1193"/>
      <c r="L1193" t="s">
        <v>14</v>
      </c>
      <c r="M1193" t="s">
        <v>51</v>
      </c>
      <c r="N1193" t="s">
        <v>5611</v>
      </c>
      <c r="O1193" t="s">
        <v>4538</v>
      </c>
      <c r="P1193">
        <v>77201</v>
      </c>
      <c r="Q1193">
        <v>136368</v>
      </c>
      <c r="R1193" s="2">
        <v>45281</v>
      </c>
      <c r="S1193" t="s">
        <v>69</v>
      </c>
      <c r="T1193" t="s">
        <v>90</v>
      </c>
      <c r="U1193" t="s">
        <v>6379</v>
      </c>
      <c r="V1193" t="s">
        <v>6376</v>
      </c>
      <c r="W1193" t="s">
        <v>128</v>
      </c>
      <c r="X1193">
        <v>92</v>
      </c>
      <c r="Y1193" t="s">
        <v>90</v>
      </c>
      <c r="Z1193">
        <v>259</v>
      </c>
    </row>
    <row r="1194" spans="1:26" x14ac:dyDescent="0.3">
      <c r="A1194">
        <v>1193</v>
      </c>
      <c r="B1194" t="s">
        <v>2676</v>
      </c>
      <c r="C1194" t="s">
        <v>45</v>
      </c>
      <c r="D1194" t="s">
        <v>12</v>
      </c>
      <c r="E1194" t="s">
        <v>70</v>
      </c>
      <c r="F1194" t="s">
        <v>6395</v>
      </c>
      <c r="G1194" t="s">
        <v>6386</v>
      </c>
      <c r="H1194" t="s">
        <v>6384</v>
      </c>
      <c r="J1194">
        <f>AVERAGE(ai_job_market[[#This Row],[min_salary]],ai_job_market[[#This Row],[max_salary]])</f>
        <v>80261.5</v>
      </c>
      <c r="K1194"/>
      <c r="L1194" t="s">
        <v>14</v>
      </c>
      <c r="M1194" t="s">
        <v>37</v>
      </c>
      <c r="N1194" t="s">
        <v>5612</v>
      </c>
      <c r="O1194" t="s">
        <v>4287</v>
      </c>
      <c r="P1194">
        <v>53641</v>
      </c>
      <c r="Q1194">
        <v>106882</v>
      </c>
      <c r="R1194" s="2">
        <v>45586</v>
      </c>
      <c r="S1194" t="s">
        <v>69</v>
      </c>
      <c r="T1194" t="s">
        <v>90</v>
      </c>
      <c r="W1194" t="s">
        <v>70</v>
      </c>
      <c r="X1194">
        <v>100</v>
      </c>
      <c r="Y1194" t="s">
        <v>90</v>
      </c>
      <c r="Z1194">
        <v>259</v>
      </c>
    </row>
    <row r="1195" spans="1:26" x14ac:dyDescent="0.3">
      <c r="A1195">
        <v>1194</v>
      </c>
      <c r="B1195" t="s">
        <v>2678</v>
      </c>
      <c r="C1195" t="s">
        <v>40</v>
      </c>
      <c r="D1195" t="s">
        <v>35</v>
      </c>
      <c r="E1195" t="s">
        <v>6349</v>
      </c>
      <c r="F1195" t="s">
        <v>6397</v>
      </c>
      <c r="G1195" t="s">
        <v>6395</v>
      </c>
      <c r="H1195" t="s">
        <v>6377</v>
      </c>
      <c r="J1195">
        <f>AVERAGE(ai_job_market[[#This Row],[min_salary]],ai_job_market[[#This Row],[max_salary]])</f>
        <v>71635.5</v>
      </c>
      <c r="K1195"/>
      <c r="L1195" t="s">
        <v>22</v>
      </c>
      <c r="M1195" t="s">
        <v>37</v>
      </c>
      <c r="N1195" t="s">
        <v>5613</v>
      </c>
      <c r="O1195" t="s">
        <v>4628</v>
      </c>
      <c r="P1195">
        <v>54875</v>
      </c>
      <c r="Q1195">
        <v>88396</v>
      </c>
      <c r="R1195" s="2">
        <v>45690</v>
      </c>
      <c r="S1195" t="s">
        <v>14</v>
      </c>
      <c r="T1195" t="s">
        <v>52</v>
      </c>
      <c r="U1195" t="s">
        <v>6378</v>
      </c>
      <c r="V1195" t="s">
        <v>6375</v>
      </c>
      <c r="W1195" t="s">
        <v>6349</v>
      </c>
      <c r="X1195">
        <v>96</v>
      </c>
      <c r="Y1195" t="s">
        <v>52</v>
      </c>
      <c r="Z1195">
        <v>238</v>
      </c>
    </row>
    <row r="1196" spans="1:26" x14ac:dyDescent="0.3">
      <c r="A1196">
        <v>1195</v>
      </c>
      <c r="B1196" t="s">
        <v>2681</v>
      </c>
      <c r="C1196" t="s">
        <v>40</v>
      </c>
      <c r="D1196" t="s">
        <v>35</v>
      </c>
      <c r="E1196" t="s">
        <v>70</v>
      </c>
      <c r="F1196" t="s">
        <v>6382</v>
      </c>
      <c r="G1196" t="s">
        <v>6376</v>
      </c>
      <c r="H1196" t="s">
        <v>6389</v>
      </c>
      <c r="I1196" t="s">
        <v>6385</v>
      </c>
      <c r="J1196">
        <f>AVERAGE(ai_job_market[[#This Row],[min_salary]],ai_job_market[[#This Row],[max_salary]])</f>
        <v>102530</v>
      </c>
      <c r="K1196"/>
      <c r="L1196" t="s">
        <v>14</v>
      </c>
      <c r="M1196" t="s">
        <v>37</v>
      </c>
      <c r="N1196" t="s">
        <v>5614</v>
      </c>
      <c r="O1196" t="s">
        <v>4524</v>
      </c>
      <c r="P1196">
        <v>71896</v>
      </c>
      <c r="Q1196">
        <v>133164</v>
      </c>
      <c r="R1196" s="2">
        <v>45318</v>
      </c>
      <c r="S1196" t="s">
        <v>14</v>
      </c>
      <c r="T1196" t="s">
        <v>128</v>
      </c>
      <c r="W1196" t="s">
        <v>70</v>
      </c>
      <c r="X1196">
        <v>100</v>
      </c>
      <c r="Y1196" t="s">
        <v>128</v>
      </c>
      <c r="Z1196">
        <v>233</v>
      </c>
    </row>
    <row r="1197" spans="1:26" x14ac:dyDescent="0.3">
      <c r="A1197">
        <v>1196</v>
      </c>
      <c r="B1197" t="s">
        <v>2683</v>
      </c>
      <c r="C1197" t="s">
        <v>40</v>
      </c>
      <c r="D1197" t="s">
        <v>20</v>
      </c>
      <c r="E1197" t="s">
        <v>77</v>
      </c>
      <c r="F1197" t="s">
        <v>6396</v>
      </c>
      <c r="G1197" t="s">
        <v>6376</v>
      </c>
      <c r="H1197" t="s">
        <v>6382</v>
      </c>
      <c r="I1197" t="s">
        <v>6375</v>
      </c>
      <c r="J1197">
        <f>AVERAGE(ai_job_market[[#This Row],[min_salary]],ai_job_market[[#This Row],[max_salary]])</f>
        <v>87738</v>
      </c>
      <c r="K1197" t="s">
        <v>6393</v>
      </c>
      <c r="L1197" t="s">
        <v>27</v>
      </c>
      <c r="M1197" t="s">
        <v>15</v>
      </c>
      <c r="N1197" t="s">
        <v>5615</v>
      </c>
      <c r="O1197" t="s">
        <v>4540</v>
      </c>
      <c r="P1197">
        <v>54199</v>
      </c>
      <c r="Q1197">
        <v>121277</v>
      </c>
      <c r="R1197" s="2">
        <v>45331</v>
      </c>
      <c r="S1197" t="s">
        <v>69</v>
      </c>
      <c r="T1197" t="s">
        <v>80</v>
      </c>
      <c r="U1197" t="s">
        <v>6388</v>
      </c>
      <c r="V1197" t="s">
        <v>6389</v>
      </c>
      <c r="W1197" t="s">
        <v>77</v>
      </c>
      <c r="X1197">
        <v>111</v>
      </c>
      <c r="Y1197" t="s">
        <v>80</v>
      </c>
      <c r="Z1197">
        <v>249</v>
      </c>
    </row>
    <row r="1198" spans="1:26" x14ac:dyDescent="0.3">
      <c r="A1198">
        <v>1197</v>
      </c>
      <c r="B1198" t="s">
        <v>2685</v>
      </c>
      <c r="C1198" t="s">
        <v>45</v>
      </c>
      <c r="D1198" t="s">
        <v>67</v>
      </c>
      <c r="E1198" t="s">
        <v>6350</v>
      </c>
      <c r="F1198" t="s">
        <v>6386</v>
      </c>
      <c r="G1198" t="s">
        <v>6394</v>
      </c>
      <c r="H1198" t="s">
        <v>6381</v>
      </c>
      <c r="J1198">
        <f>AVERAGE(ai_job_market[[#This Row],[min_salary]],ai_job_market[[#This Row],[max_salary]])</f>
        <v>99415</v>
      </c>
      <c r="K1198"/>
      <c r="L1198" t="s">
        <v>14</v>
      </c>
      <c r="M1198" t="s">
        <v>42</v>
      </c>
      <c r="N1198" t="s">
        <v>5616</v>
      </c>
      <c r="O1198" t="s">
        <v>4337</v>
      </c>
      <c r="P1198">
        <v>58539</v>
      </c>
      <c r="Q1198">
        <v>140291</v>
      </c>
      <c r="R1198" s="2">
        <v>45796</v>
      </c>
      <c r="S1198" t="s">
        <v>69</v>
      </c>
      <c r="T1198" t="s">
        <v>157</v>
      </c>
      <c r="W1198" t="s">
        <v>6350</v>
      </c>
      <c r="X1198">
        <v>84</v>
      </c>
      <c r="Y1198" t="s">
        <v>157</v>
      </c>
      <c r="Z1198">
        <v>247</v>
      </c>
    </row>
    <row r="1199" spans="1:26" x14ac:dyDescent="0.3">
      <c r="A1199">
        <v>1198</v>
      </c>
      <c r="B1199" t="s">
        <v>2687</v>
      </c>
      <c r="C1199" t="s">
        <v>11</v>
      </c>
      <c r="D1199" t="s">
        <v>135</v>
      </c>
      <c r="E1199" t="s">
        <v>80</v>
      </c>
      <c r="F1199" t="s">
        <v>6397</v>
      </c>
      <c r="G1199" t="s">
        <v>6374</v>
      </c>
      <c r="J1199">
        <f>AVERAGE(ai_job_market[[#This Row],[min_salary]],ai_job_market[[#This Row],[max_salary]])</f>
        <v>107572.5</v>
      </c>
      <c r="K1199"/>
      <c r="L1199" t="s">
        <v>14</v>
      </c>
      <c r="M1199" t="s">
        <v>51</v>
      </c>
      <c r="N1199" t="s">
        <v>5617</v>
      </c>
      <c r="O1199" t="s">
        <v>4307</v>
      </c>
      <c r="P1199">
        <v>81361</v>
      </c>
      <c r="Q1199">
        <v>133784</v>
      </c>
      <c r="R1199" s="2">
        <v>45291</v>
      </c>
      <c r="S1199" t="s">
        <v>69</v>
      </c>
      <c r="T1199" t="s">
        <v>128</v>
      </c>
      <c r="U1199" t="s">
        <v>6376</v>
      </c>
      <c r="V1199" t="s">
        <v>6383</v>
      </c>
      <c r="W1199" t="s">
        <v>80</v>
      </c>
      <c r="X1199">
        <v>95</v>
      </c>
      <c r="Y1199" t="s">
        <v>128</v>
      </c>
      <c r="Z1199">
        <v>233</v>
      </c>
    </row>
    <row r="1200" spans="1:26" x14ac:dyDescent="0.3">
      <c r="A1200">
        <v>1199</v>
      </c>
      <c r="B1200" t="s">
        <v>2689</v>
      </c>
      <c r="C1200" t="s">
        <v>72</v>
      </c>
      <c r="D1200" t="s">
        <v>35</v>
      </c>
      <c r="E1200" t="s">
        <v>6359</v>
      </c>
      <c r="F1200" t="s">
        <v>6392</v>
      </c>
      <c r="G1200" t="s">
        <v>6385</v>
      </c>
      <c r="H1200" t="s">
        <v>6391</v>
      </c>
      <c r="I1200" t="s">
        <v>6393</v>
      </c>
      <c r="J1200">
        <f>AVERAGE(ai_job_market[[#This Row],[min_salary]],ai_job_market[[#This Row],[max_salary]])</f>
        <v>128037</v>
      </c>
      <c r="K1200" t="s">
        <v>6397</v>
      </c>
      <c r="L1200" t="s">
        <v>22</v>
      </c>
      <c r="M1200" t="s">
        <v>42</v>
      </c>
      <c r="N1200" t="s">
        <v>5618</v>
      </c>
      <c r="O1200" t="s">
        <v>4666</v>
      </c>
      <c r="P1200">
        <v>107193</v>
      </c>
      <c r="Q1200">
        <v>148881</v>
      </c>
      <c r="R1200" s="2">
        <v>45225</v>
      </c>
      <c r="S1200" t="s">
        <v>69</v>
      </c>
      <c r="T1200" t="s">
        <v>101</v>
      </c>
      <c r="W1200" t="s">
        <v>6359</v>
      </c>
      <c r="X1200">
        <v>104</v>
      </c>
      <c r="Y1200" t="s">
        <v>101</v>
      </c>
      <c r="Z1200">
        <v>255</v>
      </c>
    </row>
    <row r="1201" spans="1:26" x14ac:dyDescent="0.3">
      <c r="A1201">
        <v>1200</v>
      </c>
      <c r="B1201" t="s">
        <v>1045</v>
      </c>
      <c r="C1201" t="s">
        <v>49</v>
      </c>
      <c r="D1201" t="s">
        <v>35</v>
      </c>
      <c r="E1201" t="s">
        <v>80</v>
      </c>
      <c r="F1201" t="s">
        <v>6376</v>
      </c>
      <c r="G1201" t="s">
        <v>6394</v>
      </c>
      <c r="H1201" t="s">
        <v>6385</v>
      </c>
      <c r="I1201" t="s">
        <v>6393</v>
      </c>
      <c r="J1201">
        <f>AVERAGE(ai_job_market[[#This Row],[min_salary]],ai_job_market[[#This Row],[max_salary]])</f>
        <v>130091</v>
      </c>
      <c r="K1201"/>
      <c r="L1201" t="s">
        <v>27</v>
      </c>
      <c r="M1201" t="s">
        <v>37</v>
      </c>
      <c r="N1201" t="s">
        <v>5619</v>
      </c>
      <c r="O1201" t="s">
        <v>4353</v>
      </c>
      <c r="P1201">
        <v>101110</v>
      </c>
      <c r="Q1201">
        <v>159072</v>
      </c>
      <c r="R1201" s="2">
        <v>45747</v>
      </c>
      <c r="S1201" t="s">
        <v>16</v>
      </c>
      <c r="T1201" t="s">
        <v>77</v>
      </c>
      <c r="U1201" t="s">
        <v>6389</v>
      </c>
      <c r="V1201" t="s">
        <v>6375</v>
      </c>
      <c r="W1201" t="s">
        <v>80</v>
      </c>
      <c r="X1201">
        <v>95</v>
      </c>
      <c r="Y1201" t="s">
        <v>77</v>
      </c>
      <c r="Z1201">
        <v>251</v>
      </c>
    </row>
    <row r="1202" spans="1:26" x14ac:dyDescent="0.3">
      <c r="A1202">
        <v>1201</v>
      </c>
      <c r="B1202" t="s">
        <v>2693</v>
      </c>
      <c r="C1202" t="s">
        <v>72</v>
      </c>
      <c r="D1202" t="s">
        <v>25</v>
      </c>
      <c r="E1202" t="s">
        <v>6357</v>
      </c>
      <c r="F1202" t="s">
        <v>6386</v>
      </c>
      <c r="G1202" t="s">
        <v>6384</v>
      </c>
      <c r="J1202">
        <f>AVERAGE(ai_job_market[[#This Row],[min_salary]],ai_job_market[[#This Row],[max_salary]])</f>
        <v>183357</v>
      </c>
      <c r="K1202"/>
      <c r="L1202" t="s">
        <v>27</v>
      </c>
      <c r="M1202" t="s">
        <v>15</v>
      </c>
      <c r="N1202" t="s">
        <v>5620</v>
      </c>
      <c r="O1202" t="s">
        <v>4566</v>
      </c>
      <c r="P1202">
        <v>136800</v>
      </c>
      <c r="Q1202">
        <v>229914</v>
      </c>
      <c r="R1202" s="2">
        <v>45556</v>
      </c>
      <c r="S1202" t="s">
        <v>14</v>
      </c>
      <c r="T1202" t="s">
        <v>128</v>
      </c>
      <c r="W1202" t="s">
        <v>6357</v>
      </c>
      <c r="X1202">
        <v>88</v>
      </c>
      <c r="Y1202" t="s">
        <v>128</v>
      </c>
      <c r="Z1202">
        <v>233</v>
      </c>
    </row>
    <row r="1203" spans="1:26" x14ac:dyDescent="0.3">
      <c r="A1203">
        <v>1202</v>
      </c>
      <c r="B1203" t="s">
        <v>1239</v>
      </c>
      <c r="C1203" t="s">
        <v>19</v>
      </c>
      <c r="D1203" t="s">
        <v>54</v>
      </c>
      <c r="E1203" t="s">
        <v>6351</v>
      </c>
      <c r="F1203" t="s">
        <v>6382</v>
      </c>
      <c r="G1203" t="s">
        <v>6381</v>
      </c>
      <c r="J1203">
        <f>AVERAGE(ai_job_market[[#This Row],[min_salary]],ai_job_market[[#This Row],[max_salary]])</f>
        <v>155736.5</v>
      </c>
      <c r="K1203"/>
      <c r="L1203" t="s">
        <v>14</v>
      </c>
      <c r="M1203" t="s">
        <v>51</v>
      </c>
      <c r="N1203" t="s">
        <v>5621</v>
      </c>
      <c r="O1203" t="s">
        <v>4596</v>
      </c>
      <c r="P1203">
        <v>124475</v>
      </c>
      <c r="Q1203">
        <v>186998</v>
      </c>
      <c r="R1203" s="2">
        <v>45741</v>
      </c>
      <c r="S1203" t="s">
        <v>69</v>
      </c>
      <c r="T1203" t="s">
        <v>90</v>
      </c>
      <c r="U1203" t="s">
        <v>6375</v>
      </c>
      <c r="V1203" t="s">
        <v>6388</v>
      </c>
      <c r="W1203" t="s">
        <v>6351</v>
      </c>
      <c r="X1203">
        <v>89</v>
      </c>
      <c r="Y1203" t="s">
        <v>90</v>
      </c>
      <c r="Z1203">
        <v>259</v>
      </c>
    </row>
    <row r="1204" spans="1:26" x14ac:dyDescent="0.3">
      <c r="A1204">
        <v>1203</v>
      </c>
      <c r="B1204" t="s">
        <v>2696</v>
      </c>
      <c r="C1204" t="s">
        <v>19</v>
      </c>
      <c r="D1204" t="s">
        <v>35</v>
      </c>
      <c r="E1204" t="s">
        <v>6344</v>
      </c>
      <c r="F1204" t="s">
        <v>6384</v>
      </c>
      <c r="G1204" t="s">
        <v>6382</v>
      </c>
      <c r="H1204" t="s">
        <v>6380</v>
      </c>
      <c r="J1204">
        <f>AVERAGE(ai_job_market[[#This Row],[min_salary]],ai_job_market[[#This Row],[max_salary]])</f>
        <v>160031</v>
      </c>
      <c r="K1204"/>
      <c r="L1204" t="s">
        <v>22</v>
      </c>
      <c r="M1204" t="s">
        <v>51</v>
      </c>
      <c r="N1204" t="s">
        <v>5622</v>
      </c>
      <c r="O1204" t="s">
        <v>4335</v>
      </c>
      <c r="P1204">
        <v>132410</v>
      </c>
      <c r="Q1204">
        <v>187652</v>
      </c>
      <c r="R1204" s="2">
        <v>45512</v>
      </c>
      <c r="S1204" t="s">
        <v>16</v>
      </c>
      <c r="T1204" t="s">
        <v>52</v>
      </c>
      <c r="W1204" t="s">
        <v>6344</v>
      </c>
      <c r="X1204">
        <v>104</v>
      </c>
      <c r="Y1204" t="s">
        <v>52</v>
      </c>
      <c r="Z1204">
        <v>238</v>
      </c>
    </row>
    <row r="1205" spans="1:26" x14ac:dyDescent="0.3">
      <c r="A1205">
        <v>1204</v>
      </c>
      <c r="B1205" t="s">
        <v>2698</v>
      </c>
      <c r="C1205" t="s">
        <v>40</v>
      </c>
      <c r="D1205" t="s">
        <v>67</v>
      </c>
      <c r="E1205" t="s">
        <v>6350</v>
      </c>
      <c r="F1205" t="s">
        <v>6382</v>
      </c>
      <c r="G1205" t="s">
        <v>6390</v>
      </c>
      <c r="H1205" t="s">
        <v>6396</v>
      </c>
      <c r="J1205">
        <f>AVERAGE(ai_job_market[[#This Row],[min_salary]],ai_job_market[[#This Row],[max_salary]])</f>
        <v>145100.5</v>
      </c>
      <c r="K1205"/>
      <c r="L1205" t="s">
        <v>14</v>
      </c>
      <c r="M1205" t="s">
        <v>15</v>
      </c>
      <c r="N1205" t="s">
        <v>5623</v>
      </c>
      <c r="O1205" t="s">
        <v>4367</v>
      </c>
      <c r="P1205">
        <v>112490</v>
      </c>
      <c r="Q1205">
        <v>177711</v>
      </c>
      <c r="R1205" s="2">
        <v>45236</v>
      </c>
      <c r="S1205" t="s">
        <v>69</v>
      </c>
      <c r="T1205" t="s">
        <v>90</v>
      </c>
      <c r="U1205" t="s">
        <v>6383</v>
      </c>
      <c r="V1205" t="s">
        <v>6376</v>
      </c>
      <c r="W1205" t="s">
        <v>6350</v>
      </c>
      <c r="X1205">
        <v>84</v>
      </c>
      <c r="Y1205" t="s">
        <v>90</v>
      </c>
      <c r="Z1205">
        <v>259</v>
      </c>
    </row>
    <row r="1206" spans="1:26" x14ac:dyDescent="0.3">
      <c r="A1206">
        <v>1205</v>
      </c>
      <c r="B1206" t="s">
        <v>2700</v>
      </c>
      <c r="C1206" t="s">
        <v>72</v>
      </c>
      <c r="D1206" t="s">
        <v>25</v>
      </c>
      <c r="E1206" t="s">
        <v>101</v>
      </c>
      <c r="F1206" t="s">
        <v>6396</v>
      </c>
      <c r="G1206" t="s">
        <v>6392</v>
      </c>
      <c r="J1206">
        <f>AVERAGE(ai_job_market[[#This Row],[min_salary]],ai_job_market[[#This Row],[max_salary]])</f>
        <v>112864</v>
      </c>
      <c r="K1206"/>
      <c r="L1206" t="s">
        <v>27</v>
      </c>
      <c r="M1206" t="s">
        <v>51</v>
      </c>
      <c r="N1206" t="s">
        <v>5624</v>
      </c>
      <c r="O1206" t="s">
        <v>4687</v>
      </c>
      <c r="P1206">
        <v>87425</v>
      </c>
      <c r="Q1206">
        <v>138303</v>
      </c>
      <c r="R1206" s="2">
        <v>45849</v>
      </c>
      <c r="S1206" t="s">
        <v>14</v>
      </c>
      <c r="T1206" t="s">
        <v>77</v>
      </c>
      <c r="W1206" t="s">
        <v>101</v>
      </c>
      <c r="X1206">
        <v>76</v>
      </c>
      <c r="Y1206" t="s">
        <v>77</v>
      </c>
      <c r="Z1206">
        <v>251</v>
      </c>
    </row>
    <row r="1207" spans="1:26" x14ac:dyDescent="0.3">
      <c r="A1207">
        <v>1206</v>
      </c>
      <c r="B1207" t="s">
        <v>2702</v>
      </c>
      <c r="C1207" t="s">
        <v>34</v>
      </c>
      <c r="D1207" t="s">
        <v>25</v>
      </c>
      <c r="E1207" t="s">
        <v>77</v>
      </c>
      <c r="F1207" t="s">
        <v>6385</v>
      </c>
      <c r="G1207" t="s">
        <v>6394</v>
      </c>
      <c r="H1207" t="s">
        <v>6392</v>
      </c>
      <c r="J1207">
        <f>AVERAGE(ai_job_market[[#This Row],[min_salary]],ai_job_market[[#This Row],[max_salary]])</f>
        <v>117048.5</v>
      </c>
      <c r="K1207"/>
      <c r="L1207" t="s">
        <v>27</v>
      </c>
      <c r="M1207" t="s">
        <v>37</v>
      </c>
      <c r="N1207" t="s">
        <v>5625</v>
      </c>
      <c r="O1207" t="s">
        <v>4424</v>
      </c>
      <c r="P1207">
        <v>67422</v>
      </c>
      <c r="Q1207">
        <v>166675</v>
      </c>
      <c r="R1207" s="2">
        <v>45521</v>
      </c>
      <c r="S1207" t="s">
        <v>16</v>
      </c>
      <c r="T1207" t="s">
        <v>90</v>
      </c>
      <c r="U1207" t="s">
        <v>6379</v>
      </c>
      <c r="W1207" t="s">
        <v>77</v>
      </c>
      <c r="X1207">
        <v>111</v>
      </c>
      <c r="Y1207" t="s">
        <v>90</v>
      </c>
      <c r="Z1207">
        <v>259</v>
      </c>
    </row>
    <row r="1208" spans="1:26" x14ac:dyDescent="0.3">
      <c r="A1208">
        <v>1207</v>
      </c>
      <c r="B1208" t="s">
        <v>2704</v>
      </c>
      <c r="C1208" t="s">
        <v>45</v>
      </c>
      <c r="D1208" t="s">
        <v>35</v>
      </c>
      <c r="E1208" t="s">
        <v>6357</v>
      </c>
      <c r="F1208" t="s">
        <v>6382</v>
      </c>
      <c r="G1208" t="s">
        <v>6392</v>
      </c>
      <c r="J1208">
        <f>AVERAGE(ai_job_market[[#This Row],[min_salary]],ai_job_market[[#This Row],[max_salary]])</f>
        <v>94569</v>
      </c>
      <c r="K1208"/>
      <c r="L1208" t="s">
        <v>22</v>
      </c>
      <c r="M1208" t="s">
        <v>42</v>
      </c>
      <c r="N1208" t="s">
        <v>5626</v>
      </c>
      <c r="O1208" t="s">
        <v>4584</v>
      </c>
      <c r="P1208">
        <v>60629</v>
      </c>
      <c r="Q1208">
        <v>128509</v>
      </c>
      <c r="R1208" s="2">
        <v>45682</v>
      </c>
      <c r="S1208" t="s">
        <v>14</v>
      </c>
      <c r="T1208" t="s">
        <v>77</v>
      </c>
      <c r="U1208" t="s">
        <v>6389</v>
      </c>
      <c r="V1208" t="s">
        <v>6388</v>
      </c>
      <c r="W1208" t="s">
        <v>6357</v>
      </c>
      <c r="X1208">
        <v>88</v>
      </c>
      <c r="Y1208" t="s">
        <v>77</v>
      </c>
      <c r="Z1208">
        <v>251</v>
      </c>
    </row>
    <row r="1209" spans="1:26" x14ac:dyDescent="0.3">
      <c r="A1209">
        <v>1208</v>
      </c>
      <c r="B1209" t="s">
        <v>2707</v>
      </c>
      <c r="C1209" t="s">
        <v>45</v>
      </c>
      <c r="D1209" t="s">
        <v>12</v>
      </c>
      <c r="E1209" t="s">
        <v>90</v>
      </c>
      <c r="F1209" t="s">
        <v>6390</v>
      </c>
      <c r="G1209" t="s">
        <v>6385</v>
      </c>
      <c r="H1209" t="s">
        <v>6374</v>
      </c>
      <c r="J1209">
        <f>AVERAGE(ai_job_market[[#This Row],[min_salary]],ai_job_market[[#This Row],[max_salary]])</f>
        <v>162453</v>
      </c>
      <c r="K1209"/>
      <c r="L1209" t="s">
        <v>14</v>
      </c>
      <c r="M1209" t="s">
        <v>51</v>
      </c>
      <c r="N1209" t="s">
        <v>5627</v>
      </c>
      <c r="O1209" t="s">
        <v>4524</v>
      </c>
      <c r="P1209">
        <v>141368</v>
      </c>
      <c r="Q1209">
        <v>183538</v>
      </c>
      <c r="R1209" s="2">
        <v>45204</v>
      </c>
      <c r="S1209" t="s">
        <v>69</v>
      </c>
      <c r="T1209" t="s">
        <v>70</v>
      </c>
      <c r="U1209" t="s">
        <v>6378</v>
      </c>
      <c r="W1209" t="s">
        <v>90</v>
      </c>
      <c r="X1209">
        <v>80</v>
      </c>
      <c r="Y1209" t="s">
        <v>70</v>
      </c>
      <c r="Z1209">
        <v>268</v>
      </c>
    </row>
    <row r="1210" spans="1:26" x14ac:dyDescent="0.3">
      <c r="A1210">
        <v>1209</v>
      </c>
      <c r="B1210" t="s">
        <v>2709</v>
      </c>
      <c r="C1210" t="s">
        <v>40</v>
      </c>
      <c r="D1210" t="s">
        <v>135</v>
      </c>
      <c r="E1210" t="s">
        <v>6351</v>
      </c>
      <c r="F1210" t="s">
        <v>6392</v>
      </c>
      <c r="G1210" t="s">
        <v>6382</v>
      </c>
      <c r="H1210" t="s">
        <v>6381</v>
      </c>
      <c r="I1210" t="s">
        <v>6384</v>
      </c>
      <c r="J1210" s="6">
        <f>AVERAGE(ai_job_market[[#This Row],[min_salary]],ai_job_market[[#This Row],[max_salary]])</f>
        <v>138827</v>
      </c>
      <c r="K1210"/>
      <c r="L1210" t="s">
        <v>27</v>
      </c>
      <c r="M1210" t="s">
        <v>42</v>
      </c>
      <c r="N1210" t="s">
        <v>5628</v>
      </c>
      <c r="O1210" t="s">
        <v>4794</v>
      </c>
      <c r="P1210" s="5">
        <v>125075</v>
      </c>
      <c r="Q1210" s="5">
        <v>152579</v>
      </c>
      <c r="R1210" s="2">
        <v>45568</v>
      </c>
      <c r="S1210" t="s">
        <v>69</v>
      </c>
      <c r="T1210" t="s">
        <v>77</v>
      </c>
      <c r="U1210" t="s">
        <v>6389</v>
      </c>
      <c r="V1210" t="s">
        <v>6379</v>
      </c>
      <c r="W1210" t="s">
        <v>6351</v>
      </c>
      <c r="X1210">
        <v>89</v>
      </c>
      <c r="Y1210" t="s">
        <v>77</v>
      </c>
      <c r="Z1210">
        <v>251</v>
      </c>
    </row>
    <row r="1211" spans="1:26" x14ac:dyDescent="0.3">
      <c r="A1211">
        <v>1210</v>
      </c>
      <c r="B1211" t="s">
        <v>2711</v>
      </c>
      <c r="C1211" t="s">
        <v>49</v>
      </c>
      <c r="D1211" t="s">
        <v>35</v>
      </c>
      <c r="E1211" t="s">
        <v>6346</v>
      </c>
      <c r="F1211" t="s">
        <v>6379</v>
      </c>
      <c r="G1211" t="s">
        <v>6376</v>
      </c>
      <c r="H1211" t="s">
        <v>6394</v>
      </c>
      <c r="I1211" t="s">
        <v>6382</v>
      </c>
      <c r="J1211">
        <f>AVERAGE(ai_job_market[[#This Row],[min_salary]],ai_job_market[[#This Row],[max_salary]])</f>
        <v>161709.5</v>
      </c>
      <c r="K1211"/>
      <c r="L1211" t="s">
        <v>14</v>
      </c>
      <c r="M1211" t="s">
        <v>15</v>
      </c>
      <c r="N1211" t="s">
        <v>5629</v>
      </c>
      <c r="O1211" t="s">
        <v>4380</v>
      </c>
      <c r="P1211">
        <v>140375</v>
      </c>
      <c r="Q1211">
        <v>183044</v>
      </c>
      <c r="R1211" s="2">
        <v>45302</v>
      </c>
      <c r="S1211" t="s">
        <v>14</v>
      </c>
      <c r="T1211" t="s">
        <v>77</v>
      </c>
      <c r="U1211" t="s">
        <v>6384</v>
      </c>
      <c r="V1211" t="s">
        <v>6389</v>
      </c>
      <c r="W1211" t="s">
        <v>6346</v>
      </c>
      <c r="X1211">
        <v>78</v>
      </c>
      <c r="Y1211" t="s">
        <v>77</v>
      </c>
      <c r="Z1211">
        <v>251</v>
      </c>
    </row>
    <row r="1212" spans="1:26" x14ac:dyDescent="0.3">
      <c r="A1212">
        <v>1211</v>
      </c>
      <c r="B1212" t="s">
        <v>2713</v>
      </c>
      <c r="C1212" t="s">
        <v>34</v>
      </c>
      <c r="D1212" t="s">
        <v>25</v>
      </c>
      <c r="E1212" t="s">
        <v>77</v>
      </c>
      <c r="F1212" t="s">
        <v>6384</v>
      </c>
      <c r="G1212" t="s">
        <v>6393</v>
      </c>
      <c r="H1212" t="s">
        <v>6381</v>
      </c>
      <c r="I1212" t="s">
        <v>6391</v>
      </c>
      <c r="J1212">
        <f>AVERAGE(ai_job_market[[#This Row],[min_salary]],ai_job_market[[#This Row],[max_salary]])</f>
        <v>102206.5</v>
      </c>
      <c r="K1212" t="s">
        <v>6374</v>
      </c>
      <c r="L1212" t="s">
        <v>27</v>
      </c>
      <c r="M1212" t="s">
        <v>51</v>
      </c>
      <c r="N1212" t="s">
        <v>5630</v>
      </c>
      <c r="O1212" t="s">
        <v>4849</v>
      </c>
      <c r="P1212">
        <v>58608</v>
      </c>
      <c r="Q1212">
        <v>145805</v>
      </c>
      <c r="R1212" s="2">
        <v>45197</v>
      </c>
      <c r="S1212" t="s">
        <v>69</v>
      </c>
      <c r="T1212" t="s">
        <v>101</v>
      </c>
      <c r="U1212" t="s">
        <v>6389</v>
      </c>
      <c r="V1212" t="s">
        <v>6378</v>
      </c>
      <c r="W1212" t="s">
        <v>77</v>
      </c>
      <c r="X1212">
        <v>111</v>
      </c>
      <c r="Y1212" t="s">
        <v>101</v>
      </c>
      <c r="Z1212">
        <v>255</v>
      </c>
    </row>
    <row r="1213" spans="1:26" x14ac:dyDescent="0.3">
      <c r="A1213">
        <v>1212</v>
      </c>
      <c r="B1213" t="s">
        <v>2715</v>
      </c>
      <c r="C1213" t="s">
        <v>45</v>
      </c>
      <c r="D1213" t="s">
        <v>54</v>
      </c>
      <c r="E1213" t="s">
        <v>6357</v>
      </c>
      <c r="F1213" t="s">
        <v>6387</v>
      </c>
      <c r="G1213" t="s">
        <v>6386</v>
      </c>
      <c r="J1213">
        <f>AVERAGE(ai_job_market[[#This Row],[min_salary]],ai_job_market[[#This Row],[max_salary]])</f>
        <v>60168.5</v>
      </c>
      <c r="K1213"/>
      <c r="L1213" t="s">
        <v>14</v>
      </c>
      <c r="M1213" t="s">
        <v>51</v>
      </c>
      <c r="N1213" t="s">
        <v>5631</v>
      </c>
      <c r="O1213" t="s">
        <v>4325</v>
      </c>
      <c r="P1213">
        <v>51771</v>
      </c>
      <c r="Q1213">
        <v>68566</v>
      </c>
      <c r="R1213" s="2">
        <v>45658</v>
      </c>
      <c r="S1213" t="s">
        <v>14</v>
      </c>
      <c r="T1213" t="s">
        <v>90</v>
      </c>
      <c r="U1213" t="s">
        <v>6388</v>
      </c>
      <c r="V1213" t="s">
        <v>6378</v>
      </c>
      <c r="W1213" t="s">
        <v>6357</v>
      </c>
      <c r="X1213">
        <v>88</v>
      </c>
      <c r="Y1213" t="s">
        <v>90</v>
      </c>
      <c r="Z1213">
        <v>259</v>
      </c>
    </row>
    <row r="1214" spans="1:26" x14ac:dyDescent="0.3">
      <c r="A1214">
        <v>1213</v>
      </c>
      <c r="B1214" t="s">
        <v>2718</v>
      </c>
      <c r="C1214" t="s">
        <v>45</v>
      </c>
      <c r="D1214" t="s">
        <v>12</v>
      </c>
      <c r="E1214" t="s">
        <v>6352</v>
      </c>
      <c r="F1214" t="s">
        <v>6385</v>
      </c>
      <c r="G1214" t="s">
        <v>6393</v>
      </c>
      <c r="H1214" t="s">
        <v>6391</v>
      </c>
      <c r="I1214" t="s">
        <v>6384</v>
      </c>
      <c r="J1214">
        <f>AVERAGE(ai_job_market[[#This Row],[min_salary]],ai_job_market[[#This Row],[max_salary]])</f>
        <v>125483.5</v>
      </c>
      <c r="K1214" t="s">
        <v>6389</v>
      </c>
      <c r="L1214" t="s">
        <v>22</v>
      </c>
      <c r="M1214" t="s">
        <v>51</v>
      </c>
      <c r="N1214" t="s">
        <v>5632</v>
      </c>
      <c r="O1214" t="s">
        <v>4490</v>
      </c>
      <c r="P1214">
        <v>87515</v>
      </c>
      <c r="Q1214">
        <v>163452</v>
      </c>
      <c r="R1214" s="2">
        <v>45463</v>
      </c>
      <c r="S1214" t="s">
        <v>69</v>
      </c>
      <c r="T1214" t="s">
        <v>157</v>
      </c>
      <c r="U1214" t="s">
        <v>6388</v>
      </c>
      <c r="W1214" t="s">
        <v>6352</v>
      </c>
      <c r="X1214">
        <v>97</v>
      </c>
      <c r="Y1214" t="s">
        <v>157</v>
      </c>
      <c r="Z1214">
        <v>247</v>
      </c>
    </row>
    <row r="1215" spans="1:26" x14ac:dyDescent="0.3">
      <c r="A1215">
        <v>1214</v>
      </c>
      <c r="B1215" t="s">
        <v>2720</v>
      </c>
      <c r="C1215" t="s">
        <v>11</v>
      </c>
      <c r="D1215" t="s">
        <v>67</v>
      </c>
      <c r="E1215" t="s">
        <v>80</v>
      </c>
      <c r="F1215" t="s">
        <v>6389</v>
      </c>
      <c r="G1215" t="s">
        <v>6380</v>
      </c>
      <c r="J1215">
        <f>AVERAGE(ai_job_market[[#This Row],[min_salary]],ai_job_market[[#This Row],[max_salary]])</f>
        <v>188486</v>
      </c>
      <c r="K1215"/>
      <c r="L1215" t="s">
        <v>27</v>
      </c>
      <c r="M1215" t="s">
        <v>42</v>
      </c>
      <c r="N1215" t="s">
        <v>5633</v>
      </c>
      <c r="O1215" t="s">
        <v>4305</v>
      </c>
      <c r="P1215">
        <v>140185</v>
      </c>
      <c r="Q1215">
        <v>236787</v>
      </c>
      <c r="R1215" s="2">
        <v>45910</v>
      </c>
      <c r="S1215" t="s">
        <v>16</v>
      </c>
      <c r="T1215" t="s">
        <v>90</v>
      </c>
      <c r="U1215" t="s">
        <v>6384</v>
      </c>
      <c r="V1215" t="s">
        <v>6378</v>
      </c>
      <c r="W1215" t="s">
        <v>80</v>
      </c>
      <c r="X1215">
        <v>95</v>
      </c>
      <c r="Y1215" t="s">
        <v>90</v>
      </c>
      <c r="Z1215">
        <v>259</v>
      </c>
    </row>
    <row r="1216" spans="1:26" x14ac:dyDescent="0.3">
      <c r="A1216">
        <v>1215</v>
      </c>
      <c r="B1216" t="s">
        <v>2722</v>
      </c>
      <c r="C1216" t="s">
        <v>11</v>
      </c>
      <c r="D1216" t="s">
        <v>30</v>
      </c>
      <c r="E1216" t="s">
        <v>6356</v>
      </c>
      <c r="F1216" t="s">
        <v>6380</v>
      </c>
      <c r="G1216" t="s">
        <v>6393</v>
      </c>
      <c r="H1216" t="s">
        <v>6389</v>
      </c>
      <c r="I1216" t="s">
        <v>6378</v>
      </c>
      <c r="J1216">
        <f>AVERAGE(ai_job_market[[#This Row],[min_salary]],ai_job_market[[#This Row],[max_salary]])</f>
        <v>75226.5</v>
      </c>
      <c r="K1216"/>
      <c r="L1216" t="s">
        <v>14</v>
      </c>
      <c r="M1216" t="s">
        <v>51</v>
      </c>
      <c r="N1216" t="s">
        <v>5634</v>
      </c>
      <c r="O1216" t="s">
        <v>4687</v>
      </c>
      <c r="P1216">
        <v>52829</v>
      </c>
      <c r="Q1216">
        <v>97624</v>
      </c>
      <c r="R1216" s="2">
        <v>45882</v>
      </c>
      <c r="S1216" t="s">
        <v>14</v>
      </c>
      <c r="T1216" t="s">
        <v>70</v>
      </c>
      <c r="W1216" t="s">
        <v>6356</v>
      </c>
      <c r="X1216">
        <v>86</v>
      </c>
      <c r="Y1216" t="s">
        <v>70</v>
      </c>
      <c r="Z1216">
        <v>268</v>
      </c>
    </row>
    <row r="1217" spans="1:26" x14ac:dyDescent="0.3">
      <c r="A1217">
        <v>1216</v>
      </c>
      <c r="B1217" t="s">
        <v>2724</v>
      </c>
      <c r="C1217" t="s">
        <v>40</v>
      </c>
      <c r="D1217" t="s">
        <v>12</v>
      </c>
      <c r="E1217" t="s">
        <v>77</v>
      </c>
      <c r="F1217" t="s">
        <v>6377</v>
      </c>
      <c r="G1217" t="s">
        <v>6385</v>
      </c>
      <c r="J1217">
        <f>AVERAGE(ai_job_market[[#This Row],[min_salary]],ai_job_market[[#This Row],[max_salary]])</f>
        <v>181482.5</v>
      </c>
      <c r="K1217"/>
      <c r="L1217" t="s">
        <v>27</v>
      </c>
      <c r="M1217" t="s">
        <v>51</v>
      </c>
      <c r="N1217" t="s">
        <v>5635</v>
      </c>
      <c r="O1217" t="s">
        <v>4554</v>
      </c>
      <c r="P1217">
        <v>132513</v>
      </c>
      <c r="Q1217">
        <v>230452</v>
      </c>
      <c r="R1217" s="2">
        <v>45485</v>
      </c>
      <c r="S1217" t="s">
        <v>14</v>
      </c>
      <c r="T1217" t="s">
        <v>77</v>
      </c>
      <c r="U1217" t="s">
        <v>6379</v>
      </c>
      <c r="W1217" t="s">
        <v>77</v>
      </c>
      <c r="X1217">
        <v>111</v>
      </c>
      <c r="Y1217" t="s">
        <v>77</v>
      </c>
      <c r="Z1217">
        <v>251</v>
      </c>
    </row>
    <row r="1218" spans="1:26" x14ac:dyDescent="0.3">
      <c r="A1218">
        <v>1217</v>
      </c>
      <c r="B1218" t="s">
        <v>2726</v>
      </c>
      <c r="C1218" t="s">
        <v>45</v>
      </c>
      <c r="D1218" t="s">
        <v>135</v>
      </c>
      <c r="E1218" t="s">
        <v>80</v>
      </c>
      <c r="F1218" t="s">
        <v>6395</v>
      </c>
      <c r="G1218" t="s">
        <v>6376</v>
      </c>
      <c r="H1218" t="s">
        <v>6396</v>
      </c>
      <c r="J1218" s="6">
        <f>AVERAGE(ai_job_market[[#This Row],[min_salary]],ai_job_market[[#This Row],[max_salary]])</f>
        <v>117462</v>
      </c>
      <c r="K1218"/>
      <c r="L1218" t="s">
        <v>27</v>
      </c>
      <c r="M1218" t="s">
        <v>42</v>
      </c>
      <c r="N1218" t="s">
        <v>5636</v>
      </c>
      <c r="O1218" t="s">
        <v>4371</v>
      </c>
      <c r="P1218" s="5">
        <v>84716</v>
      </c>
      <c r="Q1218" s="5">
        <v>150208</v>
      </c>
      <c r="R1218" s="2">
        <v>45648</v>
      </c>
      <c r="S1218" t="s">
        <v>14</v>
      </c>
      <c r="T1218" t="s">
        <v>77</v>
      </c>
      <c r="U1218" t="s">
        <v>6375</v>
      </c>
      <c r="W1218" t="s">
        <v>80</v>
      </c>
      <c r="X1218">
        <v>95</v>
      </c>
      <c r="Y1218" t="s">
        <v>77</v>
      </c>
      <c r="Z1218">
        <v>251</v>
      </c>
    </row>
    <row r="1219" spans="1:26" x14ac:dyDescent="0.3">
      <c r="A1219">
        <v>1218</v>
      </c>
      <c r="B1219" t="s">
        <v>2728</v>
      </c>
      <c r="C1219" t="s">
        <v>19</v>
      </c>
      <c r="D1219" t="s">
        <v>12</v>
      </c>
      <c r="E1219" t="s">
        <v>6358</v>
      </c>
      <c r="F1219" t="s">
        <v>6377</v>
      </c>
      <c r="G1219" t="s">
        <v>6376</v>
      </c>
      <c r="J1219">
        <f>AVERAGE(ai_job_market[[#This Row],[min_salary]],ai_job_market[[#This Row],[max_salary]])</f>
        <v>67315.5</v>
      </c>
      <c r="K1219"/>
      <c r="L1219" t="s">
        <v>27</v>
      </c>
      <c r="M1219" t="s">
        <v>51</v>
      </c>
      <c r="N1219" t="s">
        <v>5637</v>
      </c>
      <c r="O1219" t="s">
        <v>4927</v>
      </c>
      <c r="P1219">
        <v>57691</v>
      </c>
      <c r="Q1219">
        <v>76940</v>
      </c>
      <c r="R1219" s="2">
        <v>45665</v>
      </c>
      <c r="S1219" t="s">
        <v>16</v>
      </c>
      <c r="T1219" t="s">
        <v>157</v>
      </c>
      <c r="U1219" t="s">
        <v>6379</v>
      </c>
      <c r="W1219" t="s">
        <v>6358</v>
      </c>
      <c r="X1219">
        <v>96</v>
      </c>
      <c r="Y1219" t="s">
        <v>157</v>
      </c>
      <c r="Z1219">
        <v>247</v>
      </c>
    </row>
    <row r="1220" spans="1:26" x14ac:dyDescent="0.3">
      <c r="A1220">
        <v>1219</v>
      </c>
      <c r="B1220" t="s">
        <v>131</v>
      </c>
      <c r="C1220" t="s">
        <v>72</v>
      </c>
      <c r="D1220" t="s">
        <v>135</v>
      </c>
      <c r="E1220" t="s">
        <v>6353</v>
      </c>
      <c r="F1220" t="s">
        <v>6390</v>
      </c>
      <c r="G1220" t="s">
        <v>6391</v>
      </c>
      <c r="H1220" t="s">
        <v>6386</v>
      </c>
      <c r="I1220" t="s">
        <v>6394</v>
      </c>
      <c r="J1220" s="6">
        <f>AVERAGE(ai_job_market[[#This Row],[min_salary]],ai_job_market[[#This Row],[max_salary]])</f>
        <v>166406</v>
      </c>
      <c r="K1220" t="s">
        <v>6377</v>
      </c>
      <c r="L1220" t="s">
        <v>27</v>
      </c>
      <c r="M1220" t="s">
        <v>51</v>
      </c>
      <c r="N1220" t="s">
        <v>5082</v>
      </c>
      <c r="O1220" t="s">
        <v>4463</v>
      </c>
      <c r="P1220" s="5">
        <v>124533</v>
      </c>
      <c r="Q1220" s="5">
        <v>208279</v>
      </c>
      <c r="R1220" s="2">
        <v>45641</v>
      </c>
      <c r="S1220" t="s">
        <v>14</v>
      </c>
      <c r="T1220" t="s">
        <v>70</v>
      </c>
      <c r="U1220" t="s">
        <v>6388</v>
      </c>
      <c r="V1220" t="s">
        <v>6376</v>
      </c>
      <c r="W1220" t="s">
        <v>6353</v>
      </c>
      <c r="X1220">
        <v>86</v>
      </c>
      <c r="Y1220" t="s">
        <v>70</v>
      </c>
      <c r="Z1220">
        <v>268</v>
      </c>
    </row>
    <row r="1221" spans="1:26" x14ac:dyDescent="0.3">
      <c r="A1221">
        <v>1220</v>
      </c>
      <c r="B1221" t="s">
        <v>2730</v>
      </c>
      <c r="C1221" t="s">
        <v>11</v>
      </c>
      <c r="D1221" t="s">
        <v>30</v>
      </c>
      <c r="E1221" t="s">
        <v>6357</v>
      </c>
      <c r="F1221" t="s">
        <v>6378</v>
      </c>
      <c r="G1221" t="s">
        <v>6380</v>
      </c>
      <c r="H1221" t="s">
        <v>6377</v>
      </c>
      <c r="I1221" t="s">
        <v>6379</v>
      </c>
      <c r="J1221">
        <f>AVERAGE(ai_job_market[[#This Row],[min_salary]],ai_job_market[[#This Row],[max_salary]])</f>
        <v>121764</v>
      </c>
      <c r="K1221" t="s">
        <v>6376</v>
      </c>
      <c r="L1221" t="s">
        <v>27</v>
      </c>
      <c r="M1221" t="s">
        <v>51</v>
      </c>
      <c r="N1221" t="s">
        <v>5638</v>
      </c>
      <c r="O1221" t="s">
        <v>4318</v>
      </c>
      <c r="P1221">
        <v>91133</v>
      </c>
      <c r="Q1221">
        <v>152395</v>
      </c>
      <c r="R1221" s="2">
        <v>45396</v>
      </c>
      <c r="S1221" t="s">
        <v>69</v>
      </c>
      <c r="T1221" t="s">
        <v>80</v>
      </c>
      <c r="W1221" t="s">
        <v>6357</v>
      </c>
      <c r="X1221">
        <v>88</v>
      </c>
      <c r="Y1221" t="s">
        <v>80</v>
      </c>
      <c r="Z1221">
        <v>249</v>
      </c>
    </row>
    <row r="1222" spans="1:26" x14ac:dyDescent="0.3">
      <c r="A1222">
        <v>1221</v>
      </c>
      <c r="B1222" t="s">
        <v>2732</v>
      </c>
      <c r="C1222" t="s">
        <v>11</v>
      </c>
      <c r="D1222" t="s">
        <v>20</v>
      </c>
      <c r="E1222" t="s">
        <v>6344</v>
      </c>
      <c r="F1222" t="s">
        <v>6387</v>
      </c>
      <c r="G1222" t="s">
        <v>6380</v>
      </c>
      <c r="H1222" t="s">
        <v>6389</v>
      </c>
      <c r="I1222" t="s">
        <v>6391</v>
      </c>
      <c r="J1222">
        <f>AVERAGE(ai_job_market[[#This Row],[min_salary]],ai_job_market[[#This Row],[max_salary]])</f>
        <v>67924.5</v>
      </c>
      <c r="K1222" t="s">
        <v>6375</v>
      </c>
      <c r="L1222" t="s">
        <v>14</v>
      </c>
      <c r="M1222" t="s">
        <v>15</v>
      </c>
      <c r="N1222" t="s">
        <v>5639</v>
      </c>
      <c r="O1222" t="s">
        <v>4617</v>
      </c>
      <c r="P1222">
        <v>45671</v>
      </c>
      <c r="Q1222">
        <v>90178</v>
      </c>
      <c r="R1222" s="2">
        <v>45202</v>
      </c>
      <c r="S1222" t="s">
        <v>14</v>
      </c>
      <c r="T1222" t="s">
        <v>52</v>
      </c>
      <c r="U1222" t="s">
        <v>6383</v>
      </c>
      <c r="W1222" t="s">
        <v>6344</v>
      </c>
      <c r="X1222">
        <v>104</v>
      </c>
      <c r="Y1222" t="s">
        <v>52</v>
      </c>
      <c r="Z1222">
        <v>238</v>
      </c>
    </row>
    <row r="1223" spans="1:26" x14ac:dyDescent="0.3">
      <c r="A1223">
        <v>1222</v>
      </c>
      <c r="B1223" t="s">
        <v>2734</v>
      </c>
      <c r="C1223" t="s">
        <v>34</v>
      </c>
      <c r="D1223" t="s">
        <v>54</v>
      </c>
      <c r="E1223" t="s">
        <v>6358</v>
      </c>
      <c r="F1223" t="s">
        <v>6390</v>
      </c>
      <c r="G1223" t="s">
        <v>6384</v>
      </c>
      <c r="J1223" s="6">
        <f>AVERAGE(ai_job_market[[#This Row],[min_salary]],ai_job_market[[#This Row],[max_salary]])</f>
        <v>110756.5</v>
      </c>
      <c r="K1223"/>
      <c r="L1223" t="s">
        <v>22</v>
      </c>
      <c r="M1223" t="s">
        <v>37</v>
      </c>
      <c r="N1223" t="s">
        <v>5640</v>
      </c>
      <c r="O1223" t="s">
        <v>4435</v>
      </c>
      <c r="P1223" s="5">
        <v>82804</v>
      </c>
      <c r="Q1223" s="5">
        <v>138709</v>
      </c>
      <c r="R1223" s="2">
        <v>45247</v>
      </c>
      <c r="S1223" t="s">
        <v>14</v>
      </c>
      <c r="T1223" t="s">
        <v>70</v>
      </c>
      <c r="U1223" t="s">
        <v>6376</v>
      </c>
      <c r="W1223" t="s">
        <v>6358</v>
      </c>
      <c r="X1223">
        <v>96</v>
      </c>
      <c r="Y1223" t="s">
        <v>70</v>
      </c>
      <c r="Z1223">
        <v>268</v>
      </c>
    </row>
    <row r="1224" spans="1:26" x14ac:dyDescent="0.3">
      <c r="A1224">
        <v>1223</v>
      </c>
      <c r="B1224" t="s">
        <v>2736</v>
      </c>
      <c r="C1224" t="s">
        <v>19</v>
      </c>
      <c r="D1224" t="s">
        <v>54</v>
      </c>
      <c r="E1224" t="s">
        <v>6349</v>
      </c>
      <c r="F1224" t="s">
        <v>6395</v>
      </c>
      <c r="G1224" t="s">
        <v>6384</v>
      </c>
      <c r="H1224" t="s">
        <v>6396</v>
      </c>
      <c r="I1224" t="s">
        <v>6381</v>
      </c>
      <c r="J1224">
        <f>AVERAGE(ai_job_market[[#This Row],[min_salary]],ai_job_market[[#This Row],[max_salary]])</f>
        <v>112187</v>
      </c>
      <c r="K1224" t="s">
        <v>6379</v>
      </c>
      <c r="L1224" t="s">
        <v>27</v>
      </c>
      <c r="M1224" t="s">
        <v>51</v>
      </c>
      <c r="N1224" t="s">
        <v>5089</v>
      </c>
      <c r="O1224" t="s">
        <v>4371</v>
      </c>
      <c r="P1224">
        <v>91610</v>
      </c>
      <c r="Q1224">
        <v>132764</v>
      </c>
      <c r="R1224" s="2">
        <v>45501</v>
      </c>
      <c r="S1224" t="s">
        <v>14</v>
      </c>
      <c r="T1224" t="s">
        <v>90</v>
      </c>
      <c r="U1224" t="s">
        <v>6376</v>
      </c>
      <c r="V1224" t="s">
        <v>6378</v>
      </c>
      <c r="W1224" t="s">
        <v>6349</v>
      </c>
      <c r="X1224">
        <v>96</v>
      </c>
      <c r="Y1224" t="s">
        <v>90</v>
      </c>
      <c r="Z1224">
        <v>259</v>
      </c>
    </row>
    <row r="1225" spans="1:26" x14ac:dyDescent="0.3">
      <c r="A1225">
        <v>1224</v>
      </c>
      <c r="B1225" t="s">
        <v>2738</v>
      </c>
      <c r="C1225" t="s">
        <v>34</v>
      </c>
      <c r="D1225" t="s">
        <v>25</v>
      </c>
      <c r="E1225" t="s">
        <v>6352</v>
      </c>
      <c r="F1225" t="s">
        <v>6377</v>
      </c>
      <c r="G1225" t="s">
        <v>6390</v>
      </c>
      <c r="H1225" t="s">
        <v>6381</v>
      </c>
      <c r="I1225" t="s">
        <v>6382</v>
      </c>
      <c r="J1225">
        <f>AVERAGE(ai_job_market[[#This Row],[min_salary]],ai_job_market[[#This Row],[max_salary]])</f>
        <v>88346</v>
      </c>
      <c r="K1225" t="s">
        <v>6397</v>
      </c>
      <c r="L1225" t="s">
        <v>27</v>
      </c>
      <c r="M1225" t="s">
        <v>15</v>
      </c>
      <c r="N1225" t="s">
        <v>5641</v>
      </c>
      <c r="O1225" t="s">
        <v>4578</v>
      </c>
      <c r="P1225">
        <v>68574</v>
      </c>
      <c r="Q1225">
        <v>108118</v>
      </c>
      <c r="R1225" s="2">
        <v>45533</v>
      </c>
      <c r="S1225" t="s">
        <v>16</v>
      </c>
      <c r="T1225" t="s">
        <v>128</v>
      </c>
      <c r="U1225" t="s">
        <v>6376</v>
      </c>
      <c r="W1225" t="s">
        <v>6352</v>
      </c>
      <c r="X1225">
        <v>97</v>
      </c>
      <c r="Y1225" t="s">
        <v>128</v>
      </c>
      <c r="Z1225">
        <v>233</v>
      </c>
    </row>
    <row r="1226" spans="1:26" x14ac:dyDescent="0.3">
      <c r="A1226">
        <v>1225</v>
      </c>
      <c r="B1226" t="s">
        <v>2740</v>
      </c>
      <c r="C1226" t="s">
        <v>72</v>
      </c>
      <c r="D1226" t="s">
        <v>67</v>
      </c>
      <c r="E1226" t="s">
        <v>6355</v>
      </c>
      <c r="F1226" t="s">
        <v>6375</v>
      </c>
      <c r="G1226" t="s">
        <v>6379</v>
      </c>
      <c r="J1226">
        <f>AVERAGE(ai_job_market[[#This Row],[min_salary]],ai_job_market[[#This Row],[max_salary]])</f>
        <v>169207</v>
      </c>
      <c r="K1226"/>
      <c r="L1226" t="s">
        <v>27</v>
      </c>
      <c r="M1226" t="s">
        <v>51</v>
      </c>
      <c r="N1226" t="s">
        <v>5642</v>
      </c>
      <c r="O1226" t="s">
        <v>4773</v>
      </c>
      <c r="P1226">
        <v>124562</v>
      </c>
      <c r="Q1226">
        <v>213852</v>
      </c>
      <c r="R1226" s="2">
        <v>45298</v>
      </c>
      <c r="S1226" t="s">
        <v>14</v>
      </c>
      <c r="T1226" t="s">
        <v>70</v>
      </c>
      <c r="U1226" t="s">
        <v>6389</v>
      </c>
      <c r="W1226" t="s">
        <v>6355</v>
      </c>
      <c r="X1226">
        <v>90</v>
      </c>
      <c r="Y1226" t="s">
        <v>70</v>
      </c>
      <c r="Z1226">
        <v>268</v>
      </c>
    </row>
    <row r="1227" spans="1:26" x14ac:dyDescent="0.3">
      <c r="A1227">
        <v>1226</v>
      </c>
      <c r="B1227" t="s">
        <v>2742</v>
      </c>
      <c r="C1227" t="s">
        <v>49</v>
      </c>
      <c r="D1227" t="s">
        <v>135</v>
      </c>
      <c r="E1227" t="s">
        <v>6351</v>
      </c>
      <c r="F1227" t="s">
        <v>6379</v>
      </c>
      <c r="G1227" t="s">
        <v>6387</v>
      </c>
      <c r="H1227" t="s">
        <v>6397</v>
      </c>
      <c r="I1227" t="s">
        <v>6381</v>
      </c>
      <c r="J1227">
        <f>AVERAGE(ai_job_market[[#This Row],[min_salary]],ai_job_market[[#This Row],[max_salary]])</f>
        <v>132727.5</v>
      </c>
      <c r="K1227" t="s">
        <v>6384</v>
      </c>
      <c r="L1227" t="s">
        <v>14</v>
      </c>
      <c r="M1227" t="s">
        <v>51</v>
      </c>
      <c r="N1227" t="s">
        <v>5643</v>
      </c>
      <c r="O1227" t="s">
        <v>4536</v>
      </c>
      <c r="P1227">
        <v>86589</v>
      </c>
      <c r="Q1227">
        <v>178866</v>
      </c>
      <c r="R1227" s="2">
        <v>45367</v>
      </c>
      <c r="S1227" t="s">
        <v>16</v>
      </c>
      <c r="T1227" t="s">
        <v>52</v>
      </c>
      <c r="W1227" t="s">
        <v>6351</v>
      </c>
      <c r="X1227">
        <v>89</v>
      </c>
      <c r="Y1227" t="s">
        <v>52</v>
      </c>
      <c r="Z1227">
        <v>238</v>
      </c>
    </row>
    <row r="1228" spans="1:26" x14ac:dyDescent="0.3">
      <c r="A1228">
        <v>1227</v>
      </c>
      <c r="B1228" t="s">
        <v>2744</v>
      </c>
      <c r="C1228" t="s">
        <v>49</v>
      </c>
      <c r="D1228" t="s">
        <v>25</v>
      </c>
      <c r="E1228" t="s">
        <v>6357</v>
      </c>
      <c r="F1228" t="s">
        <v>6376</v>
      </c>
      <c r="G1228" t="s">
        <v>6377</v>
      </c>
      <c r="J1228">
        <f>AVERAGE(ai_job_market[[#This Row],[min_salary]],ai_job_market[[#This Row],[max_salary]])</f>
        <v>112145</v>
      </c>
      <c r="K1228"/>
      <c r="L1228" t="s">
        <v>14</v>
      </c>
      <c r="M1228" t="s">
        <v>42</v>
      </c>
      <c r="N1228" t="s">
        <v>5644</v>
      </c>
      <c r="O1228" t="s">
        <v>4337</v>
      </c>
      <c r="P1228">
        <v>93501</v>
      </c>
      <c r="Q1228">
        <v>130789</v>
      </c>
      <c r="R1228" s="2">
        <v>45358</v>
      </c>
      <c r="S1228" t="s">
        <v>69</v>
      </c>
      <c r="T1228" t="s">
        <v>70</v>
      </c>
      <c r="U1228" t="s">
        <v>6388</v>
      </c>
      <c r="V1228" t="s">
        <v>6389</v>
      </c>
      <c r="W1228" t="s">
        <v>6357</v>
      </c>
      <c r="X1228">
        <v>88</v>
      </c>
      <c r="Y1228" t="s">
        <v>70</v>
      </c>
      <c r="Z1228">
        <v>268</v>
      </c>
    </row>
    <row r="1229" spans="1:26" x14ac:dyDescent="0.3">
      <c r="A1229">
        <v>1228</v>
      </c>
      <c r="B1229" t="s">
        <v>2746</v>
      </c>
      <c r="C1229" t="s">
        <v>40</v>
      </c>
      <c r="D1229" t="s">
        <v>12</v>
      </c>
      <c r="E1229" t="s">
        <v>6351</v>
      </c>
      <c r="F1229" t="s">
        <v>6387</v>
      </c>
      <c r="G1229" t="s">
        <v>6384</v>
      </c>
      <c r="J1229">
        <f>AVERAGE(ai_job_market[[#This Row],[min_salary]],ai_job_market[[#This Row],[max_salary]])</f>
        <v>71742.5</v>
      </c>
      <c r="K1229"/>
      <c r="L1229" t="s">
        <v>27</v>
      </c>
      <c r="M1229" t="s">
        <v>37</v>
      </c>
      <c r="N1229" t="s">
        <v>5645</v>
      </c>
      <c r="O1229" t="s">
        <v>4478</v>
      </c>
      <c r="P1229">
        <v>57590</v>
      </c>
      <c r="Q1229">
        <v>85895</v>
      </c>
      <c r="R1229" s="2">
        <v>45635</v>
      </c>
      <c r="S1229" t="s">
        <v>16</v>
      </c>
      <c r="T1229" t="s">
        <v>80</v>
      </c>
      <c r="U1229" t="s">
        <v>6379</v>
      </c>
      <c r="W1229" t="s">
        <v>6351</v>
      </c>
      <c r="X1229">
        <v>89</v>
      </c>
      <c r="Y1229" t="s">
        <v>80</v>
      </c>
      <c r="Z1229">
        <v>249</v>
      </c>
    </row>
    <row r="1230" spans="1:26" x14ac:dyDescent="0.3">
      <c r="A1230">
        <v>1229</v>
      </c>
      <c r="B1230" t="s">
        <v>2748</v>
      </c>
      <c r="C1230" t="s">
        <v>34</v>
      </c>
      <c r="D1230" t="s">
        <v>25</v>
      </c>
      <c r="E1230" t="s">
        <v>80</v>
      </c>
      <c r="F1230" t="s">
        <v>6393</v>
      </c>
      <c r="G1230" t="s">
        <v>6380</v>
      </c>
      <c r="H1230" t="s">
        <v>6375</v>
      </c>
      <c r="J1230">
        <f>AVERAGE(ai_job_market[[#This Row],[min_salary]],ai_job_market[[#This Row],[max_salary]])</f>
        <v>149931.5</v>
      </c>
      <c r="K1230"/>
      <c r="L1230" t="s">
        <v>27</v>
      </c>
      <c r="M1230" t="s">
        <v>37</v>
      </c>
      <c r="N1230" t="s">
        <v>5646</v>
      </c>
      <c r="O1230" t="s">
        <v>4544</v>
      </c>
      <c r="P1230">
        <v>142708</v>
      </c>
      <c r="Q1230">
        <v>157155</v>
      </c>
      <c r="R1230" s="2">
        <v>45471</v>
      </c>
      <c r="S1230" t="s">
        <v>14</v>
      </c>
      <c r="T1230" t="s">
        <v>52</v>
      </c>
      <c r="U1230" t="s">
        <v>6389</v>
      </c>
      <c r="V1230" t="s">
        <v>6378</v>
      </c>
      <c r="W1230" t="s">
        <v>80</v>
      </c>
      <c r="X1230">
        <v>95</v>
      </c>
      <c r="Y1230" t="s">
        <v>52</v>
      </c>
      <c r="Z1230">
        <v>238</v>
      </c>
    </row>
    <row r="1231" spans="1:26" x14ac:dyDescent="0.3">
      <c r="A1231">
        <v>1230</v>
      </c>
      <c r="B1231" t="s">
        <v>2750</v>
      </c>
      <c r="C1231" t="s">
        <v>34</v>
      </c>
      <c r="D1231" t="s">
        <v>30</v>
      </c>
      <c r="E1231" t="s">
        <v>77</v>
      </c>
      <c r="F1231" t="s">
        <v>6397</v>
      </c>
      <c r="G1231" t="s">
        <v>6389</v>
      </c>
      <c r="H1231" t="s">
        <v>6387</v>
      </c>
      <c r="I1231" t="s">
        <v>6384</v>
      </c>
      <c r="J1231">
        <f>AVERAGE(ai_job_market[[#This Row],[min_salary]],ai_job_market[[#This Row],[max_salary]])</f>
        <v>153694.5</v>
      </c>
      <c r="K1231"/>
      <c r="L1231" t="s">
        <v>14</v>
      </c>
      <c r="M1231" t="s">
        <v>51</v>
      </c>
      <c r="N1231" t="s">
        <v>5647</v>
      </c>
      <c r="O1231" t="s">
        <v>4497</v>
      </c>
      <c r="P1231">
        <v>140520</v>
      </c>
      <c r="Q1231">
        <v>166869</v>
      </c>
      <c r="R1231" s="2">
        <v>45362</v>
      </c>
      <c r="S1231" t="s">
        <v>69</v>
      </c>
      <c r="T1231" t="s">
        <v>101</v>
      </c>
      <c r="U1231" t="s">
        <v>6379</v>
      </c>
      <c r="W1231" t="s">
        <v>77</v>
      </c>
      <c r="X1231">
        <v>111</v>
      </c>
      <c r="Y1231" t="s">
        <v>101</v>
      </c>
      <c r="Z1231">
        <v>255</v>
      </c>
    </row>
    <row r="1232" spans="1:26" x14ac:dyDescent="0.3">
      <c r="A1232">
        <v>1231</v>
      </c>
      <c r="B1232" t="s">
        <v>2752</v>
      </c>
      <c r="C1232" t="s">
        <v>19</v>
      </c>
      <c r="D1232" t="s">
        <v>30</v>
      </c>
      <c r="E1232" t="s">
        <v>6345</v>
      </c>
      <c r="F1232" t="s">
        <v>6382</v>
      </c>
      <c r="G1232" t="s">
        <v>6395</v>
      </c>
      <c r="H1232" t="s">
        <v>6394</v>
      </c>
      <c r="I1232" t="s">
        <v>6374</v>
      </c>
      <c r="J1232">
        <f>AVERAGE(ai_job_market[[#This Row],[min_salary]],ai_job_market[[#This Row],[max_salary]])</f>
        <v>123036</v>
      </c>
      <c r="K1232" t="s">
        <v>6385</v>
      </c>
      <c r="L1232" t="s">
        <v>22</v>
      </c>
      <c r="M1232" t="s">
        <v>51</v>
      </c>
      <c r="N1232" t="s">
        <v>5648</v>
      </c>
      <c r="O1232" t="s">
        <v>4437</v>
      </c>
      <c r="P1232">
        <v>93505</v>
      </c>
      <c r="Q1232">
        <v>152567</v>
      </c>
      <c r="R1232" s="2">
        <v>45376</v>
      </c>
      <c r="S1232" t="s">
        <v>69</v>
      </c>
      <c r="T1232" t="s">
        <v>101</v>
      </c>
      <c r="W1232" t="s">
        <v>6345</v>
      </c>
      <c r="X1232">
        <v>101</v>
      </c>
      <c r="Y1232" t="s">
        <v>101</v>
      </c>
      <c r="Z1232">
        <v>255</v>
      </c>
    </row>
    <row r="1233" spans="1:26" x14ac:dyDescent="0.3">
      <c r="A1233">
        <v>1232</v>
      </c>
      <c r="B1233" t="s">
        <v>2754</v>
      </c>
      <c r="C1233" t="s">
        <v>11</v>
      </c>
      <c r="D1233" t="s">
        <v>35</v>
      </c>
      <c r="E1233" t="s">
        <v>6356</v>
      </c>
      <c r="F1233" t="s">
        <v>6397</v>
      </c>
      <c r="G1233" t="s">
        <v>6385</v>
      </c>
      <c r="H1233" t="s">
        <v>6391</v>
      </c>
      <c r="J1233">
        <f>AVERAGE(ai_job_market[[#This Row],[min_salary]],ai_job_market[[#This Row],[max_salary]])</f>
        <v>145062</v>
      </c>
      <c r="K1233"/>
      <c r="L1233" t="s">
        <v>27</v>
      </c>
      <c r="M1233" t="s">
        <v>15</v>
      </c>
      <c r="N1233" t="s">
        <v>5649</v>
      </c>
      <c r="O1233" t="s">
        <v>4309</v>
      </c>
      <c r="P1233">
        <v>137712</v>
      </c>
      <c r="Q1233">
        <v>152412</v>
      </c>
      <c r="R1233" s="2">
        <v>45460</v>
      </c>
      <c r="S1233" t="s">
        <v>69</v>
      </c>
      <c r="T1233" t="s">
        <v>77</v>
      </c>
      <c r="U1233" t="s">
        <v>6376</v>
      </c>
      <c r="W1233" t="s">
        <v>6356</v>
      </c>
      <c r="X1233">
        <v>86</v>
      </c>
      <c r="Y1233" t="s">
        <v>77</v>
      </c>
      <c r="Z1233">
        <v>251</v>
      </c>
    </row>
    <row r="1234" spans="1:26" x14ac:dyDescent="0.3">
      <c r="A1234">
        <v>1233</v>
      </c>
      <c r="B1234" t="s">
        <v>2756</v>
      </c>
      <c r="C1234" t="s">
        <v>49</v>
      </c>
      <c r="D1234" t="s">
        <v>30</v>
      </c>
      <c r="E1234" t="s">
        <v>101</v>
      </c>
      <c r="F1234" t="s">
        <v>6389</v>
      </c>
      <c r="G1234" t="s">
        <v>6390</v>
      </c>
      <c r="H1234" t="s">
        <v>6393</v>
      </c>
      <c r="J1234">
        <f>AVERAGE(ai_job_market[[#This Row],[min_salary]],ai_job_market[[#This Row],[max_salary]])</f>
        <v>125457</v>
      </c>
      <c r="K1234"/>
      <c r="L1234" t="s">
        <v>22</v>
      </c>
      <c r="M1234" t="s">
        <v>15</v>
      </c>
      <c r="N1234" t="s">
        <v>5650</v>
      </c>
      <c r="O1234" t="s">
        <v>5011</v>
      </c>
      <c r="P1234">
        <v>100873</v>
      </c>
      <c r="Q1234">
        <v>150041</v>
      </c>
      <c r="R1234" s="2">
        <v>45398</v>
      </c>
      <c r="S1234" t="s">
        <v>14</v>
      </c>
      <c r="T1234" t="s">
        <v>128</v>
      </c>
      <c r="U1234" t="s">
        <v>6378</v>
      </c>
      <c r="W1234" t="s">
        <v>101</v>
      </c>
      <c r="X1234">
        <v>76</v>
      </c>
      <c r="Y1234" t="s">
        <v>128</v>
      </c>
      <c r="Z1234">
        <v>233</v>
      </c>
    </row>
    <row r="1235" spans="1:26" x14ac:dyDescent="0.3">
      <c r="A1235">
        <v>1234</v>
      </c>
      <c r="B1235" t="s">
        <v>2758</v>
      </c>
      <c r="C1235" t="s">
        <v>34</v>
      </c>
      <c r="D1235" t="s">
        <v>35</v>
      </c>
      <c r="E1235" t="s">
        <v>6353</v>
      </c>
      <c r="F1235" t="s">
        <v>6394</v>
      </c>
      <c r="G1235" t="s">
        <v>6393</v>
      </c>
      <c r="H1235" t="s">
        <v>6384</v>
      </c>
      <c r="J1235">
        <f>AVERAGE(ai_job_market[[#This Row],[min_salary]],ai_job_market[[#This Row],[max_salary]])</f>
        <v>102985</v>
      </c>
      <c r="K1235"/>
      <c r="L1235" t="s">
        <v>22</v>
      </c>
      <c r="M1235" t="s">
        <v>51</v>
      </c>
      <c r="N1235" t="s">
        <v>5651</v>
      </c>
      <c r="O1235" t="s">
        <v>4401</v>
      </c>
      <c r="P1235">
        <v>86191</v>
      </c>
      <c r="Q1235">
        <v>119779</v>
      </c>
      <c r="R1235" s="2">
        <v>45571</v>
      </c>
      <c r="S1235" t="s">
        <v>69</v>
      </c>
      <c r="T1235" t="s">
        <v>157</v>
      </c>
      <c r="W1235" t="s">
        <v>6353</v>
      </c>
      <c r="X1235">
        <v>86</v>
      </c>
      <c r="Y1235" t="s">
        <v>157</v>
      </c>
      <c r="Z1235">
        <v>247</v>
      </c>
    </row>
    <row r="1236" spans="1:26" x14ac:dyDescent="0.3">
      <c r="A1236">
        <v>1235</v>
      </c>
      <c r="B1236" t="s">
        <v>2760</v>
      </c>
      <c r="C1236" t="s">
        <v>40</v>
      </c>
      <c r="D1236" t="s">
        <v>35</v>
      </c>
      <c r="E1236" t="s">
        <v>128</v>
      </c>
      <c r="F1236" t="s">
        <v>6391</v>
      </c>
      <c r="G1236" t="s">
        <v>6392</v>
      </c>
      <c r="H1236" t="s">
        <v>6381</v>
      </c>
      <c r="I1236" t="s">
        <v>6395</v>
      </c>
      <c r="J1236">
        <f>AVERAGE(ai_job_market[[#This Row],[min_salary]],ai_job_market[[#This Row],[max_salary]])</f>
        <v>136665.5</v>
      </c>
      <c r="K1236" t="s">
        <v>6384</v>
      </c>
      <c r="L1236" t="s">
        <v>27</v>
      </c>
      <c r="M1236" t="s">
        <v>15</v>
      </c>
      <c r="N1236" t="s">
        <v>5652</v>
      </c>
      <c r="O1236" t="s">
        <v>4309</v>
      </c>
      <c r="P1236">
        <v>107174</v>
      </c>
      <c r="Q1236">
        <v>166157</v>
      </c>
      <c r="R1236" s="2">
        <v>45275</v>
      </c>
      <c r="S1236" t="s">
        <v>16</v>
      </c>
      <c r="T1236" t="s">
        <v>101</v>
      </c>
      <c r="U1236" t="s">
        <v>6379</v>
      </c>
      <c r="W1236" t="s">
        <v>128</v>
      </c>
      <c r="X1236">
        <v>92</v>
      </c>
      <c r="Y1236" t="s">
        <v>101</v>
      </c>
      <c r="Z1236">
        <v>255</v>
      </c>
    </row>
    <row r="1237" spans="1:26" x14ac:dyDescent="0.3">
      <c r="A1237">
        <v>1236</v>
      </c>
      <c r="B1237" t="s">
        <v>2762</v>
      </c>
      <c r="C1237" t="s">
        <v>40</v>
      </c>
      <c r="D1237" t="s">
        <v>30</v>
      </c>
      <c r="E1237" t="s">
        <v>6346</v>
      </c>
      <c r="F1237" t="s">
        <v>6385</v>
      </c>
      <c r="G1237" t="s">
        <v>6387</v>
      </c>
      <c r="H1237" t="s">
        <v>6382</v>
      </c>
      <c r="J1237">
        <f>AVERAGE(ai_job_market[[#This Row],[min_salary]],ai_job_market[[#This Row],[max_salary]])</f>
        <v>148562.5</v>
      </c>
      <c r="K1237"/>
      <c r="L1237" t="s">
        <v>22</v>
      </c>
      <c r="M1237" t="s">
        <v>42</v>
      </c>
      <c r="N1237" t="s">
        <v>5653</v>
      </c>
      <c r="O1237" t="s">
        <v>4927</v>
      </c>
      <c r="P1237">
        <v>133743</v>
      </c>
      <c r="Q1237">
        <v>163382</v>
      </c>
      <c r="R1237" s="2">
        <v>45822</v>
      </c>
      <c r="S1237" t="s">
        <v>69</v>
      </c>
      <c r="T1237" t="s">
        <v>90</v>
      </c>
      <c r="U1237" t="s">
        <v>6383</v>
      </c>
      <c r="V1237" t="s">
        <v>6379</v>
      </c>
      <c r="W1237" t="s">
        <v>6346</v>
      </c>
      <c r="X1237">
        <v>78</v>
      </c>
      <c r="Y1237" t="s">
        <v>90</v>
      </c>
      <c r="Z1237">
        <v>259</v>
      </c>
    </row>
    <row r="1238" spans="1:26" x14ac:dyDescent="0.3">
      <c r="A1238">
        <v>1237</v>
      </c>
      <c r="B1238" t="s">
        <v>2764</v>
      </c>
      <c r="C1238" t="s">
        <v>11</v>
      </c>
      <c r="D1238" t="s">
        <v>67</v>
      </c>
      <c r="E1238" t="s">
        <v>6344</v>
      </c>
      <c r="F1238" t="s">
        <v>6385</v>
      </c>
      <c r="G1238" t="s">
        <v>6397</v>
      </c>
      <c r="J1238">
        <f>AVERAGE(ai_job_market[[#This Row],[min_salary]],ai_job_market[[#This Row],[max_salary]])</f>
        <v>79447</v>
      </c>
      <c r="K1238"/>
      <c r="L1238" t="s">
        <v>27</v>
      </c>
      <c r="M1238" t="s">
        <v>37</v>
      </c>
      <c r="N1238" t="s">
        <v>5654</v>
      </c>
      <c r="O1238" t="s">
        <v>4706</v>
      </c>
      <c r="P1238">
        <v>44626</v>
      </c>
      <c r="Q1238">
        <v>114268</v>
      </c>
      <c r="R1238" s="2">
        <v>45907</v>
      </c>
      <c r="S1238" t="s">
        <v>69</v>
      </c>
      <c r="T1238" t="s">
        <v>52</v>
      </c>
      <c r="U1238" t="s">
        <v>6383</v>
      </c>
      <c r="W1238" t="s">
        <v>6344</v>
      </c>
      <c r="X1238">
        <v>104</v>
      </c>
      <c r="Y1238" t="s">
        <v>52</v>
      </c>
      <c r="Z1238">
        <v>238</v>
      </c>
    </row>
    <row r="1239" spans="1:26" x14ac:dyDescent="0.3">
      <c r="A1239">
        <v>1238</v>
      </c>
      <c r="B1239" t="s">
        <v>2766</v>
      </c>
      <c r="C1239" t="s">
        <v>34</v>
      </c>
      <c r="D1239" t="s">
        <v>25</v>
      </c>
      <c r="E1239" t="s">
        <v>6347</v>
      </c>
      <c r="F1239" t="s">
        <v>6396</v>
      </c>
      <c r="G1239" t="s">
        <v>6376</v>
      </c>
      <c r="H1239" t="s">
        <v>6384</v>
      </c>
      <c r="I1239" t="s">
        <v>6387</v>
      </c>
      <c r="J1239">
        <f>AVERAGE(ai_job_market[[#This Row],[min_salary]],ai_job_market[[#This Row],[max_salary]])</f>
        <v>91347</v>
      </c>
      <c r="K1239"/>
      <c r="L1239" t="s">
        <v>14</v>
      </c>
      <c r="M1239" t="s">
        <v>42</v>
      </c>
      <c r="N1239" t="s">
        <v>4726</v>
      </c>
      <c r="O1239" t="s">
        <v>4420</v>
      </c>
      <c r="P1239">
        <v>42058</v>
      </c>
      <c r="Q1239">
        <v>140636</v>
      </c>
      <c r="R1239" s="2">
        <v>45449</v>
      </c>
      <c r="S1239" t="s">
        <v>69</v>
      </c>
      <c r="T1239" t="s">
        <v>70</v>
      </c>
      <c r="U1239" t="s">
        <v>6388</v>
      </c>
      <c r="V1239" t="s">
        <v>6378</v>
      </c>
      <c r="W1239" t="s">
        <v>6347</v>
      </c>
      <c r="X1239">
        <v>94</v>
      </c>
      <c r="Y1239" t="s">
        <v>70</v>
      </c>
      <c r="Z1239">
        <v>268</v>
      </c>
    </row>
    <row r="1240" spans="1:26" x14ac:dyDescent="0.3">
      <c r="A1240">
        <v>1239</v>
      </c>
      <c r="B1240" t="s">
        <v>2768</v>
      </c>
      <c r="C1240" t="s">
        <v>40</v>
      </c>
      <c r="D1240" t="s">
        <v>135</v>
      </c>
      <c r="E1240" t="s">
        <v>70</v>
      </c>
      <c r="F1240" t="s">
        <v>6377</v>
      </c>
      <c r="G1240" t="s">
        <v>6394</v>
      </c>
      <c r="J1240">
        <f>AVERAGE(ai_job_market[[#This Row],[min_salary]],ai_job_market[[#This Row],[max_salary]])</f>
        <v>117506</v>
      </c>
      <c r="K1240"/>
      <c r="L1240" t="s">
        <v>27</v>
      </c>
      <c r="M1240" t="s">
        <v>15</v>
      </c>
      <c r="N1240" t="s">
        <v>5655</v>
      </c>
      <c r="O1240" t="s">
        <v>4526</v>
      </c>
      <c r="P1240">
        <v>83416</v>
      </c>
      <c r="Q1240">
        <v>151596</v>
      </c>
      <c r="R1240" s="2">
        <v>45841</v>
      </c>
      <c r="S1240" t="s">
        <v>16</v>
      </c>
      <c r="T1240" t="s">
        <v>128</v>
      </c>
      <c r="U1240" t="s">
        <v>6379</v>
      </c>
      <c r="W1240" t="s">
        <v>70</v>
      </c>
      <c r="X1240">
        <v>100</v>
      </c>
      <c r="Y1240" t="s">
        <v>128</v>
      </c>
      <c r="Z1240">
        <v>233</v>
      </c>
    </row>
    <row r="1241" spans="1:26" x14ac:dyDescent="0.3">
      <c r="A1241">
        <v>1240</v>
      </c>
      <c r="B1241" t="s">
        <v>2770</v>
      </c>
      <c r="C1241" t="s">
        <v>49</v>
      </c>
      <c r="D1241" t="s">
        <v>135</v>
      </c>
      <c r="E1241" t="s">
        <v>6358</v>
      </c>
      <c r="F1241" t="s">
        <v>6382</v>
      </c>
      <c r="G1241" t="s">
        <v>6397</v>
      </c>
      <c r="H1241" t="s">
        <v>6390</v>
      </c>
      <c r="I1241" t="s">
        <v>6394</v>
      </c>
      <c r="J1241">
        <f>AVERAGE(ai_job_market[[#This Row],[min_salary]],ai_job_market[[#This Row],[max_salary]])</f>
        <v>142676.5</v>
      </c>
      <c r="K1241" t="s">
        <v>6376</v>
      </c>
      <c r="L1241" t="s">
        <v>14</v>
      </c>
      <c r="M1241" t="s">
        <v>15</v>
      </c>
      <c r="N1241" t="s">
        <v>5656</v>
      </c>
      <c r="O1241" t="s">
        <v>4767</v>
      </c>
      <c r="P1241">
        <v>136005</v>
      </c>
      <c r="Q1241">
        <v>149348</v>
      </c>
      <c r="R1241" s="2">
        <v>45228</v>
      </c>
      <c r="S1241" t="s">
        <v>16</v>
      </c>
      <c r="T1241" t="s">
        <v>128</v>
      </c>
      <c r="W1241" t="s">
        <v>6358</v>
      </c>
      <c r="X1241">
        <v>96</v>
      </c>
      <c r="Y1241" t="s">
        <v>128</v>
      </c>
      <c r="Z1241">
        <v>233</v>
      </c>
    </row>
    <row r="1242" spans="1:26" x14ac:dyDescent="0.3">
      <c r="A1242">
        <v>1241</v>
      </c>
      <c r="B1242" t="s">
        <v>508</v>
      </c>
      <c r="C1242" t="s">
        <v>49</v>
      </c>
      <c r="D1242" t="s">
        <v>67</v>
      </c>
      <c r="E1242" t="s">
        <v>6356</v>
      </c>
      <c r="F1242" t="s">
        <v>6382</v>
      </c>
      <c r="G1242" t="s">
        <v>6395</v>
      </c>
      <c r="H1242" t="s">
        <v>6376</v>
      </c>
      <c r="I1242" t="s">
        <v>6387</v>
      </c>
      <c r="J1242">
        <f>AVERAGE(ai_job_market[[#This Row],[min_salary]],ai_job_market[[#This Row],[max_salary]])</f>
        <v>176231</v>
      </c>
      <c r="K1242"/>
      <c r="L1242" t="s">
        <v>22</v>
      </c>
      <c r="M1242" t="s">
        <v>37</v>
      </c>
      <c r="N1242" t="s">
        <v>5657</v>
      </c>
      <c r="O1242" t="s">
        <v>4293</v>
      </c>
      <c r="P1242">
        <v>142696</v>
      </c>
      <c r="Q1242">
        <v>209766</v>
      </c>
      <c r="R1242" s="2">
        <v>45688</v>
      </c>
      <c r="S1242" t="s">
        <v>14</v>
      </c>
      <c r="T1242" t="s">
        <v>128</v>
      </c>
      <c r="U1242" t="s">
        <v>6389</v>
      </c>
      <c r="W1242" t="s">
        <v>6356</v>
      </c>
      <c r="X1242">
        <v>86</v>
      </c>
      <c r="Y1242" t="s">
        <v>128</v>
      </c>
      <c r="Z1242">
        <v>233</v>
      </c>
    </row>
    <row r="1243" spans="1:26" x14ac:dyDescent="0.3">
      <c r="A1243">
        <v>1242</v>
      </c>
      <c r="B1243" t="s">
        <v>2773</v>
      </c>
      <c r="C1243" t="s">
        <v>34</v>
      </c>
      <c r="D1243" t="s">
        <v>135</v>
      </c>
      <c r="E1243" t="s">
        <v>128</v>
      </c>
      <c r="F1243" t="s">
        <v>6393</v>
      </c>
      <c r="G1243" t="s">
        <v>6377</v>
      </c>
      <c r="H1243" t="s">
        <v>6390</v>
      </c>
      <c r="I1243" t="s">
        <v>6384</v>
      </c>
      <c r="J1243">
        <f>AVERAGE(ai_job_market[[#This Row],[min_salary]],ai_job_market[[#This Row],[max_salary]])</f>
        <v>81594</v>
      </c>
      <c r="K1243" t="s">
        <v>6386</v>
      </c>
      <c r="L1243" t="s">
        <v>14</v>
      </c>
      <c r="M1243" t="s">
        <v>42</v>
      </c>
      <c r="N1243" t="s">
        <v>5658</v>
      </c>
      <c r="O1243" t="s">
        <v>4450</v>
      </c>
      <c r="P1243">
        <v>57791</v>
      </c>
      <c r="Q1243">
        <v>105397</v>
      </c>
      <c r="R1243" s="2">
        <v>45192</v>
      </c>
      <c r="S1243" t="s">
        <v>16</v>
      </c>
      <c r="T1243" t="s">
        <v>101</v>
      </c>
      <c r="W1243" t="s">
        <v>128</v>
      </c>
      <c r="X1243">
        <v>92</v>
      </c>
      <c r="Y1243" t="s">
        <v>101</v>
      </c>
      <c r="Z1243">
        <v>255</v>
      </c>
    </row>
    <row r="1244" spans="1:26" x14ac:dyDescent="0.3">
      <c r="A1244">
        <v>1243</v>
      </c>
      <c r="B1244" t="s">
        <v>613</v>
      </c>
      <c r="C1244" t="s">
        <v>34</v>
      </c>
      <c r="D1244" t="s">
        <v>135</v>
      </c>
      <c r="E1244" t="s">
        <v>6355</v>
      </c>
      <c r="F1244" t="s">
        <v>6379</v>
      </c>
      <c r="G1244" t="s">
        <v>6392</v>
      </c>
      <c r="J1244">
        <f>AVERAGE(ai_job_market[[#This Row],[min_salary]],ai_job_market[[#This Row],[max_salary]])</f>
        <v>164629.5</v>
      </c>
      <c r="K1244"/>
      <c r="L1244" t="s">
        <v>14</v>
      </c>
      <c r="M1244" t="s">
        <v>37</v>
      </c>
      <c r="N1244" t="s">
        <v>5659</v>
      </c>
      <c r="O1244" t="s">
        <v>5109</v>
      </c>
      <c r="P1244">
        <v>117104</v>
      </c>
      <c r="Q1244">
        <v>212155</v>
      </c>
      <c r="R1244" s="2">
        <v>45356</v>
      </c>
      <c r="S1244" t="s">
        <v>16</v>
      </c>
      <c r="T1244" t="s">
        <v>70</v>
      </c>
      <c r="W1244" t="s">
        <v>6355</v>
      </c>
      <c r="X1244">
        <v>90</v>
      </c>
      <c r="Y1244" t="s">
        <v>70</v>
      </c>
      <c r="Z1244">
        <v>268</v>
      </c>
    </row>
    <row r="1245" spans="1:26" x14ac:dyDescent="0.3">
      <c r="A1245">
        <v>1244</v>
      </c>
      <c r="B1245" t="s">
        <v>2776</v>
      </c>
      <c r="C1245" t="s">
        <v>72</v>
      </c>
      <c r="D1245" t="s">
        <v>35</v>
      </c>
      <c r="E1245" t="s">
        <v>6352</v>
      </c>
      <c r="F1245" t="s">
        <v>6377</v>
      </c>
      <c r="G1245" t="s">
        <v>6375</v>
      </c>
      <c r="H1245" t="s">
        <v>6390</v>
      </c>
      <c r="I1245" t="s">
        <v>6384</v>
      </c>
      <c r="J1245">
        <f>AVERAGE(ai_job_market[[#This Row],[min_salary]],ai_job_market[[#This Row],[max_salary]])</f>
        <v>89640</v>
      </c>
      <c r="K1245"/>
      <c r="L1245" t="s">
        <v>27</v>
      </c>
      <c r="M1245" t="s">
        <v>15</v>
      </c>
      <c r="N1245" t="s">
        <v>5660</v>
      </c>
      <c r="O1245" t="s">
        <v>4357</v>
      </c>
      <c r="P1245">
        <v>81222</v>
      </c>
      <c r="Q1245">
        <v>98058</v>
      </c>
      <c r="R1245" s="2">
        <v>45308</v>
      </c>
      <c r="S1245" t="s">
        <v>69</v>
      </c>
      <c r="T1245" t="s">
        <v>101</v>
      </c>
      <c r="U1245" t="s">
        <v>6389</v>
      </c>
      <c r="V1245" t="s">
        <v>6383</v>
      </c>
      <c r="W1245" t="s">
        <v>6352</v>
      </c>
      <c r="X1245">
        <v>97</v>
      </c>
      <c r="Y1245" t="s">
        <v>101</v>
      </c>
      <c r="Z1245">
        <v>255</v>
      </c>
    </row>
    <row r="1246" spans="1:26" x14ac:dyDescent="0.3">
      <c r="A1246">
        <v>1245</v>
      </c>
      <c r="B1246" t="s">
        <v>66</v>
      </c>
      <c r="C1246" t="s">
        <v>45</v>
      </c>
      <c r="D1246" t="s">
        <v>12</v>
      </c>
      <c r="E1246" t="s">
        <v>6355</v>
      </c>
      <c r="F1246" t="s">
        <v>6390</v>
      </c>
      <c r="G1246" t="s">
        <v>6387</v>
      </c>
      <c r="H1246" t="s">
        <v>6376</v>
      </c>
      <c r="I1246" t="s">
        <v>6384</v>
      </c>
      <c r="J1246">
        <f>AVERAGE(ai_job_market[[#This Row],[min_salary]],ai_job_market[[#This Row],[max_salary]])</f>
        <v>176793.5</v>
      </c>
      <c r="K1246" t="s">
        <v>6375</v>
      </c>
      <c r="L1246" t="s">
        <v>22</v>
      </c>
      <c r="M1246" t="s">
        <v>37</v>
      </c>
      <c r="N1246" t="s">
        <v>5661</v>
      </c>
      <c r="O1246" t="s">
        <v>4346</v>
      </c>
      <c r="P1246">
        <v>136657</v>
      </c>
      <c r="Q1246">
        <v>216930</v>
      </c>
      <c r="R1246" s="2">
        <v>45708</v>
      </c>
      <c r="S1246" t="s">
        <v>16</v>
      </c>
      <c r="T1246" t="s">
        <v>128</v>
      </c>
      <c r="U1246" t="s">
        <v>6383</v>
      </c>
      <c r="W1246" t="s">
        <v>6355</v>
      </c>
      <c r="X1246">
        <v>90</v>
      </c>
      <c r="Y1246" t="s">
        <v>128</v>
      </c>
      <c r="Z1246">
        <v>233</v>
      </c>
    </row>
    <row r="1247" spans="1:26" x14ac:dyDescent="0.3">
      <c r="A1247">
        <v>1246</v>
      </c>
      <c r="B1247" t="s">
        <v>2780</v>
      </c>
      <c r="C1247" t="s">
        <v>34</v>
      </c>
      <c r="D1247" t="s">
        <v>20</v>
      </c>
      <c r="E1247" t="s">
        <v>6352</v>
      </c>
      <c r="F1247" t="s">
        <v>6384</v>
      </c>
      <c r="G1247" t="s">
        <v>6387</v>
      </c>
      <c r="J1247">
        <f>AVERAGE(ai_job_market[[#This Row],[min_salary]],ai_job_market[[#This Row],[max_salary]])</f>
        <v>134575.5</v>
      </c>
      <c r="K1247"/>
      <c r="L1247" t="s">
        <v>14</v>
      </c>
      <c r="M1247" t="s">
        <v>37</v>
      </c>
      <c r="N1247" t="s">
        <v>5662</v>
      </c>
      <c r="O1247" t="s">
        <v>4547</v>
      </c>
      <c r="P1247">
        <v>117119</v>
      </c>
      <c r="Q1247">
        <v>152032</v>
      </c>
      <c r="R1247" s="2">
        <v>45766</v>
      </c>
      <c r="S1247" t="s">
        <v>69</v>
      </c>
      <c r="T1247" t="s">
        <v>77</v>
      </c>
      <c r="U1247" t="s">
        <v>6383</v>
      </c>
      <c r="W1247" t="s">
        <v>6352</v>
      </c>
      <c r="X1247">
        <v>97</v>
      </c>
      <c r="Y1247" t="s">
        <v>77</v>
      </c>
      <c r="Z1247">
        <v>251</v>
      </c>
    </row>
    <row r="1248" spans="1:26" x14ac:dyDescent="0.3">
      <c r="A1248">
        <v>1247</v>
      </c>
      <c r="B1248" t="s">
        <v>2782</v>
      </c>
      <c r="C1248" t="s">
        <v>11</v>
      </c>
      <c r="D1248" t="s">
        <v>67</v>
      </c>
      <c r="E1248" t="s">
        <v>6344</v>
      </c>
      <c r="F1248" t="s">
        <v>6396</v>
      </c>
      <c r="G1248" t="s">
        <v>6377</v>
      </c>
      <c r="H1248" t="s">
        <v>6380</v>
      </c>
      <c r="I1248" t="s">
        <v>6386</v>
      </c>
      <c r="J1248">
        <f>AVERAGE(ai_job_market[[#This Row],[min_salary]],ai_job_market[[#This Row],[max_salary]])</f>
        <v>139688.5</v>
      </c>
      <c r="K1248"/>
      <c r="L1248" t="s">
        <v>27</v>
      </c>
      <c r="M1248" t="s">
        <v>15</v>
      </c>
      <c r="N1248" t="s">
        <v>5663</v>
      </c>
      <c r="O1248" t="s">
        <v>4287</v>
      </c>
      <c r="P1248">
        <v>98470</v>
      </c>
      <c r="Q1248">
        <v>180907</v>
      </c>
      <c r="R1248" s="2">
        <v>45349</v>
      </c>
      <c r="S1248" t="s">
        <v>16</v>
      </c>
      <c r="T1248" t="s">
        <v>101</v>
      </c>
      <c r="U1248" t="s">
        <v>6375</v>
      </c>
      <c r="W1248" t="s">
        <v>6344</v>
      </c>
      <c r="X1248">
        <v>104</v>
      </c>
      <c r="Y1248" t="s">
        <v>101</v>
      </c>
      <c r="Z1248">
        <v>255</v>
      </c>
    </row>
    <row r="1249" spans="1:26" x14ac:dyDescent="0.3">
      <c r="A1249">
        <v>1248</v>
      </c>
      <c r="B1249" t="s">
        <v>2784</v>
      </c>
      <c r="C1249" t="s">
        <v>19</v>
      </c>
      <c r="D1249" t="s">
        <v>135</v>
      </c>
      <c r="E1249" t="s">
        <v>128</v>
      </c>
      <c r="F1249" t="s">
        <v>6390</v>
      </c>
      <c r="G1249" t="s">
        <v>6387</v>
      </c>
      <c r="H1249" t="s">
        <v>6381</v>
      </c>
      <c r="I1249" t="s">
        <v>6374</v>
      </c>
      <c r="J1249">
        <f>AVERAGE(ai_job_market[[#This Row],[min_salary]],ai_job_market[[#This Row],[max_salary]])</f>
        <v>149475.5</v>
      </c>
      <c r="K1249" t="s">
        <v>6396</v>
      </c>
      <c r="L1249" t="s">
        <v>27</v>
      </c>
      <c r="M1249" t="s">
        <v>51</v>
      </c>
      <c r="N1249" t="s">
        <v>5664</v>
      </c>
      <c r="O1249" t="s">
        <v>4303</v>
      </c>
      <c r="P1249">
        <v>120633</v>
      </c>
      <c r="Q1249">
        <v>178318</v>
      </c>
      <c r="R1249" s="2">
        <v>45303</v>
      </c>
      <c r="S1249" t="s">
        <v>14</v>
      </c>
      <c r="T1249" t="s">
        <v>77</v>
      </c>
      <c r="W1249" t="s">
        <v>128</v>
      </c>
      <c r="X1249">
        <v>92</v>
      </c>
      <c r="Y1249" t="s">
        <v>77</v>
      </c>
      <c r="Z1249">
        <v>251</v>
      </c>
    </row>
    <row r="1250" spans="1:26" x14ac:dyDescent="0.3">
      <c r="A1250">
        <v>1249</v>
      </c>
      <c r="B1250" t="s">
        <v>2786</v>
      </c>
      <c r="C1250" t="s">
        <v>11</v>
      </c>
      <c r="D1250" t="s">
        <v>25</v>
      </c>
      <c r="E1250" t="s">
        <v>6357</v>
      </c>
      <c r="F1250" t="s">
        <v>6396</v>
      </c>
      <c r="G1250" t="s">
        <v>6392</v>
      </c>
      <c r="H1250" t="s">
        <v>6376</v>
      </c>
      <c r="J1250">
        <f>AVERAGE(ai_job_market[[#This Row],[min_salary]],ai_job_market[[#This Row],[max_salary]])</f>
        <v>144470.5</v>
      </c>
      <c r="K1250"/>
      <c r="L1250" t="s">
        <v>22</v>
      </c>
      <c r="M1250" t="s">
        <v>37</v>
      </c>
      <c r="N1250" t="s">
        <v>5665</v>
      </c>
      <c r="O1250" t="s">
        <v>4357</v>
      </c>
      <c r="P1250">
        <v>95461</v>
      </c>
      <c r="Q1250">
        <v>193480</v>
      </c>
      <c r="R1250" s="2">
        <v>45527</v>
      </c>
      <c r="S1250" t="s">
        <v>69</v>
      </c>
      <c r="T1250" t="s">
        <v>52</v>
      </c>
      <c r="W1250" t="s">
        <v>6357</v>
      </c>
      <c r="X1250">
        <v>88</v>
      </c>
      <c r="Y1250" t="s">
        <v>52</v>
      </c>
      <c r="Z1250">
        <v>238</v>
      </c>
    </row>
    <row r="1251" spans="1:26" x14ac:dyDescent="0.3">
      <c r="A1251">
        <v>1250</v>
      </c>
      <c r="B1251" t="s">
        <v>2788</v>
      </c>
      <c r="C1251" t="s">
        <v>45</v>
      </c>
      <c r="D1251" t="s">
        <v>135</v>
      </c>
      <c r="E1251" t="s">
        <v>6356</v>
      </c>
      <c r="F1251" t="s">
        <v>6390</v>
      </c>
      <c r="G1251" t="s">
        <v>6384</v>
      </c>
      <c r="H1251" t="s">
        <v>6380</v>
      </c>
      <c r="I1251" t="s">
        <v>6385</v>
      </c>
      <c r="J1251" s="6">
        <f>AVERAGE(ai_job_market[[#This Row],[min_salary]],ai_job_market[[#This Row],[max_salary]])</f>
        <v>112093</v>
      </c>
      <c r="K1251"/>
      <c r="L1251" t="s">
        <v>14</v>
      </c>
      <c r="M1251" t="s">
        <v>37</v>
      </c>
      <c r="N1251" t="s">
        <v>5666</v>
      </c>
      <c r="O1251" t="s">
        <v>5098</v>
      </c>
      <c r="P1251" s="5">
        <v>102123</v>
      </c>
      <c r="Q1251" s="5">
        <v>122063</v>
      </c>
      <c r="R1251" s="2">
        <v>45203</v>
      </c>
      <c r="S1251" t="s">
        <v>14</v>
      </c>
      <c r="T1251" t="s">
        <v>80</v>
      </c>
      <c r="U1251" t="s">
        <v>6378</v>
      </c>
      <c r="V1251" t="s">
        <v>6388</v>
      </c>
      <c r="W1251" t="s">
        <v>6356</v>
      </c>
      <c r="X1251">
        <v>86</v>
      </c>
      <c r="Y1251" t="s">
        <v>80</v>
      </c>
      <c r="Z1251">
        <v>249</v>
      </c>
    </row>
    <row r="1252" spans="1:26" x14ac:dyDescent="0.3">
      <c r="A1252">
        <v>1251</v>
      </c>
      <c r="B1252" t="s">
        <v>2791</v>
      </c>
      <c r="C1252" t="s">
        <v>45</v>
      </c>
      <c r="D1252" t="s">
        <v>54</v>
      </c>
      <c r="E1252" t="s">
        <v>6344</v>
      </c>
      <c r="F1252" t="s">
        <v>6382</v>
      </c>
      <c r="G1252" t="s">
        <v>6381</v>
      </c>
      <c r="H1252" t="s">
        <v>6377</v>
      </c>
      <c r="I1252" t="s">
        <v>6378</v>
      </c>
      <c r="J1252">
        <f>AVERAGE(ai_job_market[[#This Row],[min_salary]],ai_job_market[[#This Row],[max_salary]])</f>
        <v>145203</v>
      </c>
      <c r="K1252"/>
      <c r="L1252" t="s">
        <v>14</v>
      </c>
      <c r="M1252" t="s">
        <v>15</v>
      </c>
      <c r="N1252" t="s">
        <v>5667</v>
      </c>
      <c r="O1252" t="s">
        <v>4842</v>
      </c>
      <c r="P1252">
        <v>111473</v>
      </c>
      <c r="Q1252">
        <v>178933</v>
      </c>
      <c r="R1252" s="2">
        <v>45306</v>
      </c>
      <c r="S1252" t="s">
        <v>14</v>
      </c>
      <c r="T1252" t="s">
        <v>90</v>
      </c>
      <c r="U1252" t="s">
        <v>6379</v>
      </c>
      <c r="W1252" t="s">
        <v>6344</v>
      </c>
      <c r="X1252">
        <v>104</v>
      </c>
      <c r="Y1252" t="s">
        <v>90</v>
      </c>
      <c r="Z1252">
        <v>259</v>
      </c>
    </row>
    <row r="1253" spans="1:26" x14ac:dyDescent="0.3">
      <c r="A1253">
        <v>1252</v>
      </c>
      <c r="B1253" t="s">
        <v>227</v>
      </c>
      <c r="C1253" t="s">
        <v>72</v>
      </c>
      <c r="D1253" t="s">
        <v>12</v>
      </c>
      <c r="E1253" t="s">
        <v>6357</v>
      </c>
      <c r="F1253" t="s">
        <v>6395</v>
      </c>
      <c r="G1253" t="s">
        <v>6396</v>
      </c>
      <c r="H1253" t="s">
        <v>6374</v>
      </c>
      <c r="J1253">
        <f>AVERAGE(ai_job_market[[#This Row],[min_salary]],ai_job_market[[#This Row],[max_salary]])</f>
        <v>177123.5</v>
      </c>
      <c r="K1253"/>
      <c r="L1253" t="s">
        <v>27</v>
      </c>
      <c r="M1253" t="s">
        <v>37</v>
      </c>
      <c r="N1253" t="s">
        <v>5668</v>
      </c>
      <c r="O1253" t="s">
        <v>4339</v>
      </c>
      <c r="P1253">
        <v>128138</v>
      </c>
      <c r="Q1253">
        <v>226109</v>
      </c>
      <c r="R1253" s="2">
        <v>45837</v>
      </c>
      <c r="S1253" t="s">
        <v>16</v>
      </c>
      <c r="T1253" t="s">
        <v>77</v>
      </c>
      <c r="U1253" t="s">
        <v>6383</v>
      </c>
      <c r="W1253" t="s">
        <v>6357</v>
      </c>
      <c r="X1253">
        <v>88</v>
      </c>
      <c r="Y1253" t="s">
        <v>77</v>
      </c>
      <c r="Z1253">
        <v>251</v>
      </c>
    </row>
    <row r="1254" spans="1:26" x14ac:dyDescent="0.3">
      <c r="A1254">
        <v>1253</v>
      </c>
      <c r="B1254" t="s">
        <v>2794</v>
      </c>
      <c r="C1254" t="s">
        <v>45</v>
      </c>
      <c r="D1254" t="s">
        <v>20</v>
      </c>
      <c r="E1254" t="s">
        <v>6344</v>
      </c>
      <c r="F1254" t="s">
        <v>6380</v>
      </c>
      <c r="G1254" t="s">
        <v>6384</v>
      </c>
      <c r="H1254" t="s">
        <v>6382</v>
      </c>
      <c r="I1254" t="s">
        <v>6393</v>
      </c>
      <c r="J1254">
        <f>AVERAGE(ai_job_market[[#This Row],[min_salary]],ai_job_market[[#This Row],[max_salary]])</f>
        <v>133710.5</v>
      </c>
      <c r="K1254" t="s">
        <v>6375</v>
      </c>
      <c r="L1254" t="s">
        <v>22</v>
      </c>
      <c r="M1254" t="s">
        <v>42</v>
      </c>
      <c r="N1254" t="s">
        <v>5669</v>
      </c>
      <c r="O1254" t="s">
        <v>4518</v>
      </c>
      <c r="P1254">
        <v>97139</v>
      </c>
      <c r="Q1254">
        <v>170282</v>
      </c>
      <c r="R1254" s="2">
        <v>45348</v>
      </c>
      <c r="S1254" t="s">
        <v>14</v>
      </c>
      <c r="T1254" t="s">
        <v>101</v>
      </c>
      <c r="U1254" t="s">
        <v>6383</v>
      </c>
      <c r="V1254" t="s">
        <v>6379</v>
      </c>
      <c r="W1254" t="s">
        <v>6344</v>
      </c>
      <c r="X1254">
        <v>104</v>
      </c>
      <c r="Y1254" t="s">
        <v>101</v>
      </c>
      <c r="Z1254">
        <v>255</v>
      </c>
    </row>
    <row r="1255" spans="1:26" x14ac:dyDescent="0.3">
      <c r="A1255">
        <v>1254</v>
      </c>
      <c r="B1255" t="s">
        <v>2797</v>
      </c>
      <c r="C1255" t="s">
        <v>19</v>
      </c>
      <c r="D1255" t="s">
        <v>20</v>
      </c>
      <c r="E1255" t="s">
        <v>6353</v>
      </c>
      <c r="F1255" t="s">
        <v>6396</v>
      </c>
      <c r="G1255" t="s">
        <v>6394</v>
      </c>
      <c r="H1255" t="s">
        <v>6380</v>
      </c>
      <c r="I1255" t="s">
        <v>6391</v>
      </c>
      <c r="J1255">
        <f>AVERAGE(ai_job_market[[#This Row],[min_salary]],ai_job_market[[#This Row],[max_salary]])</f>
        <v>151679.5</v>
      </c>
      <c r="K1255" t="s">
        <v>6384</v>
      </c>
      <c r="L1255" t="s">
        <v>22</v>
      </c>
      <c r="M1255" t="s">
        <v>51</v>
      </c>
      <c r="N1255" t="s">
        <v>5670</v>
      </c>
      <c r="O1255" t="s">
        <v>4361</v>
      </c>
      <c r="P1255">
        <v>137454</v>
      </c>
      <c r="Q1255">
        <v>165905</v>
      </c>
      <c r="R1255" s="2">
        <v>45762</v>
      </c>
      <c r="S1255" t="s">
        <v>14</v>
      </c>
      <c r="T1255" t="s">
        <v>101</v>
      </c>
      <c r="W1255" t="s">
        <v>6353</v>
      </c>
      <c r="X1255">
        <v>86</v>
      </c>
      <c r="Y1255" t="s">
        <v>101</v>
      </c>
      <c r="Z1255">
        <v>255</v>
      </c>
    </row>
    <row r="1256" spans="1:26" x14ac:dyDescent="0.3">
      <c r="A1256">
        <v>1255</v>
      </c>
      <c r="B1256" t="s">
        <v>2799</v>
      </c>
      <c r="C1256" t="s">
        <v>49</v>
      </c>
      <c r="D1256" t="s">
        <v>30</v>
      </c>
      <c r="E1256" t="s">
        <v>6357</v>
      </c>
      <c r="F1256" t="s">
        <v>6389</v>
      </c>
      <c r="G1256" t="s">
        <v>6390</v>
      </c>
      <c r="J1256">
        <f>AVERAGE(ai_job_market[[#This Row],[min_salary]],ai_job_market[[#This Row],[max_salary]])</f>
        <v>81886.5</v>
      </c>
      <c r="K1256"/>
      <c r="L1256" t="s">
        <v>14</v>
      </c>
      <c r="M1256" t="s">
        <v>42</v>
      </c>
      <c r="N1256" t="s">
        <v>5671</v>
      </c>
      <c r="O1256" t="s">
        <v>4357</v>
      </c>
      <c r="P1256">
        <v>42730</v>
      </c>
      <c r="Q1256">
        <v>121043</v>
      </c>
      <c r="R1256" s="2">
        <v>45481</v>
      </c>
      <c r="S1256" t="s">
        <v>16</v>
      </c>
      <c r="T1256" t="s">
        <v>90</v>
      </c>
      <c r="W1256" t="s">
        <v>6357</v>
      </c>
      <c r="X1256">
        <v>88</v>
      </c>
      <c r="Y1256" t="s">
        <v>90</v>
      </c>
      <c r="Z1256">
        <v>259</v>
      </c>
    </row>
    <row r="1257" spans="1:26" x14ac:dyDescent="0.3">
      <c r="A1257">
        <v>1256</v>
      </c>
      <c r="B1257" t="s">
        <v>2801</v>
      </c>
      <c r="C1257" t="s">
        <v>49</v>
      </c>
      <c r="D1257" t="s">
        <v>67</v>
      </c>
      <c r="E1257" t="s">
        <v>6349</v>
      </c>
      <c r="F1257" t="s">
        <v>6378</v>
      </c>
      <c r="G1257" t="s">
        <v>6392</v>
      </c>
      <c r="J1257">
        <f>AVERAGE(ai_job_market[[#This Row],[min_salary]],ai_job_market[[#This Row],[max_salary]])</f>
        <v>163032.5</v>
      </c>
      <c r="K1257"/>
      <c r="L1257" t="s">
        <v>22</v>
      </c>
      <c r="M1257" t="s">
        <v>42</v>
      </c>
      <c r="N1257" t="s">
        <v>5672</v>
      </c>
      <c r="O1257" t="s">
        <v>4452</v>
      </c>
      <c r="P1257">
        <v>121082</v>
      </c>
      <c r="Q1257">
        <v>204983</v>
      </c>
      <c r="R1257" s="2">
        <v>45848</v>
      </c>
      <c r="S1257" t="s">
        <v>69</v>
      </c>
      <c r="T1257" t="s">
        <v>90</v>
      </c>
      <c r="W1257" t="s">
        <v>6349</v>
      </c>
      <c r="X1257">
        <v>96</v>
      </c>
      <c r="Y1257" t="s">
        <v>90</v>
      </c>
      <c r="Z1257">
        <v>259</v>
      </c>
    </row>
    <row r="1258" spans="1:26" x14ac:dyDescent="0.3">
      <c r="A1258">
        <v>1257</v>
      </c>
      <c r="B1258" t="s">
        <v>2803</v>
      </c>
      <c r="C1258" t="s">
        <v>45</v>
      </c>
      <c r="D1258" t="s">
        <v>135</v>
      </c>
      <c r="E1258" t="s">
        <v>70</v>
      </c>
      <c r="F1258" t="s">
        <v>6381</v>
      </c>
      <c r="G1258" t="s">
        <v>6393</v>
      </c>
      <c r="J1258">
        <f>AVERAGE(ai_job_market[[#This Row],[min_salary]],ai_job_market[[#This Row],[max_salary]])</f>
        <v>111351.5</v>
      </c>
      <c r="K1258"/>
      <c r="L1258" t="s">
        <v>14</v>
      </c>
      <c r="M1258" t="s">
        <v>42</v>
      </c>
      <c r="N1258" t="s">
        <v>5673</v>
      </c>
      <c r="O1258" t="s">
        <v>4452</v>
      </c>
      <c r="P1258">
        <v>94437</v>
      </c>
      <c r="Q1258">
        <v>128266</v>
      </c>
      <c r="R1258" s="2">
        <v>45889</v>
      </c>
      <c r="S1258" t="s">
        <v>14</v>
      </c>
      <c r="T1258" t="s">
        <v>90</v>
      </c>
      <c r="W1258" t="s">
        <v>70</v>
      </c>
      <c r="X1258">
        <v>100</v>
      </c>
      <c r="Y1258" t="s">
        <v>90</v>
      </c>
      <c r="Z1258">
        <v>259</v>
      </c>
    </row>
    <row r="1259" spans="1:26" x14ac:dyDescent="0.3">
      <c r="A1259">
        <v>1258</v>
      </c>
      <c r="B1259" t="s">
        <v>2805</v>
      </c>
      <c r="C1259" t="s">
        <v>34</v>
      </c>
      <c r="D1259" t="s">
        <v>20</v>
      </c>
      <c r="E1259" t="s">
        <v>80</v>
      </c>
      <c r="F1259" t="s">
        <v>6396</v>
      </c>
      <c r="G1259" t="s">
        <v>6394</v>
      </c>
      <c r="H1259" t="s">
        <v>6374</v>
      </c>
      <c r="I1259" t="s">
        <v>6389</v>
      </c>
      <c r="J1259">
        <f>AVERAGE(ai_job_market[[#This Row],[min_salary]],ai_job_market[[#This Row],[max_salary]])</f>
        <v>87289.5</v>
      </c>
      <c r="K1259" t="s">
        <v>6395</v>
      </c>
      <c r="L1259" t="s">
        <v>22</v>
      </c>
      <c r="M1259" t="s">
        <v>42</v>
      </c>
      <c r="N1259" t="s">
        <v>5674</v>
      </c>
      <c r="O1259" t="s">
        <v>4405</v>
      </c>
      <c r="P1259">
        <v>67907</v>
      </c>
      <c r="Q1259">
        <v>106672</v>
      </c>
      <c r="R1259" s="2">
        <v>45382</v>
      </c>
      <c r="S1259" t="s">
        <v>69</v>
      </c>
      <c r="T1259" t="s">
        <v>52</v>
      </c>
      <c r="W1259" t="s">
        <v>80</v>
      </c>
      <c r="X1259">
        <v>95</v>
      </c>
      <c r="Y1259" t="s">
        <v>52</v>
      </c>
      <c r="Z1259">
        <v>238</v>
      </c>
    </row>
    <row r="1260" spans="1:26" x14ac:dyDescent="0.3">
      <c r="A1260">
        <v>1259</v>
      </c>
      <c r="B1260" t="s">
        <v>66</v>
      </c>
      <c r="C1260" t="s">
        <v>45</v>
      </c>
      <c r="D1260" t="s">
        <v>35</v>
      </c>
      <c r="E1260" t="s">
        <v>6351</v>
      </c>
      <c r="F1260" t="s">
        <v>6382</v>
      </c>
      <c r="G1260" t="s">
        <v>6376</v>
      </c>
      <c r="H1260" t="s">
        <v>6392</v>
      </c>
      <c r="J1260">
        <f>AVERAGE(ai_job_market[[#This Row],[min_salary]],ai_job_market[[#This Row],[max_salary]])</f>
        <v>141810</v>
      </c>
      <c r="K1260"/>
      <c r="L1260" t="s">
        <v>27</v>
      </c>
      <c r="M1260" t="s">
        <v>51</v>
      </c>
      <c r="N1260" t="s">
        <v>5675</v>
      </c>
      <c r="O1260" t="s">
        <v>4335</v>
      </c>
      <c r="P1260">
        <v>95122</v>
      </c>
      <c r="Q1260">
        <v>188498</v>
      </c>
      <c r="R1260" s="2">
        <v>45748</v>
      </c>
      <c r="S1260" t="s">
        <v>14</v>
      </c>
      <c r="T1260" t="s">
        <v>157</v>
      </c>
      <c r="W1260" t="s">
        <v>6351</v>
      </c>
      <c r="X1260">
        <v>89</v>
      </c>
      <c r="Y1260" t="s">
        <v>157</v>
      </c>
      <c r="Z1260">
        <v>247</v>
      </c>
    </row>
    <row r="1261" spans="1:26" x14ac:dyDescent="0.3">
      <c r="A1261">
        <v>1260</v>
      </c>
      <c r="B1261" t="s">
        <v>2808</v>
      </c>
      <c r="C1261" t="s">
        <v>49</v>
      </c>
      <c r="D1261" t="s">
        <v>25</v>
      </c>
      <c r="E1261" t="s">
        <v>6352</v>
      </c>
      <c r="F1261" t="s">
        <v>6376</v>
      </c>
      <c r="G1261" t="s">
        <v>6384</v>
      </c>
      <c r="H1261" t="s">
        <v>6378</v>
      </c>
      <c r="I1261" t="s">
        <v>6395</v>
      </c>
      <c r="J1261">
        <f>AVERAGE(ai_job_market[[#This Row],[min_salary]],ai_job_market[[#This Row],[max_salary]])</f>
        <v>167854.5</v>
      </c>
      <c r="K1261" t="s">
        <v>6391</v>
      </c>
      <c r="L1261" t="s">
        <v>22</v>
      </c>
      <c r="M1261" t="s">
        <v>15</v>
      </c>
      <c r="N1261" t="s">
        <v>5676</v>
      </c>
      <c r="O1261" t="s">
        <v>4921</v>
      </c>
      <c r="P1261">
        <v>141020</v>
      </c>
      <c r="Q1261">
        <v>194689</v>
      </c>
      <c r="R1261" s="2">
        <v>45493</v>
      </c>
      <c r="S1261" t="s">
        <v>14</v>
      </c>
      <c r="T1261" t="s">
        <v>128</v>
      </c>
      <c r="W1261" t="s">
        <v>6352</v>
      </c>
      <c r="X1261">
        <v>97</v>
      </c>
      <c r="Y1261" t="s">
        <v>128</v>
      </c>
      <c r="Z1261">
        <v>233</v>
      </c>
    </row>
    <row r="1262" spans="1:26" x14ac:dyDescent="0.3">
      <c r="A1262">
        <v>1261</v>
      </c>
      <c r="B1262" t="s">
        <v>2810</v>
      </c>
      <c r="C1262" t="s">
        <v>40</v>
      </c>
      <c r="D1262" t="s">
        <v>35</v>
      </c>
      <c r="E1262" t="s">
        <v>70</v>
      </c>
      <c r="F1262" t="s">
        <v>6378</v>
      </c>
      <c r="G1262" t="s">
        <v>6387</v>
      </c>
      <c r="J1262">
        <f>AVERAGE(ai_job_market[[#This Row],[min_salary]],ai_job_market[[#This Row],[max_salary]])</f>
        <v>154309.5</v>
      </c>
      <c r="K1262"/>
      <c r="L1262" t="s">
        <v>22</v>
      </c>
      <c r="M1262" t="s">
        <v>15</v>
      </c>
      <c r="N1262" t="s">
        <v>5677</v>
      </c>
      <c r="O1262" t="s">
        <v>4783</v>
      </c>
      <c r="P1262">
        <v>133090</v>
      </c>
      <c r="Q1262">
        <v>175529</v>
      </c>
      <c r="R1262" s="2">
        <v>45769</v>
      </c>
      <c r="S1262" t="s">
        <v>16</v>
      </c>
      <c r="T1262" t="s">
        <v>90</v>
      </c>
      <c r="W1262" t="s">
        <v>70</v>
      </c>
      <c r="X1262">
        <v>100</v>
      </c>
      <c r="Y1262" t="s">
        <v>90</v>
      </c>
      <c r="Z1262">
        <v>259</v>
      </c>
    </row>
    <row r="1263" spans="1:26" x14ac:dyDescent="0.3">
      <c r="A1263">
        <v>1262</v>
      </c>
      <c r="B1263" t="s">
        <v>2812</v>
      </c>
      <c r="C1263" t="s">
        <v>49</v>
      </c>
      <c r="D1263" t="s">
        <v>12</v>
      </c>
      <c r="E1263" t="s">
        <v>80</v>
      </c>
      <c r="F1263" t="s">
        <v>6381</v>
      </c>
      <c r="G1263" t="s">
        <v>6374</v>
      </c>
      <c r="H1263" t="s">
        <v>6386</v>
      </c>
      <c r="I1263" t="s">
        <v>6375</v>
      </c>
      <c r="J1263">
        <f>AVERAGE(ai_job_market[[#This Row],[min_salary]],ai_job_market[[#This Row],[max_salary]])</f>
        <v>130348</v>
      </c>
      <c r="K1263" t="s">
        <v>6397</v>
      </c>
      <c r="L1263" t="s">
        <v>22</v>
      </c>
      <c r="M1263" t="s">
        <v>37</v>
      </c>
      <c r="N1263" t="s">
        <v>5678</v>
      </c>
      <c r="O1263" t="s">
        <v>4559</v>
      </c>
      <c r="P1263">
        <v>96867</v>
      </c>
      <c r="Q1263">
        <v>163829</v>
      </c>
      <c r="R1263" s="2">
        <v>45862</v>
      </c>
      <c r="S1263" t="s">
        <v>16</v>
      </c>
      <c r="T1263" t="s">
        <v>128</v>
      </c>
      <c r="U1263" t="s">
        <v>6384</v>
      </c>
      <c r="W1263" t="s">
        <v>80</v>
      </c>
      <c r="X1263">
        <v>95</v>
      </c>
      <c r="Y1263" t="s">
        <v>128</v>
      </c>
      <c r="Z1263">
        <v>233</v>
      </c>
    </row>
    <row r="1264" spans="1:26" x14ac:dyDescent="0.3">
      <c r="A1264">
        <v>1263</v>
      </c>
      <c r="B1264" t="s">
        <v>2814</v>
      </c>
      <c r="C1264" t="s">
        <v>40</v>
      </c>
      <c r="D1264" t="s">
        <v>12</v>
      </c>
      <c r="E1264" t="s">
        <v>101</v>
      </c>
      <c r="F1264" t="s">
        <v>6374</v>
      </c>
      <c r="G1264" t="s">
        <v>6394</v>
      </c>
      <c r="H1264" t="s">
        <v>6389</v>
      </c>
      <c r="I1264" t="s">
        <v>6392</v>
      </c>
      <c r="J1264">
        <f>AVERAGE(ai_job_market[[#This Row],[min_salary]],ai_job_market[[#This Row],[max_salary]])</f>
        <v>164165.5</v>
      </c>
      <c r="K1264" t="s">
        <v>6393</v>
      </c>
      <c r="L1264" t="s">
        <v>27</v>
      </c>
      <c r="M1264" t="s">
        <v>15</v>
      </c>
      <c r="N1264" t="s">
        <v>5679</v>
      </c>
      <c r="O1264" t="s">
        <v>4643</v>
      </c>
      <c r="P1264">
        <v>133145</v>
      </c>
      <c r="Q1264">
        <v>195186</v>
      </c>
      <c r="R1264" s="2">
        <v>45734</v>
      </c>
      <c r="S1264" t="s">
        <v>14</v>
      </c>
      <c r="T1264" t="s">
        <v>77</v>
      </c>
      <c r="W1264" t="s">
        <v>101</v>
      </c>
      <c r="X1264">
        <v>76</v>
      </c>
      <c r="Y1264" t="s">
        <v>77</v>
      </c>
      <c r="Z1264">
        <v>251</v>
      </c>
    </row>
    <row r="1265" spans="1:26" x14ac:dyDescent="0.3">
      <c r="A1265">
        <v>1264</v>
      </c>
      <c r="B1265" t="s">
        <v>2816</v>
      </c>
      <c r="C1265" t="s">
        <v>49</v>
      </c>
      <c r="D1265" t="s">
        <v>135</v>
      </c>
      <c r="E1265" t="s">
        <v>77</v>
      </c>
      <c r="F1265" t="s">
        <v>6391</v>
      </c>
      <c r="G1265" t="s">
        <v>6394</v>
      </c>
      <c r="H1265" t="s">
        <v>6377</v>
      </c>
      <c r="I1265" t="s">
        <v>6392</v>
      </c>
      <c r="J1265">
        <f>AVERAGE(ai_job_market[[#This Row],[min_salary]],ai_job_market[[#This Row],[max_salary]])</f>
        <v>59024.5</v>
      </c>
      <c r="K1265"/>
      <c r="L1265" t="s">
        <v>14</v>
      </c>
      <c r="M1265" t="s">
        <v>51</v>
      </c>
      <c r="N1265" t="s">
        <v>5680</v>
      </c>
      <c r="O1265" t="s">
        <v>4380</v>
      </c>
      <c r="P1265">
        <v>44966</v>
      </c>
      <c r="Q1265">
        <v>73083</v>
      </c>
      <c r="R1265" s="2">
        <v>45601</v>
      </c>
      <c r="S1265" t="s">
        <v>16</v>
      </c>
      <c r="T1265" t="s">
        <v>77</v>
      </c>
      <c r="W1265" t="s">
        <v>77</v>
      </c>
      <c r="X1265">
        <v>111</v>
      </c>
      <c r="Y1265" t="s">
        <v>77</v>
      </c>
      <c r="Z1265">
        <v>251</v>
      </c>
    </row>
    <row r="1266" spans="1:26" x14ac:dyDescent="0.3">
      <c r="A1266">
        <v>1265</v>
      </c>
      <c r="B1266" t="s">
        <v>2818</v>
      </c>
      <c r="C1266" t="s">
        <v>11</v>
      </c>
      <c r="D1266" t="s">
        <v>30</v>
      </c>
      <c r="E1266" t="s">
        <v>6356</v>
      </c>
      <c r="F1266" t="s">
        <v>6384</v>
      </c>
      <c r="G1266" t="s">
        <v>6397</v>
      </c>
      <c r="H1266" t="s">
        <v>6387</v>
      </c>
      <c r="I1266" t="s">
        <v>6391</v>
      </c>
      <c r="J1266">
        <f>AVERAGE(ai_job_market[[#This Row],[min_salary]],ai_job_market[[#This Row],[max_salary]])</f>
        <v>143477.5</v>
      </c>
      <c r="K1266" t="s">
        <v>6381</v>
      </c>
      <c r="L1266" t="s">
        <v>22</v>
      </c>
      <c r="M1266" t="s">
        <v>15</v>
      </c>
      <c r="N1266" t="s">
        <v>5681</v>
      </c>
      <c r="O1266" t="s">
        <v>4549</v>
      </c>
      <c r="P1266">
        <v>113803</v>
      </c>
      <c r="Q1266">
        <v>173152</v>
      </c>
      <c r="R1266" s="2">
        <v>45309</v>
      </c>
      <c r="S1266" t="s">
        <v>14</v>
      </c>
      <c r="T1266" t="s">
        <v>128</v>
      </c>
      <c r="U1266" t="s">
        <v>6376</v>
      </c>
      <c r="V1266" t="s">
        <v>6383</v>
      </c>
      <c r="W1266" t="s">
        <v>6356</v>
      </c>
      <c r="X1266">
        <v>86</v>
      </c>
      <c r="Y1266" t="s">
        <v>128</v>
      </c>
      <c r="Z1266">
        <v>233</v>
      </c>
    </row>
    <row r="1267" spans="1:26" x14ac:dyDescent="0.3">
      <c r="A1267">
        <v>1266</v>
      </c>
      <c r="B1267" t="s">
        <v>632</v>
      </c>
      <c r="C1267" t="s">
        <v>40</v>
      </c>
      <c r="D1267" t="s">
        <v>135</v>
      </c>
      <c r="E1267" t="s">
        <v>6349</v>
      </c>
      <c r="F1267" t="s">
        <v>6377</v>
      </c>
      <c r="G1267" t="s">
        <v>6376</v>
      </c>
      <c r="H1267" t="s">
        <v>6389</v>
      </c>
      <c r="I1267" t="s">
        <v>6394</v>
      </c>
      <c r="J1267">
        <f>AVERAGE(ai_job_market[[#This Row],[min_salary]],ai_job_market[[#This Row],[max_salary]])</f>
        <v>144666.5</v>
      </c>
      <c r="K1267"/>
      <c r="L1267" t="s">
        <v>27</v>
      </c>
      <c r="M1267" t="s">
        <v>15</v>
      </c>
      <c r="N1267" t="s">
        <v>5682</v>
      </c>
      <c r="O1267" t="s">
        <v>4329</v>
      </c>
      <c r="P1267">
        <v>96732</v>
      </c>
      <c r="Q1267">
        <v>192601</v>
      </c>
      <c r="R1267" s="2">
        <v>45708</v>
      </c>
      <c r="S1267" t="s">
        <v>16</v>
      </c>
      <c r="T1267" t="s">
        <v>70</v>
      </c>
      <c r="U1267" t="s">
        <v>6375</v>
      </c>
      <c r="W1267" t="s">
        <v>6349</v>
      </c>
      <c r="X1267">
        <v>96</v>
      </c>
      <c r="Y1267" t="s">
        <v>70</v>
      </c>
      <c r="Z1267">
        <v>268</v>
      </c>
    </row>
    <row r="1268" spans="1:26" x14ac:dyDescent="0.3">
      <c r="A1268">
        <v>1267</v>
      </c>
      <c r="B1268" t="s">
        <v>2821</v>
      </c>
      <c r="C1268" t="s">
        <v>72</v>
      </c>
      <c r="D1268" t="s">
        <v>12</v>
      </c>
      <c r="E1268" t="s">
        <v>6353</v>
      </c>
      <c r="F1268" t="s">
        <v>6394</v>
      </c>
      <c r="G1268" t="s">
        <v>6375</v>
      </c>
      <c r="J1268">
        <f>AVERAGE(ai_job_market[[#This Row],[min_salary]],ai_job_market[[#This Row],[max_salary]])</f>
        <v>180135.5</v>
      </c>
      <c r="K1268"/>
      <c r="L1268" t="s">
        <v>22</v>
      </c>
      <c r="M1268" t="s">
        <v>15</v>
      </c>
      <c r="N1268" t="s">
        <v>5683</v>
      </c>
      <c r="O1268" t="s">
        <v>4478</v>
      </c>
      <c r="P1268">
        <v>137258</v>
      </c>
      <c r="Q1268">
        <v>223013</v>
      </c>
      <c r="R1268" s="2">
        <v>45300</v>
      </c>
      <c r="S1268" t="s">
        <v>69</v>
      </c>
      <c r="T1268" t="s">
        <v>128</v>
      </c>
      <c r="W1268" t="s">
        <v>6353</v>
      </c>
      <c r="X1268">
        <v>86</v>
      </c>
      <c r="Y1268" t="s">
        <v>128</v>
      </c>
      <c r="Z1268">
        <v>233</v>
      </c>
    </row>
    <row r="1269" spans="1:26" x14ac:dyDescent="0.3">
      <c r="A1269">
        <v>1268</v>
      </c>
      <c r="B1269" t="s">
        <v>2823</v>
      </c>
      <c r="C1269" t="s">
        <v>49</v>
      </c>
      <c r="D1269" t="s">
        <v>35</v>
      </c>
      <c r="E1269" t="s">
        <v>6344</v>
      </c>
      <c r="F1269" t="s">
        <v>6382</v>
      </c>
      <c r="G1269" t="s">
        <v>6379</v>
      </c>
      <c r="H1269" t="s">
        <v>6389</v>
      </c>
      <c r="I1269" t="s">
        <v>6384</v>
      </c>
      <c r="J1269">
        <f>AVERAGE(ai_job_market[[#This Row],[min_salary]],ai_job_market[[#This Row],[max_salary]])</f>
        <v>173635.5</v>
      </c>
      <c r="K1269" t="s">
        <v>6387</v>
      </c>
      <c r="L1269" t="s">
        <v>22</v>
      </c>
      <c r="M1269" t="s">
        <v>42</v>
      </c>
      <c r="N1269" t="s">
        <v>5684</v>
      </c>
      <c r="O1269" t="s">
        <v>4307</v>
      </c>
      <c r="P1269">
        <v>129628</v>
      </c>
      <c r="Q1269">
        <v>217643</v>
      </c>
      <c r="R1269" s="2">
        <v>45645</v>
      </c>
      <c r="S1269" t="s">
        <v>14</v>
      </c>
      <c r="T1269" t="s">
        <v>52</v>
      </c>
      <c r="U1269" t="s">
        <v>6384</v>
      </c>
      <c r="V1269" t="s">
        <v>6389</v>
      </c>
      <c r="W1269" t="s">
        <v>6344</v>
      </c>
      <c r="X1269">
        <v>104</v>
      </c>
      <c r="Y1269" t="s">
        <v>52</v>
      </c>
      <c r="Z1269">
        <v>238</v>
      </c>
    </row>
    <row r="1270" spans="1:26" x14ac:dyDescent="0.3">
      <c r="A1270">
        <v>1269</v>
      </c>
      <c r="B1270" t="s">
        <v>2826</v>
      </c>
      <c r="C1270" t="s">
        <v>49</v>
      </c>
      <c r="D1270" t="s">
        <v>35</v>
      </c>
      <c r="E1270" t="s">
        <v>90</v>
      </c>
      <c r="F1270" t="s">
        <v>6379</v>
      </c>
      <c r="G1270" t="s">
        <v>6395</v>
      </c>
      <c r="H1270" t="s">
        <v>6380</v>
      </c>
      <c r="I1270" t="s">
        <v>6381</v>
      </c>
      <c r="J1270">
        <f>AVERAGE(ai_job_market[[#This Row],[min_salary]],ai_job_market[[#This Row],[max_salary]])</f>
        <v>135069.5</v>
      </c>
      <c r="K1270" t="s">
        <v>6384</v>
      </c>
      <c r="L1270" t="s">
        <v>22</v>
      </c>
      <c r="M1270" t="s">
        <v>15</v>
      </c>
      <c r="N1270" t="s">
        <v>5685</v>
      </c>
      <c r="O1270" t="s">
        <v>4299</v>
      </c>
      <c r="P1270">
        <v>98960</v>
      </c>
      <c r="Q1270">
        <v>171179</v>
      </c>
      <c r="R1270" s="2">
        <v>45706</v>
      </c>
      <c r="S1270" t="s">
        <v>16</v>
      </c>
      <c r="T1270" t="s">
        <v>101</v>
      </c>
      <c r="U1270" t="s">
        <v>6379</v>
      </c>
      <c r="W1270" t="s">
        <v>90</v>
      </c>
      <c r="X1270">
        <v>80</v>
      </c>
      <c r="Y1270" t="s">
        <v>101</v>
      </c>
      <c r="Z1270">
        <v>255</v>
      </c>
    </row>
    <row r="1271" spans="1:26" x14ac:dyDescent="0.3">
      <c r="A1271">
        <v>1270</v>
      </c>
      <c r="B1271" t="s">
        <v>2828</v>
      </c>
      <c r="C1271" t="s">
        <v>19</v>
      </c>
      <c r="D1271" t="s">
        <v>25</v>
      </c>
      <c r="E1271" t="s">
        <v>101</v>
      </c>
      <c r="F1271" t="s">
        <v>6387</v>
      </c>
      <c r="G1271" t="s">
        <v>6395</v>
      </c>
      <c r="J1271">
        <f>AVERAGE(ai_job_market[[#This Row],[min_salary]],ai_job_market[[#This Row],[max_salary]])</f>
        <v>146054.5</v>
      </c>
      <c r="K1271"/>
      <c r="L1271" t="s">
        <v>14</v>
      </c>
      <c r="M1271" t="s">
        <v>15</v>
      </c>
      <c r="N1271" t="s">
        <v>5686</v>
      </c>
      <c r="O1271" t="s">
        <v>4309</v>
      </c>
      <c r="P1271">
        <v>98270</v>
      </c>
      <c r="Q1271">
        <v>193839</v>
      </c>
      <c r="R1271" s="2">
        <v>45448</v>
      </c>
      <c r="S1271" t="s">
        <v>16</v>
      </c>
      <c r="T1271" t="s">
        <v>128</v>
      </c>
      <c r="U1271" t="s">
        <v>6379</v>
      </c>
      <c r="V1271" t="s">
        <v>6388</v>
      </c>
      <c r="W1271" t="s">
        <v>101</v>
      </c>
      <c r="X1271">
        <v>76</v>
      </c>
      <c r="Y1271" t="s">
        <v>128</v>
      </c>
      <c r="Z1271">
        <v>233</v>
      </c>
    </row>
    <row r="1272" spans="1:26" x14ac:dyDescent="0.3">
      <c r="A1272">
        <v>1271</v>
      </c>
      <c r="B1272" t="s">
        <v>2830</v>
      </c>
      <c r="C1272" t="s">
        <v>49</v>
      </c>
      <c r="D1272" t="s">
        <v>35</v>
      </c>
      <c r="E1272" t="s">
        <v>6349</v>
      </c>
      <c r="F1272" t="s">
        <v>6394</v>
      </c>
      <c r="G1272" t="s">
        <v>6374</v>
      </c>
      <c r="H1272" t="s">
        <v>6376</v>
      </c>
      <c r="I1272" t="s">
        <v>6391</v>
      </c>
      <c r="J1272">
        <f>AVERAGE(ai_job_market[[#This Row],[min_salary]],ai_job_market[[#This Row],[max_salary]])</f>
        <v>159588.5</v>
      </c>
      <c r="K1272" t="s">
        <v>6382</v>
      </c>
      <c r="L1272" t="s">
        <v>14</v>
      </c>
      <c r="M1272" t="s">
        <v>51</v>
      </c>
      <c r="N1272" t="s">
        <v>5687</v>
      </c>
      <c r="O1272" t="s">
        <v>5113</v>
      </c>
      <c r="P1272">
        <v>112886</v>
      </c>
      <c r="Q1272">
        <v>206291</v>
      </c>
      <c r="R1272" s="2">
        <v>45744</v>
      </c>
      <c r="S1272" t="s">
        <v>16</v>
      </c>
      <c r="T1272" t="s">
        <v>128</v>
      </c>
      <c r="U1272" t="s">
        <v>6388</v>
      </c>
      <c r="W1272" t="s">
        <v>6349</v>
      </c>
      <c r="X1272">
        <v>96</v>
      </c>
      <c r="Y1272" t="s">
        <v>128</v>
      </c>
      <c r="Z1272">
        <v>233</v>
      </c>
    </row>
    <row r="1273" spans="1:26" x14ac:dyDescent="0.3">
      <c r="A1273">
        <v>1272</v>
      </c>
      <c r="B1273" t="s">
        <v>2832</v>
      </c>
      <c r="C1273" t="s">
        <v>19</v>
      </c>
      <c r="D1273" t="s">
        <v>67</v>
      </c>
      <c r="E1273" t="s">
        <v>70</v>
      </c>
      <c r="F1273" t="s">
        <v>6377</v>
      </c>
      <c r="G1273" t="s">
        <v>6394</v>
      </c>
      <c r="H1273" t="s">
        <v>6397</v>
      </c>
      <c r="I1273" t="s">
        <v>6387</v>
      </c>
      <c r="J1273">
        <f>AVERAGE(ai_job_market[[#This Row],[min_salary]],ai_job_market[[#This Row],[max_salary]])</f>
        <v>111217.5</v>
      </c>
      <c r="K1273"/>
      <c r="L1273" t="s">
        <v>27</v>
      </c>
      <c r="M1273" t="s">
        <v>37</v>
      </c>
      <c r="N1273" t="s">
        <v>5688</v>
      </c>
      <c r="O1273" t="s">
        <v>4424</v>
      </c>
      <c r="P1273">
        <v>74842</v>
      </c>
      <c r="Q1273">
        <v>147593</v>
      </c>
      <c r="R1273" s="2">
        <v>45765</v>
      </c>
      <c r="S1273" t="s">
        <v>69</v>
      </c>
      <c r="T1273" t="s">
        <v>70</v>
      </c>
      <c r="W1273" t="s">
        <v>70</v>
      </c>
      <c r="X1273">
        <v>100</v>
      </c>
      <c r="Y1273" t="s">
        <v>70</v>
      </c>
      <c r="Z1273">
        <v>268</v>
      </c>
    </row>
    <row r="1274" spans="1:26" x14ac:dyDescent="0.3">
      <c r="A1274">
        <v>1273</v>
      </c>
      <c r="B1274" t="s">
        <v>2834</v>
      </c>
      <c r="C1274" t="s">
        <v>11</v>
      </c>
      <c r="D1274" t="s">
        <v>135</v>
      </c>
      <c r="E1274" t="s">
        <v>77</v>
      </c>
      <c r="F1274" t="s">
        <v>6392</v>
      </c>
      <c r="G1274" t="s">
        <v>6395</v>
      </c>
      <c r="H1274" t="s">
        <v>6374</v>
      </c>
      <c r="I1274" t="s">
        <v>6375</v>
      </c>
      <c r="J1274">
        <f>AVERAGE(ai_job_market[[#This Row],[min_salary]],ai_job_market[[#This Row],[max_salary]])</f>
        <v>168738.5</v>
      </c>
      <c r="K1274"/>
      <c r="L1274" t="s">
        <v>27</v>
      </c>
      <c r="M1274" t="s">
        <v>15</v>
      </c>
      <c r="N1274" t="s">
        <v>5689</v>
      </c>
      <c r="O1274" t="s">
        <v>4655</v>
      </c>
      <c r="P1274">
        <v>132532</v>
      </c>
      <c r="Q1274">
        <v>204945</v>
      </c>
      <c r="R1274" s="2">
        <v>45310</v>
      </c>
      <c r="S1274" t="s">
        <v>69</v>
      </c>
      <c r="T1274" t="s">
        <v>90</v>
      </c>
      <c r="W1274" t="s">
        <v>77</v>
      </c>
      <c r="X1274">
        <v>111</v>
      </c>
      <c r="Y1274" t="s">
        <v>90</v>
      </c>
      <c r="Z1274">
        <v>259</v>
      </c>
    </row>
    <row r="1275" spans="1:26" x14ac:dyDescent="0.3">
      <c r="A1275">
        <v>1274</v>
      </c>
      <c r="B1275" t="s">
        <v>2836</v>
      </c>
      <c r="C1275" t="s">
        <v>49</v>
      </c>
      <c r="D1275" t="s">
        <v>12</v>
      </c>
      <c r="E1275" t="s">
        <v>6357</v>
      </c>
      <c r="F1275" t="s">
        <v>6389</v>
      </c>
      <c r="G1275" t="s">
        <v>6390</v>
      </c>
      <c r="H1275" t="s">
        <v>6384</v>
      </c>
      <c r="I1275" t="s">
        <v>6394</v>
      </c>
      <c r="J1275">
        <f>AVERAGE(ai_job_market[[#This Row],[min_salary]],ai_job_market[[#This Row],[max_salary]])</f>
        <v>124184</v>
      </c>
      <c r="K1275" t="s">
        <v>6374</v>
      </c>
      <c r="L1275" t="s">
        <v>27</v>
      </c>
      <c r="M1275" t="s">
        <v>37</v>
      </c>
      <c r="N1275" t="s">
        <v>5690</v>
      </c>
      <c r="O1275" t="s">
        <v>4283</v>
      </c>
      <c r="P1275">
        <v>85034</v>
      </c>
      <c r="Q1275">
        <v>163334</v>
      </c>
      <c r="R1275" s="2">
        <v>45905</v>
      </c>
      <c r="S1275" t="s">
        <v>69</v>
      </c>
      <c r="T1275" t="s">
        <v>157</v>
      </c>
      <c r="U1275" t="s">
        <v>6389</v>
      </c>
      <c r="W1275" t="s">
        <v>6357</v>
      </c>
      <c r="X1275">
        <v>88</v>
      </c>
      <c r="Y1275" t="s">
        <v>157</v>
      </c>
      <c r="Z1275">
        <v>247</v>
      </c>
    </row>
    <row r="1276" spans="1:26" x14ac:dyDescent="0.3">
      <c r="A1276">
        <v>1275</v>
      </c>
      <c r="B1276" t="s">
        <v>1730</v>
      </c>
      <c r="C1276" t="s">
        <v>11</v>
      </c>
      <c r="D1276" t="s">
        <v>135</v>
      </c>
      <c r="E1276" t="s">
        <v>6352</v>
      </c>
      <c r="F1276" t="s">
        <v>6394</v>
      </c>
      <c r="G1276" t="s">
        <v>6384</v>
      </c>
      <c r="H1276" t="s">
        <v>6393</v>
      </c>
      <c r="I1276" t="s">
        <v>6380</v>
      </c>
      <c r="J1276">
        <f>AVERAGE(ai_job_market[[#This Row],[min_salary]],ai_job_market[[#This Row],[max_salary]])</f>
        <v>108481</v>
      </c>
      <c r="K1276" t="s">
        <v>6395</v>
      </c>
      <c r="L1276" t="s">
        <v>22</v>
      </c>
      <c r="M1276" t="s">
        <v>15</v>
      </c>
      <c r="N1276" t="s">
        <v>5691</v>
      </c>
      <c r="O1276" t="s">
        <v>4399</v>
      </c>
      <c r="P1276">
        <v>69810</v>
      </c>
      <c r="Q1276">
        <v>147152</v>
      </c>
      <c r="R1276" s="2">
        <v>45293</v>
      </c>
      <c r="S1276" t="s">
        <v>14</v>
      </c>
      <c r="T1276" t="s">
        <v>128</v>
      </c>
      <c r="U1276" t="s">
        <v>6378</v>
      </c>
      <c r="V1276" t="s">
        <v>6376</v>
      </c>
      <c r="W1276" t="s">
        <v>6352</v>
      </c>
      <c r="X1276">
        <v>97</v>
      </c>
      <c r="Y1276" t="s">
        <v>128</v>
      </c>
      <c r="Z1276">
        <v>233</v>
      </c>
    </row>
    <row r="1277" spans="1:26" x14ac:dyDescent="0.3">
      <c r="A1277">
        <v>1276</v>
      </c>
      <c r="B1277" t="s">
        <v>2840</v>
      </c>
      <c r="C1277" t="s">
        <v>45</v>
      </c>
      <c r="D1277" t="s">
        <v>30</v>
      </c>
      <c r="E1277" t="s">
        <v>6352</v>
      </c>
      <c r="F1277" t="s">
        <v>6392</v>
      </c>
      <c r="G1277" t="s">
        <v>6385</v>
      </c>
      <c r="H1277" t="s">
        <v>6377</v>
      </c>
      <c r="I1277" t="s">
        <v>6393</v>
      </c>
      <c r="J1277">
        <f>AVERAGE(ai_job_market[[#This Row],[min_salary]],ai_job_market[[#This Row],[max_salary]])</f>
        <v>134423</v>
      </c>
      <c r="K1277"/>
      <c r="L1277" t="s">
        <v>22</v>
      </c>
      <c r="M1277" t="s">
        <v>37</v>
      </c>
      <c r="N1277" t="s">
        <v>5692</v>
      </c>
      <c r="O1277" t="s">
        <v>4305</v>
      </c>
      <c r="P1277">
        <v>123414</v>
      </c>
      <c r="Q1277">
        <v>145432</v>
      </c>
      <c r="R1277" s="2">
        <v>45688</v>
      </c>
      <c r="S1277" t="s">
        <v>69</v>
      </c>
      <c r="T1277" t="s">
        <v>77</v>
      </c>
      <c r="U1277" t="s">
        <v>6384</v>
      </c>
      <c r="W1277" t="s">
        <v>6352</v>
      </c>
      <c r="X1277">
        <v>97</v>
      </c>
      <c r="Y1277" t="s">
        <v>77</v>
      </c>
      <c r="Z1277">
        <v>251</v>
      </c>
    </row>
    <row r="1278" spans="1:26" x14ac:dyDescent="0.3">
      <c r="A1278">
        <v>1277</v>
      </c>
      <c r="B1278" t="s">
        <v>2842</v>
      </c>
      <c r="C1278" t="s">
        <v>45</v>
      </c>
      <c r="D1278" t="s">
        <v>135</v>
      </c>
      <c r="E1278" t="s">
        <v>6359</v>
      </c>
      <c r="F1278" t="s">
        <v>6384</v>
      </c>
      <c r="G1278" t="s">
        <v>6392</v>
      </c>
      <c r="H1278" t="s">
        <v>6396</v>
      </c>
      <c r="I1278" t="s">
        <v>6377</v>
      </c>
      <c r="J1278">
        <f>AVERAGE(ai_job_market[[#This Row],[min_salary]],ai_job_market[[#This Row],[max_salary]])</f>
        <v>176845.5</v>
      </c>
      <c r="K1278"/>
      <c r="L1278" t="s">
        <v>22</v>
      </c>
      <c r="M1278" t="s">
        <v>42</v>
      </c>
      <c r="N1278" t="s">
        <v>5209</v>
      </c>
      <c r="O1278" t="s">
        <v>4710</v>
      </c>
      <c r="P1278">
        <v>142118</v>
      </c>
      <c r="Q1278">
        <v>211573</v>
      </c>
      <c r="R1278" s="2">
        <v>45698</v>
      </c>
      <c r="S1278" t="s">
        <v>14</v>
      </c>
      <c r="T1278" t="s">
        <v>101</v>
      </c>
      <c r="U1278" t="s">
        <v>6379</v>
      </c>
      <c r="V1278" t="s">
        <v>6378</v>
      </c>
      <c r="W1278" t="s">
        <v>6359</v>
      </c>
      <c r="X1278">
        <v>104</v>
      </c>
      <c r="Y1278" t="s">
        <v>101</v>
      </c>
      <c r="Z1278">
        <v>255</v>
      </c>
    </row>
    <row r="1279" spans="1:26" x14ac:dyDescent="0.3">
      <c r="A1279">
        <v>1278</v>
      </c>
      <c r="B1279" t="s">
        <v>2844</v>
      </c>
      <c r="C1279" t="s">
        <v>72</v>
      </c>
      <c r="D1279" t="s">
        <v>67</v>
      </c>
      <c r="E1279" t="s">
        <v>80</v>
      </c>
      <c r="F1279" t="s">
        <v>6393</v>
      </c>
      <c r="G1279" t="s">
        <v>6389</v>
      </c>
      <c r="H1279" t="s">
        <v>6377</v>
      </c>
      <c r="I1279" t="s">
        <v>6375</v>
      </c>
      <c r="J1279">
        <f>AVERAGE(ai_job_market[[#This Row],[min_salary]],ai_job_market[[#This Row],[max_salary]])</f>
        <v>137878.5</v>
      </c>
      <c r="K1279"/>
      <c r="L1279" t="s">
        <v>22</v>
      </c>
      <c r="M1279" t="s">
        <v>51</v>
      </c>
      <c r="N1279" t="s">
        <v>5693</v>
      </c>
      <c r="O1279" t="s">
        <v>4323</v>
      </c>
      <c r="P1279">
        <v>93048</v>
      </c>
      <c r="Q1279">
        <v>182709</v>
      </c>
      <c r="R1279" s="2">
        <v>45545</v>
      </c>
      <c r="S1279" t="s">
        <v>16</v>
      </c>
      <c r="T1279" t="s">
        <v>77</v>
      </c>
      <c r="U1279" t="s">
        <v>6384</v>
      </c>
      <c r="W1279" t="s">
        <v>80</v>
      </c>
      <c r="X1279">
        <v>95</v>
      </c>
      <c r="Y1279" t="s">
        <v>77</v>
      </c>
      <c r="Z1279">
        <v>251</v>
      </c>
    </row>
    <row r="1280" spans="1:26" x14ac:dyDescent="0.3">
      <c r="A1280">
        <v>1279</v>
      </c>
      <c r="B1280" t="s">
        <v>2846</v>
      </c>
      <c r="C1280" t="s">
        <v>72</v>
      </c>
      <c r="D1280" t="s">
        <v>25</v>
      </c>
      <c r="E1280" t="s">
        <v>77</v>
      </c>
      <c r="F1280" t="s">
        <v>6376</v>
      </c>
      <c r="G1280" t="s">
        <v>6379</v>
      </c>
      <c r="J1280">
        <f>AVERAGE(ai_job_market[[#This Row],[min_salary]],ai_job_market[[#This Row],[max_salary]])</f>
        <v>167911.5</v>
      </c>
      <c r="K1280"/>
      <c r="L1280" t="s">
        <v>27</v>
      </c>
      <c r="M1280" t="s">
        <v>15</v>
      </c>
      <c r="N1280" t="s">
        <v>5694</v>
      </c>
      <c r="O1280" t="s">
        <v>4637</v>
      </c>
      <c r="P1280">
        <v>143586</v>
      </c>
      <c r="Q1280">
        <v>192237</v>
      </c>
      <c r="R1280" s="2">
        <v>45588</v>
      </c>
      <c r="S1280" t="s">
        <v>69</v>
      </c>
      <c r="T1280" t="s">
        <v>77</v>
      </c>
      <c r="U1280" t="s">
        <v>6389</v>
      </c>
      <c r="W1280" t="s">
        <v>77</v>
      </c>
      <c r="X1280">
        <v>111</v>
      </c>
      <c r="Y1280" t="s">
        <v>77</v>
      </c>
      <c r="Z1280">
        <v>251</v>
      </c>
    </row>
    <row r="1281" spans="1:26" x14ac:dyDescent="0.3">
      <c r="A1281">
        <v>1280</v>
      </c>
      <c r="B1281" t="s">
        <v>2016</v>
      </c>
      <c r="C1281" t="s">
        <v>45</v>
      </c>
      <c r="D1281" t="s">
        <v>67</v>
      </c>
      <c r="E1281" t="s">
        <v>6353</v>
      </c>
      <c r="F1281" t="s">
        <v>6378</v>
      </c>
      <c r="G1281" t="s">
        <v>6384</v>
      </c>
      <c r="J1281">
        <f>AVERAGE(ai_job_market[[#This Row],[min_salary]],ai_job_market[[#This Row],[max_salary]])</f>
        <v>162945.5</v>
      </c>
      <c r="K1281"/>
      <c r="L1281" t="s">
        <v>27</v>
      </c>
      <c r="M1281" t="s">
        <v>51</v>
      </c>
      <c r="N1281" t="s">
        <v>5695</v>
      </c>
      <c r="O1281" t="s">
        <v>4578</v>
      </c>
      <c r="P1281">
        <v>130633</v>
      </c>
      <c r="Q1281">
        <v>195258</v>
      </c>
      <c r="R1281" s="2">
        <v>45708</v>
      </c>
      <c r="S1281" t="s">
        <v>14</v>
      </c>
      <c r="T1281" t="s">
        <v>101</v>
      </c>
      <c r="W1281" t="s">
        <v>6353</v>
      </c>
      <c r="X1281">
        <v>86</v>
      </c>
      <c r="Y1281" t="s">
        <v>101</v>
      </c>
      <c r="Z1281">
        <v>255</v>
      </c>
    </row>
    <row r="1282" spans="1:26" x14ac:dyDescent="0.3">
      <c r="A1282">
        <v>1281</v>
      </c>
      <c r="B1282" t="s">
        <v>2848</v>
      </c>
      <c r="C1282" t="s">
        <v>40</v>
      </c>
      <c r="D1282" t="s">
        <v>54</v>
      </c>
      <c r="E1282" t="s">
        <v>6345</v>
      </c>
      <c r="F1282" t="s">
        <v>6387</v>
      </c>
      <c r="G1282" t="s">
        <v>6382</v>
      </c>
      <c r="J1282">
        <f>AVERAGE(ai_job_market[[#This Row],[min_salary]],ai_job_market[[#This Row],[max_salary]])</f>
        <v>57327</v>
      </c>
      <c r="K1282"/>
      <c r="L1282" t="s">
        <v>27</v>
      </c>
      <c r="M1282" t="s">
        <v>42</v>
      </c>
      <c r="N1282" t="s">
        <v>5696</v>
      </c>
      <c r="O1282" t="s">
        <v>4429</v>
      </c>
      <c r="P1282">
        <v>47496</v>
      </c>
      <c r="Q1282">
        <v>67158</v>
      </c>
      <c r="R1282" s="2">
        <v>45442</v>
      </c>
      <c r="S1282" t="s">
        <v>16</v>
      </c>
      <c r="T1282" t="s">
        <v>77</v>
      </c>
      <c r="U1282" t="s">
        <v>6375</v>
      </c>
      <c r="W1282" t="s">
        <v>6345</v>
      </c>
      <c r="X1282">
        <v>101</v>
      </c>
      <c r="Y1282" t="s">
        <v>77</v>
      </c>
      <c r="Z1282">
        <v>251</v>
      </c>
    </row>
    <row r="1283" spans="1:26" x14ac:dyDescent="0.3">
      <c r="A1283">
        <v>1282</v>
      </c>
      <c r="B1283" t="s">
        <v>250</v>
      </c>
      <c r="C1283" t="s">
        <v>34</v>
      </c>
      <c r="D1283" t="s">
        <v>25</v>
      </c>
      <c r="E1283" t="s">
        <v>128</v>
      </c>
      <c r="F1283" t="s">
        <v>6380</v>
      </c>
      <c r="G1283" t="s">
        <v>6384</v>
      </c>
      <c r="H1283" t="s">
        <v>6378</v>
      </c>
      <c r="I1283" t="s">
        <v>6390</v>
      </c>
      <c r="J1283">
        <f>AVERAGE(ai_job_market[[#This Row],[min_salary]],ai_job_market[[#This Row],[max_salary]])</f>
        <v>138946.5</v>
      </c>
      <c r="K1283"/>
      <c r="L1283" t="s">
        <v>22</v>
      </c>
      <c r="M1283" t="s">
        <v>15</v>
      </c>
      <c r="N1283" t="s">
        <v>5496</v>
      </c>
      <c r="O1283" t="s">
        <v>4283</v>
      </c>
      <c r="P1283">
        <v>98888</v>
      </c>
      <c r="Q1283">
        <v>179005</v>
      </c>
      <c r="R1283" s="2">
        <v>45218</v>
      </c>
      <c r="S1283" t="s">
        <v>69</v>
      </c>
      <c r="T1283" t="s">
        <v>101</v>
      </c>
      <c r="W1283" t="s">
        <v>128</v>
      </c>
      <c r="X1283">
        <v>92</v>
      </c>
      <c r="Y1283" t="s">
        <v>101</v>
      </c>
      <c r="Z1283">
        <v>255</v>
      </c>
    </row>
    <row r="1284" spans="1:26" x14ac:dyDescent="0.3">
      <c r="A1284">
        <v>1283</v>
      </c>
      <c r="B1284" t="s">
        <v>2851</v>
      </c>
      <c r="C1284" t="s">
        <v>45</v>
      </c>
      <c r="D1284" t="s">
        <v>12</v>
      </c>
      <c r="E1284" t="s">
        <v>6359</v>
      </c>
      <c r="F1284" t="s">
        <v>6393</v>
      </c>
      <c r="G1284" t="s">
        <v>6380</v>
      </c>
      <c r="H1284" t="s">
        <v>6375</v>
      </c>
      <c r="J1284" s="6">
        <f>AVERAGE(ai_job_market[[#This Row],[min_salary]],ai_job_market[[#This Row],[max_salary]])</f>
        <v>85102</v>
      </c>
      <c r="K1284"/>
      <c r="L1284" t="s">
        <v>14</v>
      </c>
      <c r="M1284" t="s">
        <v>42</v>
      </c>
      <c r="N1284" t="s">
        <v>5697</v>
      </c>
      <c r="O1284" t="s">
        <v>4357</v>
      </c>
      <c r="P1284" s="5">
        <v>68341</v>
      </c>
      <c r="Q1284" s="5">
        <v>101863</v>
      </c>
      <c r="R1284" s="2">
        <v>45667</v>
      </c>
      <c r="S1284" t="s">
        <v>69</v>
      </c>
      <c r="T1284" t="s">
        <v>52</v>
      </c>
      <c r="U1284" t="s">
        <v>6375</v>
      </c>
      <c r="W1284" t="s">
        <v>6359</v>
      </c>
      <c r="X1284">
        <v>104</v>
      </c>
      <c r="Y1284" t="s">
        <v>52</v>
      </c>
      <c r="Z1284">
        <v>238</v>
      </c>
    </row>
    <row r="1285" spans="1:26" x14ac:dyDescent="0.3">
      <c r="A1285">
        <v>1284</v>
      </c>
      <c r="B1285" t="s">
        <v>2853</v>
      </c>
      <c r="C1285" t="s">
        <v>72</v>
      </c>
      <c r="D1285" t="s">
        <v>67</v>
      </c>
      <c r="E1285" t="s">
        <v>6359</v>
      </c>
      <c r="F1285" t="s">
        <v>6384</v>
      </c>
      <c r="G1285" t="s">
        <v>6382</v>
      </c>
      <c r="H1285" t="s">
        <v>6390</v>
      </c>
      <c r="I1285" t="s">
        <v>6397</v>
      </c>
      <c r="J1285">
        <f>AVERAGE(ai_job_market[[#This Row],[min_salary]],ai_job_market[[#This Row],[max_salary]])</f>
        <v>72337.5</v>
      </c>
      <c r="K1285" t="s">
        <v>6375</v>
      </c>
      <c r="L1285" t="s">
        <v>14</v>
      </c>
      <c r="M1285" t="s">
        <v>51</v>
      </c>
      <c r="N1285" t="s">
        <v>5698</v>
      </c>
      <c r="O1285" t="s">
        <v>5030</v>
      </c>
      <c r="P1285">
        <v>53719</v>
      </c>
      <c r="Q1285">
        <v>90956</v>
      </c>
      <c r="R1285" s="2">
        <v>45379</v>
      </c>
      <c r="S1285" t="s">
        <v>69</v>
      </c>
      <c r="T1285" t="s">
        <v>101</v>
      </c>
      <c r="W1285" t="s">
        <v>6359</v>
      </c>
      <c r="X1285">
        <v>104</v>
      </c>
      <c r="Y1285" t="s">
        <v>101</v>
      </c>
      <c r="Z1285">
        <v>255</v>
      </c>
    </row>
    <row r="1286" spans="1:26" x14ac:dyDescent="0.3">
      <c r="A1286">
        <v>1285</v>
      </c>
      <c r="B1286" t="s">
        <v>2855</v>
      </c>
      <c r="C1286" t="s">
        <v>11</v>
      </c>
      <c r="D1286" t="s">
        <v>35</v>
      </c>
      <c r="E1286" t="s">
        <v>6348</v>
      </c>
      <c r="F1286" t="s">
        <v>6374</v>
      </c>
      <c r="G1286" t="s">
        <v>6378</v>
      </c>
      <c r="H1286" t="s">
        <v>6395</v>
      </c>
      <c r="J1286">
        <f>AVERAGE(ai_job_market[[#This Row],[min_salary]],ai_job_market[[#This Row],[max_salary]])</f>
        <v>111299.5</v>
      </c>
      <c r="K1286"/>
      <c r="L1286" t="s">
        <v>22</v>
      </c>
      <c r="M1286" t="s">
        <v>37</v>
      </c>
      <c r="N1286" t="s">
        <v>5699</v>
      </c>
      <c r="O1286" t="s">
        <v>5170</v>
      </c>
      <c r="P1286">
        <v>85034</v>
      </c>
      <c r="Q1286">
        <v>137565</v>
      </c>
      <c r="R1286" s="2">
        <v>45328</v>
      </c>
      <c r="S1286" t="s">
        <v>69</v>
      </c>
      <c r="T1286" t="s">
        <v>77</v>
      </c>
      <c r="W1286" t="s">
        <v>6348</v>
      </c>
      <c r="X1286">
        <v>78</v>
      </c>
      <c r="Y1286" t="s">
        <v>77</v>
      </c>
      <c r="Z1286">
        <v>251</v>
      </c>
    </row>
    <row r="1287" spans="1:26" x14ac:dyDescent="0.3">
      <c r="A1287">
        <v>1286</v>
      </c>
      <c r="B1287" t="s">
        <v>2857</v>
      </c>
      <c r="C1287" t="s">
        <v>45</v>
      </c>
      <c r="D1287" t="s">
        <v>54</v>
      </c>
      <c r="E1287" t="s">
        <v>6359</v>
      </c>
      <c r="F1287" t="s">
        <v>6384</v>
      </c>
      <c r="G1287" t="s">
        <v>6393</v>
      </c>
      <c r="H1287" t="s">
        <v>6381</v>
      </c>
      <c r="I1287" t="s">
        <v>6385</v>
      </c>
      <c r="J1287">
        <f>AVERAGE(ai_job_market[[#This Row],[min_salary]],ai_job_market[[#This Row],[max_salary]])</f>
        <v>126431.5</v>
      </c>
      <c r="K1287" t="s">
        <v>6379</v>
      </c>
      <c r="L1287" t="s">
        <v>22</v>
      </c>
      <c r="M1287" t="s">
        <v>42</v>
      </c>
      <c r="N1287" t="s">
        <v>5700</v>
      </c>
      <c r="O1287" t="s">
        <v>4786</v>
      </c>
      <c r="P1287">
        <v>78685</v>
      </c>
      <c r="Q1287">
        <v>174178</v>
      </c>
      <c r="R1287" s="2">
        <v>45742</v>
      </c>
      <c r="S1287" t="s">
        <v>69</v>
      </c>
      <c r="T1287" t="s">
        <v>157</v>
      </c>
      <c r="W1287" t="s">
        <v>6359</v>
      </c>
      <c r="X1287">
        <v>104</v>
      </c>
      <c r="Y1287" t="s">
        <v>157</v>
      </c>
      <c r="Z1287">
        <v>247</v>
      </c>
    </row>
    <row r="1288" spans="1:26" x14ac:dyDescent="0.3">
      <c r="A1288">
        <v>1287</v>
      </c>
      <c r="B1288" t="s">
        <v>2859</v>
      </c>
      <c r="C1288" t="s">
        <v>19</v>
      </c>
      <c r="D1288" t="s">
        <v>35</v>
      </c>
      <c r="E1288" t="s">
        <v>6353</v>
      </c>
      <c r="F1288" t="s">
        <v>6376</v>
      </c>
      <c r="G1288" t="s">
        <v>6379</v>
      </c>
      <c r="H1288" t="s">
        <v>6392</v>
      </c>
      <c r="J1288">
        <f>AVERAGE(ai_job_market[[#This Row],[min_salary]],ai_job_market[[#This Row],[max_salary]])</f>
        <v>136601</v>
      </c>
      <c r="K1288"/>
      <c r="L1288" t="s">
        <v>27</v>
      </c>
      <c r="M1288" t="s">
        <v>15</v>
      </c>
      <c r="N1288" t="s">
        <v>5701</v>
      </c>
      <c r="O1288" t="s">
        <v>4497</v>
      </c>
      <c r="P1288">
        <v>125195</v>
      </c>
      <c r="Q1288">
        <v>148007</v>
      </c>
      <c r="R1288" s="2">
        <v>45775</v>
      </c>
      <c r="S1288" t="s">
        <v>16</v>
      </c>
      <c r="T1288" t="s">
        <v>52</v>
      </c>
      <c r="U1288" t="s">
        <v>6384</v>
      </c>
      <c r="W1288" t="s">
        <v>6353</v>
      </c>
      <c r="X1288">
        <v>86</v>
      </c>
      <c r="Y1288" t="s">
        <v>52</v>
      </c>
      <c r="Z1288">
        <v>238</v>
      </c>
    </row>
    <row r="1289" spans="1:26" x14ac:dyDescent="0.3">
      <c r="A1289">
        <v>1288</v>
      </c>
      <c r="B1289" t="s">
        <v>2861</v>
      </c>
      <c r="C1289" t="s">
        <v>40</v>
      </c>
      <c r="D1289" t="s">
        <v>12</v>
      </c>
      <c r="E1289" t="s">
        <v>70</v>
      </c>
      <c r="F1289" t="s">
        <v>6385</v>
      </c>
      <c r="G1289" t="s">
        <v>6395</v>
      </c>
      <c r="J1289">
        <f>AVERAGE(ai_job_market[[#This Row],[min_salary]],ai_job_market[[#This Row],[max_salary]])</f>
        <v>86548</v>
      </c>
      <c r="K1289"/>
      <c r="L1289" t="s">
        <v>27</v>
      </c>
      <c r="M1289" t="s">
        <v>15</v>
      </c>
      <c r="N1289" t="s">
        <v>5702</v>
      </c>
      <c r="O1289" t="s">
        <v>4283</v>
      </c>
      <c r="P1289">
        <v>59356</v>
      </c>
      <c r="Q1289">
        <v>113740</v>
      </c>
      <c r="R1289" s="2">
        <v>45719</v>
      </c>
      <c r="S1289" t="s">
        <v>16</v>
      </c>
      <c r="T1289" t="s">
        <v>70</v>
      </c>
      <c r="W1289" t="s">
        <v>70</v>
      </c>
      <c r="X1289">
        <v>100</v>
      </c>
      <c r="Y1289" t="s">
        <v>70</v>
      </c>
      <c r="Z1289">
        <v>268</v>
      </c>
    </row>
    <row r="1290" spans="1:26" x14ac:dyDescent="0.3">
      <c r="A1290">
        <v>1289</v>
      </c>
      <c r="B1290" t="s">
        <v>2863</v>
      </c>
      <c r="C1290" t="s">
        <v>40</v>
      </c>
      <c r="D1290" t="s">
        <v>54</v>
      </c>
      <c r="E1290" t="s">
        <v>6344</v>
      </c>
      <c r="F1290" t="s">
        <v>6381</v>
      </c>
      <c r="G1290" t="s">
        <v>6392</v>
      </c>
      <c r="H1290" t="s">
        <v>6397</v>
      </c>
      <c r="J1290">
        <f>AVERAGE(ai_job_market[[#This Row],[min_salary]],ai_job_market[[#This Row],[max_salary]])</f>
        <v>117497</v>
      </c>
      <c r="K1290"/>
      <c r="L1290" t="s">
        <v>27</v>
      </c>
      <c r="M1290" t="s">
        <v>15</v>
      </c>
      <c r="N1290" t="s">
        <v>5703</v>
      </c>
      <c r="O1290" t="s">
        <v>4414</v>
      </c>
      <c r="P1290">
        <v>98434</v>
      </c>
      <c r="Q1290">
        <v>136560</v>
      </c>
      <c r="R1290" s="2">
        <v>45734</v>
      </c>
      <c r="S1290" t="s">
        <v>69</v>
      </c>
      <c r="T1290" t="s">
        <v>80</v>
      </c>
      <c r="W1290" t="s">
        <v>6344</v>
      </c>
      <c r="X1290">
        <v>104</v>
      </c>
      <c r="Y1290" t="s">
        <v>80</v>
      </c>
      <c r="Z1290">
        <v>249</v>
      </c>
    </row>
    <row r="1291" spans="1:26" x14ac:dyDescent="0.3">
      <c r="A1291">
        <v>1290</v>
      </c>
      <c r="B1291" t="s">
        <v>2865</v>
      </c>
      <c r="C1291" t="s">
        <v>19</v>
      </c>
      <c r="D1291" t="s">
        <v>54</v>
      </c>
      <c r="E1291" t="s">
        <v>6345</v>
      </c>
      <c r="F1291" t="s">
        <v>6376</v>
      </c>
      <c r="G1291" t="s">
        <v>6386</v>
      </c>
      <c r="H1291" t="s">
        <v>6392</v>
      </c>
      <c r="I1291" t="s">
        <v>6379</v>
      </c>
      <c r="J1291">
        <f>AVERAGE(ai_job_market[[#This Row],[min_salary]],ai_job_market[[#This Row],[max_salary]])</f>
        <v>141234.5</v>
      </c>
      <c r="K1291"/>
      <c r="L1291" t="s">
        <v>14</v>
      </c>
      <c r="M1291" t="s">
        <v>42</v>
      </c>
      <c r="N1291" t="s">
        <v>5704</v>
      </c>
      <c r="O1291" t="s">
        <v>4387</v>
      </c>
      <c r="P1291">
        <v>114993</v>
      </c>
      <c r="Q1291">
        <v>167476</v>
      </c>
      <c r="R1291" s="2">
        <v>45534</v>
      </c>
      <c r="S1291" t="s">
        <v>69</v>
      </c>
      <c r="T1291" t="s">
        <v>80</v>
      </c>
      <c r="W1291" t="s">
        <v>6345</v>
      </c>
      <c r="X1291">
        <v>101</v>
      </c>
      <c r="Y1291" t="s">
        <v>80</v>
      </c>
      <c r="Z1291">
        <v>249</v>
      </c>
    </row>
    <row r="1292" spans="1:26" x14ac:dyDescent="0.3">
      <c r="A1292">
        <v>1291</v>
      </c>
      <c r="B1292" t="s">
        <v>2618</v>
      </c>
      <c r="C1292" t="s">
        <v>34</v>
      </c>
      <c r="D1292" t="s">
        <v>35</v>
      </c>
      <c r="E1292" t="s">
        <v>6345</v>
      </c>
      <c r="F1292" t="s">
        <v>6382</v>
      </c>
      <c r="G1292" t="s">
        <v>6381</v>
      </c>
      <c r="H1292" t="s">
        <v>6387</v>
      </c>
      <c r="I1292" t="s">
        <v>6391</v>
      </c>
      <c r="J1292" s="6">
        <f>AVERAGE(ai_job_market[[#This Row],[min_salary]],ai_job_market[[#This Row],[max_salary]])</f>
        <v>75026</v>
      </c>
      <c r="K1292"/>
      <c r="L1292" t="s">
        <v>22</v>
      </c>
      <c r="M1292" t="s">
        <v>42</v>
      </c>
      <c r="N1292" t="s">
        <v>5705</v>
      </c>
      <c r="O1292" t="s">
        <v>4842</v>
      </c>
      <c r="P1292" s="5">
        <v>44859</v>
      </c>
      <c r="Q1292" s="5">
        <v>105193</v>
      </c>
      <c r="R1292" s="2">
        <v>45313</v>
      </c>
      <c r="S1292" t="s">
        <v>16</v>
      </c>
      <c r="T1292" t="s">
        <v>52</v>
      </c>
      <c r="W1292" t="s">
        <v>6345</v>
      </c>
      <c r="X1292">
        <v>101</v>
      </c>
      <c r="Y1292" t="s">
        <v>52</v>
      </c>
      <c r="Z1292">
        <v>238</v>
      </c>
    </row>
    <row r="1293" spans="1:26" x14ac:dyDescent="0.3">
      <c r="A1293">
        <v>1292</v>
      </c>
      <c r="B1293" t="s">
        <v>2868</v>
      </c>
      <c r="C1293" t="s">
        <v>11</v>
      </c>
      <c r="D1293" t="s">
        <v>135</v>
      </c>
      <c r="E1293" t="s">
        <v>6348</v>
      </c>
      <c r="F1293" t="s">
        <v>6377</v>
      </c>
      <c r="G1293" t="s">
        <v>6395</v>
      </c>
      <c r="H1293" t="s">
        <v>6393</v>
      </c>
      <c r="I1293" t="s">
        <v>6374</v>
      </c>
      <c r="J1293">
        <f>AVERAGE(ai_job_market[[#This Row],[min_salary]],ai_job_market[[#This Row],[max_salary]])</f>
        <v>140169</v>
      </c>
      <c r="K1293" t="s">
        <v>6380</v>
      </c>
      <c r="L1293" t="s">
        <v>22</v>
      </c>
      <c r="M1293" t="s">
        <v>51</v>
      </c>
      <c r="N1293" t="s">
        <v>5063</v>
      </c>
      <c r="O1293" t="s">
        <v>4929</v>
      </c>
      <c r="P1293">
        <v>112082</v>
      </c>
      <c r="Q1293">
        <v>168256</v>
      </c>
      <c r="R1293" s="2">
        <v>45653</v>
      </c>
      <c r="S1293" t="s">
        <v>69</v>
      </c>
      <c r="T1293" t="s">
        <v>101</v>
      </c>
      <c r="U1293" t="s">
        <v>6384</v>
      </c>
      <c r="W1293" t="s">
        <v>6348</v>
      </c>
      <c r="X1293">
        <v>78</v>
      </c>
      <c r="Y1293" t="s">
        <v>101</v>
      </c>
      <c r="Z1293">
        <v>255</v>
      </c>
    </row>
    <row r="1294" spans="1:26" x14ac:dyDescent="0.3">
      <c r="A1294">
        <v>1293</v>
      </c>
      <c r="B1294" t="s">
        <v>2870</v>
      </c>
      <c r="C1294" t="s">
        <v>49</v>
      </c>
      <c r="D1294" t="s">
        <v>12</v>
      </c>
      <c r="E1294" t="s">
        <v>128</v>
      </c>
      <c r="F1294" t="s">
        <v>6397</v>
      </c>
      <c r="G1294" t="s">
        <v>6386</v>
      </c>
      <c r="H1294" t="s">
        <v>6374</v>
      </c>
      <c r="I1294" t="s">
        <v>6378</v>
      </c>
      <c r="J1294">
        <f>AVERAGE(ai_job_market[[#This Row],[min_salary]],ai_job_market[[#This Row],[max_salary]])</f>
        <v>113679</v>
      </c>
      <c r="K1294" t="s">
        <v>6380</v>
      </c>
      <c r="L1294" t="s">
        <v>22</v>
      </c>
      <c r="M1294" t="s">
        <v>42</v>
      </c>
      <c r="N1294" t="s">
        <v>5706</v>
      </c>
      <c r="O1294" t="s">
        <v>4973</v>
      </c>
      <c r="P1294">
        <v>74410</v>
      </c>
      <c r="Q1294">
        <v>152948</v>
      </c>
      <c r="R1294" s="2">
        <v>45557</v>
      </c>
      <c r="S1294" t="s">
        <v>69</v>
      </c>
      <c r="T1294" t="s">
        <v>157</v>
      </c>
      <c r="U1294" t="s">
        <v>6375</v>
      </c>
      <c r="V1294" t="s">
        <v>6378</v>
      </c>
      <c r="W1294" t="s">
        <v>128</v>
      </c>
      <c r="X1294">
        <v>92</v>
      </c>
      <c r="Y1294" t="s">
        <v>157</v>
      </c>
      <c r="Z1294">
        <v>247</v>
      </c>
    </row>
    <row r="1295" spans="1:26" x14ac:dyDescent="0.3">
      <c r="A1295">
        <v>1294</v>
      </c>
      <c r="B1295" t="s">
        <v>584</v>
      </c>
      <c r="C1295" t="s">
        <v>72</v>
      </c>
      <c r="D1295" t="s">
        <v>25</v>
      </c>
      <c r="E1295" t="s">
        <v>101</v>
      </c>
      <c r="F1295" t="s">
        <v>6375</v>
      </c>
      <c r="G1295" t="s">
        <v>6397</v>
      </c>
      <c r="J1295">
        <f>AVERAGE(ai_job_market[[#This Row],[min_salary]],ai_job_market[[#This Row],[max_salary]])</f>
        <v>93975</v>
      </c>
      <c r="K1295"/>
      <c r="L1295" t="s">
        <v>27</v>
      </c>
      <c r="M1295" t="s">
        <v>37</v>
      </c>
      <c r="N1295" t="s">
        <v>5707</v>
      </c>
      <c r="O1295" t="s">
        <v>4794</v>
      </c>
      <c r="P1295">
        <v>86695</v>
      </c>
      <c r="Q1295">
        <v>101255</v>
      </c>
      <c r="R1295" s="2">
        <v>45470</v>
      </c>
      <c r="S1295" t="s">
        <v>14</v>
      </c>
      <c r="T1295" t="s">
        <v>101</v>
      </c>
      <c r="W1295" t="s">
        <v>101</v>
      </c>
      <c r="X1295">
        <v>76</v>
      </c>
      <c r="Y1295" t="s">
        <v>101</v>
      </c>
      <c r="Z1295">
        <v>255</v>
      </c>
    </row>
    <row r="1296" spans="1:26" x14ac:dyDescent="0.3">
      <c r="A1296">
        <v>1295</v>
      </c>
      <c r="B1296" t="s">
        <v>2873</v>
      </c>
      <c r="C1296" t="s">
        <v>72</v>
      </c>
      <c r="D1296" t="s">
        <v>35</v>
      </c>
      <c r="E1296" t="s">
        <v>70</v>
      </c>
      <c r="F1296" t="s">
        <v>6395</v>
      </c>
      <c r="G1296" t="s">
        <v>6397</v>
      </c>
      <c r="J1296">
        <f>AVERAGE(ai_job_market[[#This Row],[min_salary]],ai_job_market[[#This Row],[max_salary]])</f>
        <v>176690.5</v>
      </c>
      <c r="K1296"/>
      <c r="L1296" t="s">
        <v>14</v>
      </c>
      <c r="M1296" t="s">
        <v>51</v>
      </c>
      <c r="N1296" t="s">
        <v>5708</v>
      </c>
      <c r="O1296" t="s">
        <v>4587</v>
      </c>
      <c r="P1296">
        <v>133790</v>
      </c>
      <c r="Q1296">
        <v>219591</v>
      </c>
      <c r="R1296" s="2">
        <v>45849</v>
      </c>
      <c r="S1296" t="s">
        <v>69</v>
      </c>
      <c r="T1296" t="s">
        <v>90</v>
      </c>
      <c r="U1296" t="s">
        <v>6375</v>
      </c>
      <c r="W1296" t="s">
        <v>70</v>
      </c>
      <c r="X1296">
        <v>100</v>
      </c>
      <c r="Y1296" t="s">
        <v>90</v>
      </c>
      <c r="Z1296">
        <v>259</v>
      </c>
    </row>
    <row r="1297" spans="1:26" x14ac:dyDescent="0.3">
      <c r="A1297">
        <v>1296</v>
      </c>
      <c r="B1297" t="s">
        <v>2875</v>
      </c>
      <c r="C1297" t="s">
        <v>19</v>
      </c>
      <c r="D1297" t="s">
        <v>135</v>
      </c>
      <c r="E1297" t="s">
        <v>6344</v>
      </c>
      <c r="F1297" t="s">
        <v>6375</v>
      </c>
      <c r="G1297" t="s">
        <v>6396</v>
      </c>
      <c r="J1297">
        <f>AVERAGE(ai_job_market[[#This Row],[min_salary]],ai_job_market[[#This Row],[max_salary]])</f>
        <v>72408.5</v>
      </c>
      <c r="K1297"/>
      <c r="L1297" t="s">
        <v>14</v>
      </c>
      <c r="M1297" t="s">
        <v>42</v>
      </c>
      <c r="N1297" t="s">
        <v>5709</v>
      </c>
      <c r="O1297" t="s">
        <v>4355</v>
      </c>
      <c r="P1297">
        <v>52444</v>
      </c>
      <c r="Q1297">
        <v>92373</v>
      </c>
      <c r="R1297" s="2">
        <v>45225</v>
      </c>
      <c r="S1297" t="s">
        <v>16</v>
      </c>
      <c r="T1297" t="s">
        <v>157</v>
      </c>
      <c r="W1297" t="s">
        <v>6344</v>
      </c>
      <c r="X1297">
        <v>104</v>
      </c>
      <c r="Y1297" t="s">
        <v>157</v>
      </c>
      <c r="Z1297">
        <v>247</v>
      </c>
    </row>
    <row r="1298" spans="1:26" x14ac:dyDescent="0.3">
      <c r="A1298">
        <v>1297</v>
      </c>
      <c r="B1298" t="s">
        <v>2877</v>
      </c>
      <c r="C1298" t="s">
        <v>34</v>
      </c>
      <c r="D1298" t="s">
        <v>25</v>
      </c>
      <c r="E1298" t="s">
        <v>101</v>
      </c>
      <c r="F1298" t="s">
        <v>6375</v>
      </c>
      <c r="G1298" t="s">
        <v>6374</v>
      </c>
      <c r="H1298" t="s">
        <v>6392</v>
      </c>
      <c r="I1298" t="s">
        <v>6378</v>
      </c>
      <c r="J1298" s="6">
        <f>AVERAGE(ai_job_market[[#This Row],[min_salary]],ai_job_market[[#This Row],[max_salary]])</f>
        <v>155555</v>
      </c>
      <c r="K1298" t="s">
        <v>6389</v>
      </c>
      <c r="L1298" t="s">
        <v>14</v>
      </c>
      <c r="M1298" t="s">
        <v>51</v>
      </c>
      <c r="N1298" t="s">
        <v>5710</v>
      </c>
      <c r="O1298" t="s">
        <v>4506</v>
      </c>
      <c r="P1298" s="5">
        <v>123880</v>
      </c>
      <c r="Q1298" s="5">
        <v>187230</v>
      </c>
      <c r="R1298" s="2">
        <v>45802</v>
      </c>
      <c r="S1298" t="s">
        <v>14</v>
      </c>
      <c r="T1298" t="s">
        <v>90</v>
      </c>
      <c r="U1298" t="s">
        <v>6383</v>
      </c>
      <c r="W1298" t="s">
        <v>101</v>
      </c>
      <c r="X1298">
        <v>76</v>
      </c>
      <c r="Y1298" t="s">
        <v>90</v>
      </c>
      <c r="Z1298">
        <v>259</v>
      </c>
    </row>
    <row r="1299" spans="1:26" x14ac:dyDescent="0.3">
      <c r="A1299">
        <v>1298</v>
      </c>
      <c r="B1299" t="s">
        <v>2879</v>
      </c>
      <c r="C1299" t="s">
        <v>45</v>
      </c>
      <c r="D1299" t="s">
        <v>67</v>
      </c>
      <c r="E1299" t="s">
        <v>6354</v>
      </c>
      <c r="F1299" t="s">
        <v>6382</v>
      </c>
      <c r="G1299" t="s">
        <v>6376</v>
      </c>
      <c r="J1299">
        <f>AVERAGE(ai_job_market[[#This Row],[min_salary]],ai_job_market[[#This Row],[max_salary]])</f>
        <v>189034</v>
      </c>
      <c r="K1299"/>
      <c r="L1299" t="s">
        <v>14</v>
      </c>
      <c r="M1299" t="s">
        <v>15</v>
      </c>
      <c r="N1299" t="s">
        <v>5711</v>
      </c>
      <c r="O1299" t="s">
        <v>4433</v>
      </c>
      <c r="P1299">
        <v>146084</v>
      </c>
      <c r="Q1299">
        <v>231984</v>
      </c>
      <c r="R1299" s="2">
        <v>45576</v>
      </c>
      <c r="S1299" t="s">
        <v>16</v>
      </c>
      <c r="T1299" t="s">
        <v>90</v>
      </c>
      <c r="U1299" t="s">
        <v>6383</v>
      </c>
      <c r="W1299" t="s">
        <v>6354</v>
      </c>
      <c r="X1299">
        <v>75</v>
      </c>
      <c r="Y1299" t="s">
        <v>90</v>
      </c>
      <c r="Z1299">
        <v>259</v>
      </c>
    </row>
    <row r="1300" spans="1:26" x14ac:dyDescent="0.3">
      <c r="A1300">
        <v>1299</v>
      </c>
      <c r="B1300" t="s">
        <v>2881</v>
      </c>
      <c r="C1300" t="s">
        <v>11</v>
      </c>
      <c r="D1300" t="s">
        <v>20</v>
      </c>
      <c r="E1300" t="s">
        <v>6344</v>
      </c>
      <c r="F1300" t="s">
        <v>6375</v>
      </c>
      <c r="G1300" t="s">
        <v>6381</v>
      </c>
      <c r="H1300" t="s">
        <v>6384</v>
      </c>
      <c r="J1300">
        <f>AVERAGE(ai_job_market[[#This Row],[min_salary]],ai_job_market[[#This Row],[max_salary]])</f>
        <v>70497</v>
      </c>
      <c r="K1300"/>
      <c r="L1300" t="s">
        <v>27</v>
      </c>
      <c r="M1300" t="s">
        <v>37</v>
      </c>
      <c r="N1300" t="s">
        <v>5712</v>
      </c>
      <c r="O1300" t="s">
        <v>5109</v>
      </c>
      <c r="P1300">
        <v>56481</v>
      </c>
      <c r="Q1300">
        <v>84513</v>
      </c>
      <c r="R1300" s="2">
        <v>45793</v>
      </c>
      <c r="S1300" t="s">
        <v>14</v>
      </c>
      <c r="T1300" t="s">
        <v>90</v>
      </c>
      <c r="W1300" t="s">
        <v>6344</v>
      </c>
      <c r="X1300">
        <v>104</v>
      </c>
      <c r="Y1300" t="s">
        <v>90</v>
      </c>
      <c r="Z1300">
        <v>259</v>
      </c>
    </row>
    <row r="1301" spans="1:26" x14ac:dyDescent="0.3">
      <c r="A1301">
        <v>1300</v>
      </c>
      <c r="B1301" t="s">
        <v>2883</v>
      </c>
      <c r="C1301" t="s">
        <v>72</v>
      </c>
      <c r="D1301" t="s">
        <v>67</v>
      </c>
      <c r="E1301" t="s">
        <v>6359</v>
      </c>
      <c r="F1301" t="s">
        <v>6382</v>
      </c>
      <c r="G1301" t="s">
        <v>6391</v>
      </c>
      <c r="H1301" t="s">
        <v>6381</v>
      </c>
      <c r="I1301" t="s">
        <v>6385</v>
      </c>
      <c r="J1301">
        <f>AVERAGE(ai_job_market[[#This Row],[min_salary]],ai_job_market[[#This Row],[max_salary]])</f>
        <v>62971</v>
      </c>
      <c r="K1301"/>
      <c r="L1301" t="s">
        <v>22</v>
      </c>
      <c r="M1301" t="s">
        <v>15</v>
      </c>
      <c r="N1301" t="s">
        <v>4753</v>
      </c>
      <c r="O1301" t="s">
        <v>4301</v>
      </c>
      <c r="P1301">
        <v>57340</v>
      </c>
      <c r="Q1301">
        <v>68602</v>
      </c>
      <c r="R1301" s="2">
        <v>45481</v>
      </c>
      <c r="S1301" t="s">
        <v>69</v>
      </c>
      <c r="T1301" t="s">
        <v>80</v>
      </c>
      <c r="U1301" t="s">
        <v>6376</v>
      </c>
      <c r="W1301" t="s">
        <v>6359</v>
      </c>
      <c r="X1301">
        <v>104</v>
      </c>
      <c r="Y1301" t="s">
        <v>80</v>
      </c>
      <c r="Z1301">
        <v>249</v>
      </c>
    </row>
    <row r="1302" spans="1:26" x14ac:dyDescent="0.3">
      <c r="A1302">
        <v>1301</v>
      </c>
      <c r="B1302" t="s">
        <v>2446</v>
      </c>
      <c r="C1302" t="s">
        <v>34</v>
      </c>
      <c r="D1302" t="s">
        <v>67</v>
      </c>
      <c r="E1302" t="s">
        <v>77</v>
      </c>
      <c r="F1302" t="s">
        <v>6379</v>
      </c>
      <c r="G1302" t="s">
        <v>6397</v>
      </c>
      <c r="H1302" t="s">
        <v>6386</v>
      </c>
      <c r="I1302" t="s">
        <v>6387</v>
      </c>
      <c r="J1302">
        <f>AVERAGE(ai_job_market[[#This Row],[min_salary]],ai_job_market[[#This Row],[max_salary]])</f>
        <v>160367</v>
      </c>
      <c r="K1302" t="s">
        <v>6384</v>
      </c>
      <c r="L1302" t="s">
        <v>22</v>
      </c>
      <c r="M1302" t="s">
        <v>15</v>
      </c>
      <c r="N1302" t="s">
        <v>5713</v>
      </c>
      <c r="O1302" t="s">
        <v>4538</v>
      </c>
      <c r="P1302">
        <v>118381</v>
      </c>
      <c r="Q1302">
        <v>202353</v>
      </c>
      <c r="R1302" s="2">
        <v>45918</v>
      </c>
      <c r="S1302" t="s">
        <v>69</v>
      </c>
      <c r="T1302" t="s">
        <v>90</v>
      </c>
      <c r="W1302" t="s">
        <v>77</v>
      </c>
      <c r="X1302">
        <v>111</v>
      </c>
      <c r="Y1302" t="s">
        <v>90</v>
      </c>
      <c r="Z1302">
        <v>259</v>
      </c>
    </row>
    <row r="1303" spans="1:26" x14ac:dyDescent="0.3">
      <c r="A1303">
        <v>1302</v>
      </c>
      <c r="B1303" t="s">
        <v>2886</v>
      </c>
      <c r="C1303" t="s">
        <v>49</v>
      </c>
      <c r="D1303" t="s">
        <v>67</v>
      </c>
      <c r="E1303" t="s">
        <v>6352</v>
      </c>
      <c r="F1303" t="s">
        <v>6395</v>
      </c>
      <c r="G1303" t="s">
        <v>6382</v>
      </c>
      <c r="H1303" t="s">
        <v>6384</v>
      </c>
      <c r="J1303">
        <f>AVERAGE(ai_job_market[[#This Row],[min_salary]],ai_job_market[[#This Row],[max_salary]])</f>
        <v>128952</v>
      </c>
      <c r="K1303"/>
      <c r="L1303" t="s">
        <v>14</v>
      </c>
      <c r="M1303" t="s">
        <v>15</v>
      </c>
      <c r="N1303" t="s">
        <v>5714</v>
      </c>
      <c r="O1303" t="s">
        <v>4309</v>
      </c>
      <c r="P1303">
        <v>119065</v>
      </c>
      <c r="Q1303">
        <v>138839</v>
      </c>
      <c r="R1303" s="2">
        <v>45389</v>
      </c>
      <c r="S1303" t="s">
        <v>16</v>
      </c>
      <c r="T1303" t="s">
        <v>90</v>
      </c>
      <c r="U1303" t="s">
        <v>6388</v>
      </c>
      <c r="V1303" t="s">
        <v>6378</v>
      </c>
      <c r="W1303" t="s">
        <v>6352</v>
      </c>
      <c r="X1303">
        <v>97</v>
      </c>
      <c r="Y1303" t="s">
        <v>90</v>
      </c>
      <c r="Z1303">
        <v>259</v>
      </c>
    </row>
    <row r="1304" spans="1:26" x14ac:dyDescent="0.3">
      <c r="A1304">
        <v>1303</v>
      </c>
      <c r="B1304" t="s">
        <v>2888</v>
      </c>
      <c r="C1304" t="s">
        <v>11</v>
      </c>
      <c r="D1304" t="s">
        <v>30</v>
      </c>
      <c r="E1304" t="s">
        <v>6351</v>
      </c>
      <c r="F1304" t="s">
        <v>6379</v>
      </c>
      <c r="G1304" t="s">
        <v>6392</v>
      </c>
      <c r="H1304" t="s">
        <v>6386</v>
      </c>
      <c r="J1304">
        <f>AVERAGE(ai_job_market[[#This Row],[min_salary]],ai_job_market[[#This Row],[max_salary]])</f>
        <v>184009</v>
      </c>
      <c r="K1304"/>
      <c r="L1304" t="s">
        <v>27</v>
      </c>
      <c r="M1304" t="s">
        <v>42</v>
      </c>
      <c r="N1304" t="s">
        <v>5715</v>
      </c>
      <c r="O1304" t="s">
        <v>4842</v>
      </c>
      <c r="P1304">
        <v>137144</v>
      </c>
      <c r="Q1304">
        <v>230874</v>
      </c>
      <c r="R1304" s="2">
        <v>45855</v>
      </c>
      <c r="S1304" t="s">
        <v>16</v>
      </c>
      <c r="T1304" t="s">
        <v>77</v>
      </c>
      <c r="U1304" t="s">
        <v>6379</v>
      </c>
      <c r="V1304" t="s">
        <v>6389</v>
      </c>
      <c r="W1304" t="s">
        <v>6351</v>
      </c>
      <c r="X1304">
        <v>89</v>
      </c>
      <c r="Y1304" t="s">
        <v>77</v>
      </c>
      <c r="Z1304">
        <v>251</v>
      </c>
    </row>
    <row r="1305" spans="1:26" x14ac:dyDescent="0.3">
      <c r="A1305">
        <v>1304</v>
      </c>
      <c r="B1305" t="s">
        <v>2891</v>
      </c>
      <c r="C1305" t="s">
        <v>72</v>
      </c>
      <c r="D1305" t="s">
        <v>35</v>
      </c>
      <c r="E1305" t="s">
        <v>128</v>
      </c>
      <c r="F1305" t="s">
        <v>6385</v>
      </c>
      <c r="G1305" t="s">
        <v>6392</v>
      </c>
      <c r="H1305" t="s">
        <v>6382</v>
      </c>
      <c r="I1305" t="s">
        <v>6394</v>
      </c>
      <c r="J1305">
        <f>AVERAGE(ai_job_market[[#This Row],[min_salary]],ai_job_market[[#This Row],[max_salary]])</f>
        <v>91022.5</v>
      </c>
      <c r="K1305"/>
      <c r="L1305" t="s">
        <v>14</v>
      </c>
      <c r="M1305" t="s">
        <v>42</v>
      </c>
      <c r="N1305" t="s">
        <v>5716</v>
      </c>
      <c r="O1305" t="s">
        <v>4309</v>
      </c>
      <c r="P1305">
        <v>55380</v>
      </c>
      <c r="Q1305">
        <v>126665</v>
      </c>
      <c r="R1305" s="2">
        <v>45856</v>
      </c>
      <c r="S1305" t="s">
        <v>69</v>
      </c>
      <c r="T1305" t="s">
        <v>90</v>
      </c>
      <c r="U1305" t="s">
        <v>6379</v>
      </c>
      <c r="V1305" t="s">
        <v>6384</v>
      </c>
      <c r="W1305" t="s">
        <v>128</v>
      </c>
      <c r="X1305">
        <v>92</v>
      </c>
      <c r="Y1305" t="s">
        <v>90</v>
      </c>
      <c r="Z1305">
        <v>259</v>
      </c>
    </row>
    <row r="1306" spans="1:26" x14ac:dyDescent="0.3">
      <c r="A1306">
        <v>1305</v>
      </c>
      <c r="B1306" t="s">
        <v>2894</v>
      </c>
      <c r="C1306" t="s">
        <v>45</v>
      </c>
      <c r="D1306" t="s">
        <v>30</v>
      </c>
      <c r="E1306" t="s">
        <v>6354</v>
      </c>
      <c r="F1306" t="s">
        <v>6379</v>
      </c>
      <c r="G1306" t="s">
        <v>6394</v>
      </c>
      <c r="H1306" t="s">
        <v>6377</v>
      </c>
      <c r="I1306" t="s">
        <v>6392</v>
      </c>
      <c r="J1306">
        <f>AVERAGE(ai_job_market[[#This Row],[min_salary]],ai_job_market[[#This Row],[max_salary]])</f>
        <v>142299.5</v>
      </c>
      <c r="K1306" t="s">
        <v>6391</v>
      </c>
      <c r="L1306" t="s">
        <v>27</v>
      </c>
      <c r="M1306" t="s">
        <v>51</v>
      </c>
      <c r="N1306" t="s">
        <v>5717</v>
      </c>
      <c r="O1306" t="s">
        <v>4385</v>
      </c>
      <c r="P1306">
        <v>97367</v>
      </c>
      <c r="Q1306">
        <v>187232</v>
      </c>
      <c r="R1306" s="2">
        <v>45522</v>
      </c>
      <c r="S1306" t="s">
        <v>69</v>
      </c>
      <c r="T1306" t="s">
        <v>157</v>
      </c>
      <c r="U1306" t="s">
        <v>6389</v>
      </c>
      <c r="W1306" t="s">
        <v>6354</v>
      </c>
      <c r="X1306">
        <v>75</v>
      </c>
      <c r="Y1306" t="s">
        <v>157</v>
      </c>
      <c r="Z1306">
        <v>247</v>
      </c>
    </row>
    <row r="1307" spans="1:26" x14ac:dyDescent="0.3">
      <c r="A1307">
        <v>1306</v>
      </c>
      <c r="B1307" t="s">
        <v>2896</v>
      </c>
      <c r="C1307" t="s">
        <v>45</v>
      </c>
      <c r="D1307" t="s">
        <v>67</v>
      </c>
      <c r="E1307" t="s">
        <v>6345</v>
      </c>
      <c r="F1307" t="s">
        <v>6391</v>
      </c>
      <c r="G1307" t="s">
        <v>6387</v>
      </c>
      <c r="H1307" t="s">
        <v>6378</v>
      </c>
      <c r="I1307" t="s">
        <v>6375</v>
      </c>
      <c r="J1307" s="6">
        <f>AVERAGE(ai_job_market[[#This Row],[min_salary]],ai_job_market[[#This Row],[max_salary]])</f>
        <v>88793</v>
      </c>
      <c r="K1307" t="s">
        <v>6395</v>
      </c>
      <c r="L1307" t="s">
        <v>14</v>
      </c>
      <c r="M1307" t="s">
        <v>42</v>
      </c>
      <c r="N1307" t="s">
        <v>5718</v>
      </c>
      <c r="O1307" t="s">
        <v>4325</v>
      </c>
      <c r="P1307" s="5">
        <v>61468</v>
      </c>
      <c r="Q1307" s="5">
        <v>116118</v>
      </c>
      <c r="R1307" s="2">
        <v>45545</v>
      </c>
      <c r="S1307" t="s">
        <v>16</v>
      </c>
      <c r="T1307" t="s">
        <v>70</v>
      </c>
      <c r="W1307" t="s">
        <v>6345</v>
      </c>
      <c r="X1307">
        <v>101</v>
      </c>
      <c r="Y1307" t="s">
        <v>70</v>
      </c>
      <c r="Z1307">
        <v>268</v>
      </c>
    </row>
    <row r="1308" spans="1:26" x14ac:dyDescent="0.3">
      <c r="A1308">
        <v>1307</v>
      </c>
      <c r="B1308" t="s">
        <v>2898</v>
      </c>
      <c r="C1308" t="s">
        <v>19</v>
      </c>
      <c r="D1308" t="s">
        <v>12</v>
      </c>
      <c r="E1308" t="s">
        <v>80</v>
      </c>
      <c r="F1308" t="s">
        <v>6377</v>
      </c>
      <c r="G1308" t="s">
        <v>6395</v>
      </c>
      <c r="H1308" t="s">
        <v>6378</v>
      </c>
      <c r="I1308" t="s">
        <v>6382</v>
      </c>
      <c r="J1308">
        <f>AVERAGE(ai_job_market[[#This Row],[min_salary]],ai_job_market[[#This Row],[max_salary]])</f>
        <v>131137.5</v>
      </c>
      <c r="K1308" t="s">
        <v>6387</v>
      </c>
      <c r="L1308" t="s">
        <v>27</v>
      </c>
      <c r="M1308" t="s">
        <v>42</v>
      </c>
      <c r="N1308" t="s">
        <v>5719</v>
      </c>
      <c r="O1308" t="s">
        <v>4938</v>
      </c>
      <c r="P1308">
        <v>115727</v>
      </c>
      <c r="Q1308">
        <v>146548</v>
      </c>
      <c r="R1308" s="2">
        <v>45591</v>
      </c>
      <c r="S1308" t="s">
        <v>14</v>
      </c>
      <c r="T1308" t="s">
        <v>70</v>
      </c>
      <c r="W1308" t="s">
        <v>80</v>
      </c>
      <c r="X1308">
        <v>95</v>
      </c>
      <c r="Y1308" t="s">
        <v>70</v>
      </c>
      <c r="Z1308">
        <v>268</v>
      </c>
    </row>
    <row r="1309" spans="1:26" x14ac:dyDescent="0.3">
      <c r="A1309">
        <v>1308</v>
      </c>
      <c r="B1309" t="s">
        <v>227</v>
      </c>
      <c r="C1309" t="s">
        <v>72</v>
      </c>
      <c r="D1309" t="s">
        <v>20</v>
      </c>
      <c r="E1309" t="s">
        <v>6344</v>
      </c>
      <c r="F1309" t="s">
        <v>6390</v>
      </c>
      <c r="G1309" t="s">
        <v>6374</v>
      </c>
      <c r="J1309" s="6">
        <f>AVERAGE(ai_job_market[[#This Row],[min_salary]],ai_job_market[[#This Row],[max_salary]])</f>
        <v>114004.5</v>
      </c>
      <c r="K1309"/>
      <c r="L1309" t="s">
        <v>14</v>
      </c>
      <c r="M1309" t="s">
        <v>51</v>
      </c>
      <c r="N1309" t="s">
        <v>5720</v>
      </c>
      <c r="O1309" t="s">
        <v>4791</v>
      </c>
      <c r="P1309" s="5">
        <v>87853</v>
      </c>
      <c r="Q1309" s="5">
        <v>140156</v>
      </c>
      <c r="R1309" s="2">
        <v>45472</v>
      </c>
      <c r="S1309" t="s">
        <v>69</v>
      </c>
      <c r="T1309" t="s">
        <v>101</v>
      </c>
      <c r="W1309" t="s">
        <v>6344</v>
      </c>
      <c r="X1309">
        <v>104</v>
      </c>
      <c r="Y1309" t="s">
        <v>101</v>
      </c>
      <c r="Z1309">
        <v>255</v>
      </c>
    </row>
    <row r="1310" spans="1:26" x14ac:dyDescent="0.3">
      <c r="A1310">
        <v>1309</v>
      </c>
      <c r="B1310" t="s">
        <v>2901</v>
      </c>
      <c r="C1310" t="s">
        <v>34</v>
      </c>
      <c r="D1310" t="s">
        <v>25</v>
      </c>
      <c r="E1310" t="s">
        <v>6345</v>
      </c>
      <c r="F1310" t="s">
        <v>6381</v>
      </c>
      <c r="G1310" t="s">
        <v>6386</v>
      </c>
      <c r="H1310" t="s">
        <v>6376</v>
      </c>
      <c r="I1310" t="s">
        <v>6377</v>
      </c>
      <c r="J1310">
        <f>AVERAGE(ai_job_market[[#This Row],[min_salary]],ai_job_market[[#This Row],[max_salary]])</f>
        <v>161810</v>
      </c>
      <c r="K1310"/>
      <c r="L1310" t="s">
        <v>22</v>
      </c>
      <c r="M1310" t="s">
        <v>37</v>
      </c>
      <c r="N1310" t="s">
        <v>5721</v>
      </c>
      <c r="O1310" t="s">
        <v>4797</v>
      </c>
      <c r="P1310">
        <v>143861</v>
      </c>
      <c r="Q1310">
        <v>179759</v>
      </c>
      <c r="R1310" s="2">
        <v>45437</v>
      </c>
      <c r="S1310" t="s">
        <v>69</v>
      </c>
      <c r="T1310" t="s">
        <v>70</v>
      </c>
      <c r="U1310" t="s">
        <v>6389</v>
      </c>
      <c r="V1310" t="s">
        <v>6376</v>
      </c>
      <c r="W1310" t="s">
        <v>6345</v>
      </c>
      <c r="X1310">
        <v>101</v>
      </c>
      <c r="Y1310" t="s">
        <v>70</v>
      </c>
      <c r="Z1310">
        <v>268</v>
      </c>
    </row>
    <row r="1311" spans="1:26" x14ac:dyDescent="0.3">
      <c r="A1311">
        <v>1310</v>
      </c>
      <c r="B1311" t="s">
        <v>2903</v>
      </c>
      <c r="C1311" t="s">
        <v>45</v>
      </c>
      <c r="D1311" t="s">
        <v>67</v>
      </c>
      <c r="E1311" t="s">
        <v>128</v>
      </c>
      <c r="F1311" t="s">
        <v>6396</v>
      </c>
      <c r="G1311" t="s">
        <v>6379</v>
      </c>
      <c r="H1311" t="s">
        <v>6376</v>
      </c>
      <c r="J1311">
        <f>AVERAGE(ai_job_market[[#This Row],[min_salary]],ai_job_market[[#This Row],[max_salary]])</f>
        <v>94472.5</v>
      </c>
      <c r="K1311"/>
      <c r="L1311" t="s">
        <v>22</v>
      </c>
      <c r="M1311" t="s">
        <v>15</v>
      </c>
      <c r="N1311" t="s">
        <v>5722</v>
      </c>
      <c r="O1311" t="s">
        <v>4582</v>
      </c>
      <c r="P1311">
        <v>67012</v>
      </c>
      <c r="Q1311">
        <v>121933</v>
      </c>
      <c r="R1311" s="2">
        <v>45485</v>
      </c>
      <c r="S1311" t="s">
        <v>69</v>
      </c>
      <c r="T1311" t="s">
        <v>80</v>
      </c>
      <c r="U1311" t="s">
        <v>6378</v>
      </c>
      <c r="V1311" t="s">
        <v>6383</v>
      </c>
      <c r="W1311" t="s">
        <v>128</v>
      </c>
      <c r="X1311">
        <v>92</v>
      </c>
      <c r="Y1311" t="s">
        <v>80</v>
      </c>
      <c r="Z1311">
        <v>249</v>
      </c>
    </row>
    <row r="1312" spans="1:26" x14ac:dyDescent="0.3">
      <c r="A1312">
        <v>1311</v>
      </c>
      <c r="B1312" t="s">
        <v>2906</v>
      </c>
      <c r="C1312" t="s">
        <v>19</v>
      </c>
      <c r="D1312" t="s">
        <v>135</v>
      </c>
      <c r="E1312" t="s">
        <v>101</v>
      </c>
      <c r="F1312" t="s">
        <v>6380</v>
      </c>
      <c r="G1312" t="s">
        <v>6377</v>
      </c>
      <c r="H1312" t="s">
        <v>6381</v>
      </c>
      <c r="I1312" t="s">
        <v>6374</v>
      </c>
      <c r="J1312">
        <f>AVERAGE(ai_job_market[[#This Row],[min_salary]],ai_job_market[[#This Row],[max_salary]])</f>
        <v>59803</v>
      </c>
      <c r="K1312"/>
      <c r="L1312" t="s">
        <v>27</v>
      </c>
      <c r="M1312" t="s">
        <v>37</v>
      </c>
      <c r="N1312" t="s">
        <v>5723</v>
      </c>
      <c r="O1312" t="s">
        <v>4564</v>
      </c>
      <c r="P1312">
        <v>41971</v>
      </c>
      <c r="Q1312">
        <v>77635</v>
      </c>
      <c r="R1312" s="2">
        <v>45482</v>
      </c>
      <c r="S1312" t="s">
        <v>16</v>
      </c>
      <c r="T1312" t="s">
        <v>70</v>
      </c>
      <c r="U1312" t="s">
        <v>6388</v>
      </c>
      <c r="W1312" t="s">
        <v>101</v>
      </c>
      <c r="X1312">
        <v>76</v>
      </c>
      <c r="Y1312" t="s">
        <v>70</v>
      </c>
      <c r="Z1312">
        <v>268</v>
      </c>
    </row>
    <row r="1313" spans="1:26" x14ac:dyDescent="0.3">
      <c r="A1313">
        <v>1312</v>
      </c>
      <c r="B1313" t="s">
        <v>2908</v>
      </c>
      <c r="C1313" t="s">
        <v>72</v>
      </c>
      <c r="D1313" t="s">
        <v>67</v>
      </c>
      <c r="E1313" t="s">
        <v>6357</v>
      </c>
      <c r="F1313" t="s">
        <v>6375</v>
      </c>
      <c r="G1313" t="s">
        <v>6390</v>
      </c>
      <c r="H1313" t="s">
        <v>6374</v>
      </c>
      <c r="I1313" t="s">
        <v>6385</v>
      </c>
      <c r="J1313">
        <f>AVERAGE(ai_job_market[[#This Row],[min_salary]],ai_job_market[[#This Row],[max_salary]])</f>
        <v>162148.5</v>
      </c>
      <c r="K1313" t="s">
        <v>6393</v>
      </c>
      <c r="L1313" t="s">
        <v>22</v>
      </c>
      <c r="M1313" t="s">
        <v>42</v>
      </c>
      <c r="N1313" t="s">
        <v>5724</v>
      </c>
      <c r="O1313" t="s">
        <v>4615</v>
      </c>
      <c r="P1313">
        <v>139502</v>
      </c>
      <c r="Q1313">
        <v>184795</v>
      </c>
      <c r="R1313" s="2">
        <v>45512</v>
      </c>
      <c r="S1313" t="s">
        <v>69</v>
      </c>
      <c r="T1313" t="s">
        <v>80</v>
      </c>
      <c r="U1313" t="s">
        <v>6379</v>
      </c>
      <c r="W1313" t="s">
        <v>6357</v>
      </c>
      <c r="X1313">
        <v>88</v>
      </c>
      <c r="Y1313" t="s">
        <v>80</v>
      </c>
      <c r="Z1313">
        <v>249</v>
      </c>
    </row>
    <row r="1314" spans="1:26" x14ac:dyDescent="0.3">
      <c r="A1314">
        <v>1313</v>
      </c>
      <c r="B1314" t="s">
        <v>2910</v>
      </c>
      <c r="C1314" t="s">
        <v>72</v>
      </c>
      <c r="D1314" t="s">
        <v>25</v>
      </c>
      <c r="E1314" t="s">
        <v>6345</v>
      </c>
      <c r="F1314" t="s">
        <v>6379</v>
      </c>
      <c r="G1314" t="s">
        <v>6378</v>
      </c>
      <c r="H1314" t="s">
        <v>6381</v>
      </c>
      <c r="I1314" t="s">
        <v>6391</v>
      </c>
      <c r="J1314">
        <f>AVERAGE(ai_job_market[[#This Row],[min_salary]],ai_job_market[[#This Row],[max_salary]])</f>
        <v>59295</v>
      </c>
      <c r="K1314" t="s">
        <v>6390</v>
      </c>
      <c r="L1314" t="s">
        <v>14</v>
      </c>
      <c r="M1314" t="s">
        <v>15</v>
      </c>
      <c r="N1314" t="s">
        <v>5725</v>
      </c>
      <c r="O1314" t="s">
        <v>4410</v>
      </c>
      <c r="P1314">
        <v>45567</v>
      </c>
      <c r="Q1314">
        <v>73023</v>
      </c>
      <c r="R1314" s="2">
        <v>45322</v>
      </c>
      <c r="S1314" t="s">
        <v>69</v>
      </c>
      <c r="T1314" t="s">
        <v>128</v>
      </c>
      <c r="U1314" t="s">
        <v>6384</v>
      </c>
      <c r="W1314" t="s">
        <v>6345</v>
      </c>
      <c r="X1314">
        <v>101</v>
      </c>
      <c r="Y1314" t="s">
        <v>128</v>
      </c>
      <c r="Z1314">
        <v>233</v>
      </c>
    </row>
    <row r="1315" spans="1:26" x14ac:dyDescent="0.3">
      <c r="A1315">
        <v>1314</v>
      </c>
      <c r="B1315" t="s">
        <v>2912</v>
      </c>
      <c r="C1315" t="s">
        <v>72</v>
      </c>
      <c r="D1315" t="s">
        <v>67</v>
      </c>
      <c r="E1315" t="s">
        <v>6350</v>
      </c>
      <c r="F1315" t="s">
        <v>6391</v>
      </c>
      <c r="G1315" t="s">
        <v>6393</v>
      </c>
      <c r="H1315" t="s">
        <v>6390</v>
      </c>
      <c r="I1315" t="s">
        <v>6375</v>
      </c>
      <c r="J1315">
        <f>AVERAGE(ai_job_market[[#This Row],[min_salary]],ai_job_market[[#This Row],[max_salary]])</f>
        <v>172666</v>
      </c>
      <c r="K1315"/>
      <c r="L1315" t="s">
        <v>27</v>
      </c>
      <c r="M1315" t="s">
        <v>51</v>
      </c>
      <c r="N1315" t="s">
        <v>5726</v>
      </c>
      <c r="O1315" t="s">
        <v>5537</v>
      </c>
      <c r="P1315">
        <v>136733</v>
      </c>
      <c r="Q1315">
        <v>208599</v>
      </c>
      <c r="R1315" s="2">
        <v>45698</v>
      </c>
      <c r="S1315" t="s">
        <v>69</v>
      </c>
      <c r="T1315" t="s">
        <v>157</v>
      </c>
      <c r="W1315" t="s">
        <v>6350</v>
      </c>
      <c r="X1315">
        <v>84</v>
      </c>
      <c r="Y1315" t="s">
        <v>157</v>
      </c>
      <c r="Z1315">
        <v>247</v>
      </c>
    </row>
    <row r="1316" spans="1:26" x14ac:dyDescent="0.3">
      <c r="A1316">
        <v>1315</v>
      </c>
      <c r="B1316" t="s">
        <v>2914</v>
      </c>
      <c r="C1316" t="s">
        <v>45</v>
      </c>
      <c r="D1316" t="s">
        <v>25</v>
      </c>
      <c r="E1316" t="s">
        <v>6357</v>
      </c>
      <c r="F1316" t="s">
        <v>6391</v>
      </c>
      <c r="G1316" t="s">
        <v>6374</v>
      </c>
      <c r="H1316" t="s">
        <v>6385</v>
      </c>
      <c r="J1316" s="6">
        <f>AVERAGE(ai_job_market[[#This Row],[min_salary]],ai_job_market[[#This Row],[max_salary]])</f>
        <v>111185.5</v>
      </c>
      <c r="K1316"/>
      <c r="L1316" t="s">
        <v>14</v>
      </c>
      <c r="M1316" t="s">
        <v>37</v>
      </c>
      <c r="N1316" t="s">
        <v>5041</v>
      </c>
      <c r="O1316" t="s">
        <v>4482</v>
      </c>
      <c r="P1316" s="5">
        <v>89039</v>
      </c>
      <c r="Q1316" s="5">
        <v>133332</v>
      </c>
      <c r="R1316" s="2">
        <v>45558</v>
      </c>
      <c r="S1316" t="s">
        <v>14</v>
      </c>
      <c r="T1316" t="s">
        <v>77</v>
      </c>
      <c r="W1316" t="s">
        <v>6357</v>
      </c>
      <c r="X1316">
        <v>88</v>
      </c>
      <c r="Y1316" t="s">
        <v>77</v>
      </c>
      <c r="Z1316">
        <v>251</v>
      </c>
    </row>
    <row r="1317" spans="1:26" x14ac:dyDescent="0.3">
      <c r="A1317">
        <v>1316</v>
      </c>
      <c r="B1317" t="s">
        <v>2916</v>
      </c>
      <c r="C1317" t="s">
        <v>40</v>
      </c>
      <c r="D1317" t="s">
        <v>35</v>
      </c>
      <c r="E1317" t="s">
        <v>6348</v>
      </c>
      <c r="F1317" t="s">
        <v>6378</v>
      </c>
      <c r="G1317" t="s">
        <v>6391</v>
      </c>
      <c r="H1317" t="s">
        <v>6392</v>
      </c>
      <c r="I1317" t="s">
        <v>6397</v>
      </c>
      <c r="J1317">
        <f>AVERAGE(ai_job_market[[#This Row],[min_salary]],ai_job_market[[#This Row],[max_salary]])</f>
        <v>125687</v>
      </c>
      <c r="K1317" t="s">
        <v>6381</v>
      </c>
      <c r="L1317" t="s">
        <v>14</v>
      </c>
      <c r="M1317" t="s">
        <v>37</v>
      </c>
      <c r="N1317" t="s">
        <v>5727</v>
      </c>
      <c r="O1317" t="s">
        <v>4646</v>
      </c>
      <c r="P1317">
        <v>115624</v>
      </c>
      <c r="Q1317">
        <v>135750</v>
      </c>
      <c r="R1317" s="2">
        <v>45202</v>
      </c>
      <c r="S1317" t="s">
        <v>16</v>
      </c>
      <c r="T1317" t="s">
        <v>128</v>
      </c>
      <c r="W1317" t="s">
        <v>6348</v>
      </c>
      <c r="X1317">
        <v>78</v>
      </c>
      <c r="Y1317" t="s">
        <v>128</v>
      </c>
      <c r="Z1317">
        <v>233</v>
      </c>
    </row>
    <row r="1318" spans="1:26" x14ac:dyDescent="0.3">
      <c r="A1318">
        <v>1317</v>
      </c>
      <c r="B1318" t="s">
        <v>2918</v>
      </c>
      <c r="C1318" t="s">
        <v>49</v>
      </c>
      <c r="D1318" t="s">
        <v>135</v>
      </c>
      <c r="E1318" t="s">
        <v>6357</v>
      </c>
      <c r="F1318" t="s">
        <v>6394</v>
      </c>
      <c r="G1318" t="s">
        <v>6377</v>
      </c>
      <c r="J1318">
        <f>AVERAGE(ai_job_market[[#This Row],[min_salary]],ai_job_market[[#This Row],[max_salary]])</f>
        <v>143622</v>
      </c>
      <c r="K1318"/>
      <c r="L1318" t="s">
        <v>14</v>
      </c>
      <c r="M1318" t="s">
        <v>51</v>
      </c>
      <c r="N1318" t="s">
        <v>5728</v>
      </c>
      <c r="O1318" t="s">
        <v>4463</v>
      </c>
      <c r="P1318">
        <v>101178</v>
      </c>
      <c r="Q1318">
        <v>186066</v>
      </c>
      <c r="R1318" s="2">
        <v>45398</v>
      </c>
      <c r="S1318" t="s">
        <v>16</v>
      </c>
      <c r="T1318" t="s">
        <v>90</v>
      </c>
      <c r="U1318" t="s">
        <v>6384</v>
      </c>
      <c r="V1318" t="s">
        <v>6375</v>
      </c>
      <c r="W1318" t="s">
        <v>6357</v>
      </c>
      <c r="X1318">
        <v>88</v>
      </c>
      <c r="Y1318" t="s">
        <v>90</v>
      </c>
      <c r="Z1318">
        <v>259</v>
      </c>
    </row>
    <row r="1319" spans="1:26" x14ac:dyDescent="0.3">
      <c r="A1319">
        <v>1318</v>
      </c>
      <c r="B1319" t="s">
        <v>2920</v>
      </c>
      <c r="C1319" t="s">
        <v>40</v>
      </c>
      <c r="D1319" t="s">
        <v>67</v>
      </c>
      <c r="E1319" t="s">
        <v>6356</v>
      </c>
      <c r="F1319" t="s">
        <v>6377</v>
      </c>
      <c r="G1319" t="s">
        <v>6385</v>
      </c>
      <c r="H1319" t="s">
        <v>6393</v>
      </c>
      <c r="I1319" t="s">
        <v>6375</v>
      </c>
      <c r="J1319">
        <f>AVERAGE(ai_job_market[[#This Row],[min_salary]],ai_job_market[[#This Row],[max_salary]])</f>
        <v>152655.5</v>
      </c>
      <c r="K1319"/>
      <c r="L1319" t="s">
        <v>22</v>
      </c>
      <c r="M1319" t="s">
        <v>42</v>
      </c>
      <c r="N1319" t="s">
        <v>5729</v>
      </c>
      <c r="O1319" t="s">
        <v>4524</v>
      </c>
      <c r="P1319">
        <v>123425</v>
      </c>
      <c r="Q1319">
        <v>181886</v>
      </c>
      <c r="R1319" s="2">
        <v>45701</v>
      </c>
      <c r="S1319" t="s">
        <v>69</v>
      </c>
      <c r="T1319" t="s">
        <v>90</v>
      </c>
      <c r="U1319" t="s">
        <v>6384</v>
      </c>
      <c r="V1319" t="s">
        <v>6378</v>
      </c>
      <c r="W1319" t="s">
        <v>6356</v>
      </c>
      <c r="X1319">
        <v>86</v>
      </c>
      <c r="Y1319" t="s">
        <v>90</v>
      </c>
      <c r="Z1319">
        <v>259</v>
      </c>
    </row>
    <row r="1320" spans="1:26" x14ac:dyDescent="0.3">
      <c r="A1320">
        <v>1319</v>
      </c>
      <c r="B1320" t="s">
        <v>2922</v>
      </c>
      <c r="C1320" t="s">
        <v>49</v>
      </c>
      <c r="D1320" t="s">
        <v>54</v>
      </c>
      <c r="E1320" t="s">
        <v>6351</v>
      </c>
      <c r="F1320" t="s">
        <v>6389</v>
      </c>
      <c r="G1320" t="s">
        <v>6375</v>
      </c>
      <c r="J1320" s="6">
        <f>AVERAGE(ai_job_market[[#This Row],[min_salary]],ai_job_market[[#This Row],[max_salary]])</f>
        <v>99709</v>
      </c>
      <c r="K1320"/>
      <c r="L1320" t="s">
        <v>27</v>
      </c>
      <c r="M1320" t="s">
        <v>51</v>
      </c>
      <c r="N1320" t="s">
        <v>5730</v>
      </c>
      <c r="O1320" t="s">
        <v>4365</v>
      </c>
      <c r="P1320" s="5">
        <v>70478</v>
      </c>
      <c r="Q1320" s="5">
        <v>128940</v>
      </c>
      <c r="R1320" s="2">
        <v>45897</v>
      </c>
      <c r="S1320" t="s">
        <v>16</v>
      </c>
      <c r="T1320" t="s">
        <v>128</v>
      </c>
      <c r="W1320" t="s">
        <v>6351</v>
      </c>
      <c r="X1320">
        <v>89</v>
      </c>
      <c r="Y1320" t="s">
        <v>128</v>
      </c>
      <c r="Z1320">
        <v>233</v>
      </c>
    </row>
    <row r="1321" spans="1:26" x14ac:dyDescent="0.3">
      <c r="A1321">
        <v>1320</v>
      </c>
      <c r="B1321" t="s">
        <v>2924</v>
      </c>
      <c r="C1321" t="s">
        <v>40</v>
      </c>
      <c r="D1321" t="s">
        <v>25</v>
      </c>
      <c r="E1321" t="s">
        <v>6359</v>
      </c>
      <c r="F1321" t="s">
        <v>6385</v>
      </c>
      <c r="G1321" t="s">
        <v>6384</v>
      </c>
      <c r="J1321">
        <f>AVERAGE(ai_job_market[[#This Row],[min_salary]],ai_job_market[[#This Row],[max_salary]])</f>
        <v>67021.5</v>
      </c>
      <c r="K1321"/>
      <c r="L1321" t="s">
        <v>14</v>
      </c>
      <c r="M1321" t="s">
        <v>37</v>
      </c>
      <c r="N1321" t="s">
        <v>5731</v>
      </c>
      <c r="O1321" t="s">
        <v>4680</v>
      </c>
      <c r="P1321">
        <v>54468</v>
      </c>
      <c r="Q1321">
        <v>79575</v>
      </c>
      <c r="R1321" s="2">
        <v>45374</v>
      </c>
      <c r="S1321" t="s">
        <v>16</v>
      </c>
      <c r="T1321" t="s">
        <v>128</v>
      </c>
      <c r="W1321" t="s">
        <v>6359</v>
      </c>
      <c r="X1321">
        <v>104</v>
      </c>
      <c r="Y1321" t="s">
        <v>128</v>
      </c>
      <c r="Z1321">
        <v>233</v>
      </c>
    </row>
    <row r="1322" spans="1:26" x14ac:dyDescent="0.3">
      <c r="A1322">
        <v>1321</v>
      </c>
      <c r="B1322" t="s">
        <v>2926</v>
      </c>
      <c r="C1322" t="s">
        <v>72</v>
      </c>
      <c r="D1322" t="s">
        <v>54</v>
      </c>
      <c r="E1322" t="s">
        <v>6355</v>
      </c>
      <c r="F1322" t="s">
        <v>6379</v>
      </c>
      <c r="G1322" t="s">
        <v>6387</v>
      </c>
      <c r="J1322" s="6">
        <f>AVERAGE(ai_job_market[[#This Row],[min_salary]],ai_job_market[[#This Row],[max_salary]])</f>
        <v>125265</v>
      </c>
      <c r="K1322"/>
      <c r="L1322" t="s">
        <v>27</v>
      </c>
      <c r="M1322" t="s">
        <v>51</v>
      </c>
      <c r="N1322" t="s">
        <v>5732</v>
      </c>
      <c r="O1322" t="s">
        <v>4490</v>
      </c>
      <c r="P1322" s="5">
        <v>118961</v>
      </c>
      <c r="Q1322" s="5">
        <v>131569</v>
      </c>
      <c r="R1322" s="2">
        <v>45410</v>
      </c>
      <c r="S1322" t="s">
        <v>16</v>
      </c>
      <c r="T1322" t="s">
        <v>128</v>
      </c>
      <c r="W1322" t="s">
        <v>6355</v>
      </c>
      <c r="X1322">
        <v>90</v>
      </c>
      <c r="Y1322" t="s">
        <v>128</v>
      </c>
      <c r="Z1322">
        <v>233</v>
      </c>
    </row>
    <row r="1323" spans="1:26" x14ac:dyDescent="0.3">
      <c r="A1323">
        <v>1322</v>
      </c>
      <c r="B1323" t="s">
        <v>2928</v>
      </c>
      <c r="C1323" t="s">
        <v>40</v>
      </c>
      <c r="D1323" t="s">
        <v>54</v>
      </c>
      <c r="E1323" t="s">
        <v>6356</v>
      </c>
      <c r="F1323" t="s">
        <v>6396</v>
      </c>
      <c r="G1323" t="s">
        <v>6391</v>
      </c>
      <c r="H1323" t="s">
        <v>6389</v>
      </c>
      <c r="I1323" t="s">
        <v>6390</v>
      </c>
      <c r="J1323">
        <f>AVERAGE(ai_job_market[[#This Row],[min_salary]],ai_job_market[[#This Row],[max_salary]])</f>
        <v>108327</v>
      </c>
      <c r="K1323" t="s">
        <v>6379</v>
      </c>
      <c r="L1323" t="s">
        <v>22</v>
      </c>
      <c r="M1323" t="s">
        <v>42</v>
      </c>
      <c r="N1323" t="s">
        <v>4426</v>
      </c>
      <c r="O1323" t="s">
        <v>4559</v>
      </c>
      <c r="P1323">
        <v>77357</v>
      </c>
      <c r="Q1323">
        <v>139297</v>
      </c>
      <c r="R1323" s="2">
        <v>45726</v>
      </c>
      <c r="S1323" t="s">
        <v>14</v>
      </c>
      <c r="T1323" t="s">
        <v>70</v>
      </c>
      <c r="W1323" t="s">
        <v>6356</v>
      </c>
      <c r="X1323">
        <v>86</v>
      </c>
      <c r="Y1323" t="s">
        <v>70</v>
      </c>
      <c r="Z1323">
        <v>268</v>
      </c>
    </row>
    <row r="1324" spans="1:26" x14ac:dyDescent="0.3">
      <c r="A1324">
        <v>1323</v>
      </c>
      <c r="B1324" t="s">
        <v>2930</v>
      </c>
      <c r="C1324" t="s">
        <v>72</v>
      </c>
      <c r="D1324" t="s">
        <v>30</v>
      </c>
      <c r="E1324" t="s">
        <v>101</v>
      </c>
      <c r="F1324" t="s">
        <v>6384</v>
      </c>
      <c r="G1324" t="s">
        <v>6395</v>
      </c>
      <c r="H1324" t="s">
        <v>6381</v>
      </c>
      <c r="I1324" t="s">
        <v>6393</v>
      </c>
      <c r="J1324">
        <f>AVERAGE(ai_job_market[[#This Row],[min_salary]],ai_job_market[[#This Row],[max_salary]])</f>
        <v>99267.5</v>
      </c>
      <c r="K1324" t="s">
        <v>6396</v>
      </c>
      <c r="L1324" t="s">
        <v>27</v>
      </c>
      <c r="M1324" t="s">
        <v>51</v>
      </c>
      <c r="N1324" t="s">
        <v>5733</v>
      </c>
      <c r="O1324" t="s">
        <v>4831</v>
      </c>
      <c r="P1324">
        <v>73723</v>
      </c>
      <c r="Q1324">
        <v>124812</v>
      </c>
      <c r="R1324" s="2">
        <v>45456</v>
      </c>
      <c r="S1324" t="s">
        <v>69</v>
      </c>
      <c r="T1324" t="s">
        <v>70</v>
      </c>
      <c r="U1324" t="s">
        <v>6384</v>
      </c>
      <c r="W1324" t="s">
        <v>101</v>
      </c>
      <c r="X1324">
        <v>76</v>
      </c>
      <c r="Y1324" t="s">
        <v>70</v>
      </c>
      <c r="Z1324">
        <v>268</v>
      </c>
    </row>
    <row r="1325" spans="1:26" x14ac:dyDescent="0.3">
      <c r="A1325">
        <v>1324</v>
      </c>
      <c r="B1325" t="s">
        <v>2932</v>
      </c>
      <c r="C1325" t="s">
        <v>40</v>
      </c>
      <c r="D1325" t="s">
        <v>30</v>
      </c>
      <c r="E1325" t="s">
        <v>6345</v>
      </c>
      <c r="F1325" t="s">
        <v>6377</v>
      </c>
      <c r="G1325" t="s">
        <v>6387</v>
      </c>
      <c r="J1325">
        <f>AVERAGE(ai_job_market[[#This Row],[min_salary]],ai_job_market[[#This Row],[max_salary]])</f>
        <v>82429</v>
      </c>
      <c r="K1325"/>
      <c r="L1325" t="s">
        <v>27</v>
      </c>
      <c r="M1325" t="s">
        <v>51</v>
      </c>
      <c r="N1325" t="s">
        <v>5734</v>
      </c>
      <c r="O1325" t="s">
        <v>4435</v>
      </c>
      <c r="P1325">
        <v>56407</v>
      </c>
      <c r="Q1325">
        <v>108451</v>
      </c>
      <c r="R1325" s="2">
        <v>45273</v>
      </c>
      <c r="S1325" t="s">
        <v>69</v>
      </c>
      <c r="T1325" t="s">
        <v>101</v>
      </c>
      <c r="W1325" t="s">
        <v>6345</v>
      </c>
      <c r="X1325">
        <v>101</v>
      </c>
      <c r="Y1325" t="s">
        <v>101</v>
      </c>
      <c r="Z1325">
        <v>255</v>
      </c>
    </row>
    <row r="1326" spans="1:26" x14ac:dyDescent="0.3">
      <c r="A1326">
        <v>1325</v>
      </c>
      <c r="B1326" t="s">
        <v>2934</v>
      </c>
      <c r="C1326" t="s">
        <v>49</v>
      </c>
      <c r="D1326" t="s">
        <v>135</v>
      </c>
      <c r="E1326" t="s">
        <v>6358</v>
      </c>
      <c r="F1326" t="s">
        <v>6394</v>
      </c>
      <c r="G1326" t="s">
        <v>6377</v>
      </c>
      <c r="J1326">
        <f>AVERAGE(ai_job_market[[#This Row],[min_salary]],ai_job_market[[#This Row],[max_salary]])</f>
        <v>75864.5</v>
      </c>
      <c r="K1326"/>
      <c r="L1326" t="s">
        <v>22</v>
      </c>
      <c r="M1326" t="s">
        <v>15</v>
      </c>
      <c r="N1326" t="s">
        <v>5735</v>
      </c>
      <c r="O1326" t="s">
        <v>4414</v>
      </c>
      <c r="P1326">
        <v>66257</v>
      </c>
      <c r="Q1326">
        <v>85472</v>
      </c>
      <c r="R1326" s="2">
        <v>45659</v>
      </c>
      <c r="S1326" t="s">
        <v>14</v>
      </c>
      <c r="T1326" t="s">
        <v>157</v>
      </c>
      <c r="W1326" t="s">
        <v>6358</v>
      </c>
      <c r="X1326">
        <v>96</v>
      </c>
      <c r="Y1326" t="s">
        <v>157</v>
      </c>
      <c r="Z1326">
        <v>247</v>
      </c>
    </row>
    <row r="1327" spans="1:26" x14ac:dyDescent="0.3">
      <c r="A1327">
        <v>1326</v>
      </c>
      <c r="B1327" t="s">
        <v>2936</v>
      </c>
      <c r="C1327" t="s">
        <v>19</v>
      </c>
      <c r="D1327" t="s">
        <v>67</v>
      </c>
      <c r="E1327" t="s">
        <v>6350</v>
      </c>
      <c r="F1327" t="s">
        <v>6387</v>
      </c>
      <c r="G1327" t="s">
        <v>6379</v>
      </c>
      <c r="H1327" t="s">
        <v>6390</v>
      </c>
      <c r="J1327">
        <f>AVERAGE(ai_job_market[[#This Row],[min_salary]],ai_job_market[[#This Row],[max_salary]])</f>
        <v>165194</v>
      </c>
      <c r="K1327"/>
      <c r="L1327" t="s">
        <v>27</v>
      </c>
      <c r="M1327" t="s">
        <v>42</v>
      </c>
      <c r="N1327" t="s">
        <v>5736</v>
      </c>
      <c r="O1327" t="s">
        <v>4773</v>
      </c>
      <c r="P1327">
        <v>119426</v>
      </c>
      <c r="Q1327">
        <v>210962</v>
      </c>
      <c r="R1327" s="2">
        <v>45728</v>
      </c>
      <c r="S1327" t="s">
        <v>16</v>
      </c>
      <c r="T1327" t="s">
        <v>101</v>
      </c>
      <c r="U1327" t="s">
        <v>6384</v>
      </c>
      <c r="W1327" t="s">
        <v>6350</v>
      </c>
      <c r="X1327">
        <v>84</v>
      </c>
      <c r="Y1327" t="s">
        <v>101</v>
      </c>
      <c r="Z1327">
        <v>255</v>
      </c>
    </row>
    <row r="1328" spans="1:26" x14ac:dyDescent="0.3">
      <c r="A1328">
        <v>1327</v>
      </c>
      <c r="B1328" t="s">
        <v>2938</v>
      </c>
      <c r="C1328" t="s">
        <v>45</v>
      </c>
      <c r="D1328" t="s">
        <v>135</v>
      </c>
      <c r="E1328" t="s">
        <v>6351</v>
      </c>
      <c r="F1328" t="s">
        <v>6386</v>
      </c>
      <c r="G1328" t="s">
        <v>6387</v>
      </c>
      <c r="J1328">
        <f>AVERAGE(ai_job_market[[#This Row],[min_salary]],ai_job_market[[#This Row],[max_salary]])</f>
        <v>166692.5</v>
      </c>
      <c r="K1328"/>
      <c r="L1328" t="s">
        <v>22</v>
      </c>
      <c r="M1328" t="s">
        <v>37</v>
      </c>
      <c r="N1328" t="s">
        <v>5737</v>
      </c>
      <c r="O1328" t="s">
        <v>4437</v>
      </c>
      <c r="P1328">
        <v>143238</v>
      </c>
      <c r="Q1328">
        <v>190147</v>
      </c>
      <c r="R1328" s="2">
        <v>45814</v>
      </c>
      <c r="S1328" t="s">
        <v>14</v>
      </c>
      <c r="T1328" t="s">
        <v>90</v>
      </c>
      <c r="U1328" t="s">
        <v>6379</v>
      </c>
      <c r="V1328" t="s">
        <v>6388</v>
      </c>
      <c r="W1328" t="s">
        <v>6351</v>
      </c>
      <c r="X1328">
        <v>89</v>
      </c>
      <c r="Y1328" t="s">
        <v>90</v>
      </c>
      <c r="Z1328">
        <v>259</v>
      </c>
    </row>
    <row r="1329" spans="1:26" x14ac:dyDescent="0.3">
      <c r="A1329">
        <v>1328</v>
      </c>
      <c r="B1329" t="s">
        <v>2940</v>
      </c>
      <c r="C1329" t="s">
        <v>40</v>
      </c>
      <c r="D1329" t="s">
        <v>12</v>
      </c>
      <c r="E1329" t="s">
        <v>6354</v>
      </c>
      <c r="F1329" t="s">
        <v>6394</v>
      </c>
      <c r="G1329" t="s">
        <v>6395</v>
      </c>
      <c r="H1329" t="s">
        <v>6391</v>
      </c>
      <c r="I1329" t="s">
        <v>6381</v>
      </c>
      <c r="J1329" s="6">
        <f>AVERAGE(ai_job_market[[#This Row],[min_salary]],ai_job_market[[#This Row],[max_salary]])</f>
        <v>124758.5</v>
      </c>
      <c r="K1329" t="s">
        <v>6390</v>
      </c>
      <c r="L1329" t="s">
        <v>14</v>
      </c>
      <c r="M1329" t="s">
        <v>37</v>
      </c>
      <c r="N1329" t="s">
        <v>5738</v>
      </c>
      <c r="O1329" t="s">
        <v>4435</v>
      </c>
      <c r="P1329" s="5">
        <v>95911</v>
      </c>
      <c r="Q1329" s="5">
        <v>153606</v>
      </c>
      <c r="R1329" s="2">
        <v>45550</v>
      </c>
      <c r="S1329" t="s">
        <v>16</v>
      </c>
      <c r="T1329" t="s">
        <v>157</v>
      </c>
      <c r="W1329" t="s">
        <v>6354</v>
      </c>
      <c r="X1329">
        <v>75</v>
      </c>
      <c r="Y1329" t="s">
        <v>157</v>
      </c>
      <c r="Z1329">
        <v>247</v>
      </c>
    </row>
    <row r="1330" spans="1:26" x14ac:dyDescent="0.3">
      <c r="A1330">
        <v>1329</v>
      </c>
      <c r="B1330" t="s">
        <v>2942</v>
      </c>
      <c r="C1330" t="s">
        <v>40</v>
      </c>
      <c r="D1330" t="s">
        <v>67</v>
      </c>
      <c r="E1330" t="s">
        <v>6355</v>
      </c>
      <c r="F1330" t="s">
        <v>6389</v>
      </c>
      <c r="G1330" t="s">
        <v>6390</v>
      </c>
      <c r="H1330" t="s">
        <v>6376</v>
      </c>
      <c r="J1330">
        <f>AVERAGE(ai_job_market[[#This Row],[min_salary]],ai_job_market[[#This Row],[max_salary]])</f>
        <v>163559</v>
      </c>
      <c r="K1330"/>
      <c r="L1330" t="s">
        <v>27</v>
      </c>
      <c r="M1330" t="s">
        <v>37</v>
      </c>
      <c r="N1330" t="s">
        <v>5739</v>
      </c>
      <c r="O1330" t="s">
        <v>4331</v>
      </c>
      <c r="P1330">
        <v>144692</v>
      </c>
      <c r="Q1330">
        <v>182426</v>
      </c>
      <c r="R1330" s="2">
        <v>45513</v>
      </c>
      <c r="S1330" t="s">
        <v>16</v>
      </c>
      <c r="T1330" t="s">
        <v>128</v>
      </c>
      <c r="U1330" t="s">
        <v>6376</v>
      </c>
      <c r="V1330" t="s">
        <v>6383</v>
      </c>
      <c r="W1330" t="s">
        <v>6355</v>
      </c>
      <c r="X1330">
        <v>90</v>
      </c>
      <c r="Y1330" t="s">
        <v>128</v>
      </c>
      <c r="Z1330">
        <v>233</v>
      </c>
    </row>
    <row r="1331" spans="1:26" x14ac:dyDescent="0.3">
      <c r="A1331">
        <v>1330</v>
      </c>
      <c r="B1331" t="s">
        <v>2944</v>
      </c>
      <c r="C1331" t="s">
        <v>34</v>
      </c>
      <c r="D1331" t="s">
        <v>30</v>
      </c>
      <c r="E1331" t="s">
        <v>6346</v>
      </c>
      <c r="F1331" t="s">
        <v>6393</v>
      </c>
      <c r="G1331" t="s">
        <v>6394</v>
      </c>
      <c r="H1331" t="s">
        <v>6395</v>
      </c>
      <c r="I1331" t="s">
        <v>6396</v>
      </c>
      <c r="J1331">
        <f>AVERAGE(ai_job_market[[#This Row],[min_salary]],ai_job_market[[#This Row],[max_salary]])</f>
        <v>96909.5</v>
      </c>
      <c r="K1331" t="s">
        <v>6390</v>
      </c>
      <c r="L1331" t="s">
        <v>14</v>
      </c>
      <c r="M1331" t="s">
        <v>37</v>
      </c>
      <c r="N1331" t="s">
        <v>5740</v>
      </c>
      <c r="O1331" t="s">
        <v>4454</v>
      </c>
      <c r="P1331">
        <v>65633</v>
      </c>
      <c r="Q1331">
        <v>128186</v>
      </c>
      <c r="R1331" s="2">
        <v>45903</v>
      </c>
      <c r="S1331" t="s">
        <v>16</v>
      </c>
      <c r="T1331" t="s">
        <v>128</v>
      </c>
      <c r="U1331" t="s">
        <v>6376</v>
      </c>
      <c r="W1331" t="s">
        <v>6346</v>
      </c>
      <c r="X1331">
        <v>78</v>
      </c>
      <c r="Y1331" t="s">
        <v>128</v>
      </c>
      <c r="Z1331">
        <v>233</v>
      </c>
    </row>
    <row r="1332" spans="1:26" x14ac:dyDescent="0.3">
      <c r="A1332">
        <v>1331</v>
      </c>
      <c r="B1332" t="s">
        <v>2946</v>
      </c>
      <c r="C1332" t="s">
        <v>49</v>
      </c>
      <c r="D1332" t="s">
        <v>135</v>
      </c>
      <c r="E1332" t="s">
        <v>6353</v>
      </c>
      <c r="F1332" t="s">
        <v>6376</v>
      </c>
      <c r="G1332" t="s">
        <v>6396</v>
      </c>
      <c r="H1332" t="s">
        <v>6393</v>
      </c>
      <c r="J1332">
        <f>AVERAGE(ai_job_market[[#This Row],[min_salary]],ai_job_market[[#This Row],[max_salary]])</f>
        <v>107122.5</v>
      </c>
      <c r="K1332"/>
      <c r="L1332" t="s">
        <v>14</v>
      </c>
      <c r="M1332" t="s">
        <v>42</v>
      </c>
      <c r="N1332" t="s">
        <v>5741</v>
      </c>
      <c r="O1332" t="s">
        <v>4414</v>
      </c>
      <c r="P1332">
        <v>96745</v>
      </c>
      <c r="Q1332">
        <v>117500</v>
      </c>
      <c r="R1332" s="2">
        <v>45915</v>
      </c>
      <c r="S1332" t="s">
        <v>14</v>
      </c>
      <c r="T1332" t="s">
        <v>70</v>
      </c>
      <c r="U1332" t="s">
        <v>6384</v>
      </c>
      <c r="W1332" t="s">
        <v>6353</v>
      </c>
      <c r="X1332">
        <v>86</v>
      </c>
      <c r="Y1332" t="s">
        <v>70</v>
      </c>
      <c r="Z1332">
        <v>268</v>
      </c>
    </row>
    <row r="1333" spans="1:26" x14ac:dyDescent="0.3">
      <c r="A1333">
        <v>1332</v>
      </c>
      <c r="B1333" t="s">
        <v>2948</v>
      </c>
      <c r="C1333" t="s">
        <v>45</v>
      </c>
      <c r="D1333" t="s">
        <v>135</v>
      </c>
      <c r="E1333" t="s">
        <v>6355</v>
      </c>
      <c r="F1333" t="s">
        <v>6382</v>
      </c>
      <c r="G1333" t="s">
        <v>6376</v>
      </c>
      <c r="J1333">
        <f>AVERAGE(ai_job_market[[#This Row],[min_salary]],ai_job_market[[#This Row],[max_salary]])</f>
        <v>103877.5</v>
      </c>
      <c r="K1333"/>
      <c r="L1333" t="s">
        <v>27</v>
      </c>
      <c r="M1333" t="s">
        <v>42</v>
      </c>
      <c r="N1333" t="s">
        <v>5742</v>
      </c>
      <c r="O1333" t="s">
        <v>4456</v>
      </c>
      <c r="P1333">
        <v>90844</v>
      </c>
      <c r="Q1333">
        <v>116911</v>
      </c>
      <c r="R1333" s="2">
        <v>45527</v>
      </c>
      <c r="S1333" t="s">
        <v>16</v>
      </c>
      <c r="T1333" t="s">
        <v>157</v>
      </c>
      <c r="W1333" t="s">
        <v>6355</v>
      </c>
      <c r="X1333">
        <v>90</v>
      </c>
      <c r="Y1333" t="s">
        <v>157</v>
      </c>
      <c r="Z1333">
        <v>247</v>
      </c>
    </row>
    <row r="1334" spans="1:26" x14ac:dyDescent="0.3">
      <c r="A1334">
        <v>1333</v>
      </c>
      <c r="B1334" t="s">
        <v>2950</v>
      </c>
      <c r="C1334" t="s">
        <v>11</v>
      </c>
      <c r="D1334" t="s">
        <v>35</v>
      </c>
      <c r="E1334" t="s">
        <v>6355</v>
      </c>
      <c r="F1334" t="s">
        <v>6384</v>
      </c>
      <c r="G1334" t="s">
        <v>6386</v>
      </c>
      <c r="H1334" t="s">
        <v>6394</v>
      </c>
      <c r="J1334">
        <f>AVERAGE(ai_job_market[[#This Row],[min_salary]],ai_job_market[[#This Row],[max_salary]])</f>
        <v>170542</v>
      </c>
      <c r="K1334"/>
      <c r="L1334" t="s">
        <v>22</v>
      </c>
      <c r="M1334" t="s">
        <v>51</v>
      </c>
      <c r="N1334" t="s">
        <v>5743</v>
      </c>
      <c r="O1334" t="s">
        <v>4463</v>
      </c>
      <c r="P1334">
        <v>127738</v>
      </c>
      <c r="Q1334">
        <v>213346</v>
      </c>
      <c r="R1334" s="2">
        <v>45712</v>
      </c>
      <c r="S1334" t="s">
        <v>16</v>
      </c>
      <c r="T1334" t="s">
        <v>80</v>
      </c>
      <c r="W1334" t="s">
        <v>6355</v>
      </c>
      <c r="X1334">
        <v>90</v>
      </c>
      <c r="Y1334" t="s">
        <v>80</v>
      </c>
      <c r="Z1334">
        <v>249</v>
      </c>
    </row>
    <row r="1335" spans="1:26" x14ac:dyDescent="0.3">
      <c r="A1335">
        <v>1334</v>
      </c>
      <c r="B1335" t="s">
        <v>2952</v>
      </c>
      <c r="C1335" t="s">
        <v>40</v>
      </c>
      <c r="D1335" t="s">
        <v>20</v>
      </c>
      <c r="E1335" t="s">
        <v>6344</v>
      </c>
      <c r="F1335" t="s">
        <v>6392</v>
      </c>
      <c r="G1335" t="s">
        <v>6389</v>
      </c>
      <c r="J1335">
        <f>AVERAGE(ai_job_market[[#This Row],[min_salary]],ai_job_market[[#This Row],[max_salary]])</f>
        <v>81237.5</v>
      </c>
      <c r="K1335"/>
      <c r="L1335" t="s">
        <v>27</v>
      </c>
      <c r="M1335" t="s">
        <v>42</v>
      </c>
      <c r="N1335" t="s">
        <v>5744</v>
      </c>
      <c r="O1335" t="s">
        <v>5192</v>
      </c>
      <c r="P1335">
        <v>40044</v>
      </c>
      <c r="Q1335">
        <v>122431</v>
      </c>
      <c r="R1335" s="2">
        <v>45235</v>
      </c>
      <c r="S1335" t="s">
        <v>14</v>
      </c>
      <c r="T1335" t="s">
        <v>128</v>
      </c>
      <c r="U1335" t="s">
        <v>6378</v>
      </c>
      <c r="V1335" t="s">
        <v>6376</v>
      </c>
      <c r="W1335" t="s">
        <v>6344</v>
      </c>
      <c r="X1335">
        <v>104</v>
      </c>
      <c r="Y1335" t="s">
        <v>128</v>
      </c>
      <c r="Z1335">
        <v>233</v>
      </c>
    </row>
    <row r="1336" spans="1:26" x14ac:dyDescent="0.3">
      <c r="A1336">
        <v>1335</v>
      </c>
      <c r="B1336" t="s">
        <v>2954</v>
      </c>
      <c r="C1336" t="s">
        <v>11</v>
      </c>
      <c r="D1336" t="s">
        <v>135</v>
      </c>
      <c r="E1336" t="s">
        <v>6353</v>
      </c>
      <c r="F1336" t="s">
        <v>6396</v>
      </c>
      <c r="G1336" t="s">
        <v>6378</v>
      </c>
      <c r="H1336" t="s">
        <v>6382</v>
      </c>
      <c r="I1336" t="s">
        <v>6384</v>
      </c>
      <c r="J1336">
        <f>AVERAGE(ai_job_market[[#This Row],[min_salary]],ai_job_market[[#This Row],[max_salary]])</f>
        <v>120901.5</v>
      </c>
      <c r="K1336" t="s">
        <v>6394</v>
      </c>
      <c r="L1336" t="s">
        <v>27</v>
      </c>
      <c r="M1336" t="s">
        <v>15</v>
      </c>
      <c r="N1336" t="s">
        <v>5745</v>
      </c>
      <c r="O1336" t="s">
        <v>4559</v>
      </c>
      <c r="P1336">
        <v>87576</v>
      </c>
      <c r="Q1336">
        <v>154227</v>
      </c>
      <c r="R1336" s="2">
        <v>45429</v>
      </c>
      <c r="S1336" t="s">
        <v>16</v>
      </c>
      <c r="T1336" t="s">
        <v>70</v>
      </c>
      <c r="U1336" t="s">
        <v>6378</v>
      </c>
      <c r="V1336" t="s">
        <v>6389</v>
      </c>
      <c r="W1336" t="s">
        <v>6353</v>
      </c>
      <c r="X1336">
        <v>86</v>
      </c>
      <c r="Y1336" t="s">
        <v>70</v>
      </c>
      <c r="Z1336">
        <v>268</v>
      </c>
    </row>
    <row r="1337" spans="1:26" x14ac:dyDescent="0.3">
      <c r="A1337">
        <v>1336</v>
      </c>
      <c r="B1337" t="s">
        <v>2957</v>
      </c>
      <c r="C1337" t="s">
        <v>45</v>
      </c>
      <c r="D1337" t="s">
        <v>135</v>
      </c>
      <c r="E1337" t="s">
        <v>6354</v>
      </c>
      <c r="F1337" t="s">
        <v>6393</v>
      </c>
      <c r="G1337" t="s">
        <v>6391</v>
      </c>
      <c r="J1337">
        <f>AVERAGE(ai_job_market[[#This Row],[min_salary]],ai_job_market[[#This Row],[max_salary]])</f>
        <v>149465</v>
      </c>
      <c r="K1337"/>
      <c r="L1337" t="s">
        <v>22</v>
      </c>
      <c r="M1337" t="s">
        <v>15</v>
      </c>
      <c r="N1337" t="s">
        <v>5746</v>
      </c>
      <c r="O1337" t="s">
        <v>4783</v>
      </c>
      <c r="P1337">
        <v>127240</v>
      </c>
      <c r="Q1337">
        <v>171690</v>
      </c>
      <c r="R1337" s="2">
        <v>45271</v>
      </c>
      <c r="S1337" t="s">
        <v>16</v>
      </c>
      <c r="T1337" t="s">
        <v>77</v>
      </c>
      <c r="U1337" t="s">
        <v>6375</v>
      </c>
      <c r="W1337" t="s">
        <v>6354</v>
      </c>
      <c r="X1337">
        <v>75</v>
      </c>
      <c r="Y1337" t="s">
        <v>77</v>
      </c>
      <c r="Z1337">
        <v>251</v>
      </c>
    </row>
    <row r="1338" spans="1:26" x14ac:dyDescent="0.3">
      <c r="A1338">
        <v>1337</v>
      </c>
      <c r="B1338" t="s">
        <v>2959</v>
      </c>
      <c r="C1338" t="s">
        <v>49</v>
      </c>
      <c r="D1338" t="s">
        <v>54</v>
      </c>
      <c r="E1338" t="s">
        <v>77</v>
      </c>
      <c r="F1338" t="s">
        <v>6380</v>
      </c>
      <c r="G1338" t="s">
        <v>6394</v>
      </c>
      <c r="J1338">
        <f>AVERAGE(ai_job_market[[#This Row],[min_salary]],ai_job_market[[#This Row],[max_salary]])</f>
        <v>123245</v>
      </c>
      <c r="K1338"/>
      <c r="L1338" t="s">
        <v>27</v>
      </c>
      <c r="M1338" t="s">
        <v>42</v>
      </c>
      <c r="N1338" t="s">
        <v>5747</v>
      </c>
      <c r="O1338" t="s">
        <v>4420</v>
      </c>
      <c r="P1338">
        <v>79966</v>
      </c>
      <c r="Q1338">
        <v>166524</v>
      </c>
      <c r="R1338" s="2">
        <v>45844</v>
      </c>
      <c r="S1338" t="s">
        <v>14</v>
      </c>
      <c r="T1338" t="s">
        <v>80</v>
      </c>
      <c r="U1338" t="s">
        <v>6376</v>
      </c>
      <c r="W1338" t="s">
        <v>77</v>
      </c>
      <c r="X1338">
        <v>111</v>
      </c>
      <c r="Y1338" t="s">
        <v>80</v>
      </c>
      <c r="Z1338">
        <v>249</v>
      </c>
    </row>
    <row r="1339" spans="1:26" x14ac:dyDescent="0.3">
      <c r="A1339">
        <v>1338</v>
      </c>
      <c r="B1339" t="s">
        <v>2961</v>
      </c>
      <c r="C1339" t="s">
        <v>34</v>
      </c>
      <c r="D1339" t="s">
        <v>54</v>
      </c>
      <c r="E1339" t="s">
        <v>128</v>
      </c>
      <c r="F1339" t="s">
        <v>6384</v>
      </c>
      <c r="G1339" t="s">
        <v>6378</v>
      </c>
      <c r="H1339" t="s">
        <v>6394</v>
      </c>
      <c r="I1339" t="s">
        <v>6374</v>
      </c>
      <c r="J1339">
        <f>AVERAGE(ai_job_market[[#This Row],[min_salary]],ai_job_market[[#This Row],[max_salary]])</f>
        <v>164226.5</v>
      </c>
      <c r="K1339"/>
      <c r="L1339" t="s">
        <v>22</v>
      </c>
      <c r="M1339" t="s">
        <v>37</v>
      </c>
      <c r="N1339" t="s">
        <v>5748</v>
      </c>
      <c r="O1339" t="s">
        <v>5113</v>
      </c>
      <c r="P1339">
        <v>145861</v>
      </c>
      <c r="Q1339">
        <v>182592</v>
      </c>
      <c r="R1339" s="2">
        <v>45709</v>
      </c>
      <c r="S1339" t="s">
        <v>69</v>
      </c>
      <c r="T1339" t="s">
        <v>52</v>
      </c>
      <c r="W1339" t="s">
        <v>128</v>
      </c>
      <c r="X1339">
        <v>92</v>
      </c>
      <c r="Y1339" t="s">
        <v>52</v>
      </c>
      <c r="Z1339">
        <v>238</v>
      </c>
    </row>
    <row r="1340" spans="1:26" x14ac:dyDescent="0.3">
      <c r="A1340">
        <v>1339</v>
      </c>
      <c r="B1340" t="s">
        <v>2963</v>
      </c>
      <c r="C1340" t="s">
        <v>72</v>
      </c>
      <c r="D1340" t="s">
        <v>35</v>
      </c>
      <c r="E1340" t="s">
        <v>6347</v>
      </c>
      <c r="F1340" t="s">
        <v>6382</v>
      </c>
      <c r="G1340" t="s">
        <v>6387</v>
      </c>
      <c r="H1340" t="s">
        <v>6374</v>
      </c>
      <c r="J1340">
        <f>AVERAGE(ai_job_market[[#This Row],[min_salary]],ai_job_market[[#This Row],[max_salary]])</f>
        <v>106557.5</v>
      </c>
      <c r="K1340"/>
      <c r="L1340" t="s">
        <v>27</v>
      </c>
      <c r="M1340" t="s">
        <v>42</v>
      </c>
      <c r="N1340" t="s">
        <v>5749</v>
      </c>
      <c r="O1340" t="s">
        <v>4418</v>
      </c>
      <c r="P1340">
        <v>72218</v>
      </c>
      <c r="Q1340">
        <v>140897</v>
      </c>
      <c r="R1340" s="2">
        <v>45795</v>
      </c>
      <c r="S1340" t="s">
        <v>16</v>
      </c>
      <c r="T1340" t="s">
        <v>77</v>
      </c>
      <c r="U1340" t="s">
        <v>6389</v>
      </c>
      <c r="V1340" t="s">
        <v>6388</v>
      </c>
      <c r="W1340" t="s">
        <v>6347</v>
      </c>
      <c r="X1340">
        <v>94</v>
      </c>
      <c r="Y1340" t="s">
        <v>77</v>
      </c>
      <c r="Z1340">
        <v>251</v>
      </c>
    </row>
    <row r="1341" spans="1:26" x14ac:dyDescent="0.3">
      <c r="A1341">
        <v>1340</v>
      </c>
      <c r="B1341" t="s">
        <v>2965</v>
      </c>
      <c r="C1341" t="s">
        <v>11</v>
      </c>
      <c r="D1341" t="s">
        <v>54</v>
      </c>
      <c r="E1341" t="s">
        <v>6355</v>
      </c>
      <c r="F1341" t="s">
        <v>6393</v>
      </c>
      <c r="G1341" t="s">
        <v>6385</v>
      </c>
      <c r="H1341" t="s">
        <v>6395</v>
      </c>
      <c r="J1341">
        <f>AVERAGE(ai_job_market[[#This Row],[min_salary]],ai_job_market[[#This Row],[max_salary]])</f>
        <v>66203</v>
      </c>
      <c r="K1341"/>
      <c r="L1341" t="s">
        <v>14</v>
      </c>
      <c r="M1341" t="s">
        <v>15</v>
      </c>
      <c r="N1341" t="s">
        <v>5750</v>
      </c>
      <c r="O1341" t="s">
        <v>4684</v>
      </c>
      <c r="P1341">
        <v>44006</v>
      </c>
      <c r="Q1341">
        <v>88400</v>
      </c>
      <c r="R1341" s="2">
        <v>45396</v>
      </c>
      <c r="S1341" t="s">
        <v>14</v>
      </c>
      <c r="T1341" t="s">
        <v>77</v>
      </c>
      <c r="U1341" t="s">
        <v>6388</v>
      </c>
      <c r="W1341" t="s">
        <v>6355</v>
      </c>
      <c r="X1341">
        <v>90</v>
      </c>
      <c r="Y1341" t="s">
        <v>77</v>
      </c>
      <c r="Z1341">
        <v>251</v>
      </c>
    </row>
    <row r="1342" spans="1:26" x14ac:dyDescent="0.3">
      <c r="A1342">
        <v>1341</v>
      </c>
      <c r="B1342" t="s">
        <v>2967</v>
      </c>
      <c r="C1342" t="s">
        <v>49</v>
      </c>
      <c r="D1342" t="s">
        <v>25</v>
      </c>
      <c r="E1342" t="s">
        <v>6357</v>
      </c>
      <c r="F1342" t="s">
        <v>6378</v>
      </c>
      <c r="G1342" t="s">
        <v>6394</v>
      </c>
      <c r="H1342" t="s">
        <v>6384</v>
      </c>
      <c r="I1342" t="s">
        <v>6390</v>
      </c>
      <c r="J1342" s="6">
        <f>AVERAGE(ai_job_market[[#This Row],[min_salary]],ai_job_market[[#This Row],[max_salary]])</f>
        <v>64069</v>
      </c>
      <c r="K1342" t="s">
        <v>6374</v>
      </c>
      <c r="L1342" t="s">
        <v>27</v>
      </c>
      <c r="M1342" t="s">
        <v>42</v>
      </c>
      <c r="N1342" t="s">
        <v>5751</v>
      </c>
      <c r="O1342" t="s">
        <v>4329</v>
      </c>
      <c r="P1342" s="5">
        <v>43780</v>
      </c>
      <c r="Q1342" s="5">
        <v>84358</v>
      </c>
      <c r="R1342" s="2">
        <v>45306</v>
      </c>
      <c r="S1342" t="s">
        <v>14</v>
      </c>
      <c r="T1342" t="s">
        <v>80</v>
      </c>
      <c r="U1342" t="s">
        <v>6389</v>
      </c>
      <c r="W1342" t="s">
        <v>6357</v>
      </c>
      <c r="X1342">
        <v>88</v>
      </c>
      <c r="Y1342" t="s">
        <v>80</v>
      </c>
      <c r="Z1342">
        <v>249</v>
      </c>
    </row>
    <row r="1343" spans="1:26" x14ac:dyDescent="0.3">
      <c r="A1343">
        <v>1342</v>
      </c>
      <c r="B1343" t="s">
        <v>2969</v>
      </c>
      <c r="C1343" t="s">
        <v>19</v>
      </c>
      <c r="D1343" t="s">
        <v>25</v>
      </c>
      <c r="E1343" t="s">
        <v>101</v>
      </c>
      <c r="F1343" t="s">
        <v>6390</v>
      </c>
      <c r="G1343" t="s">
        <v>6382</v>
      </c>
      <c r="J1343">
        <f>AVERAGE(ai_job_market[[#This Row],[min_salary]],ai_job_market[[#This Row],[max_salary]])</f>
        <v>97994.5</v>
      </c>
      <c r="K1343"/>
      <c r="L1343" t="s">
        <v>27</v>
      </c>
      <c r="M1343" t="s">
        <v>51</v>
      </c>
      <c r="N1343" t="s">
        <v>4837</v>
      </c>
      <c r="O1343" t="s">
        <v>4706</v>
      </c>
      <c r="P1343">
        <v>61249</v>
      </c>
      <c r="Q1343">
        <v>134740</v>
      </c>
      <c r="R1343" s="2">
        <v>45311</v>
      </c>
      <c r="S1343" t="s">
        <v>16</v>
      </c>
      <c r="T1343" t="s">
        <v>128</v>
      </c>
      <c r="U1343" t="s">
        <v>6388</v>
      </c>
      <c r="W1343" t="s">
        <v>101</v>
      </c>
      <c r="X1343">
        <v>76</v>
      </c>
      <c r="Y1343" t="s">
        <v>128</v>
      </c>
      <c r="Z1343">
        <v>233</v>
      </c>
    </row>
    <row r="1344" spans="1:26" x14ac:dyDescent="0.3">
      <c r="A1344">
        <v>1343</v>
      </c>
      <c r="B1344" t="s">
        <v>2971</v>
      </c>
      <c r="C1344" t="s">
        <v>49</v>
      </c>
      <c r="D1344" t="s">
        <v>12</v>
      </c>
      <c r="E1344" t="s">
        <v>77</v>
      </c>
      <c r="F1344" t="s">
        <v>6389</v>
      </c>
      <c r="G1344" t="s">
        <v>6396</v>
      </c>
      <c r="H1344" t="s">
        <v>6374</v>
      </c>
      <c r="I1344" t="s">
        <v>6393</v>
      </c>
      <c r="J1344">
        <f>AVERAGE(ai_job_market[[#This Row],[min_salary]],ai_job_market[[#This Row],[max_salary]])</f>
        <v>172424</v>
      </c>
      <c r="K1344" t="s">
        <v>6382</v>
      </c>
      <c r="L1344" t="s">
        <v>27</v>
      </c>
      <c r="M1344" t="s">
        <v>51</v>
      </c>
      <c r="N1344" t="s">
        <v>5752</v>
      </c>
      <c r="O1344" t="s">
        <v>4503</v>
      </c>
      <c r="P1344">
        <v>149324</v>
      </c>
      <c r="Q1344">
        <v>195524</v>
      </c>
      <c r="R1344" s="2">
        <v>45630</v>
      </c>
      <c r="S1344" t="s">
        <v>16</v>
      </c>
      <c r="T1344" t="s">
        <v>52</v>
      </c>
      <c r="U1344" t="s">
        <v>6384</v>
      </c>
      <c r="W1344" t="s">
        <v>77</v>
      </c>
      <c r="X1344">
        <v>111</v>
      </c>
      <c r="Y1344" t="s">
        <v>52</v>
      </c>
      <c r="Z1344">
        <v>238</v>
      </c>
    </row>
    <row r="1345" spans="1:26" x14ac:dyDescent="0.3">
      <c r="A1345">
        <v>1344</v>
      </c>
      <c r="B1345" t="s">
        <v>2973</v>
      </c>
      <c r="C1345" t="s">
        <v>40</v>
      </c>
      <c r="D1345" t="s">
        <v>35</v>
      </c>
      <c r="E1345" t="s">
        <v>6350</v>
      </c>
      <c r="F1345" t="s">
        <v>6376</v>
      </c>
      <c r="G1345" t="s">
        <v>6378</v>
      </c>
      <c r="H1345" t="s">
        <v>6377</v>
      </c>
      <c r="J1345">
        <f>AVERAGE(ai_job_market[[#This Row],[min_salary]],ai_job_market[[#This Row],[max_salary]])</f>
        <v>155967.5</v>
      </c>
      <c r="K1345"/>
      <c r="L1345" t="s">
        <v>27</v>
      </c>
      <c r="M1345" t="s">
        <v>37</v>
      </c>
      <c r="N1345" t="s">
        <v>5753</v>
      </c>
      <c r="O1345" t="s">
        <v>4346</v>
      </c>
      <c r="P1345">
        <v>143363</v>
      </c>
      <c r="Q1345">
        <v>168572</v>
      </c>
      <c r="R1345" s="2">
        <v>45902</v>
      </c>
      <c r="S1345" t="s">
        <v>69</v>
      </c>
      <c r="T1345" t="s">
        <v>52</v>
      </c>
      <c r="U1345" t="s">
        <v>6378</v>
      </c>
      <c r="W1345" t="s">
        <v>6350</v>
      </c>
      <c r="X1345">
        <v>84</v>
      </c>
      <c r="Y1345" t="s">
        <v>52</v>
      </c>
      <c r="Z1345">
        <v>238</v>
      </c>
    </row>
    <row r="1346" spans="1:26" x14ac:dyDescent="0.3">
      <c r="A1346">
        <v>1345</v>
      </c>
      <c r="B1346" t="s">
        <v>901</v>
      </c>
      <c r="C1346" t="s">
        <v>45</v>
      </c>
      <c r="D1346" t="s">
        <v>135</v>
      </c>
      <c r="E1346" t="s">
        <v>6347</v>
      </c>
      <c r="F1346" t="s">
        <v>6390</v>
      </c>
      <c r="G1346" t="s">
        <v>6394</v>
      </c>
      <c r="H1346" t="s">
        <v>6387</v>
      </c>
      <c r="I1346" t="s">
        <v>6376</v>
      </c>
      <c r="J1346" s="6">
        <f>AVERAGE(ai_job_market[[#This Row],[min_salary]],ai_job_market[[#This Row],[max_salary]])</f>
        <v>100950</v>
      </c>
      <c r="K1346" t="s">
        <v>6375</v>
      </c>
      <c r="L1346" t="s">
        <v>22</v>
      </c>
      <c r="M1346" t="s">
        <v>51</v>
      </c>
      <c r="N1346" t="s">
        <v>5754</v>
      </c>
      <c r="O1346" t="s">
        <v>4587</v>
      </c>
      <c r="P1346" s="5">
        <v>93073</v>
      </c>
      <c r="Q1346" s="5">
        <v>108827</v>
      </c>
      <c r="R1346" s="2">
        <v>45261</v>
      </c>
      <c r="S1346" t="s">
        <v>16</v>
      </c>
      <c r="T1346" t="s">
        <v>157</v>
      </c>
      <c r="U1346" t="s">
        <v>6376</v>
      </c>
      <c r="W1346" t="s">
        <v>6347</v>
      </c>
      <c r="X1346">
        <v>94</v>
      </c>
      <c r="Y1346" t="s">
        <v>157</v>
      </c>
      <c r="Z1346">
        <v>247</v>
      </c>
    </row>
    <row r="1347" spans="1:26" x14ac:dyDescent="0.3">
      <c r="A1347">
        <v>1346</v>
      </c>
      <c r="B1347" t="s">
        <v>2976</v>
      </c>
      <c r="C1347" t="s">
        <v>11</v>
      </c>
      <c r="D1347" t="s">
        <v>25</v>
      </c>
      <c r="E1347" t="s">
        <v>6349</v>
      </c>
      <c r="F1347" t="s">
        <v>6385</v>
      </c>
      <c r="G1347" t="s">
        <v>6392</v>
      </c>
      <c r="H1347" t="s">
        <v>6397</v>
      </c>
      <c r="I1347" t="s">
        <v>6377</v>
      </c>
      <c r="J1347">
        <f>AVERAGE(ai_job_market[[#This Row],[min_salary]],ai_job_market[[#This Row],[max_salary]])</f>
        <v>194145.5</v>
      </c>
      <c r="K1347" t="s">
        <v>6394</v>
      </c>
      <c r="L1347" t="s">
        <v>27</v>
      </c>
      <c r="M1347" t="s">
        <v>15</v>
      </c>
      <c r="N1347" t="s">
        <v>5755</v>
      </c>
      <c r="O1347" t="s">
        <v>4307</v>
      </c>
      <c r="P1347">
        <v>144902</v>
      </c>
      <c r="Q1347">
        <v>243389</v>
      </c>
      <c r="R1347" s="2">
        <v>45797</v>
      </c>
      <c r="S1347" t="s">
        <v>16</v>
      </c>
      <c r="T1347" t="s">
        <v>128</v>
      </c>
      <c r="U1347" t="s">
        <v>6378</v>
      </c>
      <c r="W1347" t="s">
        <v>6349</v>
      </c>
      <c r="X1347">
        <v>96</v>
      </c>
      <c r="Y1347" t="s">
        <v>128</v>
      </c>
      <c r="Z1347">
        <v>233</v>
      </c>
    </row>
    <row r="1348" spans="1:26" x14ac:dyDescent="0.3">
      <c r="A1348">
        <v>1347</v>
      </c>
      <c r="B1348" t="s">
        <v>2978</v>
      </c>
      <c r="C1348" t="s">
        <v>45</v>
      </c>
      <c r="D1348" t="s">
        <v>30</v>
      </c>
      <c r="E1348" t="s">
        <v>6349</v>
      </c>
      <c r="F1348" t="s">
        <v>6384</v>
      </c>
      <c r="G1348" t="s">
        <v>6396</v>
      </c>
      <c r="H1348" t="s">
        <v>6380</v>
      </c>
      <c r="I1348" t="s">
        <v>6375</v>
      </c>
      <c r="J1348" s="6">
        <f>AVERAGE(ai_job_market[[#This Row],[min_salary]],ai_job_market[[#This Row],[max_salary]])</f>
        <v>85037</v>
      </c>
      <c r="K1348"/>
      <c r="L1348" t="s">
        <v>14</v>
      </c>
      <c r="M1348" t="s">
        <v>37</v>
      </c>
      <c r="N1348" t="s">
        <v>5756</v>
      </c>
      <c r="O1348" t="s">
        <v>5030</v>
      </c>
      <c r="P1348" s="5">
        <v>73201</v>
      </c>
      <c r="Q1348" s="5">
        <v>96873</v>
      </c>
      <c r="R1348" s="2">
        <v>45678</v>
      </c>
      <c r="S1348" t="s">
        <v>14</v>
      </c>
      <c r="T1348" t="s">
        <v>90</v>
      </c>
      <c r="W1348" t="s">
        <v>6349</v>
      </c>
      <c r="X1348">
        <v>96</v>
      </c>
      <c r="Y1348" t="s">
        <v>90</v>
      </c>
      <c r="Z1348">
        <v>259</v>
      </c>
    </row>
    <row r="1349" spans="1:26" x14ac:dyDescent="0.3">
      <c r="A1349">
        <v>1348</v>
      </c>
      <c r="B1349" t="s">
        <v>2980</v>
      </c>
      <c r="C1349" t="s">
        <v>19</v>
      </c>
      <c r="D1349" t="s">
        <v>30</v>
      </c>
      <c r="E1349" t="s">
        <v>80</v>
      </c>
      <c r="F1349" t="s">
        <v>6392</v>
      </c>
      <c r="G1349" t="s">
        <v>6377</v>
      </c>
      <c r="H1349" t="s">
        <v>6382</v>
      </c>
      <c r="J1349">
        <f>AVERAGE(ai_job_market[[#This Row],[min_salary]],ai_job_market[[#This Row],[max_salary]])</f>
        <v>87623.5</v>
      </c>
      <c r="K1349"/>
      <c r="L1349" t="s">
        <v>27</v>
      </c>
      <c r="M1349" t="s">
        <v>37</v>
      </c>
      <c r="N1349" t="s">
        <v>5757</v>
      </c>
      <c r="O1349" t="s">
        <v>4536</v>
      </c>
      <c r="P1349">
        <v>53695</v>
      </c>
      <c r="Q1349">
        <v>121552</v>
      </c>
      <c r="R1349" s="2">
        <v>45323</v>
      </c>
      <c r="S1349" t="s">
        <v>16</v>
      </c>
      <c r="T1349" t="s">
        <v>70</v>
      </c>
      <c r="U1349" t="s">
        <v>6388</v>
      </c>
      <c r="V1349" t="s">
        <v>6389</v>
      </c>
      <c r="W1349" t="s">
        <v>80</v>
      </c>
      <c r="X1349">
        <v>95</v>
      </c>
      <c r="Y1349" t="s">
        <v>70</v>
      </c>
      <c r="Z1349">
        <v>268</v>
      </c>
    </row>
    <row r="1350" spans="1:26" x14ac:dyDescent="0.3">
      <c r="A1350">
        <v>1349</v>
      </c>
      <c r="B1350" t="s">
        <v>2982</v>
      </c>
      <c r="C1350" t="s">
        <v>72</v>
      </c>
      <c r="D1350" t="s">
        <v>54</v>
      </c>
      <c r="E1350" t="s">
        <v>6352</v>
      </c>
      <c r="F1350" t="s">
        <v>6378</v>
      </c>
      <c r="G1350" t="s">
        <v>6390</v>
      </c>
      <c r="J1350" s="6">
        <f>AVERAGE(ai_job_market[[#This Row],[min_salary]],ai_job_market[[#This Row],[max_salary]])</f>
        <v>91510.5</v>
      </c>
      <c r="K1350"/>
      <c r="L1350" t="s">
        <v>14</v>
      </c>
      <c r="M1350" t="s">
        <v>37</v>
      </c>
      <c r="N1350" t="s">
        <v>5758</v>
      </c>
      <c r="O1350" t="s">
        <v>4305</v>
      </c>
      <c r="P1350" s="5">
        <v>42104</v>
      </c>
      <c r="Q1350" s="5">
        <v>140917</v>
      </c>
      <c r="R1350" s="2">
        <v>45898</v>
      </c>
      <c r="S1350" t="s">
        <v>14</v>
      </c>
      <c r="T1350" t="s">
        <v>80</v>
      </c>
      <c r="U1350" t="s">
        <v>6389</v>
      </c>
      <c r="W1350" t="s">
        <v>6352</v>
      </c>
      <c r="X1350">
        <v>97</v>
      </c>
      <c r="Y1350" t="s">
        <v>80</v>
      </c>
      <c r="Z1350">
        <v>249</v>
      </c>
    </row>
    <row r="1351" spans="1:26" x14ac:dyDescent="0.3">
      <c r="A1351">
        <v>1350</v>
      </c>
      <c r="B1351" t="s">
        <v>2984</v>
      </c>
      <c r="C1351" t="s">
        <v>40</v>
      </c>
      <c r="D1351" t="s">
        <v>54</v>
      </c>
      <c r="E1351" t="s">
        <v>6359</v>
      </c>
      <c r="F1351" t="s">
        <v>6396</v>
      </c>
      <c r="G1351" t="s">
        <v>6379</v>
      </c>
      <c r="H1351" t="s">
        <v>6384</v>
      </c>
      <c r="I1351" t="s">
        <v>6378</v>
      </c>
      <c r="J1351">
        <f>AVERAGE(ai_job_market[[#This Row],[min_salary]],ai_job_market[[#This Row],[max_salary]])</f>
        <v>155958.5</v>
      </c>
      <c r="K1351" t="s">
        <v>6387</v>
      </c>
      <c r="L1351" t="s">
        <v>14</v>
      </c>
      <c r="M1351" t="s">
        <v>51</v>
      </c>
      <c r="N1351" t="s">
        <v>4324</v>
      </c>
      <c r="O1351" t="s">
        <v>5030</v>
      </c>
      <c r="P1351">
        <v>146786</v>
      </c>
      <c r="Q1351">
        <v>165131</v>
      </c>
      <c r="R1351" s="2">
        <v>45217</v>
      </c>
      <c r="S1351" t="s">
        <v>16</v>
      </c>
      <c r="T1351" t="s">
        <v>80</v>
      </c>
      <c r="W1351" t="s">
        <v>6359</v>
      </c>
      <c r="X1351">
        <v>104</v>
      </c>
      <c r="Y1351" t="s">
        <v>80</v>
      </c>
      <c r="Z1351">
        <v>249</v>
      </c>
    </row>
    <row r="1352" spans="1:26" x14ac:dyDescent="0.3">
      <c r="A1352">
        <v>1351</v>
      </c>
      <c r="B1352" t="s">
        <v>2986</v>
      </c>
      <c r="C1352" t="s">
        <v>40</v>
      </c>
      <c r="D1352" t="s">
        <v>135</v>
      </c>
      <c r="E1352" t="s">
        <v>6345</v>
      </c>
      <c r="F1352" t="s">
        <v>6378</v>
      </c>
      <c r="G1352" t="s">
        <v>6395</v>
      </c>
      <c r="H1352" t="s">
        <v>6387</v>
      </c>
      <c r="J1352">
        <f>AVERAGE(ai_job_market[[#This Row],[min_salary]],ai_job_market[[#This Row],[max_salary]])</f>
        <v>57607.5</v>
      </c>
      <c r="K1352"/>
      <c r="L1352" t="s">
        <v>22</v>
      </c>
      <c r="M1352" t="s">
        <v>37</v>
      </c>
      <c r="N1352" t="s">
        <v>5759</v>
      </c>
      <c r="O1352" t="s">
        <v>4463</v>
      </c>
      <c r="P1352">
        <v>52261</v>
      </c>
      <c r="Q1352">
        <v>62954</v>
      </c>
      <c r="R1352" s="2">
        <v>45868</v>
      </c>
      <c r="S1352" t="s">
        <v>69</v>
      </c>
      <c r="T1352" t="s">
        <v>70</v>
      </c>
      <c r="W1352" t="s">
        <v>6345</v>
      </c>
      <c r="X1352">
        <v>101</v>
      </c>
      <c r="Y1352" t="s">
        <v>70</v>
      </c>
      <c r="Z1352">
        <v>268</v>
      </c>
    </row>
    <row r="1353" spans="1:26" x14ac:dyDescent="0.3">
      <c r="A1353">
        <v>1352</v>
      </c>
      <c r="B1353" t="s">
        <v>2988</v>
      </c>
      <c r="C1353" t="s">
        <v>45</v>
      </c>
      <c r="D1353" t="s">
        <v>54</v>
      </c>
      <c r="E1353" t="s">
        <v>6346</v>
      </c>
      <c r="F1353" t="s">
        <v>6393</v>
      </c>
      <c r="G1353" t="s">
        <v>6389</v>
      </c>
      <c r="J1353" s="6">
        <f>AVERAGE(ai_job_market[[#This Row],[min_salary]],ai_job_market[[#This Row],[max_salary]])</f>
        <v>149865</v>
      </c>
      <c r="K1353"/>
      <c r="L1353" t="s">
        <v>27</v>
      </c>
      <c r="M1353" t="s">
        <v>51</v>
      </c>
      <c r="N1353" t="s">
        <v>5760</v>
      </c>
      <c r="O1353" t="s">
        <v>4596</v>
      </c>
      <c r="P1353" s="5">
        <v>124350</v>
      </c>
      <c r="Q1353" s="5">
        <v>175380</v>
      </c>
      <c r="R1353" s="2">
        <v>45321</v>
      </c>
      <c r="S1353" t="s">
        <v>16</v>
      </c>
      <c r="T1353" t="s">
        <v>128</v>
      </c>
      <c r="U1353" t="s">
        <v>6376</v>
      </c>
      <c r="V1353" t="s">
        <v>6384</v>
      </c>
      <c r="W1353" t="s">
        <v>6346</v>
      </c>
      <c r="X1353">
        <v>78</v>
      </c>
      <c r="Y1353" t="s">
        <v>128</v>
      </c>
      <c r="Z1353">
        <v>233</v>
      </c>
    </row>
    <row r="1354" spans="1:26" x14ac:dyDescent="0.3">
      <c r="A1354">
        <v>1353</v>
      </c>
      <c r="B1354" t="s">
        <v>2990</v>
      </c>
      <c r="C1354" t="s">
        <v>49</v>
      </c>
      <c r="D1354" t="s">
        <v>20</v>
      </c>
      <c r="E1354" t="s">
        <v>6355</v>
      </c>
      <c r="F1354" t="s">
        <v>6381</v>
      </c>
      <c r="G1354" t="s">
        <v>6386</v>
      </c>
      <c r="J1354">
        <f>AVERAGE(ai_job_market[[#This Row],[min_salary]],ai_job_market[[#This Row],[max_salary]])</f>
        <v>140420</v>
      </c>
      <c r="K1354"/>
      <c r="L1354" t="s">
        <v>27</v>
      </c>
      <c r="M1354" t="s">
        <v>51</v>
      </c>
      <c r="N1354" t="s">
        <v>5761</v>
      </c>
      <c r="O1354" t="s">
        <v>4794</v>
      </c>
      <c r="P1354">
        <v>122574</v>
      </c>
      <c r="Q1354">
        <v>158266</v>
      </c>
      <c r="R1354" s="2">
        <v>45722</v>
      </c>
      <c r="S1354" t="s">
        <v>69</v>
      </c>
      <c r="T1354" t="s">
        <v>90</v>
      </c>
      <c r="W1354" t="s">
        <v>6355</v>
      </c>
      <c r="X1354">
        <v>90</v>
      </c>
      <c r="Y1354" t="s">
        <v>90</v>
      </c>
      <c r="Z1354">
        <v>259</v>
      </c>
    </row>
    <row r="1355" spans="1:26" x14ac:dyDescent="0.3">
      <c r="A1355">
        <v>1354</v>
      </c>
      <c r="B1355" t="s">
        <v>2992</v>
      </c>
      <c r="C1355" t="s">
        <v>49</v>
      </c>
      <c r="D1355" t="s">
        <v>12</v>
      </c>
      <c r="E1355" t="s">
        <v>6356</v>
      </c>
      <c r="F1355" t="s">
        <v>6378</v>
      </c>
      <c r="G1355" t="s">
        <v>6395</v>
      </c>
      <c r="H1355" t="s">
        <v>6374</v>
      </c>
      <c r="I1355" t="s">
        <v>6390</v>
      </c>
      <c r="J1355">
        <f>AVERAGE(ai_job_market[[#This Row],[min_salary]],ai_job_market[[#This Row],[max_salary]])</f>
        <v>64953.5</v>
      </c>
      <c r="K1355" t="s">
        <v>6381</v>
      </c>
      <c r="L1355" t="s">
        <v>27</v>
      </c>
      <c r="M1355" t="s">
        <v>15</v>
      </c>
      <c r="N1355" t="s">
        <v>5762</v>
      </c>
      <c r="O1355" t="s">
        <v>4341</v>
      </c>
      <c r="P1355">
        <v>50676</v>
      </c>
      <c r="Q1355">
        <v>79231</v>
      </c>
      <c r="R1355" s="2">
        <v>45745</v>
      </c>
      <c r="S1355" t="s">
        <v>14</v>
      </c>
      <c r="T1355" t="s">
        <v>90</v>
      </c>
      <c r="W1355" t="s">
        <v>6356</v>
      </c>
      <c r="X1355">
        <v>86</v>
      </c>
      <c r="Y1355" t="s">
        <v>90</v>
      </c>
      <c r="Z1355">
        <v>259</v>
      </c>
    </row>
    <row r="1356" spans="1:26" x14ac:dyDescent="0.3">
      <c r="A1356">
        <v>1355</v>
      </c>
      <c r="B1356" t="s">
        <v>2994</v>
      </c>
      <c r="C1356" t="s">
        <v>72</v>
      </c>
      <c r="D1356" t="s">
        <v>30</v>
      </c>
      <c r="E1356" t="s">
        <v>6353</v>
      </c>
      <c r="F1356" t="s">
        <v>6378</v>
      </c>
      <c r="G1356" t="s">
        <v>6395</v>
      </c>
      <c r="J1356">
        <f>AVERAGE(ai_job_market[[#This Row],[min_salary]],ai_job_market[[#This Row],[max_salary]])</f>
        <v>102334</v>
      </c>
      <c r="K1356"/>
      <c r="L1356" t="s">
        <v>14</v>
      </c>
      <c r="M1356" t="s">
        <v>51</v>
      </c>
      <c r="N1356" t="s">
        <v>5763</v>
      </c>
      <c r="O1356" t="s">
        <v>4291</v>
      </c>
      <c r="P1356">
        <v>59596</v>
      </c>
      <c r="Q1356">
        <v>145072</v>
      </c>
      <c r="R1356" s="2">
        <v>45479</v>
      </c>
      <c r="S1356" t="s">
        <v>16</v>
      </c>
      <c r="T1356" t="s">
        <v>157</v>
      </c>
      <c r="W1356" t="s">
        <v>6353</v>
      </c>
      <c r="X1356">
        <v>86</v>
      </c>
      <c r="Y1356" t="s">
        <v>157</v>
      </c>
      <c r="Z1356">
        <v>247</v>
      </c>
    </row>
    <row r="1357" spans="1:26" x14ac:dyDescent="0.3">
      <c r="A1357">
        <v>1356</v>
      </c>
      <c r="B1357" t="s">
        <v>2996</v>
      </c>
      <c r="C1357" t="s">
        <v>40</v>
      </c>
      <c r="D1357" t="s">
        <v>25</v>
      </c>
      <c r="E1357" t="s">
        <v>6355</v>
      </c>
      <c r="F1357" t="s">
        <v>6376</v>
      </c>
      <c r="G1357" t="s">
        <v>6396</v>
      </c>
      <c r="H1357" t="s">
        <v>6392</v>
      </c>
      <c r="I1357" t="s">
        <v>6377</v>
      </c>
      <c r="J1357" s="6">
        <f>AVERAGE(ai_job_market[[#This Row],[min_salary]],ai_job_market[[#This Row],[max_salary]])</f>
        <v>79176</v>
      </c>
      <c r="K1357" t="s">
        <v>6386</v>
      </c>
      <c r="L1357" t="s">
        <v>14</v>
      </c>
      <c r="M1357" t="s">
        <v>42</v>
      </c>
      <c r="N1357" t="s">
        <v>5764</v>
      </c>
      <c r="O1357" t="s">
        <v>4743</v>
      </c>
      <c r="P1357" s="5">
        <v>52352</v>
      </c>
      <c r="Q1357" s="5">
        <v>106000</v>
      </c>
      <c r="R1357" s="2">
        <v>45608</v>
      </c>
      <c r="S1357" t="s">
        <v>69</v>
      </c>
      <c r="T1357" t="s">
        <v>128</v>
      </c>
      <c r="W1357" t="s">
        <v>6355</v>
      </c>
      <c r="X1357">
        <v>90</v>
      </c>
      <c r="Y1357" t="s">
        <v>128</v>
      </c>
      <c r="Z1357">
        <v>233</v>
      </c>
    </row>
    <row r="1358" spans="1:26" x14ac:dyDescent="0.3">
      <c r="A1358">
        <v>1357</v>
      </c>
      <c r="B1358" t="s">
        <v>2998</v>
      </c>
      <c r="C1358" t="s">
        <v>45</v>
      </c>
      <c r="D1358" t="s">
        <v>135</v>
      </c>
      <c r="E1358" t="s">
        <v>6355</v>
      </c>
      <c r="F1358" t="s">
        <v>6377</v>
      </c>
      <c r="G1358" t="s">
        <v>6393</v>
      </c>
      <c r="H1358" t="s">
        <v>6387</v>
      </c>
      <c r="I1358" t="s">
        <v>6376</v>
      </c>
      <c r="J1358">
        <f>AVERAGE(ai_job_market[[#This Row],[min_salary]],ai_job_market[[#This Row],[max_salary]])</f>
        <v>56477</v>
      </c>
      <c r="K1358"/>
      <c r="L1358" t="s">
        <v>22</v>
      </c>
      <c r="M1358" t="s">
        <v>37</v>
      </c>
      <c r="N1358" t="s">
        <v>5765</v>
      </c>
      <c r="O1358" t="s">
        <v>4444</v>
      </c>
      <c r="P1358">
        <v>44992</v>
      </c>
      <c r="Q1358">
        <v>67962</v>
      </c>
      <c r="R1358" s="2">
        <v>45432</v>
      </c>
      <c r="S1358" t="s">
        <v>69</v>
      </c>
      <c r="T1358" t="s">
        <v>70</v>
      </c>
      <c r="U1358" t="s">
        <v>6384</v>
      </c>
      <c r="W1358" t="s">
        <v>6355</v>
      </c>
      <c r="X1358">
        <v>90</v>
      </c>
      <c r="Y1358" t="s">
        <v>70</v>
      </c>
      <c r="Z1358">
        <v>268</v>
      </c>
    </row>
    <row r="1359" spans="1:26" x14ac:dyDescent="0.3">
      <c r="A1359">
        <v>1358</v>
      </c>
      <c r="B1359" t="s">
        <v>3000</v>
      </c>
      <c r="C1359" t="s">
        <v>11</v>
      </c>
      <c r="D1359" t="s">
        <v>30</v>
      </c>
      <c r="E1359" t="s">
        <v>6350</v>
      </c>
      <c r="F1359" t="s">
        <v>6386</v>
      </c>
      <c r="G1359" t="s">
        <v>6381</v>
      </c>
      <c r="J1359">
        <f>AVERAGE(ai_job_market[[#This Row],[min_salary]],ai_job_market[[#This Row],[max_salary]])</f>
        <v>90494</v>
      </c>
      <c r="K1359"/>
      <c r="L1359" t="s">
        <v>14</v>
      </c>
      <c r="M1359" t="s">
        <v>42</v>
      </c>
      <c r="N1359" t="s">
        <v>5766</v>
      </c>
      <c r="O1359" t="s">
        <v>4973</v>
      </c>
      <c r="P1359">
        <v>76958</v>
      </c>
      <c r="Q1359">
        <v>104030</v>
      </c>
      <c r="R1359" s="2">
        <v>45582</v>
      </c>
      <c r="S1359" t="s">
        <v>69</v>
      </c>
      <c r="T1359" t="s">
        <v>70</v>
      </c>
      <c r="U1359" t="s">
        <v>6376</v>
      </c>
      <c r="V1359" t="s">
        <v>6389</v>
      </c>
      <c r="W1359" t="s">
        <v>6350</v>
      </c>
      <c r="X1359">
        <v>84</v>
      </c>
      <c r="Y1359" t="s">
        <v>70</v>
      </c>
      <c r="Z1359">
        <v>268</v>
      </c>
    </row>
    <row r="1360" spans="1:26" x14ac:dyDescent="0.3">
      <c r="A1360">
        <v>1359</v>
      </c>
      <c r="B1360" t="s">
        <v>3002</v>
      </c>
      <c r="C1360" t="s">
        <v>45</v>
      </c>
      <c r="D1360" t="s">
        <v>12</v>
      </c>
      <c r="E1360" t="s">
        <v>6357</v>
      </c>
      <c r="F1360" t="s">
        <v>6376</v>
      </c>
      <c r="G1360" t="s">
        <v>6384</v>
      </c>
      <c r="H1360" t="s">
        <v>6379</v>
      </c>
      <c r="I1360" t="s">
        <v>6387</v>
      </c>
      <c r="J1360" s="6">
        <f>AVERAGE(ai_job_market[[#This Row],[min_salary]],ai_job_market[[#This Row],[max_salary]])</f>
        <v>127382</v>
      </c>
      <c r="K1360" t="s">
        <v>6395</v>
      </c>
      <c r="L1360" t="s">
        <v>14</v>
      </c>
      <c r="M1360" t="s">
        <v>15</v>
      </c>
      <c r="N1360" t="s">
        <v>5767</v>
      </c>
      <c r="O1360" t="s">
        <v>4377</v>
      </c>
      <c r="P1360" s="5">
        <v>113006</v>
      </c>
      <c r="Q1360" s="5">
        <v>141758</v>
      </c>
      <c r="R1360" s="2">
        <v>45325</v>
      </c>
      <c r="S1360" t="s">
        <v>69</v>
      </c>
      <c r="T1360" t="s">
        <v>90</v>
      </c>
      <c r="U1360" t="s">
        <v>6384</v>
      </c>
      <c r="V1360" t="s">
        <v>6376</v>
      </c>
      <c r="W1360" t="s">
        <v>6357</v>
      </c>
      <c r="X1360">
        <v>88</v>
      </c>
      <c r="Y1360" t="s">
        <v>90</v>
      </c>
      <c r="Z1360">
        <v>259</v>
      </c>
    </row>
    <row r="1361" spans="1:26" x14ac:dyDescent="0.3">
      <c r="A1361">
        <v>1360</v>
      </c>
      <c r="B1361" t="s">
        <v>3005</v>
      </c>
      <c r="C1361" t="s">
        <v>49</v>
      </c>
      <c r="D1361" t="s">
        <v>30</v>
      </c>
      <c r="E1361" t="s">
        <v>6350</v>
      </c>
      <c r="F1361" t="s">
        <v>6379</v>
      </c>
      <c r="G1361" t="s">
        <v>6394</v>
      </c>
      <c r="H1361" t="s">
        <v>6391</v>
      </c>
      <c r="I1361" t="s">
        <v>6389</v>
      </c>
      <c r="J1361">
        <f>AVERAGE(ai_job_market[[#This Row],[min_salary]],ai_job_market[[#This Row],[max_salary]])</f>
        <v>130991</v>
      </c>
      <c r="K1361"/>
      <c r="L1361" t="s">
        <v>27</v>
      </c>
      <c r="M1361" t="s">
        <v>51</v>
      </c>
      <c r="N1361" t="s">
        <v>5768</v>
      </c>
      <c r="O1361" t="s">
        <v>4722</v>
      </c>
      <c r="P1361">
        <v>110023</v>
      </c>
      <c r="Q1361">
        <v>151959</v>
      </c>
      <c r="R1361" s="2">
        <v>45288</v>
      </c>
      <c r="S1361" t="s">
        <v>16</v>
      </c>
      <c r="T1361" t="s">
        <v>157</v>
      </c>
      <c r="W1361" t="s">
        <v>6350</v>
      </c>
      <c r="X1361">
        <v>84</v>
      </c>
      <c r="Y1361" t="s">
        <v>157</v>
      </c>
      <c r="Z1361">
        <v>247</v>
      </c>
    </row>
    <row r="1362" spans="1:26" x14ac:dyDescent="0.3">
      <c r="A1362">
        <v>1361</v>
      </c>
      <c r="B1362" t="s">
        <v>3007</v>
      </c>
      <c r="C1362" t="s">
        <v>34</v>
      </c>
      <c r="D1362" t="s">
        <v>20</v>
      </c>
      <c r="E1362" t="s">
        <v>6349</v>
      </c>
      <c r="F1362" t="s">
        <v>6376</v>
      </c>
      <c r="G1362" t="s">
        <v>6382</v>
      </c>
      <c r="H1362" t="s">
        <v>6397</v>
      </c>
      <c r="I1362" t="s">
        <v>6378</v>
      </c>
      <c r="J1362">
        <f>AVERAGE(ai_job_market[[#This Row],[min_salary]],ai_job_market[[#This Row],[max_salary]])</f>
        <v>181454</v>
      </c>
      <c r="K1362"/>
      <c r="L1362" t="s">
        <v>22</v>
      </c>
      <c r="M1362" t="s">
        <v>51</v>
      </c>
      <c r="N1362" t="s">
        <v>5769</v>
      </c>
      <c r="O1362" t="s">
        <v>4316</v>
      </c>
      <c r="P1362">
        <v>139711</v>
      </c>
      <c r="Q1362">
        <v>223197</v>
      </c>
      <c r="R1362" s="2">
        <v>45292</v>
      </c>
      <c r="S1362" t="s">
        <v>69</v>
      </c>
      <c r="T1362" t="s">
        <v>90</v>
      </c>
      <c r="U1362" t="s">
        <v>6379</v>
      </c>
      <c r="V1362" t="s">
        <v>6378</v>
      </c>
      <c r="W1362" t="s">
        <v>6349</v>
      </c>
      <c r="X1362">
        <v>96</v>
      </c>
      <c r="Y1362" t="s">
        <v>90</v>
      </c>
      <c r="Z1362">
        <v>259</v>
      </c>
    </row>
    <row r="1363" spans="1:26" x14ac:dyDescent="0.3">
      <c r="A1363">
        <v>1362</v>
      </c>
      <c r="B1363" t="s">
        <v>3009</v>
      </c>
      <c r="C1363" t="s">
        <v>19</v>
      </c>
      <c r="D1363" t="s">
        <v>20</v>
      </c>
      <c r="E1363" t="s">
        <v>128</v>
      </c>
      <c r="F1363" t="s">
        <v>6397</v>
      </c>
      <c r="G1363" t="s">
        <v>6392</v>
      </c>
      <c r="J1363">
        <f>AVERAGE(ai_job_market[[#This Row],[min_salary]],ai_job_market[[#This Row],[max_salary]])</f>
        <v>147701</v>
      </c>
      <c r="K1363"/>
      <c r="L1363" t="s">
        <v>14</v>
      </c>
      <c r="M1363" t="s">
        <v>51</v>
      </c>
      <c r="N1363" t="s">
        <v>5770</v>
      </c>
      <c r="O1363" t="s">
        <v>4416</v>
      </c>
      <c r="P1363">
        <v>101687</v>
      </c>
      <c r="Q1363">
        <v>193715</v>
      </c>
      <c r="R1363" s="2">
        <v>45195</v>
      </c>
      <c r="S1363" t="s">
        <v>16</v>
      </c>
      <c r="T1363" t="s">
        <v>80</v>
      </c>
      <c r="U1363" t="s">
        <v>6383</v>
      </c>
      <c r="W1363" t="s">
        <v>128</v>
      </c>
      <c r="X1363">
        <v>92</v>
      </c>
      <c r="Y1363" t="s">
        <v>80</v>
      </c>
      <c r="Z1363">
        <v>249</v>
      </c>
    </row>
    <row r="1364" spans="1:26" x14ac:dyDescent="0.3">
      <c r="A1364">
        <v>1363</v>
      </c>
      <c r="B1364" t="s">
        <v>3011</v>
      </c>
      <c r="C1364" t="s">
        <v>40</v>
      </c>
      <c r="D1364" t="s">
        <v>20</v>
      </c>
      <c r="E1364" t="s">
        <v>6352</v>
      </c>
      <c r="F1364" t="s">
        <v>6387</v>
      </c>
      <c r="G1364" t="s">
        <v>6378</v>
      </c>
      <c r="J1364">
        <f>AVERAGE(ai_job_market[[#This Row],[min_salary]],ai_job_market[[#This Row],[max_salary]])</f>
        <v>191996.5</v>
      </c>
      <c r="K1364"/>
      <c r="L1364" t="s">
        <v>22</v>
      </c>
      <c r="M1364" t="s">
        <v>42</v>
      </c>
      <c r="N1364" t="s">
        <v>5771</v>
      </c>
      <c r="O1364" t="s">
        <v>4363</v>
      </c>
      <c r="P1364">
        <v>148358</v>
      </c>
      <c r="Q1364">
        <v>235635</v>
      </c>
      <c r="R1364" s="2">
        <v>45246</v>
      </c>
      <c r="S1364" t="s">
        <v>69</v>
      </c>
      <c r="T1364" t="s">
        <v>90</v>
      </c>
      <c r="U1364" t="s">
        <v>6379</v>
      </c>
      <c r="W1364" t="s">
        <v>6352</v>
      </c>
      <c r="X1364">
        <v>97</v>
      </c>
      <c r="Y1364" t="s">
        <v>90</v>
      </c>
      <c r="Z1364">
        <v>259</v>
      </c>
    </row>
    <row r="1365" spans="1:26" x14ac:dyDescent="0.3">
      <c r="A1365">
        <v>1364</v>
      </c>
      <c r="B1365" t="s">
        <v>3013</v>
      </c>
      <c r="C1365" t="s">
        <v>40</v>
      </c>
      <c r="D1365" t="s">
        <v>54</v>
      </c>
      <c r="E1365" t="s">
        <v>6352</v>
      </c>
      <c r="F1365" t="s">
        <v>6375</v>
      </c>
      <c r="G1365" t="s">
        <v>6376</v>
      </c>
      <c r="J1365">
        <f>AVERAGE(ai_job_market[[#This Row],[min_salary]],ai_job_market[[#This Row],[max_salary]])</f>
        <v>144286.5</v>
      </c>
      <c r="K1365"/>
      <c r="L1365" t="s">
        <v>22</v>
      </c>
      <c r="M1365" t="s">
        <v>42</v>
      </c>
      <c r="N1365" t="s">
        <v>5772</v>
      </c>
      <c r="O1365" t="s">
        <v>4596</v>
      </c>
      <c r="P1365">
        <v>112045</v>
      </c>
      <c r="Q1365">
        <v>176528</v>
      </c>
      <c r="R1365" s="2">
        <v>45408</v>
      </c>
      <c r="S1365" t="s">
        <v>69</v>
      </c>
      <c r="T1365" t="s">
        <v>101</v>
      </c>
      <c r="W1365" t="s">
        <v>6352</v>
      </c>
      <c r="X1365">
        <v>97</v>
      </c>
      <c r="Y1365" t="s">
        <v>101</v>
      </c>
      <c r="Z1365">
        <v>255</v>
      </c>
    </row>
    <row r="1366" spans="1:26" x14ac:dyDescent="0.3">
      <c r="A1366">
        <v>1365</v>
      </c>
      <c r="B1366" t="s">
        <v>3015</v>
      </c>
      <c r="C1366" t="s">
        <v>40</v>
      </c>
      <c r="D1366" t="s">
        <v>135</v>
      </c>
      <c r="E1366" t="s">
        <v>6358</v>
      </c>
      <c r="F1366" t="s">
        <v>6384</v>
      </c>
      <c r="G1366" t="s">
        <v>6391</v>
      </c>
      <c r="H1366" t="s">
        <v>6375</v>
      </c>
      <c r="I1366" t="s">
        <v>6394</v>
      </c>
      <c r="J1366">
        <f>AVERAGE(ai_job_market[[#This Row],[min_salary]],ai_job_market[[#This Row],[max_salary]])</f>
        <v>119385.5</v>
      </c>
      <c r="K1366"/>
      <c r="L1366" t="s">
        <v>22</v>
      </c>
      <c r="M1366" t="s">
        <v>15</v>
      </c>
      <c r="N1366" t="s">
        <v>5773</v>
      </c>
      <c r="O1366" t="s">
        <v>4469</v>
      </c>
      <c r="P1366">
        <v>89570</v>
      </c>
      <c r="Q1366">
        <v>149201</v>
      </c>
      <c r="R1366" s="2">
        <v>45354</v>
      </c>
      <c r="S1366" t="s">
        <v>69</v>
      </c>
      <c r="T1366" t="s">
        <v>80</v>
      </c>
      <c r="W1366" t="s">
        <v>6358</v>
      </c>
      <c r="X1366">
        <v>96</v>
      </c>
      <c r="Y1366" t="s">
        <v>80</v>
      </c>
      <c r="Z1366">
        <v>249</v>
      </c>
    </row>
    <row r="1367" spans="1:26" x14ac:dyDescent="0.3">
      <c r="A1367">
        <v>1366</v>
      </c>
      <c r="B1367" t="s">
        <v>3017</v>
      </c>
      <c r="C1367" t="s">
        <v>34</v>
      </c>
      <c r="D1367" t="s">
        <v>35</v>
      </c>
      <c r="E1367" t="s">
        <v>77</v>
      </c>
      <c r="F1367" t="s">
        <v>6386</v>
      </c>
      <c r="G1367" t="s">
        <v>6397</v>
      </c>
      <c r="J1367">
        <f>AVERAGE(ai_job_market[[#This Row],[min_salary]],ai_job_market[[#This Row],[max_salary]])</f>
        <v>83322</v>
      </c>
      <c r="K1367"/>
      <c r="L1367" t="s">
        <v>27</v>
      </c>
      <c r="M1367" t="s">
        <v>15</v>
      </c>
      <c r="N1367" t="s">
        <v>5774</v>
      </c>
      <c r="O1367" t="s">
        <v>4289</v>
      </c>
      <c r="P1367">
        <v>47542</v>
      </c>
      <c r="Q1367">
        <v>119102</v>
      </c>
      <c r="R1367" s="2">
        <v>45700</v>
      </c>
      <c r="S1367" t="s">
        <v>69</v>
      </c>
      <c r="T1367" t="s">
        <v>90</v>
      </c>
      <c r="U1367" t="s">
        <v>6378</v>
      </c>
      <c r="V1367" t="s">
        <v>6388</v>
      </c>
      <c r="W1367" t="s">
        <v>77</v>
      </c>
      <c r="X1367">
        <v>111</v>
      </c>
      <c r="Y1367" t="s">
        <v>90</v>
      </c>
      <c r="Z1367">
        <v>259</v>
      </c>
    </row>
    <row r="1368" spans="1:26" x14ac:dyDescent="0.3">
      <c r="A1368">
        <v>1367</v>
      </c>
      <c r="B1368" t="s">
        <v>3019</v>
      </c>
      <c r="C1368" t="s">
        <v>72</v>
      </c>
      <c r="D1368" t="s">
        <v>20</v>
      </c>
      <c r="E1368" t="s">
        <v>6356</v>
      </c>
      <c r="F1368" t="s">
        <v>6382</v>
      </c>
      <c r="G1368" t="s">
        <v>6381</v>
      </c>
      <c r="H1368" t="s">
        <v>6375</v>
      </c>
      <c r="J1368">
        <f>AVERAGE(ai_job_market[[#This Row],[min_salary]],ai_job_market[[#This Row],[max_salary]])</f>
        <v>78470.5</v>
      </c>
      <c r="K1368"/>
      <c r="L1368" t="s">
        <v>14</v>
      </c>
      <c r="M1368" t="s">
        <v>42</v>
      </c>
      <c r="N1368" t="s">
        <v>5775</v>
      </c>
      <c r="O1368" t="s">
        <v>4442</v>
      </c>
      <c r="P1368">
        <v>71640</v>
      </c>
      <c r="Q1368">
        <v>85301</v>
      </c>
      <c r="R1368" s="2">
        <v>45882</v>
      </c>
      <c r="S1368" t="s">
        <v>16</v>
      </c>
      <c r="T1368" t="s">
        <v>77</v>
      </c>
      <c r="U1368" t="s">
        <v>6375</v>
      </c>
      <c r="W1368" t="s">
        <v>6356</v>
      </c>
      <c r="X1368">
        <v>86</v>
      </c>
      <c r="Y1368" t="s">
        <v>77</v>
      </c>
      <c r="Z1368">
        <v>251</v>
      </c>
    </row>
    <row r="1369" spans="1:26" x14ac:dyDescent="0.3">
      <c r="A1369">
        <v>1368</v>
      </c>
      <c r="B1369" t="s">
        <v>3021</v>
      </c>
      <c r="C1369" t="s">
        <v>11</v>
      </c>
      <c r="D1369" t="s">
        <v>135</v>
      </c>
      <c r="E1369" t="s">
        <v>6348</v>
      </c>
      <c r="F1369" t="s">
        <v>6375</v>
      </c>
      <c r="G1369" t="s">
        <v>6395</v>
      </c>
      <c r="H1369" t="s">
        <v>6378</v>
      </c>
      <c r="I1369" t="s">
        <v>6384</v>
      </c>
      <c r="J1369">
        <f>AVERAGE(ai_job_market[[#This Row],[min_salary]],ai_job_market[[#This Row],[max_salary]])</f>
        <v>126804</v>
      </c>
      <c r="K1369"/>
      <c r="L1369" t="s">
        <v>14</v>
      </c>
      <c r="M1369" t="s">
        <v>37</v>
      </c>
      <c r="N1369" t="s">
        <v>5776</v>
      </c>
      <c r="O1369" t="s">
        <v>4476</v>
      </c>
      <c r="P1369">
        <v>107629</v>
      </c>
      <c r="Q1369">
        <v>145979</v>
      </c>
      <c r="R1369" s="2">
        <v>45436</v>
      </c>
      <c r="S1369" t="s">
        <v>16</v>
      </c>
      <c r="T1369" t="s">
        <v>128</v>
      </c>
      <c r="U1369" t="s">
        <v>6378</v>
      </c>
      <c r="V1369" t="s">
        <v>6379</v>
      </c>
      <c r="W1369" t="s">
        <v>6348</v>
      </c>
      <c r="X1369">
        <v>78</v>
      </c>
      <c r="Y1369" t="s">
        <v>128</v>
      </c>
      <c r="Z1369">
        <v>233</v>
      </c>
    </row>
    <row r="1370" spans="1:26" x14ac:dyDescent="0.3">
      <c r="A1370">
        <v>1369</v>
      </c>
      <c r="B1370" t="s">
        <v>3023</v>
      </c>
      <c r="C1370" t="s">
        <v>49</v>
      </c>
      <c r="D1370" t="s">
        <v>25</v>
      </c>
      <c r="E1370" t="s">
        <v>6358</v>
      </c>
      <c r="F1370" t="s">
        <v>6385</v>
      </c>
      <c r="G1370" t="s">
        <v>6394</v>
      </c>
      <c r="J1370">
        <f>AVERAGE(ai_job_market[[#This Row],[min_salary]],ai_job_market[[#This Row],[max_salary]])</f>
        <v>138395.5</v>
      </c>
      <c r="K1370"/>
      <c r="L1370" t="s">
        <v>22</v>
      </c>
      <c r="M1370" t="s">
        <v>15</v>
      </c>
      <c r="N1370" t="s">
        <v>5777</v>
      </c>
      <c r="O1370" t="s">
        <v>4727</v>
      </c>
      <c r="P1370">
        <v>97661</v>
      </c>
      <c r="Q1370">
        <v>179130</v>
      </c>
      <c r="R1370" s="2">
        <v>45348</v>
      </c>
      <c r="S1370" t="s">
        <v>14</v>
      </c>
      <c r="T1370" t="s">
        <v>70</v>
      </c>
      <c r="U1370" t="s">
        <v>6376</v>
      </c>
      <c r="V1370" t="s">
        <v>6375</v>
      </c>
      <c r="W1370" t="s">
        <v>6358</v>
      </c>
      <c r="X1370">
        <v>96</v>
      </c>
      <c r="Y1370" t="s">
        <v>70</v>
      </c>
      <c r="Z1370">
        <v>268</v>
      </c>
    </row>
    <row r="1371" spans="1:26" x14ac:dyDescent="0.3">
      <c r="A1371">
        <v>1370</v>
      </c>
      <c r="B1371" t="s">
        <v>3024</v>
      </c>
      <c r="C1371" t="s">
        <v>40</v>
      </c>
      <c r="D1371" t="s">
        <v>25</v>
      </c>
      <c r="E1371" t="s">
        <v>128</v>
      </c>
      <c r="F1371" t="s">
        <v>6382</v>
      </c>
      <c r="G1371" t="s">
        <v>6384</v>
      </c>
      <c r="H1371" t="s">
        <v>6391</v>
      </c>
      <c r="I1371" t="s">
        <v>6394</v>
      </c>
      <c r="J1371" s="6">
        <f>AVERAGE(ai_job_market[[#This Row],[min_salary]],ai_job_market[[#This Row],[max_salary]])</f>
        <v>106509.5</v>
      </c>
      <c r="K1371"/>
      <c r="L1371" t="s">
        <v>27</v>
      </c>
      <c r="M1371" t="s">
        <v>42</v>
      </c>
      <c r="N1371" t="s">
        <v>5778</v>
      </c>
      <c r="O1371" t="s">
        <v>4518</v>
      </c>
      <c r="P1371" s="5">
        <v>72703</v>
      </c>
      <c r="Q1371" s="5">
        <v>140316</v>
      </c>
      <c r="R1371" s="2">
        <v>45191</v>
      </c>
      <c r="S1371" t="s">
        <v>14</v>
      </c>
      <c r="T1371" t="s">
        <v>157</v>
      </c>
      <c r="U1371" t="s">
        <v>6376</v>
      </c>
      <c r="W1371" t="s">
        <v>128</v>
      </c>
      <c r="X1371">
        <v>92</v>
      </c>
      <c r="Y1371" t="s">
        <v>157</v>
      </c>
      <c r="Z1371">
        <v>247</v>
      </c>
    </row>
    <row r="1372" spans="1:26" x14ac:dyDescent="0.3">
      <c r="A1372">
        <v>1371</v>
      </c>
      <c r="B1372" t="s">
        <v>3026</v>
      </c>
      <c r="C1372" t="s">
        <v>34</v>
      </c>
      <c r="D1372" t="s">
        <v>35</v>
      </c>
      <c r="E1372" t="s">
        <v>128</v>
      </c>
      <c r="F1372" t="s">
        <v>6396</v>
      </c>
      <c r="G1372" t="s">
        <v>6376</v>
      </c>
      <c r="H1372" t="s">
        <v>6389</v>
      </c>
      <c r="J1372">
        <f>AVERAGE(ai_job_market[[#This Row],[min_salary]],ai_job_market[[#This Row],[max_salary]])</f>
        <v>136250</v>
      </c>
      <c r="K1372"/>
      <c r="L1372" t="s">
        <v>14</v>
      </c>
      <c r="M1372" t="s">
        <v>51</v>
      </c>
      <c r="N1372" t="s">
        <v>5779</v>
      </c>
      <c r="O1372" t="s">
        <v>4506</v>
      </c>
      <c r="P1372">
        <v>120028</v>
      </c>
      <c r="Q1372">
        <v>152472</v>
      </c>
      <c r="R1372" s="2">
        <v>45413</v>
      </c>
      <c r="S1372" t="s">
        <v>14</v>
      </c>
      <c r="T1372" t="s">
        <v>90</v>
      </c>
      <c r="U1372" t="s">
        <v>6384</v>
      </c>
      <c r="W1372" t="s">
        <v>128</v>
      </c>
      <c r="X1372">
        <v>92</v>
      </c>
      <c r="Y1372" t="s">
        <v>90</v>
      </c>
      <c r="Z1372">
        <v>259</v>
      </c>
    </row>
    <row r="1373" spans="1:26" x14ac:dyDescent="0.3">
      <c r="A1373">
        <v>1372</v>
      </c>
      <c r="B1373" t="s">
        <v>3028</v>
      </c>
      <c r="C1373" t="s">
        <v>49</v>
      </c>
      <c r="D1373" t="s">
        <v>12</v>
      </c>
      <c r="E1373" t="s">
        <v>6344</v>
      </c>
      <c r="F1373" t="s">
        <v>6396</v>
      </c>
      <c r="G1373" t="s">
        <v>6379</v>
      </c>
      <c r="H1373" t="s">
        <v>6375</v>
      </c>
      <c r="I1373" t="s">
        <v>6386</v>
      </c>
      <c r="J1373">
        <f>AVERAGE(ai_job_market[[#This Row],[min_salary]],ai_job_market[[#This Row],[max_salary]])</f>
        <v>138243</v>
      </c>
      <c r="K1373" t="s">
        <v>6395</v>
      </c>
      <c r="L1373" t="s">
        <v>14</v>
      </c>
      <c r="M1373" t="s">
        <v>15</v>
      </c>
      <c r="N1373" t="s">
        <v>5780</v>
      </c>
      <c r="O1373" t="s">
        <v>4680</v>
      </c>
      <c r="P1373">
        <v>94017</v>
      </c>
      <c r="Q1373">
        <v>182469</v>
      </c>
      <c r="R1373" s="2">
        <v>45591</v>
      </c>
      <c r="S1373" t="s">
        <v>16</v>
      </c>
      <c r="T1373" t="s">
        <v>90</v>
      </c>
      <c r="U1373" t="s">
        <v>6384</v>
      </c>
      <c r="W1373" t="s">
        <v>6344</v>
      </c>
      <c r="X1373">
        <v>104</v>
      </c>
      <c r="Y1373" t="s">
        <v>90</v>
      </c>
      <c r="Z1373">
        <v>259</v>
      </c>
    </row>
    <row r="1374" spans="1:26" x14ac:dyDescent="0.3">
      <c r="A1374">
        <v>1373</v>
      </c>
      <c r="B1374" t="s">
        <v>3030</v>
      </c>
      <c r="C1374" t="s">
        <v>40</v>
      </c>
      <c r="D1374" t="s">
        <v>20</v>
      </c>
      <c r="E1374" t="s">
        <v>6355</v>
      </c>
      <c r="F1374" t="s">
        <v>6384</v>
      </c>
      <c r="G1374" t="s">
        <v>6396</v>
      </c>
      <c r="J1374" s="6">
        <f>AVERAGE(ai_job_market[[#This Row],[min_salary]],ai_job_market[[#This Row],[max_salary]])</f>
        <v>165443</v>
      </c>
      <c r="K1374"/>
      <c r="L1374" t="s">
        <v>22</v>
      </c>
      <c r="M1374" t="s">
        <v>37</v>
      </c>
      <c r="N1374" t="s">
        <v>5781</v>
      </c>
      <c r="O1374" t="s">
        <v>4495</v>
      </c>
      <c r="P1374" s="5">
        <v>117882</v>
      </c>
      <c r="Q1374" s="5">
        <v>213004</v>
      </c>
      <c r="R1374" s="2">
        <v>45360</v>
      </c>
      <c r="S1374" t="s">
        <v>69</v>
      </c>
      <c r="T1374" t="s">
        <v>101</v>
      </c>
      <c r="W1374" t="s">
        <v>6355</v>
      </c>
      <c r="X1374">
        <v>90</v>
      </c>
      <c r="Y1374" t="s">
        <v>101</v>
      </c>
      <c r="Z1374">
        <v>255</v>
      </c>
    </row>
    <row r="1375" spans="1:26" x14ac:dyDescent="0.3">
      <c r="A1375">
        <v>1374</v>
      </c>
      <c r="B1375" t="s">
        <v>3032</v>
      </c>
      <c r="C1375" t="s">
        <v>49</v>
      </c>
      <c r="D1375" t="s">
        <v>30</v>
      </c>
      <c r="E1375" t="s">
        <v>6345</v>
      </c>
      <c r="F1375" t="s">
        <v>6389</v>
      </c>
      <c r="G1375" t="s">
        <v>6394</v>
      </c>
      <c r="J1375">
        <f>AVERAGE(ai_job_market[[#This Row],[min_salary]],ai_job_market[[#This Row],[max_salary]])</f>
        <v>73626.5</v>
      </c>
      <c r="K1375"/>
      <c r="L1375" t="s">
        <v>22</v>
      </c>
      <c r="M1375" t="s">
        <v>42</v>
      </c>
      <c r="N1375" t="s">
        <v>5782</v>
      </c>
      <c r="O1375" t="s">
        <v>5214</v>
      </c>
      <c r="P1375">
        <v>54113</v>
      </c>
      <c r="Q1375">
        <v>93140</v>
      </c>
      <c r="R1375" s="2">
        <v>45886</v>
      </c>
      <c r="S1375" t="s">
        <v>16</v>
      </c>
      <c r="T1375" t="s">
        <v>70</v>
      </c>
      <c r="W1375" t="s">
        <v>6345</v>
      </c>
      <c r="X1375">
        <v>101</v>
      </c>
      <c r="Y1375" t="s">
        <v>70</v>
      </c>
      <c r="Z1375">
        <v>268</v>
      </c>
    </row>
    <row r="1376" spans="1:26" x14ac:dyDescent="0.3">
      <c r="A1376">
        <v>1375</v>
      </c>
      <c r="B1376" t="s">
        <v>3034</v>
      </c>
      <c r="C1376" t="s">
        <v>45</v>
      </c>
      <c r="D1376" t="s">
        <v>67</v>
      </c>
      <c r="E1376" t="s">
        <v>6352</v>
      </c>
      <c r="F1376" t="s">
        <v>6389</v>
      </c>
      <c r="G1376" t="s">
        <v>6374</v>
      </c>
      <c r="H1376" t="s">
        <v>6378</v>
      </c>
      <c r="I1376" t="s">
        <v>6397</v>
      </c>
      <c r="J1376">
        <f>AVERAGE(ai_job_market[[#This Row],[min_salary]],ai_job_market[[#This Row],[max_salary]])</f>
        <v>155414.5</v>
      </c>
      <c r="K1376"/>
      <c r="L1376" t="s">
        <v>27</v>
      </c>
      <c r="M1376" t="s">
        <v>42</v>
      </c>
      <c r="N1376" t="s">
        <v>5783</v>
      </c>
      <c r="O1376" t="s">
        <v>4521</v>
      </c>
      <c r="P1376">
        <v>115738</v>
      </c>
      <c r="Q1376">
        <v>195091</v>
      </c>
      <c r="R1376" s="2">
        <v>45356</v>
      </c>
      <c r="S1376" t="s">
        <v>14</v>
      </c>
      <c r="T1376" t="s">
        <v>128</v>
      </c>
      <c r="U1376" t="s">
        <v>6389</v>
      </c>
      <c r="V1376" t="s">
        <v>6383</v>
      </c>
      <c r="W1376" t="s">
        <v>6352</v>
      </c>
      <c r="X1376">
        <v>97</v>
      </c>
      <c r="Y1376" t="s">
        <v>128</v>
      </c>
      <c r="Z1376">
        <v>233</v>
      </c>
    </row>
    <row r="1377" spans="1:26" x14ac:dyDescent="0.3">
      <c r="A1377">
        <v>1376</v>
      </c>
      <c r="B1377" t="s">
        <v>3036</v>
      </c>
      <c r="C1377" t="s">
        <v>49</v>
      </c>
      <c r="D1377" t="s">
        <v>30</v>
      </c>
      <c r="E1377" t="s">
        <v>6347</v>
      </c>
      <c r="F1377" t="s">
        <v>6389</v>
      </c>
      <c r="G1377" t="s">
        <v>6391</v>
      </c>
      <c r="H1377" t="s">
        <v>6374</v>
      </c>
      <c r="J1377">
        <f>AVERAGE(ai_job_market[[#This Row],[min_salary]],ai_job_market[[#This Row],[max_salary]])</f>
        <v>99725</v>
      </c>
      <c r="K1377"/>
      <c r="L1377" t="s">
        <v>27</v>
      </c>
      <c r="M1377" t="s">
        <v>51</v>
      </c>
      <c r="N1377" t="s">
        <v>5784</v>
      </c>
      <c r="O1377" t="s">
        <v>4327</v>
      </c>
      <c r="P1377">
        <v>72794</v>
      </c>
      <c r="Q1377">
        <v>126656</v>
      </c>
      <c r="R1377" s="2">
        <v>45499</v>
      </c>
      <c r="S1377" t="s">
        <v>16</v>
      </c>
      <c r="T1377" t="s">
        <v>77</v>
      </c>
      <c r="U1377" t="s">
        <v>6376</v>
      </c>
      <c r="W1377" t="s">
        <v>6347</v>
      </c>
      <c r="X1377">
        <v>94</v>
      </c>
      <c r="Y1377" t="s">
        <v>77</v>
      </c>
      <c r="Z1377">
        <v>251</v>
      </c>
    </row>
    <row r="1378" spans="1:26" x14ac:dyDescent="0.3">
      <c r="A1378">
        <v>1377</v>
      </c>
      <c r="B1378" t="s">
        <v>3038</v>
      </c>
      <c r="C1378" t="s">
        <v>45</v>
      </c>
      <c r="D1378" t="s">
        <v>30</v>
      </c>
      <c r="E1378" t="s">
        <v>6352</v>
      </c>
      <c r="F1378" t="s">
        <v>6394</v>
      </c>
      <c r="G1378" t="s">
        <v>6380</v>
      </c>
      <c r="H1378" t="s">
        <v>6376</v>
      </c>
      <c r="J1378">
        <f>AVERAGE(ai_job_market[[#This Row],[min_salary]],ai_job_market[[#This Row],[max_salary]])</f>
        <v>126715.5</v>
      </c>
      <c r="K1378"/>
      <c r="L1378" t="s">
        <v>27</v>
      </c>
      <c r="M1378" t="s">
        <v>15</v>
      </c>
      <c r="N1378" t="s">
        <v>5785</v>
      </c>
      <c r="O1378" t="s">
        <v>4652</v>
      </c>
      <c r="P1378">
        <v>97964</v>
      </c>
      <c r="Q1378">
        <v>155467</v>
      </c>
      <c r="R1378" s="2">
        <v>45851</v>
      </c>
      <c r="S1378" t="s">
        <v>14</v>
      </c>
      <c r="T1378" t="s">
        <v>128</v>
      </c>
      <c r="U1378" t="s">
        <v>6388</v>
      </c>
      <c r="W1378" t="s">
        <v>6352</v>
      </c>
      <c r="X1378">
        <v>97</v>
      </c>
      <c r="Y1378" t="s">
        <v>128</v>
      </c>
      <c r="Z1378">
        <v>233</v>
      </c>
    </row>
    <row r="1379" spans="1:26" x14ac:dyDescent="0.3">
      <c r="A1379">
        <v>1378</v>
      </c>
      <c r="B1379" t="s">
        <v>3040</v>
      </c>
      <c r="C1379" t="s">
        <v>45</v>
      </c>
      <c r="D1379" t="s">
        <v>30</v>
      </c>
      <c r="E1379" t="s">
        <v>6355</v>
      </c>
      <c r="F1379" t="s">
        <v>6387</v>
      </c>
      <c r="G1379" t="s">
        <v>6389</v>
      </c>
      <c r="H1379" t="s">
        <v>6397</v>
      </c>
      <c r="I1379" t="s">
        <v>6386</v>
      </c>
      <c r="J1379">
        <f>AVERAGE(ai_job_market[[#This Row],[min_salary]],ai_job_market[[#This Row],[max_salary]])</f>
        <v>96634.5</v>
      </c>
      <c r="K1379"/>
      <c r="L1379" t="s">
        <v>27</v>
      </c>
      <c r="M1379" t="s">
        <v>15</v>
      </c>
      <c r="N1379" t="s">
        <v>5786</v>
      </c>
      <c r="O1379" t="s">
        <v>4634</v>
      </c>
      <c r="P1379">
        <v>65913</v>
      </c>
      <c r="Q1379">
        <v>127356</v>
      </c>
      <c r="R1379" s="2">
        <v>45437</v>
      </c>
      <c r="S1379" t="s">
        <v>14</v>
      </c>
      <c r="T1379" t="s">
        <v>70</v>
      </c>
      <c r="U1379" t="s">
        <v>6388</v>
      </c>
      <c r="W1379" t="s">
        <v>6355</v>
      </c>
      <c r="X1379">
        <v>90</v>
      </c>
      <c r="Y1379" t="s">
        <v>70</v>
      </c>
      <c r="Z1379">
        <v>268</v>
      </c>
    </row>
    <row r="1380" spans="1:26" x14ac:dyDescent="0.3">
      <c r="A1380">
        <v>1379</v>
      </c>
      <c r="B1380" t="s">
        <v>3042</v>
      </c>
      <c r="C1380" t="s">
        <v>11</v>
      </c>
      <c r="D1380" t="s">
        <v>25</v>
      </c>
      <c r="E1380" t="s">
        <v>6346</v>
      </c>
      <c r="F1380" t="s">
        <v>6393</v>
      </c>
      <c r="G1380" t="s">
        <v>6397</v>
      </c>
      <c r="J1380">
        <f>AVERAGE(ai_job_market[[#This Row],[min_salary]],ai_job_market[[#This Row],[max_salary]])</f>
        <v>98621.5</v>
      </c>
      <c r="K1380"/>
      <c r="L1380" t="s">
        <v>14</v>
      </c>
      <c r="M1380" t="s">
        <v>42</v>
      </c>
      <c r="N1380" t="s">
        <v>5787</v>
      </c>
      <c r="O1380" t="s">
        <v>4556</v>
      </c>
      <c r="P1380">
        <v>88549</v>
      </c>
      <c r="Q1380">
        <v>108694</v>
      </c>
      <c r="R1380" s="2">
        <v>45497</v>
      </c>
      <c r="S1380" t="s">
        <v>16</v>
      </c>
      <c r="T1380" t="s">
        <v>128</v>
      </c>
      <c r="W1380" t="s">
        <v>6346</v>
      </c>
      <c r="X1380">
        <v>78</v>
      </c>
      <c r="Y1380" t="s">
        <v>128</v>
      </c>
      <c r="Z1380">
        <v>233</v>
      </c>
    </row>
    <row r="1381" spans="1:26" x14ac:dyDescent="0.3">
      <c r="A1381">
        <v>1380</v>
      </c>
      <c r="B1381" t="s">
        <v>3044</v>
      </c>
      <c r="C1381" t="s">
        <v>34</v>
      </c>
      <c r="D1381" t="s">
        <v>54</v>
      </c>
      <c r="E1381" t="s">
        <v>6351</v>
      </c>
      <c r="F1381" t="s">
        <v>6375</v>
      </c>
      <c r="G1381" t="s">
        <v>6381</v>
      </c>
      <c r="H1381" t="s">
        <v>6378</v>
      </c>
      <c r="J1381">
        <f>AVERAGE(ai_job_market[[#This Row],[min_salary]],ai_job_market[[#This Row],[max_salary]])</f>
        <v>173964</v>
      </c>
      <c r="K1381"/>
      <c r="L1381" t="s">
        <v>14</v>
      </c>
      <c r="M1381" t="s">
        <v>51</v>
      </c>
      <c r="N1381" t="s">
        <v>5334</v>
      </c>
      <c r="O1381" t="s">
        <v>4422</v>
      </c>
      <c r="P1381">
        <v>134773</v>
      </c>
      <c r="Q1381">
        <v>213155</v>
      </c>
      <c r="R1381" s="2">
        <v>45797</v>
      </c>
      <c r="S1381" t="s">
        <v>14</v>
      </c>
      <c r="T1381" t="s">
        <v>101</v>
      </c>
      <c r="W1381" t="s">
        <v>6351</v>
      </c>
      <c r="X1381">
        <v>89</v>
      </c>
      <c r="Y1381" t="s">
        <v>101</v>
      </c>
      <c r="Z1381">
        <v>255</v>
      </c>
    </row>
    <row r="1382" spans="1:26" x14ac:dyDescent="0.3">
      <c r="A1382">
        <v>1381</v>
      </c>
      <c r="B1382" t="s">
        <v>3046</v>
      </c>
      <c r="C1382" t="s">
        <v>34</v>
      </c>
      <c r="D1382" t="s">
        <v>20</v>
      </c>
      <c r="E1382" t="s">
        <v>6354</v>
      </c>
      <c r="F1382" t="s">
        <v>6389</v>
      </c>
      <c r="G1382" t="s">
        <v>6392</v>
      </c>
      <c r="H1382" t="s">
        <v>6397</v>
      </c>
      <c r="I1382" t="s">
        <v>6376</v>
      </c>
      <c r="J1382">
        <f>AVERAGE(ai_job_market[[#This Row],[min_salary]],ai_job_market[[#This Row],[max_salary]])</f>
        <v>93717.5</v>
      </c>
      <c r="K1382" t="s">
        <v>6375</v>
      </c>
      <c r="L1382" t="s">
        <v>14</v>
      </c>
      <c r="M1382" t="s">
        <v>37</v>
      </c>
      <c r="N1382" t="s">
        <v>5788</v>
      </c>
      <c r="O1382" t="s">
        <v>4704</v>
      </c>
      <c r="P1382">
        <v>54397</v>
      </c>
      <c r="Q1382">
        <v>133038</v>
      </c>
      <c r="R1382" s="2">
        <v>45832</v>
      </c>
      <c r="S1382" t="s">
        <v>16</v>
      </c>
      <c r="T1382" t="s">
        <v>80</v>
      </c>
      <c r="U1382" t="s">
        <v>6375</v>
      </c>
      <c r="W1382" t="s">
        <v>6354</v>
      </c>
      <c r="X1382">
        <v>75</v>
      </c>
      <c r="Y1382" t="s">
        <v>80</v>
      </c>
      <c r="Z1382">
        <v>249</v>
      </c>
    </row>
    <row r="1383" spans="1:26" x14ac:dyDescent="0.3">
      <c r="A1383">
        <v>1382</v>
      </c>
      <c r="B1383" t="s">
        <v>3048</v>
      </c>
      <c r="C1383" t="s">
        <v>40</v>
      </c>
      <c r="D1383" t="s">
        <v>35</v>
      </c>
      <c r="E1383" t="s">
        <v>6349</v>
      </c>
      <c r="F1383" t="s">
        <v>6379</v>
      </c>
      <c r="G1383" t="s">
        <v>6378</v>
      </c>
      <c r="J1383">
        <f>AVERAGE(ai_job_market[[#This Row],[min_salary]],ai_job_market[[#This Row],[max_salary]])</f>
        <v>113347</v>
      </c>
      <c r="K1383"/>
      <c r="L1383" t="s">
        <v>22</v>
      </c>
      <c r="M1383" t="s">
        <v>37</v>
      </c>
      <c r="N1383" t="s">
        <v>5789</v>
      </c>
      <c r="O1383" t="s">
        <v>4433</v>
      </c>
      <c r="P1383">
        <v>106470</v>
      </c>
      <c r="Q1383">
        <v>120224</v>
      </c>
      <c r="R1383" s="2">
        <v>45919</v>
      </c>
      <c r="S1383" t="s">
        <v>69</v>
      </c>
      <c r="T1383" t="s">
        <v>77</v>
      </c>
      <c r="U1383" t="s">
        <v>6388</v>
      </c>
      <c r="V1383" t="s">
        <v>6384</v>
      </c>
      <c r="W1383" t="s">
        <v>6349</v>
      </c>
      <c r="X1383">
        <v>96</v>
      </c>
      <c r="Y1383" t="s">
        <v>77</v>
      </c>
      <c r="Z1383">
        <v>251</v>
      </c>
    </row>
    <row r="1384" spans="1:26" x14ac:dyDescent="0.3">
      <c r="A1384">
        <v>1383</v>
      </c>
      <c r="B1384" t="s">
        <v>3050</v>
      </c>
      <c r="C1384" t="s">
        <v>49</v>
      </c>
      <c r="D1384" t="s">
        <v>135</v>
      </c>
      <c r="E1384" t="s">
        <v>6352</v>
      </c>
      <c r="F1384" t="s">
        <v>6379</v>
      </c>
      <c r="G1384" t="s">
        <v>6397</v>
      </c>
      <c r="H1384" t="s">
        <v>6375</v>
      </c>
      <c r="I1384" t="s">
        <v>6387</v>
      </c>
      <c r="J1384">
        <f>AVERAGE(ai_job_market[[#This Row],[min_salary]],ai_job_market[[#This Row],[max_salary]])</f>
        <v>82588</v>
      </c>
      <c r="K1384"/>
      <c r="L1384" t="s">
        <v>14</v>
      </c>
      <c r="M1384" t="s">
        <v>15</v>
      </c>
      <c r="N1384" t="s">
        <v>5790</v>
      </c>
      <c r="O1384" t="s">
        <v>4929</v>
      </c>
      <c r="P1384">
        <v>69114</v>
      </c>
      <c r="Q1384">
        <v>96062</v>
      </c>
      <c r="R1384" s="2">
        <v>45592</v>
      </c>
      <c r="S1384" t="s">
        <v>69</v>
      </c>
      <c r="T1384" t="s">
        <v>101</v>
      </c>
      <c r="U1384" t="s">
        <v>6388</v>
      </c>
      <c r="W1384" t="s">
        <v>6352</v>
      </c>
      <c r="X1384">
        <v>97</v>
      </c>
      <c r="Y1384" t="s">
        <v>101</v>
      </c>
      <c r="Z1384">
        <v>255</v>
      </c>
    </row>
    <row r="1385" spans="1:26" x14ac:dyDescent="0.3">
      <c r="A1385">
        <v>1384</v>
      </c>
      <c r="B1385" t="s">
        <v>3052</v>
      </c>
      <c r="C1385" t="s">
        <v>11</v>
      </c>
      <c r="D1385" t="s">
        <v>35</v>
      </c>
      <c r="E1385" t="s">
        <v>6354</v>
      </c>
      <c r="F1385" t="s">
        <v>6382</v>
      </c>
      <c r="G1385" t="s">
        <v>6387</v>
      </c>
      <c r="H1385" t="s">
        <v>6374</v>
      </c>
      <c r="I1385" t="s">
        <v>6384</v>
      </c>
      <c r="J1385">
        <f>AVERAGE(ai_job_market[[#This Row],[min_salary]],ai_job_market[[#This Row],[max_salary]])</f>
        <v>168179.5</v>
      </c>
      <c r="K1385" t="s">
        <v>6391</v>
      </c>
      <c r="L1385" t="s">
        <v>14</v>
      </c>
      <c r="M1385" t="s">
        <v>51</v>
      </c>
      <c r="N1385" t="s">
        <v>5791</v>
      </c>
      <c r="O1385" t="s">
        <v>4320</v>
      </c>
      <c r="P1385">
        <v>132907</v>
      </c>
      <c r="Q1385">
        <v>203452</v>
      </c>
      <c r="R1385" s="2">
        <v>45897</v>
      </c>
      <c r="S1385" t="s">
        <v>16</v>
      </c>
      <c r="T1385" t="s">
        <v>80</v>
      </c>
      <c r="W1385" t="s">
        <v>6354</v>
      </c>
      <c r="X1385">
        <v>75</v>
      </c>
      <c r="Y1385" t="s">
        <v>80</v>
      </c>
      <c r="Z1385">
        <v>249</v>
      </c>
    </row>
    <row r="1386" spans="1:26" x14ac:dyDescent="0.3">
      <c r="A1386">
        <v>1385</v>
      </c>
      <c r="B1386" t="s">
        <v>3054</v>
      </c>
      <c r="C1386" t="s">
        <v>34</v>
      </c>
      <c r="D1386" t="s">
        <v>12</v>
      </c>
      <c r="E1386" t="s">
        <v>6344</v>
      </c>
      <c r="F1386" t="s">
        <v>6389</v>
      </c>
      <c r="G1386" t="s">
        <v>6392</v>
      </c>
      <c r="H1386" t="s">
        <v>6390</v>
      </c>
      <c r="I1386" t="s">
        <v>6384</v>
      </c>
      <c r="J1386" s="6">
        <f>AVERAGE(ai_job_market[[#This Row],[min_salary]],ai_job_market[[#This Row],[max_salary]])</f>
        <v>74952</v>
      </c>
      <c r="K1386" t="s">
        <v>6378</v>
      </c>
      <c r="L1386" t="s">
        <v>22</v>
      </c>
      <c r="M1386" t="s">
        <v>42</v>
      </c>
      <c r="N1386" t="s">
        <v>5792</v>
      </c>
      <c r="O1386" t="s">
        <v>4341</v>
      </c>
      <c r="P1386" s="5">
        <v>46314</v>
      </c>
      <c r="Q1386" s="5">
        <v>103590</v>
      </c>
      <c r="R1386" s="2">
        <v>45215</v>
      </c>
      <c r="S1386" t="s">
        <v>69</v>
      </c>
      <c r="T1386" t="s">
        <v>128</v>
      </c>
      <c r="U1386" t="s">
        <v>6389</v>
      </c>
      <c r="V1386" t="s">
        <v>6376</v>
      </c>
      <c r="W1386" t="s">
        <v>6344</v>
      </c>
      <c r="X1386">
        <v>104</v>
      </c>
      <c r="Y1386" t="s">
        <v>128</v>
      </c>
      <c r="Z1386">
        <v>233</v>
      </c>
    </row>
    <row r="1387" spans="1:26" x14ac:dyDescent="0.3">
      <c r="A1387">
        <v>1386</v>
      </c>
      <c r="B1387" t="s">
        <v>3056</v>
      </c>
      <c r="C1387" t="s">
        <v>45</v>
      </c>
      <c r="D1387" t="s">
        <v>54</v>
      </c>
      <c r="E1387" t="s">
        <v>6346</v>
      </c>
      <c r="F1387" t="s">
        <v>6393</v>
      </c>
      <c r="G1387" t="s">
        <v>6390</v>
      </c>
      <c r="J1387">
        <f>AVERAGE(ai_job_market[[#This Row],[min_salary]],ai_job_market[[#This Row],[max_salary]])</f>
        <v>178274.5</v>
      </c>
      <c r="K1387"/>
      <c r="L1387" t="s">
        <v>27</v>
      </c>
      <c r="M1387" t="s">
        <v>51</v>
      </c>
      <c r="N1387" t="s">
        <v>5793</v>
      </c>
      <c r="O1387" t="s">
        <v>4482</v>
      </c>
      <c r="P1387">
        <v>149066</v>
      </c>
      <c r="Q1387">
        <v>207483</v>
      </c>
      <c r="R1387" s="2">
        <v>45898</v>
      </c>
      <c r="S1387" t="s">
        <v>69</v>
      </c>
      <c r="T1387" t="s">
        <v>52</v>
      </c>
      <c r="U1387" t="s">
        <v>6379</v>
      </c>
      <c r="V1387" t="s">
        <v>6376</v>
      </c>
      <c r="W1387" t="s">
        <v>6346</v>
      </c>
      <c r="X1387">
        <v>78</v>
      </c>
      <c r="Y1387" t="s">
        <v>52</v>
      </c>
      <c r="Z1387">
        <v>238</v>
      </c>
    </row>
    <row r="1388" spans="1:26" x14ac:dyDescent="0.3">
      <c r="A1388">
        <v>1387</v>
      </c>
      <c r="B1388" t="s">
        <v>3058</v>
      </c>
      <c r="C1388" t="s">
        <v>72</v>
      </c>
      <c r="D1388" t="s">
        <v>25</v>
      </c>
      <c r="E1388" t="s">
        <v>6359</v>
      </c>
      <c r="F1388" t="s">
        <v>6385</v>
      </c>
      <c r="G1388" t="s">
        <v>6376</v>
      </c>
      <c r="J1388">
        <f>AVERAGE(ai_job_market[[#This Row],[min_salary]],ai_job_market[[#This Row],[max_salary]])</f>
        <v>153067</v>
      </c>
      <c r="K1388"/>
      <c r="L1388" t="s">
        <v>22</v>
      </c>
      <c r="M1388" t="s">
        <v>15</v>
      </c>
      <c r="N1388" t="s">
        <v>5794</v>
      </c>
      <c r="O1388" t="s">
        <v>4289</v>
      </c>
      <c r="P1388">
        <v>125945</v>
      </c>
      <c r="Q1388">
        <v>180189</v>
      </c>
      <c r="R1388" s="2">
        <v>45684</v>
      </c>
      <c r="S1388" t="s">
        <v>14</v>
      </c>
      <c r="T1388" t="s">
        <v>77</v>
      </c>
      <c r="W1388" t="s">
        <v>6359</v>
      </c>
      <c r="X1388">
        <v>104</v>
      </c>
      <c r="Y1388" t="s">
        <v>77</v>
      </c>
      <c r="Z1388">
        <v>251</v>
      </c>
    </row>
    <row r="1389" spans="1:26" x14ac:dyDescent="0.3">
      <c r="A1389">
        <v>1388</v>
      </c>
      <c r="B1389" t="s">
        <v>3060</v>
      </c>
      <c r="C1389" t="s">
        <v>72</v>
      </c>
      <c r="D1389" t="s">
        <v>20</v>
      </c>
      <c r="E1389" t="s">
        <v>6352</v>
      </c>
      <c r="F1389" t="s">
        <v>6395</v>
      </c>
      <c r="G1389" t="s">
        <v>6384</v>
      </c>
      <c r="H1389" t="s">
        <v>6381</v>
      </c>
      <c r="J1389">
        <f>AVERAGE(ai_job_market[[#This Row],[min_salary]],ai_job_market[[#This Row],[max_salary]])</f>
        <v>135905.5</v>
      </c>
      <c r="K1389"/>
      <c r="L1389" t="s">
        <v>14</v>
      </c>
      <c r="M1389" t="s">
        <v>42</v>
      </c>
      <c r="N1389" t="s">
        <v>5795</v>
      </c>
      <c r="O1389" t="s">
        <v>4325</v>
      </c>
      <c r="P1389">
        <v>119221</v>
      </c>
      <c r="Q1389">
        <v>152590</v>
      </c>
      <c r="R1389" s="2">
        <v>45314</v>
      </c>
      <c r="S1389" t="s">
        <v>14</v>
      </c>
      <c r="T1389" t="s">
        <v>70</v>
      </c>
      <c r="U1389" t="s">
        <v>6383</v>
      </c>
      <c r="V1389" t="s">
        <v>6375</v>
      </c>
      <c r="W1389" t="s">
        <v>6352</v>
      </c>
      <c r="X1389">
        <v>97</v>
      </c>
      <c r="Y1389" t="s">
        <v>70</v>
      </c>
      <c r="Z1389">
        <v>268</v>
      </c>
    </row>
    <row r="1390" spans="1:26" x14ac:dyDescent="0.3">
      <c r="A1390">
        <v>1389</v>
      </c>
      <c r="B1390" t="s">
        <v>3062</v>
      </c>
      <c r="C1390" t="s">
        <v>45</v>
      </c>
      <c r="D1390" t="s">
        <v>54</v>
      </c>
      <c r="E1390" t="s">
        <v>6352</v>
      </c>
      <c r="F1390" t="s">
        <v>6391</v>
      </c>
      <c r="G1390" t="s">
        <v>6374</v>
      </c>
      <c r="H1390" t="s">
        <v>6394</v>
      </c>
      <c r="J1390">
        <f>AVERAGE(ai_job_market[[#This Row],[min_salary]],ai_job_market[[#This Row],[max_salary]])</f>
        <v>97847</v>
      </c>
      <c r="K1390"/>
      <c r="L1390" t="s">
        <v>22</v>
      </c>
      <c r="M1390" t="s">
        <v>37</v>
      </c>
      <c r="N1390" t="s">
        <v>5796</v>
      </c>
      <c r="O1390" t="s">
        <v>4303</v>
      </c>
      <c r="P1390">
        <v>84230</v>
      </c>
      <c r="Q1390">
        <v>111464</v>
      </c>
      <c r="R1390" s="2">
        <v>45420</v>
      </c>
      <c r="S1390" t="s">
        <v>69</v>
      </c>
      <c r="T1390" t="s">
        <v>70</v>
      </c>
      <c r="W1390" t="s">
        <v>6352</v>
      </c>
      <c r="X1390">
        <v>97</v>
      </c>
      <c r="Y1390" t="s">
        <v>70</v>
      </c>
      <c r="Z1390">
        <v>268</v>
      </c>
    </row>
    <row r="1391" spans="1:26" x14ac:dyDescent="0.3">
      <c r="A1391">
        <v>1390</v>
      </c>
      <c r="B1391" t="s">
        <v>3064</v>
      </c>
      <c r="C1391" t="s">
        <v>49</v>
      </c>
      <c r="D1391" t="s">
        <v>135</v>
      </c>
      <c r="E1391" t="s">
        <v>128</v>
      </c>
      <c r="F1391" t="s">
        <v>6374</v>
      </c>
      <c r="G1391" t="s">
        <v>6382</v>
      </c>
      <c r="J1391">
        <f>AVERAGE(ai_job_market[[#This Row],[min_salary]],ai_job_market[[#This Row],[max_salary]])</f>
        <v>115371</v>
      </c>
      <c r="K1391"/>
      <c r="L1391" t="s">
        <v>22</v>
      </c>
      <c r="M1391" t="s">
        <v>37</v>
      </c>
      <c r="N1391" t="s">
        <v>5797</v>
      </c>
      <c r="O1391" t="s">
        <v>4353</v>
      </c>
      <c r="P1391">
        <v>65718</v>
      </c>
      <c r="Q1391">
        <v>165024</v>
      </c>
      <c r="R1391" s="2">
        <v>45670</v>
      </c>
      <c r="S1391" t="s">
        <v>69</v>
      </c>
      <c r="T1391" t="s">
        <v>90</v>
      </c>
      <c r="U1391" t="s">
        <v>6375</v>
      </c>
      <c r="V1391" t="s">
        <v>6379</v>
      </c>
      <c r="W1391" t="s">
        <v>128</v>
      </c>
      <c r="X1391">
        <v>92</v>
      </c>
      <c r="Y1391" t="s">
        <v>90</v>
      </c>
      <c r="Z1391">
        <v>259</v>
      </c>
    </row>
    <row r="1392" spans="1:26" x14ac:dyDescent="0.3">
      <c r="A1392">
        <v>1391</v>
      </c>
      <c r="B1392" t="s">
        <v>3066</v>
      </c>
      <c r="C1392" t="s">
        <v>45</v>
      </c>
      <c r="D1392" t="s">
        <v>25</v>
      </c>
      <c r="E1392" t="s">
        <v>6351</v>
      </c>
      <c r="F1392" t="s">
        <v>6378</v>
      </c>
      <c r="G1392" t="s">
        <v>6374</v>
      </c>
      <c r="H1392" t="s">
        <v>6392</v>
      </c>
      <c r="J1392">
        <f>AVERAGE(ai_job_market[[#This Row],[min_salary]],ai_job_market[[#This Row],[max_salary]])</f>
        <v>166374</v>
      </c>
      <c r="K1392"/>
      <c r="L1392" t="s">
        <v>27</v>
      </c>
      <c r="M1392" t="s">
        <v>51</v>
      </c>
      <c r="N1392" t="s">
        <v>5798</v>
      </c>
      <c r="O1392" t="s">
        <v>4692</v>
      </c>
      <c r="P1392">
        <v>117920</v>
      </c>
      <c r="Q1392">
        <v>214828</v>
      </c>
      <c r="R1392" s="2">
        <v>45685</v>
      </c>
      <c r="S1392" t="s">
        <v>69</v>
      </c>
      <c r="T1392" t="s">
        <v>157</v>
      </c>
      <c r="W1392" t="s">
        <v>6351</v>
      </c>
      <c r="X1392">
        <v>89</v>
      </c>
      <c r="Y1392" t="s">
        <v>157</v>
      </c>
      <c r="Z1392">
        <v>247</v>
      </c>
    </row>
    <row r="1393" spans="1:26" x14ac:dyDescent="0.3">
      <c r="A1393">
        <v>1392</v>
      </c>
      <c r="B1393" t="s">
        <v>3068</v>
      </c>
      <c r="C1393" t="s">
        <v>19</v>
      </c>
      <c r="D1393" t="s">
        <v>35</v>
      </c>
      <c r="E1393" t="s">
        <v>6358</v>
      </c>
      <c r="F1393" t="s">
        <v>6374</v>
      </c>
      <c r="G1393" t="s">
        <v>6384</v>
      </c>
      <c r="H1393" t="s">
        <v>6380</v>
      </c>
      <c r="J1393">
        <f>AVERAGE(ai_job_market[[#This Row],[min_salary]],ai_job_market[[#This Row],[max_salary]])</f>
        <v>187241.5</v>
      </c>
      <c r="K1393"/>
      <c r="L1393" t="s">
        <v>22</v>
      </c>
      <c r="M1393" t="s">
        <v>51</v>
      </c>
      <c r="N1393" t="s">
        <v>4915</v>
      </c>
      <c r="O1393" t="s">
        <v>4312</v>
      </c>
      <c r="P1393">
        <v>139463</v>
      </c>
      <c r="Q1393">
        <v>235020</v>
      </c>
      <c r="R1393" s="2">
        <v>45359</v>
      </c>
      <c r="S1393" t="s">
        <v>69</v>
      </c>
      <c r="T1393" t="s">
        <v>70</v>
      </c>
      <c r="U1393" t="s">
        <v>6378</v>
      </c>
      <c r="W1393" t="s">
        <v>6358</v>
      </c>
      <c r="X1393">
        <v>96</v>
      </c>
      <c r="Y1393" t="s">
        <v>70</v>
      </c>
      <c r="Z1393">
        <v>268</v>
      </c>
    </row>
    <row r="1394" spans="1:26" x14ac:dyDescent="0.3">
      <c r="A1394">
        <v>1393</v>
      </c>
      <c r="B1394" t="s">
        <v>3070</v>
      </c>
      <c r="C1394" t="s">
        <v>49</v>
      </c>
      <c r="D1394" t="s">
        <v>25</v>
      </c>
      <c r="E1394" t="s">
        <v>6359</v>
      </c>
      <c r="F1394" t="s">
        <v>6384</v>
      </c>
      <c r="G1394" t="s">
        <v>6387</v>
      </c>
      <c r="H1394" t="s">
        <v>6381</v>
      </c>
      <c r="I1394" t="s">
        <v>6378</v>
      </c>
      <c r="J1394">
        <f>AVERAGE(ai_job_market[[#This Row],[min_salary]],ai_job_market[[#This Row],[max_salary]])</f>
        <v>131540</v>
      </c>
      <c r="K1394"/>
      <c r="L1394" t="s">
        <v>14</v>
      </c>
      <c r="M1394" t="s">
        <v>37</v>
      </c>
      <c r="N1394" t="s">
        <v>5799</v>
      </c>
      <c r="O1394" t="s">
        <v>4927</v>
      </c>
      <c r="P1394">
        <v>125497</v>
      </c>
      <c r="Q1394">
        <v>137583</v>
      </c>
      <c r="R1394" s="2">
        <v>45481</v>
      </c>
      <c r="S1394" t="s">
        <v>16</v>
      </c>
      <c r="T1394" t="s">
        <v>80</v>
      </c>
      <c r="W1394" t="s">
        <v>6359</v>
      </c>
      <c r="X1394">
        <v>104</v>
      </c>
      <c r="Y1394" t="s">
        <v>80</v>
      </c>
      <c r="Z1394">
        <v>249</v>
      </c>
    </row>
    <row r="1395" spans="1:26" x14ac:dyDescent="0.3">
      <c r="A1395">
        <v>1394</v>
      </c>
      <c r="B1395" t="s">
        <v>3072</v>
      </c>
      <c r="C1395" t="s">
        <v>40</v>
      </c>
      <c r="D1395" t="s">
        <v>54</v>
      </c>
      <c r="E1395" t="s">
        <v>6349</v>
      </c>
      <c r="F1395" t="s">
        <v>6379</v>
      </c>
      <c r="G1395" t="s">
        <v>6386</v>
      </c>
      <c r="H1395" t="s">
        <v>6384</v>
      </c>
      <c r="I1395" t="s">
        <v>6374</v>
      </c>
      <c r="J1395">
        <f>AVERAGE(ai_job_market[[#This Row],[min_salary]],ai_job_market[[#This Row],[max_salary]])</f>
        <v>158606.5</v>
      </c>
      <c r="K1395" t="s">
        <v>6394</v>
      </c>
      <c r="L1395" t="s">
        <v>22</v>
      </c>
      <c r="M1395" t="s">
        <v>51</v>
      </c>
      <c r="N1395" t="s">
        <v>5800</v>
      </c>
      <c r="O1395" t="s">
        <v>4314</v>
      </c>
      <c r="P1395">
        <v>135863</v>
      </c>
      <c r="Q1395">
        <v>181350</v>
      </c>
      <c r="R1395" s="2">
        <v>45267</v>
      </c>
      <c r="S1395" t="s">
        <v>16</v>
      </c>
      <c r="T1395" t="s">
        <v>80</v>
      </c>
      <c r="U1395" t="s">
        <v>6379</v>
      </c>
      <c r="V1395" t="s">
        <v>6389</v>
      </c>
      <c r="W1395" t="s">
        <v>6349</v>
      </c>
      <c r="X1395">
        <v>96</v>
      </c>
      <c r="Y1395" t="s">
        <v>80</v>
      </c>
      <c r="Z1395">
        <v>249</v>
      </c>
    </row>
    <row r="1396" spans="1:26" x14ac:dyDescent="0.3">
      <c r="A1396">
        <v>1395</v>
      </c>
      <c r="B1396" t="s">
        <v>3005</v>
      </c>
      <c r="C1396" t="s">
        <v>11</v>
      </c>
      <c r="D1396" t="s">
        <v>54</v>
      </c>
      <c r="E1396" t="s">
        <v>6344</v>
      </c>
      <c r="F1396" t="s">
        <v>6396</v>
      </c>
      <c r="G1396" t="s">
        <v>6376</v>
      </c>
      <c r="H1396" t="s">
        <v>6380</v>
      </c>
      <c r="I1396" t="s">
        <v>6387</v>
      </c>
      <c r="J1396">
        <f>AVERAGE(ai_job_market[[#This Row],[min_salary]],ai_job_market[[#This Row],[max_salary]])</f>
        <v>119020.5</v>
      </c>
      <c r="K1396" t="s">
        <v>6384</v>
      </c>
      <c r="L1396" t="s">
        <v>27</v>
      </c>
      <c r="M1396" t="s">
        <v>15</v>
      </c>
      <c r="N1396" t="s">
        <v>5801</v>
      </c>
      <c r="O1396" t="s">
        <v>4439</v>
      </c>
      <c r="P1396">
        <v>106509</v>
      </c>
      <c r="Q1396">
        <v>131532</v>
      </c>
      <c r="R1396" s="2">
        <v>45906</v>
      </c>
      <c r="S1396" t="s">
        <v>14</v>
      </c>
      <c r="T1396" t="s">
        <v>52</v>
      </c>
      <c r="U1396" t="s">
        <v>6379</v>
      </c>
      <c r="W1396" t="s">
        <v>6344</v>
      </c>
      <c r="X1396">
        <v>104</v>
      </c>
      <c r="Y1396" t="s">
        <v>52</v>
      </c>
      <c r="Z1396">
        <v>238</v>
      </c>
    </row>
    <row r="1397" spans="1:26" x14ac:dyDescent="0.3">
      <c r="A1397">
        <v>1396</v>
      </c>
      <c r="B1397" t="s">
        <v>3075</v>
      </c>
      <c r="C1397" t="s">
        <v>19</v>
      </c>
      <c r="D1397" t="s">
        <v>67</v>
      </c>
      <c r="E1397" t="s">
        <v>6350</v>
      </c>
      <c r="F1397" t="s">
        <v>6384</v>
      </c>
      <c r="G1397" t="s">
        <v>6390</v>
      </c>
      <c r="J1397">
        <f>AVERAGE(ai_job_market[[#This Row],[min_salary]],ai_job_market[[#This Row],[max_salary]])</f>
        <v>114535.5</v>
      </c>
      <c r="K1397"/>
      <c r="L1397" t="s">
        <v>27</v>
      </c>
      <c r="M1397" t="s">
        <v>15</v>
      </c>
      <c r="N1397" t="s">
        <v>5802</v>
      </c>
      <c r="O1397" t="s">
        <v>4767</v>
      </c>
      <c r="P1397">
        <v>106378</v>
      </c>
      <c r="Q1397">
        <v>122693</v>
      </c>
      <c r="R1397" s="2">
        <v>45530</v>
      </c>
      <c r="S1397" t="s">
        <v>14</v>
      </c>
      <c r="T1397" t="s">
        <v>52</v>
      </c>
      <c r="W1397" t="s">
        <v>6350</v>
      </c>
      <c r="X1397">
        <v>84</v>
      </c>
      <c r="Y1397" t="s">
        <v>52</v>
      </c>
      <c r="Z1397">
        <v>238</v>
      </c>
    </row>
    <row r="1398" spans="1:26" x14ac:dyDescent="0.3">
      <c r="A1398">
        <v>1397</v>
      </c>
      <c r="B1398" t="s">
        <v>3077</v>
      </c>
      <c r="C1398" t="s">
        <v>45</v>
      </c>
      <c r="D1398" t="s">
        <v>20</v>
      </c>
      <c r="E1398" t="s">
        <v>6345</v>
      </c>
      <c r="F1398" t="s">
        <v>6376</v>
      </c>
      <c r="G1398" t="s">
        <v>6375</v>
      </c>
      <c r="H1398" t="s">
        <v>6378</v>
      </c>
      <c r="J1398">
        <f>AVERAGE(ai_job_market[[#This Row],[min_salary]],ai_job_market[[#This Row],[max_salary]])</f>
        <v>166844</v>
      </c>
      <c r="K1398"/>
      <c r="L1398" t="s">
        <v>14</v>
      </c>
      <c r="M1398" t="s">
        <v>42</v>
      </c>
      <c r="N1398" t="s">
        <v>5803</v>
      </c>
      <c r="O1398" t="s">
        <v>4593</v>
      </c>
      <c r="P1398">
        <v>124196</v>
      </c>
      <c r="Q1398">
        <v>209492</v>
      </c>
      <c r="R1398" s="2">
        <v>45625</v>
      </c>
      <c r="S1398" t="s">
        <v>16</v>
      </c>
      <c r="T1398" t="s">
        <v>77</v>
      </c>
      <c r="U1398" t="s">
        <v>6383</v>
      </c>
      <c r="W1398" t="s">
        <v>6345</v>
      </c>
      <c r="X1398">
        <v>101</v>
      </c>
      <c r="Y1398" t="s">
        <v>77</v>
      </c>
      <c r="Z1398">
        <v>251</v>
      </c>
    </row>
    <row r="1399" spans="1:26" x14ac:dyDescent="0.3">
      <c r="A1399">
        <v>1398</v>
      </c>
      <c r="B1399" t="s">
        <v>3079</v>
      </c>
      <c r="C1399" t="s">
        <v>11</v>
      </c>
      <c r="D1399" t="s">
        <v>12</v>
      </c>
      <c r="E1399" t="s">
        <v>6351</v>
      </c>
      <c r="F1399" t="s">
        <v>6375</v>
      </c>
      <c r="G1399" t="s">
        <v>6386</v>
      </c>
      <c r="H1399" t="s">
        <v>6389</v>
      </c>
      <c r="J1399">
        <f>AVERAGE(ai_job_market[[#This Row],[min_salary]],ai_job_market[[#This Row],[max_salary]])</f>
        <v>174747</v>
      </c>
      <c r="K1399"/>
      <c r="L1399" t="s">
        <v>22</v>
      </c>
      <c r="M1399" t="s">
        <v>37</v>
      </c>
      <c r="N1399" t="s">
        <v>5804</v>
      </c>
      <c r="O1399" t="s">
        <v>4361</v>
      </c>
      <c r="P1399">
        <v>137549</v>
      </c>
      <c r="Q1399">
        <v>211945</v>
      </c>
      <c r="R1399" s="2">
        <v>45509</v>
      </c>
      <c r="S1399" t="s">
        <v>14</v>
      </c>
      <c r="T1399" t="s">
        <v>80</v>
      </c>
      <c r="U1399" t="s">
        <v>6388</v>
      </c>
      <c r="V1399" t="s">
        <v>6378</v>
      </c>
      <c r="W1399" t="s">
        <v>6351</v>
      </c>
      <c r="X1399">
        <v>89</v>
      </c>
      <c r="Y1399" t="s">
        <v>80</v>
      </c>
      <c r="Z1399">
        <v>249</v>
      </c>
    </row>
    <row r="1400" spans="1:26" x14ac:dyDescent="0.3">
      <c r="A1400">
        <v>1399</v>
      </c>
      <c r="B1400" t="s">
        <v>3081</v>
      </c>
      <c r="C1400" t="s">
        <v>49</v>
      </c>
      <c r="D1400" t="s">
        <v>67</v>
      </c>
      <c r="E1400" t="s">
        <v>6359</v>
      </c>
      <c r="F1400" t="s">
        <v>6389</v>
      </c>
      <c r="G1400" t="s">
        <v>6377</v>
      </c>
      <c r="H1400" t="s">
        <v>6391</v>
      </c>
      <c r="I1400" t="s">
        <v>6382</v>
      </c>
      <c r="J1400">
        <f>AVERAGE(ai_job_market[[#This Row],[min_salary]],ai_job_market[[#This Row],[max_salary]])</f>
        <v>101024.5</v>
      </c>
      <c r="K1400"/>
      <c r="L1400" t="s">
        <v>22</v>
      </c>
      <c r="M1400" t="s">
        <v>51</v>
      </c>
      <c r="N1400" t="s">
        <v>5805</v>
      </c>
      <c r="O1400" t="s">
        <v>4810</v>
      </c>
      <c r="P1400">
        <v>86557</v>
      </c>
      <c r="Q1400">
        <v>115492</v>
      </c>
      <c r="R1400" s="2">
        <v>45343</v>
      </c>
      <c r="S1400" t="s">
        <v>69</v>
      </c>
      <c r="T1400" t="s">
        <v>128</v>
      </c>
      <c r="W1400" t="s">
        <v>6359</v>
      </c>
      <c r="X1400">
        <v>104</v>
      </c>
      <c r="Y1400" t="s">
        <v>128</v>
      </c>
      <c r="Z1400">
        <v>233</v>
      </c>
    </row>
    <row r="1401" spans="1:26" x14ac:dyDescent="0.3">
      <c r="A1401">
        <v>1400</v>
      </c>
      <c r="B1401" t="s">
        <v>3083</v>
      </c>
      <c r="C1401" t="s">
        <v>72</v>
      </c>
      <c r="D1401" t="s">
        <v>30</v>
      </c>
      <c r="E1401" t="s">
        <v>6358</v>
      </c>
      <c r="F1401" t="s">
        <v>6397</v>
      </c>
      <c r="G1401" t="s">
        <v>6376</v>
      </c>
      <c r="H1401" t="s">
        <v>6387</v>
      </c>
      <c r="I1401" t="s">
        <v>6382</v>
      </c>
      <c r="J1401">
        <f>AVERAGE(ai_job_market[[#This Row],[min_salary]],ai_job_market[[#This Row],[max_salary]])</f>
        <v>99836.5</v>
      </c>
      <c r="K1401"/>
      <c r="L1401" t="s">
        <v>27</v>
      </c>
      <c r="M1401" t="s">
        <v>15</v>
      </c>
      <c r="N1401" t="s">
        <v>5806</v>
      </c>
      <c r="O1401" t="s">
        <v>4435</v>
      </c>
      <c r="P1401">
        <v>89046</v>
      </c>
      <c r="Q1401">
        <v>110627</v>
      </c>
      <c r="R1401" s="2">
        <v>45642</v>
      </c>
      <c r="S1401" t="s">
        <v>14</v>
      </c>
      <c r="T1401" t="s">
        <v>52</v>
      </c>
      <c r="U1401" t="s">
        <v>6384</v>
      </c>
      <c r="W1401" t="s">
        <v>6358</v>
      </c>
      <c r="X1401">
        <v>96</v>
      </c>
      <c r="Y1401" t="s">
        <v>52</v>
      </c>
      <c r="Z1401">
        <v>238</v>
      </c>
    </row>
    <row r="1402" spans="1:26" x14ac:dyDescent="0.3">
      <c r="A1402">
        <v>1401</v>
      </c>
      <c r="B1402" t="s">
        <v>3085</v>
      </c>
      <c r="C1402" t="s">
        <v>72</v>
      </c>
      <c r="D1402" t="s">
        <v>135</v>
      </c>
      <c r="E1402" t="s">
        <v>6349</v>
      </c>
      <c r="F1402" t="s">
        <v>6386</v>
      </c>
      <c r="G1402" t="s">
        <v>6381</v>
      </c>
      <c r="H1402" t="s">
        <v>6380</v>
      </c>
      <c r="I1402" t="s">
        <v>6397</v>
      </c>
      <c r="J1402">
        <f>AVERAGE(ai_job_market[[#This Row],[min_salary]],ai_job_market[[#This Row],[max_salary]])</f>
        <v>174059</v>
      </c>
      <c r="K1402" t="s">
        <v>6377</v>
      </c>
      <c r="L1402" t="s">
        <v>14</v>
      </c>
      <c r="M1402" t="s">
        <v>42</v>
      </c>
      <c r="N1402" t="s">
        <v>5807</v>
      </c>
      <c r="O1402" t="s">
        <v>4424</v>
      </c>
      <c r="P1402">
        <v>127351</v>
      </c>
      <c r="Q1402">
        <v>220767</v>
      </c>
      <c r="R1402" s="2">
        <v>45654</v>
      </c>
      <c r="S1402" t="s">
        <v>16</v>
      </c>
      <c r="T1402" t="s">
        <v>80</v>
      </c>
      <c r="U1402" t="s">
        <v>6389</v>
      </c>
      <c r="V1402" t="s">
        <v>6375</v>
      </c>
      <c r="W1402" t="s">
        <v>6349</v>
      </c>
      <c r="X1402">
        <v>96</v>
      </c>
      <c r="Y1402" t="s">
        <v>80</v>
      </c>
      <c r="Z1402">
        <v>249</v>
      </c>
    </row>
    <row r="1403" spans="1:26" x14ac:dyDescent="0.3">
      <c r="A1403">
        <v>1402</v>
      </c>
      <c r="B1403" t="s">
        <v>3087</v>
      </c>
      <c r="C1403" t="s">
        <v>72</v>
      </c>
      <c r="D1403" t="s">
        <v>54</v>
      </c>
      <c r="E1403" t="s">
        <v>6345</v>
      </c>
      <c r="F1403" t="s">
        <v>6392</v>
      </c>
      <c r="G1403" t="s">
        <v>6378</v>
      </c>
      <c r="J1403" s="6">
        <f>AVERAGE(ai_job_market[[#This Row],[min_salary]],ai_job_market[[#This Row],[max_salary]])</f>
        <v>165302.5</v>
      </c>
      <c r="K1403"/>
      <c r="L1403" t="s">
        <v>14</v>
      </c>
      <c r="M1403" t="s">
        <v>51</v>
      </c>
      <c r="N1403" t="s">
        <v>5808</v>
      </c>
      <c r="O1403" t="s">
        <v>5109</v>
      </c>
      <c r="P1403" s="5">
        <v>122699</v>
      </c>
      <c r="Q1403" s="5">
        <v>207906</v>
      </c>
      <c r="R1403" s="2">
        <v>45381</v>
      </c>
      <c r="S1403" t="s">
        <v>16</v>
      </c>
      <c r="T1403" t="s">
        <v>101</v>
      </c>
      <c r="W1403" t="s">
        <v>6345</v>
      </c>
      <c r="X1403">
        <v>101</v>
      </c>
      <c r="Y1403" t="s">
        <v>101</v>
      </c>
      <c r="Z1403">
        <v>255</v>
      </c>
    </row>
    <row r="1404" spans="1:26" x14ac:dyDescent="0.3">
      <c r="A1404">
        <v>1403</v>
      </c>
      <c r="B1404" t="s">
        <v>3089</v>
      </c>
      <c r="C1404" t="s">
        <v>11</v>
      </c>
      <c r="D1404" t="s">
        <v>135</v>
      </c>
      <c r="E1404" t="s">
        <v>70</v>
      </c>
      <c r="F1404" t="s">
        <v>6389</v>
      </c>
      <c r="G1404" t="s">
        <v>6391</v>
      </c>
      <c r="J1404">
        <f>AVERAGE(ai_job_market[[#This Row],[min_salary]],ai_job_market[[#This Row],[max_salary]])</f>
        <v>186915.5</v>
      </c>
      <c r="K1404"/>
      <c r="L1404" t="s">
        <v>27</v>
      </c>
      <c r="M1404" t="s">
        <v>15</v>
      </c>
      <c r="N1404" t="s">
        <v>5809</v>
      </c>
      <c r="O1404" t="s">
        <v>5030</v>
      </c>
      <c r="P1404">
        <v>138388</v>
      </c>
      <c r="Q1404">
        <v>235443</v>
      </c>
      <c r="R1404" s="2">
        <v>45721</v>
      </c>
      <c r="S1404" t="s">
        <v>14</v>
      </c>
      <c r="T1404" t="s">
        <v>90</v>
      </c>
      <c r="U1404" t="s">
        <v>6388</v>
      </c>
      <c r="V1404" t="s">
        <v>6379</v>
      </c>
      <c r="W1404" t="s">
        <v>70</v>
      </c>
      <c r="X1404">
        <v>100</v>
      </c>
      <c r="Y1404" t="s">
        <v>90</v>
      </c>
      <c r="Z1404">
        <v>259</v>
      </c>
    </row>
    <row r="1405" spans="1:26" x14ac:dyDescent="0.3">
      <c r="A1405">
        <v>1404</v>
      </c>
      <c r="B1405" t="s">
        <v>3091</v>
      </c>
      <c r="C1405" t="s">
        <v>72</v>
      </c>
      <c r="D1405" t="s">
        <v>54</v>
      </c>
      <c r="E1405" t="s">
        <v>6354</v>
      </c>
      <c r="F1405" t="s">
        <v>6376</v>
      </c>
      <c r="G1405" t="s">
        <v>6395</v>
      </c>
      <c r="H1405" t="s">
        <v>6384</v>
      </c>
      <c r="J1405">
        <f>AVERAGE(ai_job_market[[#This Row],[min_salary]],ai_job_market[[#This Row],[max_salary]])</f>
        <v>153879.5</v>
      </c>
      <c r="K1405"/>
      <c r="L1405" t="s">
        <v>14</v>
      </c>
      <c r="M1405" t="s">
        <v>15</v>
      </c>
      <c r="N1405" t="s">
        <v>5810</v>
      </c>
      <c r="O1405" t="s">
        <v>4355</v>
      </c>
      <c r="P1405">
        <v>117976</v>
      </c>
      <c r="Q1405">
        <v>189783</v>
      </c>
      <c r="R1405" s="2">
        <v>45557</v>
      </c>
      <c r="S1405" t="s">
        <v>14</v>
      </c>
      <c r="T1405" t="s">
        <v>101</v>
      </c>
      <c r="U1405" t="s">
        <v>6389</v>
      </c>
      <c r="W1405" t="s">
        <v>6354</v>
      </c>
      <c r="X1405">
        <v>75</v>
      </c>
      <c r="Y1405" t="s">
        <v>101</v>
      </c>
      <c r="Z1405">
        <v>255</v>
      </c>
    </row>
    <row r="1406" spans="1:26" x14ac:dyDescent="0.3">
      <c r="A1406">
        <v>1405</v>
      </c>
      <c r="B1406" t="s">
        <v>3093</v>
      </c>
      <c r="C1406" t="s">
        <v>72</v>
      </c>
      <c r="D1406" t="s">
        <v>12</v>
      </c>
      <c r="E1406" t="s">
        <v>6350</v>
      </c>
      <c r="F1406" t="s">
        <v>6391</v>
      </c>
      <c r="G1406" t="s">
        <v>6380</v>
      </c>
      <c r="J1406">
        <f>AVERAGE(ai_job_market[[#This Row],[min_salary]],ai_job_market[[#This Row],[max_salary]])</f>
        <v>160023</v>
      </c>
      <c r="K1406"/>
      <c r="L1406" t="s">
        <v>14</v>
      </c>
      <c r="M1406" t="s">
        <v>42</v>
      </c>
      <c r="N1406" t="s">
        <v>5811</v>
      </c>
      <c r="O1406" t="s">
        <v>4727</v>
      </c>
      <c r="P1406">
        <v>120521</v>
      </c>
      <c r="Q1406">
        <v>199525</v>
      </c>
      <c r="R1406" s="2">
        <v>45255</v>
      </c>
      <c r="S1406" t="s">
        <v>14</v>
      </c>
      <c r="T1406" t="s">
        <v>90</v>
      </c>
      <c r="U1406" t="s">
        <v>6378</v>
      </c>
      <c r="V1406" t="s">
        <v>6379</v>
      </c>
      <c r="W1406" t="s">
        <v>6350</v>
      </c>
      <c r="X1406">
        <v>84</v>
      </c>
      <c r="Y1406" t="s">
        <v>90</v>
      </c>
      <c r="Z1406">
        <v>259</v>
      </c>
    </row>
    <row r="1407" spans="1:26" x14ac:dyDescent="0.3">
      <c r="A1407">
        <v>1406</v>
      </c>
      <c r="B1407" t="s">
        <v>3096</v>
      </c>
      <c r="C1407" t="s">
        <v>45</v>
      </c>
      <c r="D1407" t="s">
        <v>25</v>
      </c>
      <c r="E1407" t="s">
        <v>6344</v>
      </c>
      <c r="F1407" t="s">
        <v>6397</v>
      </c>
      <c r="G1407" t="s">
        <v>6381</v>
      </c>
      <c r="J1407">
        <f>AVERAGE(ai_job_market[[#This Row],[min_salary]],ai_job_market[[#This Row],[max_salary]])</f>
        <v>91939</v>
      </c>
      <c r="K1407"/>
      <c r="L1407" t="s">
        <v>27</v>
      </c>
      <c r="M1407" t="s">
        <v>51</v>
      </c>
      <c r="N1407" t="s">
        <v>5812</v>
      </c>
      <c r="O1407" t="s">
        <v>5813</v>
      </c>
      <c r="P1407">
        <v>73584</v>
      </c>
      <c r="Q1407">
        <v>110294</v>
      </c>
      <c r="R1407" s="2">
        <v>45613</v>
      </c>
      <c r="S1407" t="s">
        <v>16</v>
      </c>
      <c r="T1407" t="s">
        <v>70</v>
      </c>
      <c r="U1407" t="s">
        <v>6384</v>
      </c>
      <c r="V1407" t="s">
        <v>6376</v>
      </c>
      <c r="W1407" t="s">
        <v>6344</v>
      </c>
      <c r="X1407">
        <v>104</v>
      </c>
      <c r="Y1407" t="s">
        <v>70</v>
      </c>
      <c r="Z1407">
        <v>268</v>
      </c>
    </row>
    <row r="1408" spans="1:26" x14ac:dyDescent="0.3">
      <c r="A1408">
        <v>1407</v>
      </c>
      <c r="B1408" t="s">
        <v>3098</v>
      </c>
      <c r="C1408" t="s">
        <v>11</v>
      </c>
      <c r="D1408" t="s">
        <v>20</v>
      </c>
      <c r="E1408" t="s">
        <v>6348</v>
      </c>
      <c r="F1408" t="s">
        <v>6391</v>
      </c>
      <c r="G1408" t="s">
        <v>6374</v>
      </c>
      <c r="H1408" t="s">
        <v>6385</v>
      </c>
      <c r="I1408" t="s">
        <v>6378</v>
      </c>
      <c r="J1408">
        <f>AVERAGE(ai_job_market[[#This Row],[min_salary]],ai_job_market[[#This Row],[max_salary]])</f>
        <v>124579</v>
      </c>
      <c r="K1408"/>
      <c r="L1408" t="s">
        <v>22</v>
      </c>
      <c r="M1408" t="s">
        <v>15</v>
      </c>
      <c r="N1408" t="s">
        <v>4679</v>
      </c>
      <c r="O1408" t="s">
        <v>4309</v>
      </c>
      <c r="P1408">
        <v>110581</v>
      </c>
      <c r="Q1408">
        <v>138577</v>
      </c>
      <c r="R1408" s="2">
        <v>45831</v>
      </c>
      <c r="S1408" t="s">
        <v>69</v>
      </c>
      <c r="T1408" t="s">
        <v>101</v>
      </c>
      <c r="U1408" t="s">
        <v>6383</v>
      </c>
      <c r="W1408" t="s">
        <v>6348</v>
      </c>
      <c r="X1408">
        <v>78</v>
      </c>
      <c r="Y1408" t="s">
        <v>101</v>
      </c>
      <c r="Z1408">
        <v>255</v>
      </c>
    </row>
    <row r="1409" spans="1:26" x14ac:dyDescent="0.3">
      <c r="A1409">
        <v>1408</v>
      </c>
      <c r="B1409" t="s">
        <v>3100</v>
      </c>
      <c r="C1409" t="s">
        <v>40</v>
      </c>
      <c r="D1409" t="s">
        <v>30</v>
      </c>
      <c r="E1409" t="s">
        <v>6350</v>
      </c>
      <c r="F1409" t="s">
        <v>6387</v>
      </c>
      <c r="G1409" t="s">
        <v>6397</v>
      </c>
      <c r="H1409" t="s">
        <v>6376</v>
      </c>
      <c r="I1409" t="s">
        <v>6374</v>
      </c>
      <c r="J1409">
        <f>AVERAGE(ai_job_market[[#This Row],[min_salary]],ai_job_market[[#This Row],[max_salary]])</f>
        <v>104372.5</v>
      </c>
      <c r="K1409" t="s">
        <v>6379</v>
      </c>
      <c r="L1409" t="s">
        <v>27</v>
      </c>
      <c r="M1409" t="s">
        <v>42</v>
      </c>
      <c r="N1409" t="s">
        <v>5814</v>
      </c>
      <c r="O1409" t="s">
        <v>4318</v>
      </c>
      <c r="P1409">
        <v>65517</v>
      </c>
      <c r="Q1409">
        <v>143228</v>
      </c>
      <c r="R1409" s="2">
        <v>45795</v>
      </c>
      <c r="S1409" t="s">
        <v>14</v>
      </c>
      <c r="T1409" t="s">
        <v>77</v>
      </c>
      <c r="U1409" t="s">
        <v>6379</v>
      </c>
      <c r="W1409" t="s">
        <v>6350</v>
      </c>
      <c r="X1409">
        <v>84</v>
      </c>
      <c r="Y1409" t="s">
        <v>77</v>
      </c>
      <c r="Z1409">
        <v>251</v>
      </c>
    </row>
    <row r="1410" spans="1:26" x14ac:dyDescent="0.3">
      <c r="A1410">
        <v>1409</v>
      </c>
      <c r="B1410" t="s">
        <v>3102</v>
      </c>
      <c r="C1410" t="s">
        <v>72</v>
      </c>
      <c r="D1410" t="s">
        <v>30</v>
      </c>
      <c r="E1410" t="s">
        <v>80</v>
      </c>
      <c r="F1410" t="s">
        <v>6396</v>
      </c>
      <c r="G1410" t="s">
        <v>6379</v>
      </c>
      <c r="J1410">
        <f>AVERAGE(ai_job_market[[#This Row],[min_salary]],ai_job_market[[#This Row],[max_salary]])</f>
        <v>153856</v>
      </c>
      <c r="K1410"/>
      <c r="L1410" t="s">
        <v>22</v>
      </c>
      <c r="M1410" t="s">
        <v>15</v>
      </c>
      <c r="N1410" t="s">
        <v>5815</v>
      </c>
      <c r="O1410" t="s">
        <v>4564</v>
      </c>
      <c r="P1410">
        <v>116334</v>
      </c>
      <c r="Q1410">
        <v>191378</v>
      </c>
      <c r="R1410" s="2">
        <v>45560</v>
      </c>
      <c r="S1410" t="s">
        <v>69</v>
      </c>
      <c r="T1410" t="s">
        <v>52</v>
      </c>
      <c r="W1410" t="s">
        <v>80</v>
      </c>
      <c r="X1410">
        <v>95</v>
      </c>
      <c r="Y1410" t="s">
        <v>52</v>
      </c>
      <c r="Z1410">
        <v>238</v>
      </c>
    </row>
    <row r="1411" spans="1:26" x14ac:dyDescent="0.3">
      <c r="A1411">
        <v>1410</v>
      </c>
      <c r="B1411" t="s">
        <v>3104</v>
      </c>
      <c r="C1411" t="s">
        <v>45</v>
      </c>
      <c r="D1411" t="s">
        <v>54</v>
      </c>
      <c r="E1411" t="s">
        <v>6357</v>
      </c>
      <c r="F1411" t="s">
        <v>6392</v>
      </c>
      <c r="G1411" t="s">
        <v>6385</v>
      </c>
      <c r="J1411">
        <f>AVERAGE(ai_job_market[[#This Row],[min_salary]],ai_job_market[[#This Row],[max_salary]])</f>
        <v>142097.5</v>
      </c>
      <c r="K1411"/>
      <c r="L1411" t="s">
        <v>14</v>
      </c>
      <c r="M1411" t="s">
        <v>51</v>
      </c>
      <c r="N1411" t="s">
        <v>5816</v>
      </c>
      <c r="O1411" t="s">
        <v>4435</v>
      </c>
      <c r="P1411">
        <v>104129</v>
      </c>
      <c r="Q1411">
        <v>180066</v>
      </c>
      <c r="R1411" s="2">
        <v>45867</v>
      </c>
      <c r="S1411" t="s">
        <v>14</v>
      </c>
      <c r="T1411" t="s">
        <v>101</v>
      </c>
      <c r="U1411" t="s">
        <v>6384</v>
      </c>
      <c r="V1411" t="s">
        <v>6375</v>
      </c>
      <c r="W1411" t="s">
        <v>6357</v>
      </c>
      <c r="X1411">
        <v>88</v>
      </c>
      <c r="Y1411" t="s">
        <v>101</v>
      </c>
      <c r="Z1411">
        <v>255</v>
      </c>
    </row>
    <row r="1412" spans="1:26" x14ac:dyDescent="0.3">
      <c r="A1412">
        <v>1411</v>
      </c>
      <c r="B1412" t="s">
        <v>3106</v>
      </c>
      <c r="C1412" t="s">
        <v>40</v>
      </c>
      <c r="D1412" t="s">
        <v>67</v>
      </c>
      <c r="E1412" t="s">
        <v>101</v>
      </c>
      <c r="F1412" t="s">
        <v>6397</v>
      </c>
      <c r="G1412" t="s">
        <v>6396</v>
      </c>
      <c r="H1412" t="s">
        <v>6385</v>
      </c>
      <c r="J1412">
        <f>AVERAGE(ai_job_market[[#This Row],[min_salary]],ai_job_market[[#This Row],[max_salary]])</f>
        <v>58720</v>
      </c>
      <c r="K1412"/>
      <c r="L1412" t="s">
        <v>22</v>
      </c>
      <c r="M1412" t="s">
        <v>51</v>
      </c>
      <c r="N1412" t="s">
        <v>5817</v>
      </c>
      <c r="O1412" t="s">
        <v>4437</v>
      </c>
      <c r="P1412">
        <v>51112</v>
      </c>
      <c r="Q1412">
        <v>66328</v>
      </c>
      <c r="R1412" s="2">
        <v>45625</v>
      </c>
      <c r="S1412" t="s">
        <v>69</v>
      </c>
      <c r="T1412" t="s">
        <v>157</v>
      </c>
      <c r="U1412" t="s">
        <v>6375</v>
      </c>
      <c r="V1412" t="s">
        <v>6388</v>
      </c>
      <c r="W1412" t="s">
        <v>101</v>
      </c>
      <c r="X1412">
        <v>76</v>
      </c>
      <c r="Y1412" t="s">
        <v>157</v>
      </c>
      <c r="Z1412">
        <v>247</v>
      </c>
    </row>
    <row r="1413" spans="1:26" x14ac:dyDescent="0.3">
      <c r="A1413">
        <v>1412</v>
      </c>
      <c r="B1413" t="s">
        <v>3108</v>
      </c>
      <c r="C1413" t="s">
        <v>11</v>
      </c>
      <c r="D1413" t="s">
        <v>35</v>
      </c>
      <c r="E1413" t="s">
        <v>90</v>
      </c>
      <c r="F1413" t="s">
        <v>6385</v>
      </c>
      <c r="G1413" t="s">
        <v>6395</v>
      </c>
      <c r="H1413" t="s">
        <v>6379</v>
      </c>
      <c r="J1413">
        <f>AVERAGE(ai_job_market[[#This Row],[min_salary]],ai_job_market[[#This Row],[max_salary]])</f>
        <v>112458.5</v>
      </c>
      <c r="K1413"/>
      <c r="L1413" t="s">
        <v>22</v>
      </c>
      <c r="M1413" t="s">
        <v>15</v>
      </c>
      <c r="N1413" t="s">
        <v>5818</v>
      </c>
      <c r="O1413" t="s">
        <v>4599</v>
      </c>
      <c r="P1413">
        <v>101917</v>
      </c>
      <c r="Q1413">
        <v>123000</v>
      </c>
      <c r="R1413" s="2">
        <v>45661</v>
      </c>
      <c r="S1413" t="s">
        <v>69</v>
      </c>
      <c r="T1413" t="s">
        <v>101</v>
      </c>
      <c r="U1413" t="s">
        <v>6383</v>
      </c>
      <c r="W1413" t="s">
        <v>90</v>
      </c>
      <c r="X1413">
        <v>80</v>
      </c>
      <c r="Y1413" t="s">
        <v>101</v>
      </c>
      <c r="Z1413">
        <v>255</v>
      </c>
    </row>
    <row r="1414" spans="1:26" x14ac:dyDescent="0.3">
      <c r="A1414">
        <v>1413</v>
      </c>
      <c r="B1414" t="s">
        <v>3110</v>
      </c>
      <c r="C1414" t="s">
        <v>45</v>
      </c>
      <c r="D1414" t="s">
        <v>30</v>
      </c>
      <c r="E1414" t="s">
        <v>6357</v>
      </c>
      <c r="F1414" t="s">
        <v>6385</v>
      </c>
      <c r="G1414" t="s">
        <v>6387</v>
      </c>
      <c r="H1414" t="s">
        <v>6376</v>
      </c>
      <c r="I1414" t="s">
        <v>6394</v>
      </c>
      <c r="J1414">
        <f>AVERAGE(ai_job_market[[#This Row],[min_salary]],ai_job_market[[#This Row],[max_salary]])</f>
        <v>104831</v>
      </c>
      <c r="K1414"/>
      <c r="L1414" t="s">
        <v>22</v>
      </c>
      <c r="M1414" t="s">
        <v>15</v>
      </c>
      <c r="N1414" t="s">
        <v>5819</v>
      </c>
      <c r="O1414" t="s">
        <v>4564</v>
      </c>
      <c r="P1414">
        <v>79029</v>
      </c>
      <c r="Q1414">
        <v>130633</v>
      </c>
      <c r="R1414" s="2">
        <v>45401</v>
      </c>
      <c r="S1414" t="s">
        <v>16</v>
      </c>
      <c r="T1414" t="s">
        <v>101</v>
      </c>
      <c r="W1414" t="s">
        <v>6357</v>
      </c>
      <c r="X1414">
        <v>88</v>
      </c>
      <c r="Y1414" t="s">
        <v>101</v>
      </c>
      <c r="Z1414">
        <v>255</v>
      </c>
    </row>
    <row r="1415" spans="1:26" x14ac:dyDescent="0.3">
      <c r="A1415">
        <v>1414</v>
      </c>
      <c r="B1415" t="s">
        <v>3112</v>
      </c>
      <c r="C1415" t="s">
        <v>40</v>
      </c>
      <c r="D1415" t="s">
        <v>30</v>
      </c>
      <c r="E1415" t="s">
        <v>6345</v>
      </c>
      <c r="F1415" t="s">
        <v>6395</v>
      </c>
      <c r="G1415" t="s">
        <v>6393</v>
      </c>
      <c r="H1415" t="s">
        <v>6379</v>
      </c>
      <c r="I1415" t="s">
        <v>6389</v>
      </c>
      <c r="J1415">
        <f>AVERAGE(ai_job_market[[#This Row],[min_salary]],ai_job_market[[#This Row],[max_salary]])</f>
        <v>179293.5</v>
      </c>
      <c r="K1415"/>
      <c r="L1415" t="s">
        <v>14</v>
      </c>
      <c r="M1415" t="s">
        <v>37</v>
      </c>
      <c r="N1415" t="s">
        <v>5820</v>
      </c>
      <c r="O1415" t="s">
        <v>4556</v>
      </c>
      <c r="P1415">
        <v>143756</v>
      </c>
      <c r="Q1415">
        <v>214831</v>
      </c>
      <c r="R1415" s="2">
        <v>45844</v>
      </c>
      <c r="S1415" t="s">
        <v>69</v>
      </c>
      <c r="T1415" t="s">
        <v>157</v>
      </c>
      <c r="U1415" t="s">
        <v>6379</v>
      </c>
      <c r="V1415" t="s">
        <v>6388</v>
      </c>
      <c r="W1415" t="s">
        <v>6345</v>
      </c>
      <c r="X1415">
        <v>101</v>
      </c>
      <c r="Y1415" t="s">
        <v>157</v>
      </c>
      <c r="Z1415">
        <v>247</v>
      </c>
    </row>
    <row r="1416" spans="1:26" x14ac:dyDescent="0.3">
      <c r="A1416">
        <v>1415</v>
      </c>
      <c r="B1416" t="s">
        <v>3114</v>
      </c>
      <c r="C1416" t="s">
        <v>19</v>
      </c>
      <c r="D1416" t="s">
        <v>35</v>
      </c>
      <c r="E1416" t="s">
        <v>6359</v>
      </c>
      <c r="F1416" t="s">
        <v>6378</v>
      </c>
      <c r="G1416" t="s">
        <v>6386</v>
      </c>
      <c r="J1416">
        <f>AVERAGE(ai_job_market[[#This Row],[min_salary]],ai_job_market[[#This Row],[max_salary]])</f>
        <v>97126.5</v>
      </c>
      <c r="K1416"/>
      <c r="L1416" t="s">
        <v>27</v>
      </c>
      <c r="M1416" t="s">
        <v>42</v>
      </c>
      <c r="N1416" t="s">
        <v>4748</v>
      </c>
      <c r="O1416" t="s">
        <v>4422</v>
      </c>
      <c r="P1416">
        <v>85533</v>
      </c>
      <c r="Q1416">
        <v>108720</v>
      </c>
      <c r="R1416" s="2">
        <v>45418</v>
      </c>
      <c r="S1416" t="s">
        <v>16</v>
      </c>
      <c r="T1416" t="s">
        <v>77</v>
      </c>
      <c r="W1416" t="s">
        <v>6359</v>
      </c>
      <c r="X1416">
        <v>104</v>
      </c>
      <c r="Y1416" t="s">
        <v>77</v>
      </c>
      <c r="Z1416">
        <v>251</v>
      </c>
    </row>
    <row r="1417" spans="1:26" x14ac:dyDescent="0.3">
      <c r="A1417">
        <v>1416</v>
      </c>
      <c r="B1417" t="s">
        <v>3116</v>
      </c>
      <c r="C1417" t="s">
        <v>45</v>
      </c>
      <c r="D1417" t="s">
        <v>25</v>
      </c>
      <c r="E1417" t="s">
        <v>6345</v>
      </c>
      <c r="F1417" t="s">
        <v>6395</v>
      </c>
      <c r="G1417" t="s">
        <v>6393</v>
      </c>
      <c r="H1417" t="s">
        <v>6392</v>
      </c>
      <c r="I1417" t="s">
        <v>6394</v>
      </c>
      <c r="J1417">
        <f>AVERAGE(ai_job_market[[#This Row],[min_salary]],ai_job_market[[#This Row],[max_salary]])</f>
        <v>134990.5</v>
      </c>
      <c r="K1417"/>
      <c r="L1417" t="s">
        <v>27</v>
      </c>
      <c r="M1417" t="s">
        <v>15</v>
      </c>
      <c r="N1417" t="s">
        <v>5821</v>
      </c>
      <c r="O1417" t="s">
        <v>4297</v>
      </c>
      <c r="P1417">
        <v>113696</v>
      </c>
      <c r="Q1417">
        <v>156285</v>
      </c>
      <c r="R1417" s="2">
        <v>45817</v>
      </c>
      <c r="S1417" t="s">
        <v>16</v>
      </c>
      <c r="T1417" t="s">
        <v>101</v>
      </c>
      <c r="U1417" t="s">
        <v>6388</v>
      </c>
      <c r="W1417" t="s">
        <v>6345</v>
      </c>
      <c r="X1417">
        <v>101</v>
      </c>
      <c r="Y1417" t="s">
        <v>101</v>
      </c>
      <c r="Z1417">
        <v>255</v>
      </c>
    </row>
    <row r="1418" spans="1:26" x14ac:dyDescent="0.3">
      <c r="A1418">
        <v>1417</v>
      </c>
      <c r="B1418" t="s">
        <v>3118</v>
      </c>
      <c r="C1418" t="s">
        <v>11</v>
      </c>
      <c r="D1418" t="s">
        <v>20</v>
      </c>
      <c r="E1418" t="s">
        <v>6353</v>
      </c>
      <c r="F1418" t="s">
        <v>6379</v>
      </c>
      <c r="G1418" t="s">
        <v>6395</v>
      </c>
      <c r="H1418" t="s">
        <v>6385</v>
      </c>
      <c r="J1418">
        <f>AVERAGE(ai_job_market[[#This Row],[min_salary]],ai_job_market[[#This Row],[max_salary]])</f>
        <v>79245.5</v>
      </c>
      <c r="K1418"/>
      <c r="L1418" t="s">
        <v>14</v>
      </c>
      <c r="M1418" t="s">
        <v>51</v>
      </c>
      <c r="N1418" t="s">
        <v>5822</v>
      </c>
      <c r="O1418" t="s">
        <v>4375</v>
      </c>
      <c r="P1418">
        <v>44327</v>
      </c>
      <c r="Q1418">
        <v>114164</v>
      </c>
      <c r="R1418" s="2">
        <v>45718</v>
      </c>
      <c r="S1418" t="s">
        <v>69</v>
      </c>
      <c r="T1418" t="s">
        <v>157</v>
      </c>
      <c r="U1418" t="s">
        <v>6388</v>
      </c>
      <c r="V1418" t="s">
        <v>6378</v>
      </c>
      <c r="W1418" t="s">
        <v>6353</v>
      </c>
      <c r="X1418">
        <v>86</v>
      </c>
      <c r="Y1418" t="s">
        <v>157</v>
      </c>
      <c r="Z1418">
        <v>247</v>
      </c>
    </row>
    <row r="1419" spans="1:26" x14ac:dyDescent="0.3">
      <c r="A1419">
        <v>1418</v>
      </c>
      <c r="B1419" t="s">
        <v>3120</v>
      </c>
      <c r="C1419" t="s">
        <v>45</v>
      </c>
      <c r="D1419" t="s">
        <v>12</v>
      </c>
      <c r="E1419" t="s">
        <v>6351</v>
      </c>
      <c r="F1419" t="s">
        <v>6396</v>
      </c>
      <c r="G1419" t="s">
        <v>6390</v>
      </c>
      <c r="H1419" t="s">
        <v>6378</v>
      </c>
      <c r="I1419" t="s">
        <v>6384</v>
      </c>
      <c r="J1419">
        <f>AVERAGE(ai_job_market[[#This Row],[min_salary]],ai_job_market[[#This Row],[max_salary]])</f>
        <v>78976</v>
      </c>
      <c r="K1419" t="s">
        <v>6377</v>
      </c>
      <c r="L1419" t="s">
        <v>22</v>
      </c>
      <c r="M1419" t="s">
        <v>15</v>
      </c>
      <c r="N1419" t="s">
        <v>5823</v>
      </c>
      <c r="O1419" t="s">
        <v>4578</v>
      </c>
      <c r="P1419">
        <v>42174</v>
      </c>
      <c r="Q1419">
        <v>115778</v>
      </c>
      <c r="R1419" s="2">
        <v>45282</v>
      </c>
      <c r="S1419" t="s">
        <v>69</v>
      </c>
      <c r="T1419" t="s">
        <v>70</v>
      </c>
      <c r="U1419" t="s">
        <v>6383</v>
      </c>
      <c r="V1419" t="s">
        <v>6389</v>
      </c>
      <c r="W1419" t="s">
        <v>6351</v>
      </c>
      <c r="X1419">
        <v>89</v>
      </c>
      <c r="Y1419" t="s">
        <v>70</v>
      </c>
      <c r="Z1419">
        <v>268</v>
      </c>
    </row>
    <row r="1420" spans="1:26" x14ac:dyDescent="0.3">
      <c r="A1420">
        <v>1419</v>
      </c>
      <c r="B1420" t="s">
        <v>3123</v>
      </c>
      <c r="C1420" t="s">
        <v>49</v>
      </c>
      <c r="D1420" t="s">
        <v>35</v>
      </c>
      <c r="E1420" t="s">
        <v>6359</v>
      </c>
      <c r="F1420" t="s">
        <v>6382</v>
      </c>
      <c r="G1420" t="s">
        <v>6386</v>
      </c>
      <c r="J1420" s="6">
        <f>AVERAGE(ai_job_market[[#This Row],[min_salary]],ai_job_market[[#This Row],[max_salary]])</f>
        <v>105540.5</v>
      </c>
      <c r="K1420"/>
      <c r="L1420" t="s">
        <v>27</v>
      </c>
      <c r="M1420" t="s">
        <v>37</v>
      </c>
      <c r="N1420" t="s">
        <v>5824</v>
      </c>
      <c r="O1420" t="s">
        <v>4603</v>
      </c>
      <c r="P1420" s="5">
        <v>83012</v>
      </c>
      <c r="Q1420" s="5">
        <v>128069</v>
      </c>
      <c r="R1420" s="2">
        <v>45715</v>
      </c>
      <c r="S1420" t="s">
        <v>14</v>
      </c>
      <c r="T1420" t="s">
        <v>157</v>
      </c>
      <c r="W1420" t="s">
        <v>6359</v>
      </c>
      <c r="X1420">
        <v>104</v>
      </c>
      <c r="Y1420" t="s">
        <v>157</v>
      </c>
      <c r="Z1420">
        <v>247</v>
      </c>
    </row>
    <row r="1421" spans="1:26" x14ac:dyDescent="0.3">
      <c r="A1421">
        <v>1420</v>
      </c>
      <c r="B1421" t="s">
        <v>3124</v>
      </c>
      <c r="C1421" t="s">
        <v>45</v>
      </c>
      <c r="D1421" t="s">
        <v>25</v>
      </c>
      <c r="E1421" t="s">
        <v>6357</v>
      </c>
      <c r="F1421" t="s">
        <v>6377</v>
      </c>
      <c r="G1421" t="s">
        <v>6396</v>
      </c>
      <c r="H1421" t="s">
        <v>6380</v>
      </c>
      <c r="I1421" t="s">
        <v>6387</v>
      </c>
      <c r="J1421">
        <f>AVERAGE(ai_job_market[[#This Row],[min_salary]],ai_job_market[[#This Row],[max_salary]])</f>
        <v>126814</v>
      </c>
      <c r="K1421"/>
      <c r="L1421" t="s">
        <v>27</v>
      </c>
      <c r="M1421" t="s">
        <v>42</v>
      </c>
      <c r="N1421" t="s">
        <v>5825</v>
      </c>
      <c r="O1421" t="s">
        <v>4424</v>
      </c>
      <c r="P1421">
        <v>94512</v>
      </c>
      <c r="Q1421">
        <v>159116</v>
      </c>
      <c r="R1421" s="2">
        <v>45571</v>
      </c>
      <c r="S1421" t="s">
        <v>69</v>
      </c>
      <c r="T1421" t="s">
        <v>52</v>
      </c>
      <c r="U1421" t="s">
        <v>6383</v>
      </c>
      <c r="W1421" t="s">
        <v>6357</v>
      </c>
      <c r="X1421">
        <v>88</v>
      </c>
      <c r="Y1421" t="s">
        <v>52</v>
      </c>
      <c r="Z1421">
        <v>238</v>
      </c>
    </row>
    <row r="1422" spans="1:26" x14ac:dyDescent="0.3">
      <c r="A1422">
        <v>1421</v>
      </c>
      <c r="B1422" t="s">
        <v>3126</v>
      </c>
      <c r="C1422" t="s">
        <v>49</v>
      </c>
      <c r="D1422" t="s">
        <v>54</v>
      </c>
      <c r="E1422" t="s">
        <v>101</v>
      </c>
      <c r="F1422" t="s">
        <v>6396</v>
      </c>
      <c r="G1422" t="s">
        <v>6397</v>
      </c>
      <c r="H1422" t="s">
        <v>6392</v>
      </c>
      <c r="I1422" t="s">
        <v>6377</v>
      </c>
      <c r="J1422">
        <f>AVERAGE(ai_job_market[[#This Row],[min_salary]],ai_job_market[[#This Row],[max_salary]])</f>
        <v>76478.5</v>
      </c>
      <c r="K1422" t="s">
        <v>6385</v>
      </c>
      <c r="L1422" t="s">
        <v>27</v>
      </c>
      <c r="M1422" t="s">
        <v>51</v>
      </c>
      <c r="N1422" t="s">
        <v>5826</v>
      </c>
      <c r="O1422" t="s">
        <v>4536</v>
      </c>
      <c r="P1422">
        <v>56379</v>
      </c>
      <c r="Q1422">
        <v>96578</v>
      </c>
      <c r="R1422" s="2">
        <v>45359</v>
      </c>
      <c r="S1422" t="s">
        <v>69</v>
      </c>
      <c r="T1422" t="s">
        <v>80</v>
      </c>
      <c r="U1422" t="s">
        <v>6383</v>
      </c>
      <c r="W1422" t="s">
        <v>101</v>
      </c>
      <c r="X1422">
        <v>76</v>
      </c>
      <c r="Y1422" t="s">
        <v>80</v>
      </c>
      <c r="Z1422">
        <v>249</v>
      </c>
    </row>
    <row r="1423" spans="1:26" x14ac:dyDescent="0.3">
      <c r="A1423">
        <v>1422</v>
      </c>
      <c r="B1423" t="s">
        <v>3128</v>
      </c>
      <c r="C1423" t="s">
        <v>19</v>
      </c>
      <c r="D1423" t="s">
        <v>67</v>
      </c>
      <c r="E1423" t="s">
        <v>6348</v>
      </c>
      <c r="F1423" t="s">
        <v>6377</v>
      </c>
      <c r="G1423" t="s">
        <v>6391</v>
      </c>
      <c r="H1423" t="s">
        <v>6374</v>
      </c>
      <c r="I1423" t="s">
        <v>6384</v>
      </c>
      <c r="J1423">
        <f>AVERAGE(ai_job_market[[#This Row],[min_salary]],ai_job_market[[#This Row],[max_salary]])</f>
        <v>98561</v>
      </c>
      <c r="K1423" t="s">
        <v>6389</v>
      </c>
      <c r="L1423" t="s">
        <v>14</v>
      </c>
      <c r="M1423" t="s">
        <v>51</v>
      </c>
      <c r="N1423" t="s">
        <v>5827</v>
      </c>
      <c r="O1423" t="s">
        <v>4371</v>
      </c>
      <c r="P1423">
        <v>67160</v>
      </c>
      <c r="Q1423">
        <v>129962</v>
      </c>
      <c r="R1423" s="2">
        <v>45612</v>
      </c>
      <c r="S1423" t="s">
        <v>69</v>
      </c>
      <c r="T1423" t="s">
        <v>128</v>
      </c>
      <c r="U1423" t="s">
        <v>6379</v>
      </c>
      <c r="V1423" t="s">
        <v>6388</v>
      </c>
      <c r="W1423" t="s">
        <v>6348</v>
      </c>
      <c r="X1423">
        <v>78</v>
      </c>
      <c r="Y1423" t="s">
        <v>128</v>
      </c>
      <c r="Z1423">
        <v>233</v>
      </c>
    </row>
    <row r="1424" spans="1:26" x14ac:dyDescent="0.3">
      <c r="A1424">
        <v>1423</v>
      </c>
      <c r="B1424" t="s">
        <v>3130</v>
      </c>
      <c r="C1424" t="s">
        <v>72</v>
      </c>
      <c r="D1424" t="s">
        <v>20</v>
      </c>
      <c r="E1424" t="s">
        <v>6354</v>
      </c>
      <c r="F1424" t="s">
        <v>6381</v>
      </c>
      <c r="G1424" t="s">
        <v>6385</v>
      </c>
      <c r="H1424" t="s">
        <v>6375</v>
      </c>
      <c r="I1424" t="s">
        <v>6393</v>
      </c>
      <c r="J1424">
        <f>AVERAGE(ai_job_market[[#This Row],[min_salary]],ai_job_market[[#This Row],[max_salary]])</f>
        <v>61594.5</v>
      </c>
      <c r="K1424" t="s">
        <v>6386</v>
      </c>
      <c r="L1424" t="s">
        <v>22</v>
      </c>
      <c r="M1424" t="s">
        <v>15</v>
      </c>
      <c r="N1424" t="s">
        <v>5828</v>
      </c>
      <c r="O1424" t="s">
        <v>4692</v>
      </c>
      <c r="P1424">
        <v>41141</v>
      </c>
      <c r="Q1424">
        <v>82048</v>
      </c>
      <c r="R1424" s="2">
        <v>45858</v>
      </c>
      <c r="S1424" t="s">
        <v>69</v>
      </c>
      <c r="T1424" t="s">
        <v>70</v>
      </c>
      <c r="W1424" t="s">
        <v>6354</v>
      </c>
      <c r="X1424">
        <v>75</v>
      </c>
      <c r="Y1424" t="s">
        <v>70</v>
      </c>
      <c r="Z1424">
        <v>268</v>
      </c>
    </row>
    <row r="1425" spans="1:26" x14ac:dyDescent="0.3">
      <c r="A1425">
        <v>1424</v>
      </c>
      <c r="B1425" t="s">
        <v>3132</v>
      </c>
      <c r="C1425" t="s">
        <v>45</v>
      </c>
      <c r="D1425" t="s">
        <v>30</v>
      </c>
      <c r="E1425" t="s">
        <v>6351</v>
      </c>
      <c r="F1425" t="s">
        <v>6395</v>
      </c>
      <c r="G1425" t="s">
        <v>6384</v>
      </c>
      <c r="H1425" t="s">
        <v>6385</v>
      </c>
      <c r="I1425" t="s">
        <v>6397</v>
      </c>
      <c r="J1425">
        <f>AVERAGE(ai_job_market[[#This Row],[min_salary]],ai_job_market[[#This Row],[max_salary]])</f>
        <v>149752.5</v>
      </c>
      <c r="K1425" t="s">
        <v>6386</v>
      </c>
      <c r="L1425" t="s">
        <v>14</v>
      </c>
      <c r="M1425" t="s">
        <v>15</v>
      </c>
      <c r="N1425" t="s">
        <v>5829</v>
      </c>
      <c r="O1425" t="s">
        <v>4435</v>
      </c>
      <c r="P1425">
        <v>119291</v>
      </c>
      <c r="Q1425">
        <v>180214</v>
      </c>
      <c r="R1425" s="2">
        <v>45520</v>
      </c>
      <c r="S1425" t="s">
        <v>16</v>
      </c>
      <c r="T1425" t="s">
        <v>101</v>
      </c>
      <c r="U1425" t="s">
        <v>6388</v>
      </c>
      <c r="W1425" t="s">
        <v>6351</v>
      </c>
      <c r="X1425">
        <v>89</v>
      </c>
      <c r="Y1425" t="s">
        <v>101</v>
      </c>
      <c r="Z1425">
        <v>255</v>
      </c>
    </row>
    <row r="1426" spans="1:26" x14ac:dyDescent="0.3">
      <c r="A1426">
        <v>1425</v>
      </c>
      <c r="B1426" t="s">
        <v>3134</v>
      </c>
      <c r="C1426" t="s">
        <v>45</v>
      </c>
      <c r="D1426" t="s">
        <v>67</v>
      </c>
      <c r="E1426" t="s">
        <v>70</v>
      </c>
      <c r="F1426" t="s">
        <v>6380</v>
      </c>
      <c r="G1426" t="s">
        <v>6378</v>
      </c>
      <c r="H1426" t="s">
        <v>6396</v>
      </c>
      <c r="I1426" t="s">
        <v>6377</v>
      </c>
      <c r="J1426">
        <f>AVERAGE(ai_job_market[[#This Row],[min_salary]],ai_job_market[[#This Row],[max_salary]])</f>
        <v>75912</v>
      </c>
      <c r="K1426" t="s">
        <v>6395</v>
      </c>
      <c r="L1426" t="s">
        <v>22</v>
      </c>
      <c r="M1426" t="s">
        <v>37</v>
      </c>
      <c r="N1426" t="s">
        <v>5830</v>
      </c>
      <c r="O1426" t="s">
        <v>4295</v>
      </c>
      <c r="P1426">
        <v>68514</v>
      </c>
      <c r="Q1426">
        <v>83310</v>
      </c>
      <c r="R1426" s="2">
        <v>45713</v>
      </c>
      <c r="S1426" t="s">
        <v>16</v>
      </c>
      <c r="T1426" t="s">
        <v>101</v>
      </c>
      <c r="W1426" t="s">
        <v>70</v>
      </c>
      <c r="X1426">
        <v>100</v>
      </c>
      <c r="Y1426" t="s">
        <v>101</v>
      </c>
      <c r="Z1426">
        <v>255</v>
      </c>
    </row>
    <row r="1427" spans="1:26" x14ac:dyDescent="0.3">
      <c r="A1427">
        <v>1426</v>
      </c>
      <c r="B1427" t="s">
        <v>3136</v>
      </c>
      <c r="C1427" t="s">
        <v>49</v>
      </c>
      <c r="D1427" t="s">
        <v>135</v>
      </c>
      <c r="E1427" t="s">
        <v>90</v>
      </c>
      <c r="F1427" t="s">
        <v>6397</v>
      </c>
      <c r="G1427" t="s">
        <v>6374</v>
      </c>
      <c r="H1427" t="s">
        <v>6381</v>
      </c>
      <c r="I1427" t="s">
        <v>6382</v>
      </c>
      <c r="J1427">
        <f>AVERAGE(ai_job_market[[#This Row],[min_salary]],ai_job_market[[#This Row],[max_salary]])</f>
        <v>154689</v>
      </c>
      <c r="K1427" t="s">
        <v>6394</v>
      </c>
      <c r="L1427" t="s">
        <v>27</v>
      </c>
      <c r="M1427" t="s">
        <v>51</v>
      </c>
      <c r="N1427" t="s">
        <v>5502</v>
      </c>
      <c r="O1427" t="s">
        <v>4331</v>
      </c>
      <c r="P1427">
        <v>136136</v>
      </c>
      <c r="Q1427">
        <v>173242</v>
      </c>
      <c r="R1427" s="2">
        <v>45608</v>
      </c>
      <c r="S1427" t="s">
        <v>16</v>
      </c>
      <c r="T1427" t="s">
        <v>70</v>
      </c>
      <c r="U1427" t="s">
        <v>6378</v>
      </c>
      <c r="W1427" t="s">
        <v>90</v>
      </c>
      <c r="X1427">
        <v>80</v>
      </c>
      <c r="Y1427" t="s">
        <v>70</v>
      </c>
      <c r="Z1427">
        <v>268</v>
      </c>
    </row>
    <row r="1428" spans="1:26" x14ac:dyDescent="0.3">
      <c r="A1428">
        <v>1427</v>
      </c>
      <c r="B1428" t="s">
        <v>688</v>
      </c>
      <c r="C1428" t="s">
        <v>19</v>
      </c>
      <c r="D1428" t="s">
        <v>54</v>
      </c>
      <c r="E1428" t="s">
        <v>101</v>
      </c>
      <c r="F1428" t="s">
        <v>6385</v>
      </c>
      <c r="G1428" t="s">
        <v>6394</v>
      </c>
      <c r="H1428" t="s">
        <v>6378</v>
      </c>
      <c r="J1428">
        <f>AVERAGE(ai_job_market[[#This Row],[min_salary]],ai_job_market[[#This Row],[max_salary]])</f>
        <v>97891</v>
      </c>
      <c r="K1428"/>
      <c r="L1428" t="s">
        <v>22</v>
      </c>
      <c r="M1428" t="s">
        <v>42</v>
      </c>
      <c r="N1428" t="s">
        <v>5831</v>
      </c>
      <c r="O1428" t="s">
        <v>4797</v>
      </c>
      <c r="P1428">
        <v>84014</v>
      </c>
      <c r="Q1428">
        <v>111768</v>
      </c>
      <c r="R1428" s="2">
        <v>45774</v>
      </c>
      <c r="S1428" t="s">
        <v>14</v>
      </c>
      <c r="T1428" t="s">
        <v>52</v>
      </c>
      <c r="U1428" t="s">
        <v>6383</v>
      </c>
      <c r="W1428" t="s">
        <v>101</v>
      </c>
      <c r="X1428">
        <v>76</v>
      </c>
      <c r="Y1428" t="s">
        <v>52</v>
      </c>
      <c r="Z1428">
        <v>238</v>
      </c>
    </row>
    <row r="1429" spans="1:26" x14ac:dyDescent="0.3">
      <c r="A1429">
        <v>1428</v>
      </c>
      <c r="B1429" t="s">
        <v>3139</v>
      </c>
      <c r="C1429" t="s">
        <v>72</v>
      </c>
      <c r="D1429" t="s">
        <v>20</v>
      </c>
      <c r="E1429" t="s">
        <v>80</v>
      </c>
      <c r="F1429" t="s">
        <v>6385</v>
      </c>
      <c r="G1429" t="s">
        <v>6382</v>
      </c>
      <c r="J1429">
        <f>AVERAGE(ai_job_market[[#This Row],[min_salary]],ai_job_market[[#This Row],[max_salary]])</f>
        <v>126027</v>
      </c>
      <c r="K1429"/>
      <c r="L1429" t="s">
        <v>27</v>
      </c>
      <c r="M1429" t="s">
        <v>15</v>
      </c>
      <c r="N1429" t="s">
        <v>5832</v>
      </c>
      <c r="O1429" t="s">
        <v>4463</v>
      </c>
      <c r="P1429">
        <v>95419</v>
      </c>
      <c r="Q1429">
        <v>156635</v>
      </c>
      <c r="R1429" s="2">
        <v>45340</v>
      </c>
      <c r="S1429" t="s">
        <v>69</v>
      </c>
      <c r="T1429" t="s">
        <v>80</v>
      </c>
      <c r="U1429" t="s">
        <v>6383</v>
      </c>
      <c r="W1429" t="s">
        <v>80</v>
      </c>
      <c r="X1429">
        <v>95</v>
      </c>
      <c r="Y1429" t="s">
        <v>80</v>
      </c>
      <c r="Z1429">
        <v>249</v>
      </c>
    </row>
    <row r="1430" spans="1:26" x14ac:dyDescent="0.3">
      <c r="A1430">
        <v>1429</v>
      </c>
      <c r="B1430" t="s">
        <v>3141</v>
      </c>
      <c r="C1430" t="s">
        <v>40</v>
      </c>
      <c r="D1430" t="s">
        <v>12</v>
      </c>
      <c r="E1430" t="s">
        <v>80</v>
      </c>
      <c r="F1430" t="s">
        <v>6375</v>
      </c>
      <c r="G1430" t="s">
        <v>6385</v>
      </c>
      <c r="J1430">
        <f>AVERAGE(ai_job_market[[#This Row],[min_salary]],ai_job_market[[#This Row],[max_salary]])</f>
        <v>188367</v>
      </c>
      <c r="K1430"/>
      <c r="L1430" t="s">
        <v>27</v>
      </c>
      <c r="M1430" t="s">
        <v>37</v>
      </c>
      <c r="N1430" t="s">
        <v>5833</v>
      </c>
      <c r="O1430" t="s">
        <v>4323</v>
      </c>
      <c r="P1430">
        <v>149578</v>
      </c>
      <c r="Q1430">
        <v>227156</v>
      </c>
      <c r="R1430" s="2">
        <v>45914</v>
      </c>
      <c r="S1430" t="s">
        <v>14</v>
      </c>
      <c r="T1430" t="s">
        <v>70</v>
      </c>
      <c r="U1430" t="s">
        <v>6378</v>
      </c>
      <c r="W1430" t="s">
        <v>80</v>
      </c>
      <c r="X1430">
        <v>95</v>
      </c>
      <c r="Y1430" t="s">
        <v>70</v>
      </c>
      <c r="Z1430">
        <v>268</v>
      </c>
    </row>
    <row r="1431" spans="1:26" x14ac:dyDescent="0.3">
      <c r="A1431">
        <v>1430</v>
      </c>
      <c r="B1431" t="s">
        <v>3143</v>
      </c>
      <c r="C1431" t="s">
        <v>19</v>
      </c>
      <c r="D1431" t="s">
        <v>67</v>
      </c>
      <c r="E1431" t="s">
        <v>6351</v>
      </c>
      <c r="F1431" t="s">
        <v>6381</v>
      </c>
      <c r="G1431" t="s">
        <v>6386</v>
      </c>
      <c r="H1431" t="s">
        <v>6376</v>
      </c>
      <c r="I1431" t="s">
        <v>6385</v>
      </c>
      <c r="J1431">
        <f>AVERAGE(ai_job_market[[#This Row],[min_salary]],ai_job_market[[#This Row],[max_salary]])</f>
        <v>126044</v>
      </c>
      <c r="K1431" t="s">
        <v>6382</v>
      </c>
      <c r="L1431" t="s">
        <v>14</v>
      </c>
      <c r="M1431" t="s">
        <v>51</v>
      </c>
      <c r="N1431" t="s">
        <v>5834</v>
      </c>
      <c r="O1431" t="s">
        <v>4346</v>
      </c>
      <c r="P1431">
        <v>76646</v>
      </c>
      <c r="Q1431">
        <v>175442</v>
      </c>
      <c r="R1431" s="2">
        <v>45532</v>
      </c>
      <c r="S1431" t="s">
        <v>16</v>
      </c>
      <c r="T1431" t="s">
        <v>80</v>
      </c>
      <c r="U1431" t="s">
        <v>6378</v>
      </c>
      <c r="W1431" t="s">
        <v>6351</v>
      </c>
      <c r="X1431">
        <v>89</v>
      </c>
      <c r="Y1431" t="s">
        <v>80</v>
      </c>
      <c r="Z1431">
        <v>249</v>
      </c>
    </row>
    <row r="1432" spans="1:26" x14ac:dyDescent="0.3">
      <c r="A1432">
        <v>1431</v>
      </c>
      <c r="B1432" t="s">
        <v>3145</v>
      </c>
      <c r="C1432" t="s">
        <v>34</v>
      </c>
      <c r="D1432" t="s">
        <v>35</v>
      </c>
      <c r="E1432" t="s">
        <v>6354</v>
      </c>
      <c r="F1432" t="s">
        <v>6376</v>
      </c>
      <c r="G1432" t="s">
        <v>6387</v>
      </c>
      <c r="H1432" t="s">
        <v>6391</v>
      </c>
      <c r="J1432" s="6">
        <f>AVERAGE(ai_job_market[[#This Row],[min_salary]],ai_job_market[[#This Row],[max_salary]])</f>
        <v>80684</v>
      </c>
      <c r="K1432"/>
      <c r="L1432" t="s">
        <v>22</v>
      </c>
      <c r="M1432" t="s">
        <v>37</v>
      </c>
      <c r="N1432" t="s">
        <v>5835</v>
      </c>
      <c r="O1432" t="s">
        <v>4743</v>
      </c>
      <c r="P1432" s="5">
        <v>59448</v>
      </c>
      <c r="Q1432" s="5">
        <v>101920</v>
      </c>
      <c r="R1432" s="2">
        <v>45359</v>
      </c>
      <c r="S1432" t="s">
        <v>14</v>
      </c>
      <c r="T1432" t="s">
        <v>52</v>
      </c>
      <c r="U1432" t="s">
        <v>6379</v>
      </c>
      <c r="W1432" t="s">
        <v>6354</v>
      </c>
      <c r="X1432">
        <v>75</v>
      </c>
      <c r="Y1432" t="s">
        <v>52</v>
      </c>
      <c r="Z1432">
        <v>238</v>
      </c>
    </row>
    <row r="1433" spans="1:26" x14ac:dyDescent="0.3">
      <c r="A1433">
        <v>1432</v>
      </c>
      <c r="B1433" t="s">
        <v>3147</v>
      </c>
      <c r="C1433" t="s">
        <v>11</v>
      </c>
      <c r="D1433" t="s">
        <v>67</v>
      </c>
      <c r="E1433" t="s">
        <v>70</v>
      </c>
      <c r="F1433" t="s">
        <v>6375</v>
      </c>
      <c r="G1433" t="s">
        <v>6384</v>
      </c>
      <c r="H1433" t="s">
        <v>6377</v>
      </c>
      <c r="J1433">
        <f>AVERAGE(ai_job_market[[#This Row],[min_salary]],ai_job_market[[#This Row],[max_salary]])</f>
        <v>60892.5</v>
      </c>
      <c r="K1433"/>
      <c r="L1433" t="s">
        <v>27</v>
      </c>
      <c r="M1433" t="s">
        <v>42</v>
      </c>
      <c r="N1433" t="s">
        <v>5315</v>
      </c>
      <c r="O1433" t="s">
        <v>4399</v>
      </c>
      <c r="P1433">
        <v>41904</v>
      </c>
      <c r="Q1433">
        <v>79881</v>
      </c>
      <c r="R1433" s="2">
        <v>45287</v>
      </c>
      <c r="S1433" t="s">
        <v>69</v>
      </c>
      <c r="T1433" t="s">
        <v>80</v>
      </c>
      <c r="U1433" t="s">
        <v>6389</v>
      </c>
      <c r="V1433" t="s">
        <v>6388</v>
      </c>
      <c r="W1433" t="s">
        <v>70</v>
      </c>
      <c r="X1433">
        <v>100</v>
      </c>
      <c r="Y1433" t="s">
        <v>80</v>
      </c>
      <c r="Z1433">
        <v>249</v>
      </c>
    </row>
    <row r="1434" spans="1:26" x14ac:dyDescent="0.3">
      <c r="A1434">
        <v>1433</v>
      </c>
      <c r="B1434" t="s">
        <v>3149</v>
      </c>
      <c r="C1434" t="s">
        <v>45</v>
      </c>
      <c r="D1434" t="s">
        <v>54</v>
      </c>
      <c r="E1434" t="s">
        <v>90</v>
      </c>
      <c r="F1434" t="s">
        <v>6386</v>
      </c>
      <c r="G1434" t="s">
        <v>6381</v>
      </c>
      <c r="H1434" t="s">
        <v>6382</v>
      </c>
      <c r="J1434">
        <f>AVERAGE(ai_job_market[[#This Row],[min_salary]],ai_job_market[[#This Row],[max_salary]])</f>
        <v>166623</v>
      </c>
      <c r="K1434"/>
      <c r="L1434" t="s">
        <v>27</v>
      </c>
      <c r="M1434" t="s">
        <v>37</v>
      </c>
      <c r="N1434" t="s">
        <v>5836</v>
      </c>
      <c r="O1434" t="s">
        <v>4339</v>
      </c>
      <c r="P1434">
        <v>122152</v>
      </c>
      <c r="Q1434">
        <v>211094</v>
      </c>
      <c r="R1434" s="2">
        <v>45519</v>
      </c>
      <c r="S1434" t="s">
        <v>69</v>
      </c>
      <c r="T1434" t="s">
        <v>70</v>
      </c>
      <c r="U1434" t="s">
        <v>6378</v>
      </c>
      <c r="W1434" t="s">
        <v>90</v>
      </c>
      <c r="X1434">
        <v>80</v>
      </c>
      <c r="Y1434" t="s">
        <v>70</v>
      </c>
      <c r="Z1434">
        <v>268</v>
      </c>
    </row>
    <row r="1435" spans="1:26" x14ac:dyDescent="0.3">
      <c r="A1435">
        <v>1434</v>
      </c>
      <c r="B1435" t="s">
        <v>3151</v>
      </c>
      <c r="C1435" t="s">
        <v>49</v>
      </c>
      <c r="D1435" t="s">
        <v>35</v>
      </c>
      <c r="E1435" t="s">
        <v>6347</v>
      </c>
      <c r="F1435" t="s">
        <v>6392</v>
      </c>
      <c r="G1435" t="s">
        <v>6391</v>
      </c>
      <c r="H1435" t="s">
        <v>6389</v>
      </c>
      <c r="I1435" t="s">
        <v>6390</v>
      </c>
      <c r="J1435">
        <f>AVERAGE(ai_job_market[[#This Row],[min_salary]],ai_job_market[[#This Row],[max_salary]])</f>
        <v>153934</v>
      </c>
      <c r="K1435" t="s">
        <v>6395</v>
      </c>
      <c r="L1435" t="s">
        <v>14</v>
      </c>
      <c r="M1435" t="s">
        <v>37</v>
      </c>
      <c r="N1435" t="s">
        <v>5837</v>
      </c>
      <c r="O1435" t="s">
        <v>4490</v>
      </c>
      <c r="P1435">
        <v>148075</v>
      </c>
      <c r="Q1435">
        <v>159793</v>
      </c>
      <c r="R1435" s="2">
        <v>45417</v>
      </c>
      <c r="S1435" t="s">
        <v>14</v>
      </c>
      <c r="T1435" t="s">
        <v>52</v>
      </c>
      <c r="U1435" t="s">
        <v>6384</v>
      </c>
      <c r="W1435" t="s">
        <v>6347</v>
      </c>
      <c r="X1435">
        <v>94</v>
      </c>
      <c r="Y1435" t="s">
        <v>52</v>
      </c>
      <c r="Z1435">
        <v>238</v>
      </c>
    </row>
    <row r="1436" spans="1:26" x14ac:dyDescent="0.3">
      <c r="A1436">
        <v>1435</v>
      </c>
      <c r="B1436" t="s">
        <v>3153</v>
      </c>
      <c r="C1436" t="s">
        <v>49</v>
      </c>
      <c r="D1436" t="s">
        <v>67</v>
      </c>
      <c r="E1436" t="s">
        <v>6358</v>
      </c>
      <c r="F1436" t="s">
        <v>6396</v>
      </c>
      <c r="G1436" t="s">
        <v>6376</v>
      </c>
      <c r="H1436" t="s">
        <v>6393</v>
      </c>
      <c r="I1436" t="s">
        <v>6378</v>
      </c>
      <c r="J1436">
        <f>AVERAGE(ai_job_market[[#This Row],[min_salary]],ai_job_market[[#This Row],[max_salary]])</f>
        <v>155592.5</v>
      </c>
      <c r="K1436"/>
      <c r="L1436" t="s">
        <v>22</v>
      </c>
      <c r="M1436" t="s">
        <v>51</v>
      </c>
      <c r="N1436" t="s">
        <v>5838</v>
      </c>
      <c r="O1436" t="s">
        <v>4938</v>
      </c>
      <c r="P1436">
        <v>138448</v>
      </c>
      <c r="Q1436">
        <v>172737</v>
      </c>
      <c r="R1436" s="2">
        <v>45319</v>
      </c>
      <c r="S1436" t="s">
        <v>69</v>
      </c>
      <c r="T1436" t="s">
        <v>70</v>
      </c>
      <c r="W1436" t="s">
        <v>6358</v>
      </c>
      <c r="X1436">
        <v>96</v>
      </c>
      <c r="Y1436" t="s">
        <v>70</v>
      </c>
      <c r="Z1436">
        <v>268</v>
      </c>
    </row>
    <row r="1437" spans="1:26" x14ac:dyDescent="0.3">
      <c r="A1437">
        <v>1436</v>
      </c>
      <c r="B1437" t="s">
        <v>3155</v>
      </c>
      <c r="C1437" t="s">
        <v>19</v>
      </c>
      <c r="D1437" t="s">
        <v>54</v>
      </c>
      <c r="E1437" t="s">
        <v>6347</v>
      </c>
      <c r="F1437" t="s">
        <v>6390</v>
      </c>
      <c r="G1437" t="s">
        <v>6393</v>
      </c>
      <c r="H1437" t="s">
        <v>6392</v>
      </c>
      <c r="I1437" t="s">
        <v>6384</v>
      </c>
      <c r="J1437" s="6">
        <f>AVERAGE(ai_job_market[[#This Row],[min_salary]],ai_job_market[[#This Row],[max_salary]])</f>
        <v>126096.5</v>
      </c>
      <c r="K1437"/>
      <c r="L1437" t="s">
        <v>27</v>
      </c>
      <c r="M1437" t="s">
        <v>15</v>
      </c>
      <c r="N1437" t="s">
        <v>5839</v>
      </c>
      <c r="O1437" t="s">
        <v>4442</v>
      </c>
      <c r="P1437" s="5">
        <v>114961</v>
      </c>
      <c r="Q1437" s="5">
        <v>137232</v>
      </c>
      <c r="R1437" s="2">
        <v>45283</v>
      </c>
      <c r="S1437" t="s">
        <v>14</v>
      </c>
      <c r="T1437" t="s">
        <v>90</v>
      </c>
      <c r="W1437" t="s">
        <v>6347</v>
      </c>
      <c r="X1437">
        <v>94</v>
      </c>
      <c r="Y1437" t="s">
        <v>90</v>
      </c>
      <c r="Z1437">
        <v>259</v>
      </c>
    </row>
    <row r="1438" spans="1:26" x14ac:dyDescent="0.3">
      <c r="A1438">
        <v>1437</v>
      </c>
      <c r="B1438" t="s">
        <v>3157</v>
      </c>
      <c r="C1438" t="s">
        <v>45</v>
      </c>
      <c r="D1438" t="s">
        <v>30</v>
      </c>
      <c r="E1438" t="s">
        <v>6354</v>
      </c>
      <c r="F1438" t="s">
        <v>6384</v>
      </c>
      <c r="G1438" t="s">
        <v>6375</v>
      </c>
      <c r="H1438" t="s">
        <v>6397</v>
      </c>
      <c r="I1438" t="s">
        <v>6387</v>
      </c>
      <c r="J1438">
        <f>AVERAGE(ai_job_market[[#This Row],[min_salary]],ai_job_market[[#This Row],[max_salary]])</f>
        <v>159045.5</v>
      </c>
      <c r="K1438" t="s">
        <v>6394</v>
      </c>
      <c r="L1438" t="s">
        <v>27</v>
      </c>
      <c r="M1438" t="s">
        <v>51</v>
      </c>
      <c r="N1438" t="s">
        <v>5840</v>
      </c>
      <c r="O1438" t="s">
        <v>4646</v>
      </c>
      <c r="P1438">
        <v>120680</v>
      </c>
      <c r="Q1438">
        <v>197411</v>
      </c>
      <c r="R1438" s="2">
        <v>45283</v>
      </c>
      <c r="S1438" t="s">
        <v>69</v>
      </c>
      <c r="T1438" t="s">
        <v>70</v>
      </c>
      <c r="U1438" t="s">
        <v>6384</v>
      </c>
      <c r="V1438" t="s">
        <v>6383</v>
      </c>
      <c r="W1438" t="s">
        <v>6354</v>
      </c>
      <c r="X1438">
        <v>75</v>
      </c>
      <c r="Y1438" t="s">
        <v>70</v>
      </c>
      <c r="Z1438">
        <v>268</v>
      </c>
    </row>
    <row r="1439" spans="1:26" x14ac:dyDescent="0.3">
      <c r="A1439">
        <v>1438</v>
      </c>
      <c r="B1439" t="s">
        <v>3159</v>
      </c>
      <c r="C1439" t="s">
        <v>45</v>
      </c>
      <c r="D1439" t="s">
        <v>12</v>
      </c>
      <c r="E1439" t="s">
        <v>6347</v>
      </c>
      <c r="F1439" t="s">
        <v>6384</v>
      </c>
      <c r="G1439" t="s">
        <v>6395</v>
      </c>
      <c r="J1439">
        <f>AVERAGE(ai_job_market[[#This Row],[min_salary]],ai_job_market[[#This Row],[max_salary]])</f>
        <v>174957.5</v>
      </c>
      <c r="K1439"/>
      <c r="L1439" t="s">
        <v>27</v>
      </c>
      <c r="M1439" t="s">
        <v>42</v>
      </c>
      <c r="N1439" t="s">
        <v>5841</v>
      </c>
      <c r="O1439" t="s">
        <v>4399</v>
      </c>
      <c r="P1439">
        <v>130193</v>
      </c>
      <c r="Q1439">
        <v>219722</v>
      </c>
      <c r="R1439" s="2">
        <v>45888</v>
      </c>
      <c r="S1439" t="s">
        <v>14</v>
      </c>
      <c r="T1439" t="s">
        <v>77</v>
      </c>
      <c r="U1439" t="s">
        <v>6383</v>
      </c>
      <c r="V1439" t="s">
        <v>6384</v>
      </c>
      <c r="W1439" t="s">
        <v>6347</v>
      </c>
      <c r="X1439">
        <v>94</v>
      </c>
      <c r="Y1439" t="s">
        <v>77</v>
      </c>
      <c r="Z1439">
        <v>251</v>
      </c>
    </row>
    <row r="1440" spans="1:26" x14ac:dyDescent="0.3">
      <c r="A1440">
        <v>1439</v>
      </c>
      <c r="B1440" t="s">
        <v>3161</v>
      </c>
      <c r="C1440" t="s">
        <v>19</v>
      </c>
      <c r="D1440" t="s">
        <v>12</v>
      </c>
      <c r="E1440" t="s">
        <v>90</v>
      </c>
      <c r="F1440" t="s">
        <v>6390</v>
      </c>
      <c r="G1440" t="s">
        <v>6377</v>
      </c>
      <c r="J1440">
        <f>AVERAGE(ai_job_market[[#This Row],[min_salary]],ai_job_market[[#This Row],[max_salary]])</f>
        <v>83111</v>
      </c>
      <c r="K1440"/>
      <c r="L1440" t="s">
        <v>22</v>
      </c>
      <c r="M1440" t="s">
        <v>42</v>
      </c>
      <c r="N1440" t="s">
        <v>5842</v>
      </c>
      <c r="O1440" t="s">
        <v>4549</v>
      </c>
      <c r="P1440">
        <v>63320</v>
      </c>
      <c r="Q1440">
        <v>102902</v>
      </c>
      <c r="R1440" s="2">
        <v>45754</v>
      </c>
      <c r="S1440" t="s">
        <v>16</v>
      </c>
      <c r="T1440" t="s">
        <v>101</v>
      </c>
      <c r="W1440" t="s">
        <v>90</v>
      </c>
      <c r="X1440">
        <v>80</v>
      </c>
      <c r="Y1440" t="s">
        <v>101</v>
      </c>
      <c r="Z1440">
        <v>255</v>
      </c>
    </row>
    <row r="1441" spans="1:26" x14ac:dyDescent="0.3">
      <c r="A1441">
        <v>1440</v>
      </c>
      <c r="B1441" t="s">
        <v>3163</v>
      </c>
      <c r="C1441" t="s">
        <v>40</v>
      </c>
      <c r="D1441" t="s">
        <v>25</v>
      </c>
      <c r="E1441" t="s">
        <v>90</v>
      </c>
      <c r="F1441" t="s">
        <v>6393</v>
      </c>
      <c r="G1441" t="s">
        <v>6376</v>
      </c>
      <c r="H1441" t="s">
        <v>6385</v>
      </c>
      <c r="J1441">
        <f>AVERAGE(ai_job_market[[#This Row],[min_salary]],ai_job_market[[#This Row],[max_salary]])</f>
        <v>189270</v>
      </c>
      <c r="K1441"/>
      <c r="L1441" t="s">
        <v>14</v>
      </c>
      <c r="M1441" t="s">
        <v>15</v>
      </c>
      <c r="N1441" t="s">
        <v>5843</v>
      </c>
      <c r="O1441" t="s">
        <v>4307</v>
      </c>
      <c r="P1441">
        <v>144303</v>
      </c>
      <c r="Q1441">
        <v>234237</v>
      </c>
      <c r="R1441" s="2">
        <v>45843</v>
      </c>
      <c r="S1441" t="s">
        <v>69</v>
      </c>
      <c r="T1441" t="s">
        <v>80</v>
      </c>
      <c r="W1441" t="s">
        <v>90</v>
      </c>
      <c r="X1441">
        <v>80</v>
      </c>
      <c r="Y1441" t="s">
        <v>80</v>
      </c>
      <c r="Z1441">
        <v>249</v>
      </c>
    </row>
    <row r="1442" spans="1:26" x14ac:dyDescent="0.3">
      <c r="A1442">
        <v>1441</v>
      </c>
      <c r="B1442" t="s">
        <v>3165</v>
      </c>
      <c r="C1442" t="s">
        <v>34</v>
      </c>
      <c r="D1442" t="s">
        <v>20</v>
      </c>
      <c r="E1442" t="s">
        <v>6348</v>
      </c>
      <c r="F1442" t="s">
        <v>6384</v>
      </c>
      <c r="G1442" t="s">
        <v>6393</v>
      </c>
      <c r="J1442">
        <f>AVERAGE(ai_job_market[[#This Row],[min_salary]],ai_job_market[[#This Row],[max_salary]])</f>
        <v>158420.5</v>
      </c>
      <c r="K1442"/>
      <c r="L1442" t="s">
        <v>14</v>
      </c>
      <c r="M1442" t="s">
        <v>37</v>
      </c>
      <c r="N1442" t="s">
        <v>4636</v>
      </c>
      <c r="O1442" t="s">
        <v>4281</v>
      </c>
      <c r="P1442">
        <v>125644</v>
      </c>
      <c r="Q1442">
        <v>191197</v>
      </c>
      <c r="R1442" s="2">
        <v>45765</v>
      </c>
      <c r="S1442" t="s">
        <v>69</v>
      </c>
      <c r="T1442" t="s">
        <v>80</v>
      </c>
      <c r="W1442" t="s">
        <v>6348</v>
      </c>
      <c r="X1442">
        <v>78</v>
      </c>
      <c r="Y1442" t="s">
        <v>80</v>
      </c>
      <c r="Z1442">
        <v>249</v>
      </c>
    </row>
    <row r="1443" spans="1:26" x14ac:dyDescent="0.3">
      <c r="A1443">
        <v>1442</v>
      </c>
      <c r="B1443" t="s">
        <v>3167</v>
      </c>
      <c r="C1443" t="s">
        <v>72</v>
      </c>
      <c r="D1443" t="s">
        <v>20</v>
      </c>
      <c r="E1443" t="s">
        <v>6358</v>
      </c>
      <c r="F1443" t="s">
        <v>6394</v>
      </c>
      <c r="G1443" t="s">
        <v>6384</v>
      </c>
      <c r="H1443" t="s">
        <v>6392</v>
      </c>
      <c r="I1443" t="s">
        <v>6381</v>
      </c>
      <c r="J1443">
        <f>AVERAGE(ai_job_market[[#This Row],[min_salary]],ai_job_market[[#This Row],[max_salary]])</f>
        <v>152158.5</v>
      </c>
      <c r="K1443"/>
      <c r="L1443" t="s">
        <v>22</v>
      </c>
      <c r="M1443" t="s">
        <v>15</v>
      </c>
      <c r="N1443" t="s">
        <v>5844</v>
      </c>
      <c r="O1443" t="s">
        <v>4480</v>
      </c>
      <c r="P1443">
        <v>124397</v>
      </c>
      <c r="Q1443">
        <v>179920</v>
      </c>
      <c r="R1443" s="2">
        <v>45498</v>
      </c>
      <c r="S1443" t="s">
        <v>69</v>
      </c>
      <c r="T1443" t="s">
        <v>52</v>
      </c>
      <c r="U1443" t="s">
        <v>6378</v>
      </c>
      <c r="W1443" t="s">
        <v>6358</v>
      </c>
      <c r="X1443">
        <v>96</v>
      </c>
      <c r="Y1443" t="s">
        <v>52</v>
      </c>
      <c r="Z1443">
        <v>238</v>
      </c>
    </row>
    <row r="1444" spans="1:26" x14ac:dyDescent="0.3">
      <c r="A1444">
        <v>1443</v>
      </c>
      <c r="B1444" t="s">
        <v>3169</v>
      </c>
      <c r="C1444" t="s">
        <v>34</v>
      </c>
      <c r="D1444" t="s">
        <v>12</v>
      </c>
      <c r="E1444" t="s">
        <v>6351</v>
      </c>
      <c r="F1444" t="s">
        <v>6376</v>
      </c>
      <c r="G1444" t="s">
        <v>6377</v>
      </c>
      <c r="H1444" t="s">
        <v>6384</v>
      </c>
      <c r="I1444" t="s">
        <v>6394</v>
      </c>
      <c r="J1444" s="6">
        <f>AVERAGE(ai_job_market[[#This Row],[min_salary]],ai_job_market[[#This Row],[max_salary]])</f>
        <v>129942</v>
      </c>
      <c r="K1444"/>
      <c r="L1444" t="s">
        <v>22</v>
      </c>
      <c r="M1444" t="s">
        <v>15</v>
      </c>
      <c r="N1444" t="s">
        <v>5845</v>
      </c>
      <c r="O1444" t="s">
        <v>4297</v>
      </c>
      <c r="P1444" s="5">
        <v>100967</v>
      </c>
      <c r="Q1444" s="5">
        <v>158917</v>
      </c>
      <c r="R1444" s="2">
        <v>45219</v>
      </c>
      <c r="S1444" t="s">
        <v>69</v>
      </c>
      <c r="T1444" t="s">
        <v>52</v>
      </c>
      <c r="W1444" t="s">
        <v>6351</v>
      </c>
      <c r="X1444">
        <v>89</v>
      </c>
      <c r="Y1444" t="s">
        <v>52</v>
      </c>
      <c r="Z1444">
        <v>238</v>
      </c>
    </row>
    <row r="1445" spans="1:26" x14ac:dyDescent="0.3">
      <c r="A1445">
        <v>1444</v>
      </c>
      <c r="B1445" t="s">
        <v>3171</v>
      </c>
      <c r="C1445" t="s">
        <v>19</v>
      </c>
      <c r="D1445" t="s">
        <v>20</v>
      </c>
      <c r="E1445" t="s">
        <v>6358</v>
      </c>
      <c r="F1445" t="s">
        <v>6393</v>
      </c>
      <c r="G1445" t="s">
        <v>6391</v>
      </c>
      <c r="H1445" t="s">
        <v>6394</v>
      </c>
      <c r="I1445" t="s">
        <v>6381</v>
      </c>
      <c r="J1445">
        <f>AVERAGE(ai_job_market[[#This Row],[min_salary]],ai_job_market[[#This Row],[max_salary]])</f>
        <v>127626.5</v>
      </c>
      <c r="K1445"/>
      <c r="L1445" t="s">
        <v>14</v>
      </c>
      <c r="M1445" t="s">
        <v>37</v>
      </c>
      <c r="N1445" t="s">
        <v>5846</v>
      </c>
      <c r="O1445" t="s">
        <v>4499</v>
      </c>
      <c r="P1445">
        <v>86614</v>
      </c>
      <c r="Q1445">
        <v>168639</v>
      </c>
      <c r="R1445" s="2">
        <v>45806</v>
      </c>
      <c r="S1445" t="s">
        <v>14</v>
      </c>
      <c r="T1445" t="s">
        <v>52</v>
      </c>
      <c r="U1445" t="s">
        <v>6375</v>
      </c>
      <c r="W1445" t="s">
        <v>6358</v>
      </c>
      <c r="X1445">
        <v>96</v>
      </c>
      <c r="Y1445" t="s">
        <v>52</v>
      </c>
      <c r="Z1445">
        <v>238</v>
      </c>
    </row>
    <row r="1446" spans="1:26" x14ac:dyDescent="0.3">
      <c r="A1446">
        <v>1445</v>
      </c>
      <c r="B1446" t="s">
        <v>3173</v>
      </c>
      <c r="C1446" t="s">
        <v>72</v>
      </c>
      <c r="D1446" t="s">
        <v>20</v>
      </c>
      <c r="E1446" t="s">
        <v>90</v>
      </c>
      <c r="F1446" t="s">
        <v>6384</v>
      </c>
      <c r="G1446" t="s">
        <v>6374</v>
      </c>
      <c r="J1446">
        <f>AVERAGE(ai_job_market[[#This Row],[min_salary]],ai_job_market[[#This Row],[max_salary]])</f>
        <v>104374</v>
      </c>
      <c r="K1446"/>
      <c r="L1446" t="s">
        <v>27</v>
      </c>
      <c r="M1446" t="s">
        <v>51</v>
      </c>
      <c r="N1446" t="s">
        <v>5847</v>
      </c>
      <c r="O1446" t="s">
        <v>4414</v>
      </c>
      <c r="P1446">
        <v>91509</v>
      </c>
      <c r="Q1446">
        <v>117239</v>
      </c>
      <c r="R1446" s="2">
        <v>45253</v>
      </c>
      <c r="S1446" t="s">
        <v>16</v>
      </c>
      <c r="T1446" t="s">
        <v>77</v>
      </c>
      <c r="W1446" t="s">
        <v>90</v>
      </c>
      <c r="X1446">
        <v>80</v>
      </c>
      <c r="Y1446" t="s">
        <v>77</v>
      </c>
      <c r="Z1446">
        <v>251</v>
      </c>
    </row>
    <row r="1447" spans="1:26" x14ac:dyDescent="0.3">
      <c r="A1447">
        <v>1446</v>
      </c>
      <c r="B1447" t="s">
        <v>3175</v>
      </c>
      <c r="C1447" t="s">
        <v>40</v>
      </c>
      <c r="D1447" t="s">
        <v>30</v>
      </c>
      <c r="E1447" t="s">
        <v>6356</v>
      </c>
      <c r="F1447" t="s">
        <v>6386</v>
      </c>
      <c r="G1447" t="s">
        <v>6384</v>
      </c>
      <c r="H1447" t="s">
        <v>6394</v>
      </c>
      <c r="J1447">
        <f>AVERAGE(ai_job_market[[#This Row],[min_salary]],ai_job_market[[#This Row],[max_salary]])</f>
        <v>134656</v>
      </c>
      <c r="K1447"/>
      <c r="L1447" t="s">
        <v>14</v>
      </c>
      <c r="M1447" t="s">
        <v>51</v>
      </c>
      <c r="N1447" t="s">
        <v>5848</v>
      </c>
      <c r="O1447" t="s">
        <v>4511</v>
      </c>
      <c r="P1447">
        <v>105140</v>
      </c>
      <c r="Q1447">
        <v>164172</v>
      </c>
      <c r="R1447" s="2">
        <v>45662</v>
      </c>
      <c r="S1447" t="s">
        <v>16</v>
      </c>
      <c r="T1447" t="s">
        <v>101</v>
      </c>
      <c r="U1447" t="s">
        <v>6383</v>
      </c>
      <c r="W1447" t="s">
        <v>6356</v>
      </c>
      <c r="X1447">
        <v>86</v>
      </c>
      <c r="Y1447" t="s">
        <v>101</v>
      </c>
      <c r="Z1447">
        <v>255</v>
      </c>
    </row>
    <row r="1448" spans="1:26" x14ac:dyDescent="0.3">
      <c r="A1448">
        <v>1447</v>
      </c>
      <c r="B1448" t="s">
        <v>3177</v>
      </c>
      <c r="C1448" t="s">
        <v>72</v>
      </c>
      <c r="D1448" t="s">
        <v>12</v>
      </c>
      <c r="E1448" t="s">
        <v>101</v>
      </c>
      <c r="F1448" t="s">
        <v>6377</v>
      </c>
      <c r="G1448" t="s">
        <v>6379</v>
      </c>
      <c r="H1448" t="s">
        <v>6397</v>
      </c>
      <c r="I1448" t="s">
        <v>6380</v>
      </c>
      <c r="J1448">
        <f>AVERAGE(ai_job_market[[#This Row],[min_salary]],ai_job_market[[#This Row],[max_salary]])</f>
        <v>163349.5</v>
      </c>
      <c r="K1448" t="s">
        <v>6396</v>
      </c>
      <c r="L1448" t="s">
        <v>27</v>
      </c>
      <c r="M1448" t="s">
        <v>42</v>
      </c>
      <c r="N1448" t="s">
        <v>5849</v>
      </c>
      <c r="O1448" t="s">
        <v>4680</v>
      </c>
      <c r="P1448">
        <v>117356</v>
      </c>
      <c r="Q1448">
        <v>209343</v>
      </c>
      <c r="R1448" s="2">
        <v>45620</v>
      </c>
      <c r="S1448" t="s">
        <v>69</v>
      </c>
      <c r="T1448" t="s">
        <v>70</v>
      </c>
      <c r="W1448" t="s">
        <v>101</v>
      </c>
      <c r="X1448">
        <v>76</v>
      </c>
      <c r="Y1448" t="s">
        <v>70</v>
      </c>
      <c r="Z1448">
        <v>268</v>
      </c>
    </row>
    <row r="1449" spans="1:26" x14ac:dyDescent="0.3">
      <c r="A1449">
        <v>1448</v>
      </c>
      <c r="B1449" t="s">
        <v>3179</v>
      </c>
      <c r="C1449" t="s">
        <v>34</v>
      </c>
      <c r="D1449" t="s">
        <v>30</v>
      </c>
      <c r="E1449" t="s">
        <v>6351</v>
      </c>
      <c r="F1449" t="s">
        <v>6396</v>
      </c>
      <c r="G1449" t="s">
        <v>6376</v>
      </c>
      <c r="H1449" t="s">
        <v>6380</v>
      </c>
      <c r="I1449" t="s">
        <v>6381</v>
      </c>
      <c r="J1449" s="6">
        <f>AVERAGE(ai_job_market[[#This Row],[min_salary]],ai_job_market[[#This Row],[max_salary]])</f>
        <v>162501.5</v>
      </c>
      <c r="K1449" t="s">
        <v>6375</v>
      </c>
      <c r="L1449" t="s">
        <v>22</v>
      </c>
      <c r="M1449" t="s">
        <v>42</v>
      </c>
      <c r="N1449" t="s">
        <v>5850</v>
      </c>
      <c r="O1449" t="s">
        <v>4456</v>
      </c>
      <c r="P1449" s="5">
        <v>140190</v>
      </c>
      <c r="Q1449" s="5">
        <v>184813</v>
      </c>
      <c r="R1449" s="2">
        <v>45766</v>
      </c>
      <c r="S1449" t="s">
        <v>69</v>
      </c>
      <c r="T1449" t="s">
        <v>52</v>
      </c>
      <c r="U1449" t="s">
        <v>6379</v>
      </c>
      <c r="V1449" t="s">
        <v>6376</v>
      </c>
      <c r="W1449" t="s">
        <v>6351</v>
      </c>
      <c r="X1449">
        <v>89</v>
      </c>
      <c r="Y1449" t="s">
        <v>52</v>
      </c>
      <c r="Z1449">
        <v>238</v>
      </c>
    </row>
    <row r="1450" spans="1:26" x14ac:dyDescent="0.3">
      <c r="A1450">
        <v>1449</v>
      </c>
      <c r="B1450" t="s">
        <v>3181</v>
      </c>
      <c r="C1450" t="s">
        <v>49</v>
      </c>
      <c r="D1450" t="s">
        <v>25</v>
      </c>
      <c r="E1450" t="s">
        <v>6348</v>
      </c>
      <c r="F1450" t="s">
        <v>6389</v>
      </c>
      <c r="G1450" t="s">
        <v>6395</v>
      </c>
      <c r="H1450" t="s">
        <v>6397</v>
      </c>
      <c r="J1450">
        <f>AVERAGE(ai_job_market[[#This Row],[min_salary]],ai_job_market[[#This Row],[max_salary]])</f>
        <v>102683.5</v>
      </c>
      <c r="K1450"/>
      <c r="L1450" t="s">
        <v>22</v>
      </c>
      <c r="M1450" t="s">
        <v>51</v>
      </c>
      <c r="N1450" t="s">
        <v>5851</v>
      </c>
      <c r="O1450" t="s">
        <v>4287</v>
      </c>
      <c r="P1450">
        <v>91516</v>
      </c>
      <c r="Q1450">
        <v>113851</v>
      </c>
      <c r="R1450" s="2">
        <v>45475</v>
      </c>
      <c r="S1450" t="s">
        <v>69</v>
      </c>
      <c r="T1450" t="s">
        <v>70</v>
      </c>
      <c r="U1450" t="s">
        <v>6384</v>
      </c>
      <c r="W1450" t="s">
        <v>6348</v>
      </c>
      <c r="X1450">
        <v>78</v>
      </c>
      <c r="Y1450" t="s">
        <v>70</v>
      </c>
      <c r="Z1450">
        <v>268</v>
      </c>
    </row>
    <row r="1451" spans="1:26" x14ac:dyDescent="0.3">
      <c r="A1451">
        <v>1450</v>
      </c>
      <c r="B1451" t="s">
        <v>3183</v>
      </c>
      <c r="C1451" t="s">
        <v>72</v>
      </c>
      <c r="D1451" t="s">
        <v>54</v>
      </c>
      <c r="E1451" t="s">
        <v>6351</v>
      </c>
      <c r="F1451" t="s">
        <v>6384</v>
      </c>
      <c r="G1451" t="s">
        <v>6385</v>
      </c>
      <c r="H1451" t="s">
        <v>6390</v>
      </c>
      <c r="I1451" t="s">
        <v>6386</v>
      </c>
      <c r="J1451">
        <f>AVERAGE(ai_job_market[[#This Row],[min_salary]],ai_job_market[[#This Row],[max_salary]])</f>
        <v>86525</v>
      </c>
      <c r="K1451"/>
      <c r="L1451" t="s">
        <v>22</v>
      </c>
      <c r="M1451" t="s">
        <v>15</v>
      </c>
      <c r="N1451" t="s">
        <v>5852</v>
      </c>
      <c r="O1451" t="s">
        <v>4687</v>
      </c>
      <c r="P1451">
        <v>42598</v>
      </c>
      <c r="Q1451">
        <v>130452</v>
      </c>
      <c r="R1451" s="2">
        <v>45355</v>
      </c>
      <c r="S1451" t="s">
        <v>69</v>
      </c>
      <c r="T1451" t="s">
        <v>101</v>
      </c>
      <c r="U1451" t="s">
        <v>6388</v>
      </c>
      <c r="W1451" t="s">
        <v>6351</v>
      </c>
      <c r="X1451">
        <v>89</v>
      </c>
      <c r="Y1451" t="s">
        <v>101</v>
      </c>
      <c r="Z1451">
        <v>255</v>
      </c>
    </row>
    <row r="1452" spans="1:26" x14ac:dyDescent="0.3">
      <c r="A1452">
        <v>1451</v>
      </c>
      <c r="B1452" t="s">
        <v>3185</v>
      </c>
      <c r="C1452" t="s">
        <v>11</v>
      </c>
      <c r="D1452" t="s">
        <v>12</v>
      </c>
      <c r="E1452" t="s">
        <v>6350</v>
      </c>
      <c r="F1452" t="s">
        <v>6396</v>
      </c>
      <c r="G1452" t="s">
        <v>6382</v>
      </c>
      <c r="J1452">
        <f>AVERAGE(ai_job_market[[#This Row],[min_salary]],ai_job_market[[#This Row],[max_salary]])</f>
        <v>60149</v>
      </c>
      <c r="K1452"/>
      <c r="L1452" t="s">
        <v>27</v>
      </c>
      <c r="M1452" t="s">
        <v>42</v>
      </c>
      <c r="N1452" t="s">
        <v>5853</v>
      </c>
      <c r="O1452" t="s">
        <v>4518</v>
      </c>
      <c r="P1452">
        <v>43782</v>
      </c>
      <c r="Q1452">
        <v>76516</v>
      </c>
      <c r="R1452" s="2">
        <v>45707</v>
      </c>
      <c r="S1452" t="s">
        <v>69</v>
      </c>
      <c r="T1452" t="s">
        <v>80</v>
      </c>
      <c r="W1452" t="s">
        <v>6350</v>
      </c>
      <c r="X1452">
        <v>84</v>
      </c>
      <c r="Y1452" t="s">
        <v>80</v>
      </c>
      <c r="Z1452">
        <v>249</v>
      </c>
    </row>
    <row r="1453" spans="1:26" x14ac:dyDescent="0.3">
      <c r="A1453">
        <v>1452</v>
      </c>
      <c r="B1453" t="s">
        <v>3187</v>
      </c>
      <c r="C1453" t="s">
        <v>11</v>
      </c>
      <c r="D1453" t="s">
        <v>54</v>
      </c>
      <c r="E1453" t="s">
        <v>6344</v>
      </c>
      <c r="F1453" t="s">
        <v>6397</v>
      </c>
      <c r="G1453" t="s">
        <v>6375</v>
      </c>
      <c r="J1453">
        <f>AVERAGE(ai_job_market[[#This Row],[min_salary]],ai_job_market[[#This Row],[max_salary]])</f>
        <v>127196</v>
      </c>
      <c r="K1453"/>
      <c r="L1453" t="s">
        <v>22</v>
      </c>
      <c r="M1453" t="s">
        <v>51</v>
      </c>
      <c r="N1453" t="s">
        <v>5854</v>
      </c>
      <c r="O1453" t="s">
        <v>4619</v>
      </c>
      <c r="P1453">
        <v>113253</v>
      </c>
      <c r="Q1453">
        <v>141139</v>
      </c>
      <c r="R1453" s="2">
        <v>45682</v>
      </c>
      <c r="S1453" t="s">
        <v>14</v>
      </c>
      <c r="T1453" t="s">
        <v>128</v>
      </c>
      <c r="W1453" t="s">
        <v>6344</v>
      </c>
      <c r="X1453">
        <v>104</v>
      </c>
      <c r="Y1453" t="s">
        <v>128</v>
      </c>
      <c r="Z1453">
        <v>233</v>
      </c>
    </row>
    <row r="1454" spans="1:26" x14ac:dyDescent="0.3">
      <c r="A1454">
        <v>1453</v>
      </c>
      <c r="B1454" t="s">
        <v>3189</v>
      </c>
      <c r="C1454" t="s">
        <v>11</v>
      </c>
      <c r="D1454" t="s">
        <v>54</v>
      </c>
      <c r="E1454" t="s">
        <v>6359</v>
      </c>
      <c r="F1454" t="s">
        <v>6384</v>
      </c>
      <c r="G1454" t="s">
        <v>6396</v>
      </c>
      <c r="H1454" t="s">
        <v>6391</v>
      </c>
      <c r="J1454">
        <f>AVERAGE(ai_job_market[[#This Row],[min_salary]],ai_job_market[[#This Row],[max_salary]])</f>
        <v>152413</v>
      </c>
      <c r="K1454"/>
      <c r="L1454" t="s">
        <v>22</v>
      </c>
      <c r="M1454" t="s">
        <v>15</v>
      </c>
      <c r="N1454" t="s">
        <v>4959</v>
      </c>
      <c r="O1454" t="s">
        <v>4454</v>
      </c>
      <c r="P1454">
        <v>103189</v>
      </c>
      <c r="Q1454">
        <v>201637</v>
      </c>
      <c r="R1454" s="2">
        <v>45647</v>
      </c>
      <c r="S1454" t="s">
        <v>69</v>
      </c>
      <c r="T1454" t="s">
        <v>80</v>
      </c>
      <c r="U1454" t="s">
        <v>6379</v>
      </c>
      <c r="W1454" t="s">
        <v>6359</v>
      </c>
      <c r="X1454">
        <v>104</v>
      </c>
      <c r="Y1454" t="s">
        <v>80</v>
      </c>
      <c r="Z1454">
        <v>249</v>
      </c>
    </row>
    <row r="1455" spans="1:26" x14ac:dyDescent="0.3">
      <c r="A1455">
        <v>1454</v>
      </c>
      <c r="B1455" t="s">
        <v>3191</v>
      </c>
      <c r="C1455" t="s">
        <v>45</v>
      </c>
      <c r="D1455" t="s">
        <v>12</v>
      </c>
      <c r="E1455" t="s">
        <v>6345</v>
      </c>
      <c r="F1455" t="s">
        <v>6387</v>
      </c>
      <c r="G1455" t="s">
        <v>6378</v>
      </c>
      <c r="J1455">
        <f>AVERAGE(ai_job_market[[#This Row],[min_salary]],ai_job_market[[#This Row],[max_salary]])</f>
        <v>49431</v>
      </c>
      <c r="K1455"/>
      <c r="L1455" t="s">
        <v>22</v>
      </c>
      <c r="M1455" t="s">
        <v>37</v>
      </c>
      <c r="N1455" t="s">
        <v>5744</v>
      </c>
      <c r="O1455" t="s">
        <v>4692</v>
      </c>
      <c r="P1455">
        <v>40447</v>
      </c>
      <c r="Q1455">
        <v>58415</v>
      </c>
      <c r="R1455" s="2">
        <v>45548</v>
      </c>
      <c r="S1455" t="s">
        <v>69</v>
      </c>
      <c r="T1455" t="s">
        <v>101</v>
      </c>
      <c r="U1455" t="s">
        <v>6389</v>
      </c>
      <c r="W1455" t="s">
        <v>6345</v>
      </c>
      <c r="X1455">
        <v>101</v>
      </c>
      <c r="Y1455" t="s">
        <v>101</v>
      </c>
      <c r="Z1455">
        <v>255</v>
      </c>
    </row>
    <row r="1456" spans="1:26" x14ac:dyDescent="0.3">
      <c r="A1456">
        <v>1455</v>
      </c>
      <c r="B1456" t="s">
        <v>3193</v>
      </c>
      <c r="C1456" t="s">
        <v>11</v>
      </c>
      <c r="D1456" t="s">
        <v>30</v>
      </c>
      <c r="E1456" t="s">
        <v>6345</v>
      </c>
      <c r="F1456" t="s">
        <v>6387</v>
      </c>
      <c r="G1456" t="s">
        <v>6389</v>
      </c>
      <c r="H1456" t="s">
        <v>6391</v>
      </c>
      <c r="I1456" t="s">
        <v>6392</v>
      </c>
      <c r="J1456">
        <f>AVERAGE(ai_job_market[[#This Row],[min_salary]],ai_job_market[[#This Row],[max_salary]])</f>
        <v>95187</v>
      </c>
      <c r="K1456" t="s">
        <v>6384</v>
      </c>
      <c r="L1456" t="s">
        <v>22</v>
      </c>
      <c r="M1456" t="s">
        <v>51</v>
      </c>
      <c r="N1456" t="s">
        <v>5855</v>
      </c>
      <c r="O1456" t="s">
        <v>4544</v>
      </c>
      <c r="P1456">
        <v>66165</v>
      </c>
      <c r="Q1456">
        <v>124209</v>
      </c>
      <c r="R1456" s="2">
        <v>45712</v>
      </c>
      <c r="S1456" t="s">
        <v>69</v>
      </c>
      <c r="T1456" t="s">
        <v>128</v>
      </c>
      <c r="U1456" t="s">
        <v>6384</v>
      </c>
      <c r="V1456" t="s">
        <v>6389</v>
      </c>
      <c r="W1456" t="s">
        <v>6345</v>
      </c>
      <c r="X1456">
        <v>101</v>
      </c>
      <c r="Y1456" t="s">
        <v>128</v>
      </c>
      <c r="Z1456">
        <v>233</v>
      </c>
    </row>
    <row r="1457" spans="1:26" x14ac:dyDescent="0.3">
      <c r="A1457">
        <v>1456</v>
      </c>
      <c r="B1457" t="s">
        <v>3195</v>
      </c>
      <c r="C1457" t="s">
        <v>45</v>
      </c>
      <c r="D1457" t="s">
        <v>67</v>
      </c>
      <c r="E1457" t="s">
        <v>70</v>
      </c>
      <c r="F1457" t="s">
        <v>6381</v>
      </c>
      <c r="G1457" t="s">
        <v>6393</v>
      </c>
      <c r="H1457" t="s">
        <v>6386</v>
      </c>
      <c r="I1457" t="s">
        <v>6380</v>
      </c>
      <c r="J1457">
        <f>AVERAGE(ai_job_market[[#This Row],[min_salary]],ai_job_market[[#This Row],[max_salary]])</f>
        <v>64169.5</v>
      </c>
      <c r="K1457"/>
      <c r="L1457" t="s">
        <v>22</v>
      </c>
      <c r="M1457" t="s">
        <v>37</v>
      </c>
      <c r="N1457" t="s">
        <v>5856</v>
      </c>
      <c r="O1457" t="s">
        <v>4617</v>
      </c>
      <c r="P1457">
        <v>55662</v>
      </c>
      <c r="Q1457">
        <v>72677</v>
      </c>
      <c r="R1457" s="2">
        <v>45670</v>
      </c>
      <c r="S1457" t="s">
        <v>69</v>
      </c>
      <c r="T1457" t="s">
        <v>157</v>
      </c>
      <c r="U1457" t="s">
        <v>6378</v>
      </c>
      <c r="V1457" t="s">
        <v>6375</v>
      </c>
      <c r="W1457" t="s">
        <v>70</v>
      </c>
      <c r="X1457">
        <v>100</v>
      </c>
      <c r="Y1457" t="s">
        <v>157</v>
      </c>
      <c r="Z1457">
        <v>247</v>
      </c>
    </row>
    <row r="1458" spans="1:26" x14ac:dyDescent="0.3">
      <c r="A1458">
        <v>1457</v>
      </c>
      <c r="B1458" t="s">
        <v>2875</v>
      </c>
      <c r="C1458" t="s">
        <v>49</v>
      </c>
      <c r="D1458" t="s">
        <v>67</v>
      </c>
      <c r="E1458" t="s">
        <v>6345</v>
      </c>
      <c r="F1458" t="s">
        <v>6395</v>
      </c>
      <c r="G1458" t="s">
        <v>6397</v>
      </c>
      <c r="J1458">
        <f>AVERAGE(ai_job_market[[#This Row],[min_salary]],ai_job_market[[#This Row],[max_salary]])</f>
        <v>119942.5</v>
      </c>
      <c r="K1458"/>
      <c r="L1458" t="s">
        <v>22</v>
      </c>
      <c r="M1458" t="s">
        <v>15</v>
      </c>
      <c r="N1458" t="s">
        <v>5857</v>
      </c>
      <c r="O1458" t="s">
        <v>4363</v>
      </c>
      <c r="P1458">
        <v>82452</v>
      </c>
      <c r="Q1458">
        <v>157433</v>
      </c>
      <c r="R1458" s="2">
        <v>45664</v>
      </c>
      <c r="S1458" t="s">
        <v>14</v>
      </c>
      <c r="T1458" t="s">
        <v>77</v>
      </c>
      <c r="U1458" t="s">
        <v>6375</v>
      </c>
      <c r="W1458" t="s">
        <v>6345</v>
      </c>
      <c r="X1458">
        <v>101</v>
      </c>
      <c r="Y1458" t="s">
        <v>77</v>
      </c>
      <c r="Z1458">
        <v>251</v>
      </c>
    </row>
    <row r="1459" spans="1:26" x14ac:dyDescent="0.3">
      <c r="A1459">
        <v>1458</v>
      </c>
      <c r="B1459" t="s">
        <v>3198</v>
      </c>
      <c r="C1459" t="s">
        <v>49</v>
      </c>
      <c r="D1459" t="s">
        <v>135</v>
      </c>
      <c r="E1459" t="s">
        <v>90</v>
      </c>
      <c r="F1459" t="s">
        <v>6382</v>
      </c>
      <c r="G1459" t="s">
        <v>6394</v>
      </c>
      <c r="H1459" t="s">
        <v>6377</v>
      </c>
      <c r="I1459" t="s">
        <v>6378</v>
      </c>
      <c r="J1459">
        <f>AVERAGE(ai_job_market[[#This Row],[min_salary]],ai_job_market[[#This Row],[max_salary]])</f>
        <v>126487.5</v>
      </c>
      <c r="K1459" t="s">
        <v>6379</v>
      </c>
      <c r="L1459" t="s">
        <v>27</v>
      </c>
      <c r="M1459" t="s">
        <v>15</v>
      </c>
      <c r="N1459" t="s">
        <v>5858</v>
      </c>
      <c r="O1459" t="s">
        <v>4346</v>
      </c>
      <c r="P1459">
        <v>89994</v>
      </c>
      <c r="Q1459">
        <v>162981</v>
      </c>
      <c r="R1459" s="2">
        <v>45725</v>
      </c>
      <c r="S1459" t="s">
        <v>69</v>
      </c>
      <c r="T1459" t="s">
        <v>77</v>
      </c>
      <c r="U1459" t="s">
        <v>6383</v>
      </c>
      <c r="V1459" t="s">
        <v>6375</v>
      </c>
      <c r="W1459" t="s">
        <v>90</v>
      </c>
      <c r="X1459">
        <v>80</v>
      </c>
      <c r="Y1459" t="s">
        <v>77</v>
      </c>
      <c r="Z1459">
        <v>251</v>
      </c>
    </row>
    <row r="1460" spans="1:26" x14ac:dyDescent="0.3">
      <c r="A1460">
        <v>1459</v>
      </c>
      <c r="B1460" t="s">
        <v>3201</v>
      </c>
      <c r="C1460" t="s">
        <v>72</v>
      </c>
      <c r="D1460" t="s">
        <v>67</v>
      </c>
      <c r="E1460" t="s">
        <v>6346</v>
      </c>
      <c r="F1460" t="s">
        <v>6392</v>
      </c>
      <c r="G1460" t="s">
        <v>6384</v>
      </c>
      <c r="H1460" t="s">
        <v>6389</v>
      </c>
      <c r="J1460">
        <f>AVERAGE(ai_job_market[[#This Row],[min_salary]],ai_job_market[[#This Row],[max_salary]])</f>
        <v>119855</v>
      </c>
      <c r="K1460"/>
      <c r="L1460" t="s">
        <v>27</v>
      </c>
      <c r="M1460" t="s">
        <v>15</v>
      </c>
      <c r="N1460" t="s">
        <v>5859</v>
      </c>
      <c r="O1460" t="s">
        <v>4316</v>
      </c>
      <c r="P1460">
        <v>88502</v>
      </c>
      <c r="Q1460">
        <v>151208</v>
      </c>
      <c r="R1460" s="2">
        <v>45882</v>
      </c>
      <c r="S1460" t="s">
        <v>16</v>
      </c>
      <c r="T1460" t="s">
        <v>52</v>
      </c>
      <c r="U1460" t="s">
        <v>6375</v>
      </c>
      <c r="W1460" t="s">
        <v>6346</v>
      </c>
      <c r="X1460">
        <v>78</v>
      </c>
      <c r="Y1460" t="s">
        <v>52</v>
      </c>
      <c r="Z1460">
        <v>238</v>
      </c>
    </row>
    <row r="1461" spans="1:26" x14ac:dyDescent="0.3">
      <c r="A1461">
        <v>1460</v>
      </c>
      <c r="B1461" t="s">
        <v>3203</v>
      </c>
      <c r="C1461" t="s">
        <v>72</v>
      </c>
      <c r="D1461" t="s">
        <v>67</v>
      </c>
      <c r="E1461" t="s">
        <v>6359</v>
      </c>
      <c r="F1461" t="s">
        <v>6389</v>
      </c>
      <c r="G1461" t="s">
        <v>6393</v>
      </c>
      <c r="H1461" t="s">
        <v>6385</v>
      </c>
      <c r="I1461" t="s">
        <v>6391</v>
      </c>
      <c r="J1461">
        <f>AVERAGE(ai_job_market[[#This Row],[min_salary]],ai_job_market[[#This Row],[max_salary]])</f>
        <v>149631</v>
      </c>
      <c r="K1461"/>
      <c r="L1461" t="s">
        <v>22</v>
      </c>
      <c r="M1461" t="s">
        <v>42</v>
      </c>
      <c r="N1461" t="s">
        <v>5860</v>
      </c>
      <c r="O1461" t="s">
        <v>4762</v>
      </c>
      <c r="P1461">
        <v>104608</v>
      </c>
      <c r="Q1461">
        <v>194654</v>
      </c>
      <c r="R1461" s="2">
        <v>45242</v>
      </c>
      <c r="S1461" t="s">
        <v>69</v>
      </c>
      <c r="T1461" t="s">
        <v>90</v>
      </c>
      <c r="W1461" t="s">
        <v>6359</v>
      </c>
      <c r="X1461">
        <v>104</v>
      </c>
      <c r="Y1461" t="s">
        <v>90</v>
      </c>
      <c r="Z1461">
        <v>259</v>
      </c>
    </row>
    <row r="1462" spans="1:26" x14ac:dyDescent="0.3">
      <c r="A1462">
        <v>1461</v>
      </c>
      <c r="B1462" t="s">
        <v>3205</v>
      </c>
      <c r="C1462" t="s">
        <v>34</v>
      </c>
      <c r="D1462" t="s">
        <v>20</v>
      </c>
      <c r="E1462" t="s">
        <v>6351</v>
      </c>
      <c r="F1462" t="s">
        <v>6384</v>
      </c>
      <c r="G1462" t="s">
        <v>6389</v>
      </c>
      <c r="J1462">
        <f>AVERAGE(ai_job_market[[#This Row],[min_salary]],ai_job_market[[#This Row],[max_salary]])</f>
        <v>98310</v>
      </c>
      <c r="K1462"/>
      <c r="L1462" t="s">
        <v>22</v>
      </c>
      <c r="M1462" t="s">
        <v>42</v>
      </c>
      <c r="N1462" t="s">
        <v>4738</v>
      </c>
      <c r="O1462" t="s">
        <v>4564</v>
      </c>
      <c r="P1462">
        <v>59714</v>
      </c>
      <c r="Q1462">
        <v>136906</v>
      </c>
      <c r="R1462" s="2">
        <v>45338</v>
      </c>
      <c r="S1462" t="s">
        <v>69</v>
      </c>
      <c r="T1462" t="s">
        <v>128</v>
      </c>
      <c r="U1462" t="s">
        <v>6383</v>
      </c>
      <c r="V1462" t="s">
        <v>6384</v>
      </c>
      <c r="W1462" t="s">
        <v>6351</v>
      </c>
      <c r="X1462">
        <v>89</v>
      </c>
      <c r="Y1462" t="s">
        <v>128</v>
      </c>
      <c r="Z1462">
        <v>233</v>
      </c>
    </row>
    <row r="1463" spans="1:26" x14ac:dyDescent="0.3">
      <c r="A1463">
        <v>1462</v>
      </c>
      <c r="B1463" t="s">
        <v>3208</v>
      </c>
      <c r="C1463" t="s">
        <v>49</v>
      </c>
      <c r="D1463" t="s">
        <v>25</v>
      </c>
      <c r="E1463" t="s">
        <v>77</v>
      </c>
      <c r="F1463" t="s">
        <v>6376</v>
      </c>
      <c r="G1463" t="s">
        <v>6389</v>
      </c>
      <c r="J1463">
        <f>AVERAGE(ai_job_market[[#This Row],[min_salary]],ai_job_market[[#This Row],[max_salary]])</f>
        <v>174499</v>
      </c>
      <c r="K1463"/>
      <c r="L1463" t="s">
        <v>14</v>
      </c>
      <c r="M1463" t="s">
        <v>37</v>
      </c>
      <c r="N1463" t="s">
        <v>5861</v>
      </c>
      <c r="O1463" t="s">
        <v>4474</v>
      </c>
      <c r="P1463">
        <v>129435</v>
      </c>
      <c r="Q1463">
        <v>219563</v>
      </c>
      <c r="R1463" s="2">
        <v>45675</v>
      </c>
      <c r="S1463" t="s">
        <v>69</v>
      </c>
      <c r="T1463" t="s">
        <v>52</v>
      </c>
      <c r="W1463" t="s">
        <v>77</v>
      </c>
      <c r="X1463">
        <v>111</v>
      </c>
      <c r="Y1463" t="s">
        <v>52</v>
      </c>
      <c r="Z1463">
        <v>238</v>
      </c>
    </row>
    <row r="1464" spans="1:26" x14ac:dyDescent="0.3">
      <c r="A1464">
        <v>1463</v>
      </c>
      <c r="B1464" t="s">
        <v>3209</v>
      </c>
      <c r="C1464" t="s">
        <v>49</v>
      </c>
      <c r="D1464" t="s">
        <v>30</v>
      </c>
      <c r="E1464" t="s">
        <v>90</v>
      </c>
      <c r="F1464" t="s">
        <v>6380</v>
      </c>
      <c r="G1464" t="s">
        <v>6377</v>
      </c>
      <c r="H1464" t="s">
        <v>6382</v>
      </c>
      <c r="I1464" t="s">
        <v>6395</v>
      </c>
      <c r="J1464">
        <f>AVERAGE(ai_job_market[[#This Row],[min_salary]],ai_job_market[[#This Row],[max_salary]])</f>
        <v>107404</v>
      </c>
      <c r="K1464"/>
      <c r="L1464" t="s">
        <v>14</v>
      </c>
      <c r="M1464" t="s">
        <v>42</v>
      </c>
      <c r="N1464" t="s">
        <v>5862</v>
      </c>
      <c r="O1464" t="s">
        <v>4422</v>
      </c>
      <c r="P1464">
        <v>98022</v>
      </c>
      <c r="Q1464">
        <v>116786</v>
      </c>
      <c r="R1464" s="2">
        <v>45442</v>
      </c>
      <c r="S1464" t="s">
        <v>14</v>
      </c>
      <c r="T1464" t="s">
        <v>157</v>
      </c>
      <c r="U1464" t="s">
        <v>6376</v>
      </c>
      <c r="V1464" t="s">
        <v>6389</v>
      </c>
      <c r="W1464" t="s">
        <v>90</v>
      </c>
      <c r="X1464">
        <v>80</v>
      </c>
      <c r="Y1464" t="s">
        <v>157</v>
      </c>
      <c r="Z1464">
        <v>247</v>
      </c>
    </row>
    <row r="1465" spans="1:26" x14ac:dyDescent="0.3">
      <c r="A1465">
        <v>1464</v>
      </c>
      <c r="B1465" t="s">
        <v>3212</v>
      </c>
      <c r="C1465" t="s">
        <v>49</v>
      </c>
      <c r="D1465" t="s">
        <v>12</v>
      </c>
      <c r="E1465" t="s">
        <v>6347</v>
      </c>
      <c r="F1465" t="s">
        <v>6391</v>
      </c>
      <c r="G1465" t="s">
        <v>6380</v>
      </c>
      <c r="H1465" t="s">
        <v>6394</v>
      </c>
      <c r="I1465" t="s">
        <v>6395</v>
      </c>
      <c r="J1465">
        <f>AVERAGE(ai_job_market[[#This Row],[min_salary]],ai_job_market[[#This Row],[max_salary]])</f>
        <v>87857</v>
      </c>
      <c r="K1465"/>
      <c r="L1465" t="s">
        <v>22</v>
      </c>
      <c r="M1465" t="s">
        <v>37</v>
      </c>
      <c r="N1465" t="s">
        <v>5863</v>
      </c>
      <c r="O1465" t="s">
        <v>4484</v>
      </c>
      <c r="P1465">
        <v>74164</v>
      </c>
      <c r="Q1465">
        <v>101550</v>
      </c>
      <c r="R1465" s="2">
        <v>45589</v>
      </c>
      <c r="S1465" t="s">
        <v>16</v>
      </c>
      <c r="T1465" t="s">
        <v>77</v>
      </c>
      <c r="U1465" t="s">
        <v>6383</v>
      </c>
      <c r="W1465" t="s">
        <v>6347</v>
      </c>
      <c r="X1465">
        <v>94</v>
      </c>
      <c r="Y1465" t="s">
        <v>77</v>
      </c>
      <c r="Z1465">
        <v>251</v>
      </c>
    </row>
    <row r="1466" spans="1:26" x14ac:dyDescent="0.3">
      <c r="A1466">
        <v>1465</v>
      </c>
      <c r="B1466" t="s">
        <v>3214</v>
      </c>
      <c r="C1466" t="s">
        <v>40</v>
      </c>
      <c r="D1466" t="s">
        <v>67</v>
      </c>
      <c r="E1466" t="s">
        <v>6348</v>
      </c>
      <c r="F1466" t="s">
        <v>6389</v>
      </c>
      <c r="G1466" t="s">
        <v>6385</v>
      </c>
      <c r="H1466" t="s">
        <v>6374</v>
      </c>
      <c r="I1466" t="s">
        <v>6381</v>
      </c>
      <c r="J1466">
        <f>AVERAGE(ai_job_market[[#This Row],[min_salary]],ai_job_market[[#This Row],[max_salary]])</f>
        <v>157099</v>
      </c>
      <c r="K1466" t="s">
        <v>6397</v>
      </c>
      <c r="L1466" t="s">
        <v>14</v>
      </c>
      <c r="M1466" t="s">
        <v>51</v>
      </c>
      <c r="N1466" t="s">
        <v>5864</v>
      </c>
      <c r="O1466" t="s">
        <v>4349</v>
      </c>
      <c r="P1466">
        <v>125699</v>
      </c>
      <c r="Q1466">
        <v>188499</v>
      </c>
      <c r="R1466" s="2">
        <v>45426</v>
      </c>
      <c r="S1466" t="s">
        <v>69</v>
      </c>
      <c r="T1466" t="s">
        <v>70</v>
      </c>
      <c r="U1466" t="s">
        <v>6389</v>
      </c>
      <c r="W1466" t="s">
        <v>6348</v>
      </c>
      <c r="X1466">
        <v>78</v>
      </c>
      <c r="Y1466" t="s">
        <v>70</v>
      </c>
      <c r="Z1466">
        <v>268</v>
      </c>
    </row>
    <row r="1467" spans="1:26" x14ac:dyDescent="0.3">
      <c r="A1467">
        <v>1466</v>
      </c>
      <c r="B1467" t="s">
        <v>3216</v>
      </c>
      <c r="C1467" t="s">
        <v>11</v>
      </c>
      <c r="D1467" t="s">
        <v>135</v>
      </c>
      <c r="E1467" t="s">
        <v>6346</v>
      </c>
      <c r="F1467" t="s">
        <v>6385</v>
      </c>
      <c r="G1467" t="s">
        <v>6378</v>
      </c>
      <c r="J1467">
        <f>AVERAGE(ai_job_market[[#This Row],[min_salary]],ai_job_market[[#This Row],[max_salary]])</f>
        <v>104712.5</v>
      </c>
      <c r="K1467"/>
      <c r="L1467" t="s">
        <v>22</v>
      </c>
      <c r="M1467" t="s">
        <v>37</v>
      </c>
      <c r="N1467" t="s">
        <v>5865</v>
      </c>
      <c r="O1467" t="s">
        <v>4437</v>
      </c>
      <c r="P1467">
        <v>81948</v>
      </c>
      <c r="Q1467">
        <v>127477</v>
      </c>
      <c r="R1467" s="2">
        <v>45725</v>
      </c>
      <c r="S1467" t="s">
        <v>16</v>
      </c>
      <c r="T1467" t="s">
        <v>80</v>
      </c>
      <c r="W1467" t="s">
        <v>6346</v>
      </c>
      <c r="X1467">
        <v>78</v>
      </c>
      <c r="Y1467" t="s">
        <v>80</v>
      </c>
      <c r="Z1467">
        <v>249</v>
      </c>
    </row>
    <row r="1468" spans="1:26" x14ac:dyDescent="0.3">
      <c r="A1468">
        <v>1467</v>
      </c>
      <c r="B1468" t="s">
        <v>3218</v>
      </c>
      <c r="C1468" t="s">
        <v>19</v>
      </c>
      <c r="D1468" t="s">
        <v>54</v>
      </c>
      <c r="E1468" t="s">
        <v>6344</v>
      </c>
      <c r="F1468" t="s">
        <v>6397</v>
      </c>
      <c r="G1468" t="s">
        <v>6381</v>
      </c>
      <c r="H1468" t="s">
        <v>6380</v>
      </c>
      <c r="I1468" t="s">
        <v>6393</v>
      </c>
      <c r="J1468">
        <f>AVERAGE(ai_job_market[[#This Row],[min_salary]],ai_job_market[[#This Row],[max_salary]])</f>
        <v>126862</v>
      </c>
      <c r="K1468"/>
      <c r="L1468" t="s">
        <v>27</v>
      </c>
      <c r="M1468" t="s">
        <v>51</v>
      </c>
      <c r="N1468" t="s">
        <v>5866</v>
      </c>
      <c r="O1468" t="s">
        <v>4938</v>
      </c>
      <c r="P1468">
        <v>86924</v>
      </c>
      <c r="Q1468">
        <v>166800</v>
      </c>
      <c r="R1468" s="2">
        <v>45579</v>
      </c>
      <c r="S1468" t="s">
        <v>14</v>
      </c>
      <c r="T1468" t="s">
        <v>77</v>
      </c>
      <c r="U1468" t="s">
        <v>6388</v>
      </c>
      <c r="W1468" t="s">
        <v>6344</v>
      </c>
      <c r="X1468">
        <v>104</v>
      </c>
      <c r="Y1468" t="s">
        <v>77</v>
      </c>
      <c r="Z1468">
        <v>251</v>
      </c>
    </row>
    <row r="1469" spans="1:26" x14ac:dyDescent="0.3">
      <c r="A1469">
        <v>1468</v>
      </c>
      <c r="B1469" t="s">
        <v>3220</v>
      </c>
      <c r="C1469" t="s">
        <v>72</v>
      </c>
      <c r="D1469" t="s">
        <v>135</v>
      </c>
      <c r="E1469" t="s">
        <v>6346</v>
      </c>
      <c r="F1469" t="s">
        <v>6384</v>
      </c>
      <c r="G1469" t="s">
        <v>6393</v>
      </c>
      <c r="J1469">
        <f>AVERAGE(ai_job_market[[#This Row],[min_salary]],ai_job_market[[#This Row],[max_salary]])</f>
        <v>148045</v>
      </c>
      <c r="K1469"/>
      <c r="L1469" t="s">
        <v>22</v>
      </c>
      <c r="M1469" t="s">
        <v>37</v>
      </c>
      <c r="N1469" t="s">
        <v>5867</v>
      </c>
      <c r="O1469" t="s">
        <v>4301</v>
      </c>
      <c r="P1469">
        <v>139991</v>
      </c>
      <c r="Q1469">
        <v>156099</v>
      </c>
      <c r="R1469" s="2">
        <v>45547</v>
      </c>
      <c r="S1469" t="s">
        <v>69</v>
      </c>
      <c r="T1469" t="s">
        <v>70</v>
      </c>
      <c r="U1469" t="s">
        <v>6384</v>
      </c>
      <c r="V1469" t="s">
        <v>6388</v>
      </c>
      <c r="W1469" t="s">
        <v>6346</v>
      </c>
      <c r="X1469">
        <v>78</v>
      </c>
      <c r="Y1469" t="s">
        <v>70</v>
      </c>
      <c r="Z1469">
        <v>268</v>
      </c>
    </row>
    <row r="1470" spans="1:26" x14ac:dyDescent="0.3">
      <c r="A1470">
        <v>1469</v>
      </c>
      <c r="B1470" t="s">
        <v>3222</v>
      </c>
      <c r="C1470" t="s">
        <v>19</v>
      </c>
      <c r="D1470" t="s">
        <v>135</v>
      </c>
      <c r="E1470" t="s">
        <v>6345</v>
      </c>
      <c r="F1470" t="s">
        <v>6379</v>
      </c>
      <c r="G1470" t="s">
        <v>6386</v>
      </c>
      <c r="H1470" t="s">
        <v>6380</v>
      </c>
      <c r="I1470" t="s">
        <v>6393</v>
      </c>
      <c r="J1470" s="6">
        <f>AVERAGE(ai_job_market[[#This Row],[min_salary]],ai_job_market[[#This Row],[max_salary]])</f>
        <v>140119</v>
      </c>
      <c r="K1470" t="s">
        <v>6395</v>
      </c>
      <c r="L1470" t="s">
        <v>27</v>
      </c>
      <c r="M1470" t="s">
        <v>15</v>
      </c>
      <c r="N1470" t="s">
        <v>5868</v>
      </c>
      <c r="O1470" t="s">
        <v>4393</v>
      </c>
      <c r="P1470" s="5">
        <v>121461</v>
      </c>
      <c r="Q1470" s="5">
        <v>158777</v>
      </c>
      <c r="R1470" s="2">
        <v>45334</v>
      </c>
      <c r="S1470" t="s">
        <v>14</v>
      </c>
      <c r="T1470" t="s">
        <v>101</v>
      </c>
      <c r="U1470" t="s">
        <v>6389</v>
      </c>
      <c r="W1470" t="s">
        <v>6345</v>
      </c>
      <c r="X1470">
        <v>101</v>
      </c>
      <c r="Y1470" t="s">
        <v>101</v>
      </c>
      <c r="Z1470">
        <v>255</v>
      </c>
    </row>
    <row r="1471" spans="1:26" x14ac:dyDescent="0.3">
      <c r="A1471">
        <v>1470</v>
      </c>
      <c r="B1471" t="s">
        <v>3224</v>
      </c>
      <c r="C1471" t="s">
        <v>72</v>
      </c>
      <c r="D1471" t="s">
        <v>12</v>
      </c>
      <c r="E1471" t="s">
        <v>6358</v>
      </c>
      <c r="F1471" t="s">
        <v>6377</v>
      </c>
      <c r="G1471" t="s">
        <v>6394</v>
      </c>
      <c r="J1471">
        <f>AVERAGE(ai_job_market[[#This Row],[min_salary]],ai_job_market[[#This Row],[max_salary]])</f>
        <v>76397.5</v>
      </c>
      <c r="K1471"/>
      <c r="L1471" t="s">
        <v>22</v>
      </c>
      <c r="M1471" t="s">
        <v>15</v>
      </c>
      <c r="N1471" t="s">
        <v>5869</v>
      </c>
      <c r="O1471" t="s">
        <v>4524</v>
      </c>
      <c r="P1471">
        <v>41311</v>
      </c>
      <c r="Q1471">
        <v>111484</v>
      </c>
      <c r="R1471" s="2">
        <v>45596</v>
      </c>
      <c r="S1471" t="s">
        <v>14</v>
      </c>
      <c r="T1471" t="s">
        <v>70</v>
      </c>
      <c r="U1471" t="s">
        <v>6389</v>
      </c>
      <c r="W1471" t="s">
        <v>6358</v>
      </c>
      <c r="X1471">
        <v>96</v>
      </c>
      <c r="Y1471" t="s">
        <v>70</v>
      </c>
      <c r="Z1471">
        <v>268</v>
      </c>
    </row>
    <row r="1472" spans="1:26" x14ac:dyDescent="0.3">
      <c r="A1472">
        <v>1471</v>
      </c>
      <c r="B1472" t="s">
        <v>3226</v>
      </c>
      <c r="C1472" t="s">
        <v>72</v>
      </c>
      <c r="D1472" t="s">
        <v>20</v>
      </c>
      <c r="E1472" t="s">
        <v>6359</v>
      </c>
      <c r="F1472" t="s">
        <v>6390</v>
      </c>
      <c r="G1472" t="s">
        <v>6384</v>
      </c>
      <c r="H1472" t="s">
        <v>6397</v>
      </c>
      <c r="I1472" t="s">
        <v>6379</v>
      </c>
      <c r="J1472">
        <f>AVERAGE(ai_job_market[[#This Row],[min_salary]],ai_job_market[[#This Row],[max_salary]])</f>
        <v>50505</v>
      </c>
      <c r="K1472"/>
      <c r="L1472" t="s">
        <v>22</v>
      </c>
      <c r="M1472" t="s">
        <v>42</v>
      </c>
      <c r="N1472" t="s">
        <v>5870</v>
      </c>
      <c r="O1472" t="s">
        <v>4433</v>
      </c>
      <c r="P1472">
        <v>42488</v>
      </c>
      <c r="Q1472">
        <v>58522</v>
      </c>
      <c r="R1472" s="2">
        <v>45512</v>
      </c>
      <c r="S1472" t="s">
        <v>69</v>
      </c>
      <c r="T1472" t="s">
        <v>101</v>
      </c>
      <c r="U1472" t="s">
        <v>6389</v>
      </c>
      <c r="V1472" t="s">
        <v>6379</v>
      </c>
      <c r="W1472" t="s">
        <v>6359</v>
      </c>
      <c r="X1472">
        <v>104</v>
      </c>
      <c r="Y1472" t="s">
        <v>101</v>
      </c>
      <c r="Z1472">
        <v>255</v>
      </c>
    </row>
    <row r="1473" spans="1:26" x14ac:dyDescent="0.3">
      <c r="A1473">
        <v>1472</v>
      </c>
      <c r="B1473" t="s">
        <v>3229</v>
      </c>
      <c r="C1473" t="s">
        <v>49</v>
      </c>
      <c r="D1473" t="s">
        <v>12</v>
      </c>
      <c r="E1473" t="s">
        <v>6359</v>
      </c>
      <c r="F1473" t="s">
        <v>6390</v>
      </c>
      <c r="G1473" t="s">
        <v>6389</v>
      </c>
      <c r="H1473" t="s">
        <v>6375</v>
      </c>
      <c r="I1473" t="s">
        <v>6382</v>
      </c>
      <c r="J1473" s="6">
        <f>AVERAGE(ai_job_market[[#This Row],[min_salary]],ai_job_market[[#This Row],[max_salary]])</f>
        <v>122831</v>
      </c>
      <c r="K1473"/>
      <c r="L1473" t="s">
        <v>27</v>
      </c>
      <c r="M1473" t="s">
        <v>42</v>
      </c>
      <c r="N1473" t="s">
        <v>5525</v>
      </c>
      <c r="O1473" t="s">
        <v>4687</v>
      </c>
      <c r="P1473" s="5">
        <v>74011</v>
      </c>
      <c r="Q1473" s="5">
        <v>171651</v>
      </c>
      <c r="R1473" s="2">
        <v>45546</v>
      </c>
      <c r="S1473" t="s">
        <v>14</v>
      </c>
      <c r="T1473" t="s">
        <v>80</v>
      </c>
      <c r="W1473" t="s">
        <v>6359</v>
      </c>
      <c r="X1473">
        <v>104</v>
      </c>
      <c r="Y1473" t="s">
        <v>80</v>
      </c>
      <c r="Z1473">
        <v>249</v>
      </c>
    </row>
    <row r="1474" spans="1:26" x14ac:dyDescent="0.3">
      <c r="A1474">
        <v>1473</v>
      </c>
      <c r="B1474" t="s">
        <v>3231</v>
      </c>
      <c r="C1474" t="s">
        <v>40</v>
      </c>
      <c r="D1474" t="s">
        <v>135</v>
      </c>
      <c r="E1474" t="s">
        <v>6348</v>
      </c>
      <c r="F1474" t="s">
        <v>6389</v>
      </c>
      <c r="G1474" t="s">
        <v>6379</v>
      </c>
      <c r="H1474" t="s">
        <v>6393</v>
      </c>
      <c r="I1474" t="s">
        <v>6384</v>
      </c>
      <c r="J1474">
        <f>AVERAGE(ai_job_market[[#This Row],[min_salary]],ai_job_market[[#This Row],[max_salary]])</f>
        <v>140329.5</v>
      </c>
      <c r="K1474" t="s">
        <v>6375</v>
      </c>
      <c r="L1474" t="s">
        <v>22</v>
      </c>
      <c r="M1474" t="s">
        <v>15</v>
      </c>
      <c r="N1474" t="s">
        <v>5871</v>
      </c>
      <c r="O1474" t="s">
        <v>4626</v>
      </c>
      <c r="P1474">
        <v>91345</v>
      </c>
      <c r="Q1474">
        <v>189314</v>
      </c>
      <c r="R1474" s="2">
        <v>45828</v>
      </c>
      <c r="S1474" t="s">
        <v>14</v>
      </c>
      <c r="T1474" t="s">
        <v>77</v>
      </c>
      <c r="W1474" t="s">
        <v>6348</v>
      </c>
      <c r="X1474">
        <v>78</v>
      </c>
      <c r="Y1474" t="s">
        <v>77</v>
      </c>
      <c r="Z1474">
        <v>251</v>
      </c>
    </row>
    <row r="1475" spans="1:26" x14ac:dyDescent="0.3">
      <c r="A1475">
        <v>1474</v>
      </c>
      <c r="B1475" t="s">
        <v>2446</v>
      </c>
      <c r="C1475" t="s">
        <v>11</v>
      </c>
      <c r="D1475" t="s">
        <v>54</v>
      </c>
      <c r="E1475" t="s">
        <v>6351</v>
      </c>
      <c r="F1475" t="s">
        <v>6396</v>
      </c>
      <c r="G1475" t="s">
        <v>6384</v>
      </c>
      <c r="H1475" t="s">
        <v>6387</v>
      </c>
      <c r="I1475" t="s">
        <v>6390</v>
      </c>
      <c r="J1475">
        <f>AVERAGE(ai_job_market[[#This Row],[min_salary]],ai_job_market[[#This Row],[max_salary]])</f>
        <v>144006</v>
      </c>
      <c r="K1475"/>
      <c r="L1475" t="s">
        <v>14</v>
      </c>
      <c r="M1475" t="s">
        <v>37</v>
      </c>
      <c r="N1475" t="s">
        <v>5872</v>
      </c>
      <c r="O1475" t="s">
        <v>4314</v>
      </c>
      <c r="P1475">
        <v>114617</v>
      </c>
      <c r="Q1475">
        <v>173395</v>
      </c>
      <c r="R1475" s="2">
        <v>45546</v>
      </c>
      <c r="S1475" t="s">
        <v>16</v>
      </c>
      <c r="T1475" t="s">
        <v>128</v>
      </c>
      <c r="W1475" t="s">
        <v>6351</v>
      </c>
      <c r="X1475">
        <v>89</v>
      </c>
      <c r="Y1475" t="s">
        <v>128</v>
      </c>
      <c r="Z1475">
        <v>233</v>
      </c>
    </row>
    <row r="1476" spans="1:26" x14ac:dyDescent="0.3">
      <c r="A1476">
        <v>1475</v>
      </c>
      <c r="B1476" t="s">
        <v>3234</v>
      </c>
      <c r="C1476" t="s">
        <v>34</v>
      </c>
      <c r="D1476" t="s">
        <v>35</v>
      </c>
      <c r="E1476" t="s">
        <v>6356</v>
      </c>
      <c r="F1476" t="s">
        <v>6375</v>
      </c>
      <c r="G1476" t="s">
        <v>6379</v>
      </c>
      <c r="H1476" t="s">
        <v>6382</v>
      </c>
      <c r="I1476" t="s">
        <v>6391</v>
      </c>
      <c r="J1476">
        <f>AVERAGE(ai_job_market[[#This Row],[min_salary]],ai_job_market[[#This Row],[max_salary]])</f>
        <v>57806.5</v>
      </c>
      <c r="K1476" t="s">
        <v>6378</v>
      </c>
      <c r="L1476" t="s">
        <v>22</v>
      </c>
      <c r="M1476" t="s">
        <v>37</v>
      </c>
      <c r="N1476" t="s">
        <v>4491</v>
      </c>
      <c r="O1476" t="s">
        <v>4628</v>
      </c>
      <c r="P1476">
        <v>52660</v>
      </c>
      <c r="Q1476">
        <v>62953</v>
      </c>
      <c r="R1476" s="2">
        <v>45693</v>
      </c>
      <c r="S1476" t="s">
        <v>14</v>
      </c>
      <c r="T1476" t="s">
        <v>80</v>
      </c>
      <c r="U1476" t="s">
        <v>6375</v>
      </c>
      <c r="W1476" t="s">
        <v>6356</v>
      </c>
      <c r="X1476">
        <v>86</v>
      </c>
      <c r="Y1476" t="s">
        <v>80</v>
      </c>
      <c r="Z1476">
        <v>249</v>
      </c>
    </row>
    <row r="1477" spans="1:26" x14ac:dyDescent="0.3">
      <c r="A1477">
        <v>1476</v>
      </c>
      <c r="B1477" t="s">
        <v>3236</v>
      </c>
      <c r="C1477" t="s">
        <v>45</v>
      </c>
      <c r="D1477" t="s">
        <v>20</v>
      </c>
      <c r="E1477" t="s">
        <v>6346</v>
      </c>
      <c r="F1477" t="s">
        <v>6395</v>
      </c>
      <c r="G1477" t="s">
        <v>6386</v>
      </c>
      <c r="H1477" t="s">
        <v>6379</v>
      </c>
      <c r="J1477" s="6">
        <f>AVERAGE(ai_job_market[[#This Row],[min_salary]],ai_job_market[[#This Row],[max_salary]])</f>
        <v>106872</v>
      </c>
      <c r="K1477"/>
      <c r="L1477" t="s">
        <v>14</v>
      </c>
      <c r="M1477" t="s">
        <v>51</v>
      </c>
      <c r="N1477" t="s">
        <v>5873</v>
      </c>
      <c r="O1477" t="s">
        <v>4355</v>
      </c>
      <c r="P1477" s="5">
        <v>78844</v>
      </c>
      <c r="Q1477" s="5">
        <v>134900</v>
      </c>
      <c r="R1477" s="2">
        <v>45508</v>
      </c>
      <c r="S1477" t="s">
        <v>69</v>
      </c>
      <c r="T1477" t="s">
        <v>77</v>
      </c>
      <c r="U1477" t="s">
        <v>6376</v>
      </c>
      <c r="W1477" t="s">
        <v>6346</v>
      </c>
      <c r="X1477">
        <v>78</v>
      </c>
      <c r="Y1477" t="s">
        <v>77</v>
      </c>
      <c r="Z1477">
        <v>251</v>
      </c>
    </row>
    <row r="1478" spans="1:26" x14ac:dyDescent="0.3">
      <c r="A1478">
        <v>1477</v>
      </c>
      <c r="B1478" t="s">
        <v>3238</v>
      </c>
      <c r="C1478" t="s">
        <v>49</v>
      </c>
      <c r="D1478" t="s">
        <v>67</v>
      </c>
      <c r="E1478" t="s">
        <v>6347</v>
      </c>
      <c r="F1478" t="s">
        <v>6382</v>
      </c>
      <c r="G1478" t="s">
        <v>6385</v>
      </c>
      <c r="J1478">
        <f>AVERAGE(ai_job_market[[#This Row],[min_salary]],ai_job_market[[#This Row],[max_salary]])</f>
        <v>129042.5</v>
      </c>
      <c r="K1478"/>
      <c r="L1478" t="s">
        <v>27</v>
      </c>
      <c r="M1478" t="s">
        <v>15</v>
      </c>
      <c r="N1478" t="s">
        <v>5874</v>
      </c>
      <c r="O1478" t="s">
        <v>4367</v>
      </c>
      <c r="P1478">
        <v>95991</v>
      </c>
      <c r="Q1478">
        <v>162094</v>
      </c>
      <c r="R1478" s="2">
        <v>45688</v>
      </c>
      <c r="S1478" t="s">
        <v>16</v>
      </c>
      <c r="T1478" t="s">
        <v>77</v>
      </c>
      <c r="U1478" t="s">
        <v>6388</v>
      </c>
      <c r="V1478" t="s">
        <v>6375</v>
      </c>
      <c r="W1478" t="s">
        <v>6347</v>
      </c>
      <c r="X1478">
        <v>94</v>
      </c>
      <c r="Y1478" t="s">
        <v>77</v>
      </c>
      <c r="Z1478">
        <v>251</v>
      </c>
    </row>
    <row r="1479" spans="1:26" x14ac:dyDescent="0.3">
      <c r="A1479">
        <v>1478</v>
      </c>
      <c r="B1479" t="s">
        <v>3240</v>
      </c>
      <c r="C1479" t="s">
        <v>34</v>
      </c>
      <c r="D1479" t="s">
        <v>20</v>
      </c>
      <c r="E1479" t="s">
        <v>6353</v>
      </c>
      <c r="F1479" t="s">
        <v>6394</v>
      </c>
      <c r="G1479" t="s">
        <v>6375</v>
      </c>
      <c r="H1479" t="s">
        <v>6382</v>
      </c>
      <c r="J1479">
        <f>AVERAGE(ai_job_market[[#This Row],[min_salary]],ai_job_market[[#This Row],[max_salary]])</f>
        <v>162714</v>
      </c>
      <c r="K1479"/>
      <c r="L1479" t="s">
        <v>22</v>
      </c>
      <c r="M1479" t="s">
        <v>37</v>
      </c>
      <c r="N1479" t="s">
        <v>5875</v>
      </c>
      <c r="O1479" t="s">
        <v>4630</v>
      </c>
      <c r="P1479">
        <v>119616</v>
      </c>
      <c r="Q1479">
        <v>205812</v>
      </c>
      <c r="R1479" s="2">
        <v>45337</v>
      </c>
      <c r="S1479" t="s">
        <v>16</v>
      </c>
      <c r="T1479" t="s">
        <v>128</v>
      </c>
      <c r="W1479" t="s">
        <v>6353</v>
      </c>
      <c r="X1479">
        <v>86</v>
      </c>
      <c r="Y1479" t="s">
        <v>128</v>
      </c>
      <c r="Z1479">
        <v>233</v>
      </c>
    </row>
    <row r="1480" spans="1:26" x14ac:dyDescent="0.3">
      <c r="A1480">
        <v>1479</v>
      </c>
      <c r="B1480" t="s">
        <v>1794</v>
      </c>
      <c r="C1480" t="s">
        <v>19</v>
      </c>
      <c r="D1480" t="s">
        <v>25</v>
      </c>
      <c r="E1480" t="s">
        <v>6353</v>
      </c>
      <c r="F1480" t="s">
        <v>6382</v>
      </c>
      <c r="G1480" t="s">
        <v>6380</v>
      </c>
      <c r="J1480">
        <f>AVERAGE(ai_job_market[[#This Row],[min_salary]],ai_job_market[[#This Row],[max_salary]])</f>
        <v>77089</v>
      </c>
      <c r="K1480"/>
      <c r="L1480" t="s">
        <v>27</v>
      </c>
      <c r="M1480" t="s">
        <v>37</v>
      </c>
      <c r="N1480" t="s">
        <v>5876</v>
      </c>
      <c r="O1480" t="s">
        <v>4393</v>
      </c>
      <c r="P1480">
        <v>68863</v>
      </c>
      <c r="Q1480">
        <v>85315</v>
      </c>
      <c r="R1480" s="2">
        <v>45734</v>
      </c>
      <c r="S1480" t="s">
        <v>69</v>
      </c>
      <c r="T1480" t="s">
        <v>77</v>
      </c>
      <c r="W1480" t="s">
        <v>6353</v>
      </c>
      <c r="X1480">
        <v>86</v>
      </c>
      <c r="Y1480" t="s">
        <v>77</v>
      </c>
      <c r="Z1480">
        <v>251</v>
      </c>
    </row>
    <row r="1481" spans="1:26" x14ac:dyDescent="0.3">
      <c r="A1481">
        <v>1480</v>
      </c>
      <c r="B1481" t="s">
        <v>3243</v>
      </c>
      <c r="C1481" t="s">
        <v>49</v>
      </c>
      <c r="D1481" t="s">
        <v>35</v>
      </c>
      <c r="E1481" t="s">
        <v>90</v>
      </c>
      <c r="F1481" t="s">
        <v>6378</v>
      </c>
      <c r="G1481" t="s">
        <v>6377</v>
      </c>
      <c r="J1481">
        <f>AVERAGE(ai_job_market[[#This Row],[min_salary]],ai_job_market[[#This Row],[max_salary]])</f>
        <v>92240.5</v>
      </c>
      <c r="K1481"/>
      <c r="L1481" t="s">
        <v>27</v>
      </c>
      <c r="M1481" t="s">
        <v>37</v>
      </c>
      <c r="N1481" t="s">
        <v>4546</v>
      </c>
      <c r="O1481" t="s">
        <v>4488</v>
      </c>
      <c r="P1481">
        <v>47522</v>
      </c>
      <c r="Q1481">
        <v>136959</v>
      </c>
      <c r="R1481" s="2">
        <v>45193</v>
      </c>
      <c r="S1481" t="s">
        <v>16</v>
      </c>
      <c r="T1481" t="s">
        <v>80</v>
      </c>
      <c r="U1481" t="s">
        <v>6378</v>
      </c>
      <c r="V1481" t="s">
        <v>6388</v>
      </c>
      <c r="W1481" t="s">
        <v>90</v>
      </c>
      <c r="X1481">
        <v>80</v>
      </c>
      <c r="Y1481" t="s">
        <v>80</v>
      </c>
      <c r="Z1481">
        <v>249</v>
      </c>
    </row>
    <row r="1482" spans="1:26" x14ac:dyDescent="0.3">
      <c r="A1482">
        <v>1481</v>
      </c>
      <c r="B1482" t="s">
        <v>3245</v>
      </c>
      <c r="C1482" t="s">
        <v>19</v>
      </c>
      <c r="D1482" t="s">
        <v>67</v>
      </c>
      <c r="E1482" t="s">
        <v>6344</v>
      </c>
      <c r="F1482" t="s">
        <v>6392</v>
      </c>
      <c r="G1482" t="s">
        <v>6382</v>
      </c>
      <c r="J1482">
        <f>AVERAGE(ai_job_market[[#This Row],[min_salary]],ai_job_market[[#This Row],[max_salary]])</f>
        <v>108868.5</v>
      </c>
      <c r="K1482"/>
      <c r="L1482" t="s">
        <v>14</v>
      </c>
      <c r="M1482" t="s">
        <v>51</v>
      </c>
      <c r="N1482" t="s">
        <v>5877</v>
      </c>
      <c r="O1482" t="s">
        <v>4646</v>
      </c>
      <c r="P1482">
        <v>72658</v>
      </c>
      <c r="Q1482">
        <v>145079</v>
      </c>
      <c r="R1482" s="2">
        <v>45218</v>
      </c>
      <c r="S1482" t="s">
        <v>69</v>
      </c>
      <c r="T1482" t="s">
        <v>157</v>
      </c>
      <c r="W1482" t="s">
        <v>6344</v>
      </c>
      <c r="X1482">
        <v>104</v>
      </c>
      <c r="Y1482" t="s">
        <v>157</v>
      </c>
      <c r="Z1482">
        <v>247</v>
      </c>
    </row>
    <row r="1483" spans="1:26" x14ac:dyDescent="0.3">
      <c r="A1483">
        <v>1482</v>
      </c>
      <c r="B1483" t="s">
        <v>3247</v>
      </c>
      <c r="C1483" t="s">
        <v>34</v>
      </c>
      <c r="D1483" t="s">
        <v>67</v>
      </c>
      <c r="E1483" t="s">
        <v>6351</v>
      </c>
      <c r="F1483" t="s">
        <v>6389</v>
      </c>
      <c r="G1483" t="s">
        <v>6397</v>
      </c>
      <c r="H1483" t="s">
        <v>6374</v>
      </c>
      <c r="J1483">
        <f>AVERAGE(ai_job_market[[#This Row],[min_salary]],ai_job_market[[#This Row],[max_salary]])</f>
        <v>120858</v>
      </c>
      <c r="K1483"/>
      <c r="L1483" t="s">
        <v>14</v>
      </c>
      <c r="M1483" t="s">
        <v>42</v>
      </c>
      <c r="N1483" t="s">
        <v>5878</v>
      </c>
      <c r="O1483" t="s">
        <v>4678</v>
      </c>
      <c r="P1483">
        <v>72872</v>
      </c>
      <c r="Q1483">
        <v>168844</v>
      </c>
      <c r="R1483" s="2">
        <v>45612</v>
      </c>
      <c r="S1483" t="s">
        <v>69</v>
      </c>
      <c r="T1483" t="s">
        <v>52</v>
      </c>
      <c r="U1483" t="s">
        <v>6384</v>
      </c>
      <c r="W1483" t="s">
        <v>6351</v>
      </c>
      <c r="X1483">
        <v>89</v>
      </c>
      <c r="Y1483" t="s">
        <v>52</v>
      </c>
      <c r="Z1483">
        <v>238</v>
      </c>
    </row>
    <row r="1484" spans="1:26" x14ac:dyDescent="0.3">
      <c r="A1484">
        <v>1483</v>
      </c>
      <c r="B1484" t="s">
        <v>3249</v>
      </c>
      <c r="C1484" t="s">
        <v>40</v>
      </c>
      <c r="D1484" t="s">
        <v>12</v>
      </c>
      <c r="E1484" t="s">
        <v>6358</v>
      </c>
      <c r="F1484" t="s">
        <v>6380</v>
      </c>
      <c r="G1484" t="s">
        <v>6396</v>
      </c>
      <c r="J1484" s="6">
        <f>AVERAGE(ai_job_market[[#This Row],[min_salary]],ai_job_market[[#This Row],[max_salary]])</f>
        <v>82880</v>
      </c>
      <c r="K1484"/>
      <c r="L1484" t="s">
        <v>22</v>
      </c>
      <c r="M1484" t="s">
        <v>37</v>
      </c>
      <c r="N1484" t="s">
        <v>5879</v>
      </c>
      <c r="O1484" t="s">
        <v>4680</v>
      </c>
      <c r="P1484" s="5">
        <v>49176</v>
      </c>
      <c r="Q1484" s="5">
        <v>116584</v>
      </c>
      <c r="R1484" s="2">
        <v>45857</v>
      </c>
      <c r="S1484" t="s">
        <v>69</v>
      </c>
      <c r="T1484" t="s">
        <v>52</v>
      </c>
      <c r="U1484" t="s">
        <v>6389</v>
      </c>
      <c r="W1484" t="s">
        <v>6358</v>
      </c>
      <c r="X1484">
        <v>96</v>
      </c>
      <c r="Y1484" t="s">
        <v>52</v>
      </c>
      <c r="Z1484">
        <v>238</v>
      </c>
    </row>
    <row r="1485" spans="1:26" x14ac:dyDescent="0.3">
      <c r="A1485">
        <v>1484</v>
      </c>
      <c r="B1485" t="s">
        <v>3251</v>
      </c>
      <c r="C1485" t="s">
        <v>34</v>
      </c>
      <c r="D1485" t="s">
        <v>67</v>
      </c>
      <c r="E1485" t="s">
        <v>6358</v>
      </c>
      <c r="F1485" t="s">
        <v>6384</v>
      </c>
      <c r="G1485" t="s">
        <v>6394</v>
      </c>
      <c r="H1485" t="s">
        <v>6389</v>
      </c>
      <c r="J1485">
        <f>AVERAGE(ai_job_market[[#This Row],[min_salary]],ai_job_market[[#This Row],[max_salary]])</f>
        <v>59185</v>
      </c>
      <c r="K1485"/>
      <c r="L1485" t="s">
        <v>14</v>
      </c>
      <c r="M1485" t="s">
        <v>42</v>
      </c>
      <c r="N1485" t="s">
        <v>5880</v>
      </c>
      <c r="O1485" t="s">
        <v>4714</v>
      </c>
      <c r="P1485">
        <v>40845</v>
      </c>
      <c r="Q1485">
        <v>77525</v>
      </c>
      <c r="R1485" s="2">
        <v>45705</v>
      </c>
      <c r="S1485" t="s">
        <v>69</v>
      </c>
      <c r="T1485" t="s">
        <v>77</v>
      </c>
      <c r="W1485" t="s">
        <v>6358</v>
      </c>
      <c r="X1485">
        <v>96</v>
      </c>
      <c r="Y1485" t="s">
        <v>77</v>
      </c>
      <c r="Z1485">
        <v>251</v>
      </c>
    </row>
    <row r="1486" spans="1:26" x14ac:dyDescent="0.3">
      <c r="A1486">
        <v>1485</v>
      </c>
      <c r="B1486" t="s">
        <v>3253</v>
      </c>
      <c r="C1486" t="s">
        <v>49</v>
      </c>
      <c r="D1486" t="s">
        <v>25</v>
      </c>
      <c r="E1486" t="s">
        <v>128</v>
      </c>
      <c r="F1486" t="s">
        <v>6377</v>
      </c>
      <c r="G1486" t="s">
        <v>6374</v>
      </c>
      <c r="H1486" t="s">
        <v>6384</v>
      </c>
      <c r="I1486" t="s">
        <v>6378</v>
      </c>
      <c r="J1486">
        <f>AVERAGE(ai_job_market[[#This Row],[min_salary]],ai_job_market[[#This Row],[max_salary]])</f>
        <v>124710.5</v>
      </c>
      <c r="K1486"/>
      <c r="L1486" t="s">
        <v>14</v>
      </c>
      <c r="M1486" t="s">
        <v>42</v>
      </c>
      <c r="N1486" t="s">
        <v>5881</v>
      </c>
      <c r="O1486" t="s">
        <v>4528</v>
      </c>
      <c r="P1486">
        <v>105204</v>
      </c>
      <c r="Q1486">
        <v>144217</v>
      </c>
      <c r="R1486" s="2">
        <v>45228</v>
      </c>
      <c r="S1486" t="s">
        <v>14</v>
      </c>
      <c r="T1486" t="s">
        <v>157</v>
      </c>
      <c r="U1486" t="s">
        <v>6376</v>
      </c>
      <c r="V1486" t="s">
        <v>6375</v>
      </c>
      <c r="W1486" t="s">
        <v>128</v>
      </c>
      <c r="X1486">
        <v>92</v>
      </c>
      <c r="Y1486" t="s">
        <v>157</v>
      </c>
      <c r="Z1486">
        <v>247</v>
      </c>
    </row>
    <row r="1487" spans="1:26" x14ac:dyDescent="0.3">
      <c r="A1487">
        <v>1486</v>
      </c>
      <c r="B1487" t="s">
        <v>3255</v>
      </c>
      <c r="C1487" t="s">
        <v>19</v>
      </c>
      <c r="D1487" t="s">
        <v>35</v>
      </c>
      <c r="E1487" t="s">
        <v>6352</v>
      </c>
      <c r="F1487" t="s">
        <v>6387</v>
      </c>
      <c r="G1487" t="s">
        <v>6378</v>
      </c>
      <c r="H1487" t="s">
        <v>6397</v>
      </c>
      <c r="I1487" t="s">
        <v>6389</v>
      </c>
      <c r="J1487" s="6">
        <f>AVERAGE(ai_job_market[[#This Row],[min_salary]],ai_job_market[[#This Row],[max_salary]])</f>
        <v>153008</v>
      </c>
      <c r="K1487"/>
      <c r="L1487" t="s">
        <v>14</v>
      </c>
      <c r="M1487" t="s">
        <v>42</v>
      </c>
      <c r="N1487" t="s">
        <v>5882</v>
      </c>
      <c r="O1487" t="s">
        <v>4907</v>
      </c>
      <c r="P1487" s="5">
        <v>108521</v>
      </c>
      <c r="Q1487" s="5">
        <v>197495</v>
      </c>
      <c r="R1487" s="2">
        <v>45249</v>
      </c>
      <c r="S1487" t="s">
        <v>14</v>
      </c>
      <c r="T1487" t="s">
        <v>80</v>
      </c>
      <c r="W1487" t="s">
        <v>6352</v>
      </c>
      <c r="X1487">
        <v>97</v>
      </c>
      <c r="Y1487" t="s">
        <v>80</v>
      </c>
      <c r="Z1487">
        <v>249</v>
      </c>
    </row>
    <row r="1488" spans="1:26" x14ac:dyDescent="0.3">
      <c r="A1488">
        <v>1487</v>
      </c>
      <c r="B1488" t="s">
        <v>3257</v>
      </c>
      <c r="C1488" t="s">
        <v>11</v>
      </c>
      <c r="D1488" t="s">
        <v>30</v>
      </c>
      <c r="E1488" t="s">
        <v>6353</v>
      </c>
      <c r="F1488" t="s">
        <v>6377</v>
      </c>
      <c r="G1488" t="s">
        <v>6395</v>
      </c>
      <c r="H1488" t="s">
        <v>6397</v>
      </c>
      <c r="I1488" t="s">
        <v>6382</v>
      </c>
      <c r="J1488">
        <f>AVERAGE(ai_job_market[[#This Row],[min_salary]],ai_job_market[[#This Row],[max_salary]])</f>
        <v>93042</v>
      </c>
      <c r="K1488"/>
      <c r="L1488" t="s">
        <v>14</v>
      </c>
      <c r="M1488" t="s">
        <v>51</v>
      </c>
      <c r="N1488" t="s">
        <v>5883</v>
      </c>
      <c r="O1488" t="s">
        <v>5192</v>
      </c>
      <c r="P1488">
        <v>43865</v>
      </c>
      <c r="Q1488">
        <v>142219</v>
      </c>
      <c r="R1488" s="2">
        <v>45910</v>
      </c>
      <c r="S1488" t="s">
        <v>69</v>
      </c>
      <c r="T1488" t="s">
        <v>70</v>
      </c>
      <c r="U1488" t="s">
        <v>6389</v>
      </c>
      <c r="V1488" t="s">
        <v>6384</v>
      </c>
      <c r="W1488" t="s">
        <v>6353</v>
      </c>
      <c r="X1488">
        <v>86</v>
      </c>
      <c r="Y1488" t="s">
        <v>70</v>
      </c>
      <c r="Z1488">
        <v>268</v>
      </c>
    </row>
    <row r="1489" spans="1:26" x14ac:dyDescent="0.3">
      <c r="A1489">
        <v>1488</v>
      </c>
      <c r="B1489" t="s">
        <v>3259</v>
      </c>
      <c r="C1489" t="s">
        <v>45</v>
      </c>
      <c r="D1489" t="s">
        <v>20</v>
      </c>
      <c r="E1489" t="s">
        <v>6359</v>
      </c>
      <c r="F1489" t="s">
        <v>6385</v>
      </c>
      <c r="G1489" t="s">
        <v>6382</v>
      </c>
      <c r="H1489" t="s">
        <v>6390</v>
      </c>
      <c r="I1489" t="s">
        <v>6394</v>
      </c>
      <c r="J1489" s="6">
        <f>AVERAGE(ai_job_market[[#This Row],[min_salary]],ai_job_market[[#This Row],[max_salary]])</f>
        <v>177868.5</v>
      </c>
      <c r="K1489"/>
      <c r="L1489" t="s">
        <v>22</v>
      </c>
      <c r="M1489" t="s">
        <v>37</v>
      </c>
      <c r="N1489" t="s">
        <v>5884</v>
      </c>
      <c r="O1489" t="s">
        <v>4556</v>
      </c>
      <c r="P1489" s="5">
        <v>133579</v>
      </c>
      <c r="Q1489" s="5">
        <v>222158</v>
      </c>
      <c r="R1489" s="2">
        <v>45638</v>
      </c>
      <c r="S1489" t="s">
        <v>69</v>
      </c>
      <c r="T1489" t="s">
        <v>90</v>
      </c>
      <c r="U1489" t="s">
        <v>6376</v>
      </c>
      <c r="W1489" t="s">
        <v>6359</v>
      </c>
      <c r="X1489">
        <v>104</v>
      </c>
      <c r="Y1489" t="s">
        <v>90</v>
      </c>
      <c r="Z1489">
        <v>259</v>
      </c>
    </row>
    <row r="1490" spans="1:26" x14ac:dyDescent="0.3">
      <c r="A1490">
        <v>1489</v>
      </c>
      <c r="B1490" t="s">
        <v>3261</v>
      </c>
      <c r="C1490" t="s">
        <v>19</v>
      </c>
      <c r="D1490" t="s">
        <v>54</v>
      </c>
      <c r="E1490" t="s">
        <v>77</v>
      </c>
      <c r="F1490" t="s">
        <v>6390</v>
      </c>
      <c r="G1490" t="s">
        <v>6385</v>
      </c>
      <c r="H1490" t="s">
        <v>6379</v>
      </c>
      <c r="I1490" t="s">
        <v>6381</v>
      </c>
      <c r="J1490">
        <f>AVERAGE(ai_job_market[[#This Row],[min_salary]],ai_job_market[[#This Row],[max_salary]])</f>
        <v>59861.5</v>
      </c>
      <c r="K1490" t="s">
        <v>6386</v>
      </c>
      <c r="L1490" t="s">
        <v>14</v>
      </c>
      <c r="M1490" t="s">
        <v>15</v>
      </c>
      <c r="N1490" t="s">
        <v>5885</v>
      </c>
      <c r="O1490" t="s">
        <v>4562</v>
      </c>
      <c r="P1490">
        <v>46712</v>
      </c>
      <c r="Q1490">
        <v>73011</v>
      </c>
      <c r="R1490" s="2">
        <v>45500</v>
      </c>
      <c r="S1490" t="s">
        <v>14</v>
      </c>
      <c r="T1490" t="s">
        <v>128</v>
      </c>
      <c r="U1490" t="s">
        <v>6379</v>
      </c>
      <c r="W1490" t="s">
        <v>77</v>
      </c>
      <c r="X1490">
        <v>111</v>
      </c>
      <c r="Y1490" t="s">
        <v>128</v>
      </c>
      <c r="Z1490">
        <v>233</v>
      </c>
    </row>
    <row r="1491" spans="1:26" x14ac:dyDescent="0.3">
      <c r="A1491">
        <v>1490</v>
      </c>
      <c r="B1491" t="s">
        <v>3263</v>
      </c>
      <c r="C1491" t="s">
        <v>45</v>
      </c>
      <c r="D1491" t="s">
        <v>135</v>
      </c>
      <c r="E1491" t="s">
        <v>6347</v>
      </c>
      <c r="F1491" t="s">
        <v>6393</v>
      </c>
      <c r="G1491" t="s">
        <v>6392</v>
      </c>
      <c r="H1491" t="s">
        <v>6396</v>
      </c>
      <c r="J1491">
        <f>AVERAGE(ai_job_market[[#This Row],[min_salary]],ai_job_market[[#This Row],[max_salary]])</f>
        <v>125840.5</v>
      </c>
      <c r="K1491"/>
      <c r="L1491" t="s">
        <v>27</v>
      </c>
      <c r="M1491" t="s">
        <v>15</v>
      </c>
      <c r="N1491" t="s">
        <v>5886</v>
      </c>
      <c r="O1491" t="s">
        <v>4786</v>
      </c>
      <c r="P1491">
        <v>84284</v>
      </c>
      <c r="Q1491">
        <v>167397</v>
      </c>
      <c r="R1491" s="2">
        <v>45238</v>
      </c>
      <c r="S1491" t="s">
        <v>14</v>
      </c>
      <c r="T1491" t="s">
        <v>90</v>
      </c>
      <c r="U1491" t="s">
        <v>6379</v>
      </c>
      <c r="V1491" t="s">
        <v>6378</v>
      </c>
      <c r="W1491" t="s">
        <v>6347</v>
      </c>
      <c r="X1491">
        <v>94</v>
      </c>
      <c r="Y1491" t="s">
        <v>90</v>
      </c>
      <c r="Z1491">
        <v>259</v>
      </c>
    </row>
    <row r="1492" spans="1:26" x14ac:dyDescent="0.3">
      <c r="A1492">
        <v>1491</v>
      </c>
      <c r="B1492" t="s">
        <v>3265</v>
      </c>
      <c r="C1492" t="s">
        <v>11</v>
      </c>
      <c r="D1492" t="s">
        <v>67</v>
      </c>
      <c r="E1492" t="s">
        <v>6348</v>
      </c>
      <c r="F1492" t="s">
        <v>6397</v>
      </c>
      <c r="G1492" t="s">
        <v>6385</v>
      </c>
      <c r="J1492">
        <f>AVERAGE(ai_job_market[[#This Row],[min_salary]],ai_job_market[[#This Row],[max_salary]])</f>
        <v>166738</v>
      </c>
      <c r="K1492"/>
      <c r="L1492" t="s">
        <v>22</v>
      </c>
      <c r="M1492" t="s">
        <v>15</v>
      </c>
      <c r="N1492" t="s">
        <v>5887</v>
      </c>
      <c r="O1492" t="s">
        <v>4554</v>
      </c>
      <c r="P1492">
        <v>135833</v>
      </c>
      <c r="Q1492">
        <v>197643</v>
      </c>
      <c r="R1492" s="2">
        <v>45700</v>
      </c>
      <c r="S1492" t="s">
        <v>16</v>
      </c>
      <c r="T1492" t="s">
        <v>77</v>
      </c>
      <c r="U1492" t="s">
        <v>6389</v>
      </c>
      <c r="V1492" t="s">
        <v>6379</v>
      </c>
      <c r="W1492" t="s">
        <v>6348</v>
      </c>
      <c r="X1492">
        <v>78</v>
      </c>
      <c r="Y1492" t="s">
        <v>77</v>
      </c>
      <c r="Z1492">
        <v>251</v>
      </c>
    </row>
    <row r="1493" spans="1:26" x14ac:dyDescent="0.3">
      <c r="A1493">
        <v>1492</v>
      </c>
      <c r="B1493" t="s">
        <v>3267</v>
      </c>
      <c r="C1493" t="s">
        <v>45</v>
      </c>
      <c r="D1493" t="s">
        <v>20</v>
      </c>
      <c r="E1493" t="s">
        <v>90</v>
      </c>
      <c r="F1493" t="s">
        <v>6376</v>
      </c>
      <c r="G1493" t="s">
        <v>6384</v>
      </c>
      <c r="H1493" t="s">
        <v>6391</v>
      </c>
      <c r="I1493" t="s">
        <v>6381</v>
      </c>
      <c r="J1493" s="6">
        <f>AVERAGE(ai_job_market[[#This Row],[min_salary]],ai_job_market[[#This Row],[max_salary]])</f>
        <v>148387</v>
      </c>
      <c r="K1493" t="s">
        <v>6387</v>
      </c>
      <c r="L1493" t="s">
        <v>27</v>
      </c>
      <c r="M1493" t="s">
        <v>15</v>
      </c>
      <c r="N1493" t="s">
        <v>5888</v>
      </c>
      <c r="O1493" t="s">
        <v>4461</v>
      </c>
      <c r="P1493" s="5">
        <v>141467</v>
      </c>
      <c r="Q1493" s="5">
        <v>155307</v>
      </c>
      <c r="R1493" s="2">
        <v>45599</v>
      </c>
      <c r="S1493" t="s">
        <v>69</v>
      </c>
      <c r="T1493" t="s">
        <v>52</v>
      </c>
      <c r="W1493" t="s">
        <v>90</v>
      </c>
      <c r="X1493">
        <v>80</v>
      </c>
      <c r="Y1493" t="s">
        <v>52</v>
      </c>
      <c r="Z1493">
        <v>238</v>
      </c>
    </row>
    <row r="1494" spans="1:26" x14ac:dyDescent="0.3">
      <c r="A1494">
        <v>1493</v>
      </c>
      <c r="B1494" t="s">
        <v>3269</v>
      </c>
      <c r="C1494" t="s">
        <v>34</v>
      </c>
      <c r="D1494" t="s">
        <v>20</v>
      </c>
      <c r="E1494" t="s">
        <v>6355</v>
      </c>
      <c r="F1494" t="s">
        <v>6387</v>
      </c>
      <c r="G1494" t="s">
        <v>6382</v>
      </c>
      <c r="H1494" t="s">
        <v>6389</v>
      </c>
      <c r="I1494" t="s">
        <v>6384</v>
      </c>
      <c r="J1494">
        <f>AVERAGE(ai_job_market[[#This Row],[min_salary]],ai_job_market[[#This Row],[max_salary]])</f>
        <v>163336.5</v>
      </c>
      <c r="K1494" t="s">
        <v>6390</v>
      </c>
      <c r="L1494" t="s">
        <v>14</v>
      </c>
      <c r="M1494" t="s">
        <v>42</v>
      </c>
      <c r="N1494" t="s">
        <v>5889</v>
      </c>
      <c r="O1494" t="s">
        <v>4490</v>
      </c>
      <c r="P1494">
        <v>123819</v>
      </c>
      <c r="Q1494">
        <v>202854</v>
      </c>
      <c r="R1494" s="2">
        <v>45563</v>
      </c>
      <c r="S1494" t="s">
        <v>14</v>
      </c>
      <c r="T1494" t="s">
        <v>70</v>
      </c>
      <c r="U1494" t="s">
        <v>6384</v>
      </c>
      <c r="W1494" t="s">
        <v>6355</v>
      </c>
      <c r="X1494">
        <v>90</v>
      </c>
      <c r="Y1494" t="s">
        <v>70</v>
      </c>
      <c r="Z1494">
        <v>268</v>
      </c>
    </row>
    <row r="1495" spans="1:26" x14ac:dyDescent="0.3">
      <c r="A1495">
        <v>1494</v>
      </c>
      <c r="B1495" t="s">
        <v>3271</v>
      </c>
      <c r="C1495" t="s">
        <v>34</v>
      </c>
      <c r="D1495" t="s">
        <v>12</v>
      </c>
      <c r="E1495" t="s">
        <v>6359</v>
      </c>
      <c r="F1495" t="s">
        <v>6395</v>
      </c>
      <c r="G1495" t="s">
        <v>6385</v>
      </c>
      <c r="H1495" t="s">
        <v>6386</v>
      </c>
      <c r="J1495">
        <f>AVERAGE(ai_job_market[[#This Row],[min_salary]],ai_job_market[[#This Row],[max_salary]])</f>
        <v>117160.5</v>
      </c>
      <c r="K1495"/>
      <c r="L1495" t="s">
        <v>27</v>
      </c>
      <c r="M1495" t="s">
        <v>15</v>
      </c>
      <c r="N1495" t="s">
        <v>5159</v>
      </c>
      <c r="O1495" t="s">
        <v>4566</v>
      </c>
      <c r="P1495">
        <v>98582</v>
      </c>
      <c r="Q1495">
        <v>135739</v>
      </c>
      <c r="R1495" s="2">
        <v>45843</v>
      </c>
      <c r="S1495" t="s">
        <v>16</v>
      </c>
      <c r="T1495" t="s">
        <v>80</v>
      </c>
      <c r="W1495" t="s">
        <v>6359</v>
      </c>
      <c r="X1495">
        <v>104</v>
      </c>
      <c r="Y1495" t="s">
        <v>80</v>
      </c>
      <c r="Z1495">
        <v>249</v>
      </c>
    </row>
    <row r="1496" spans="1:26" x14ac:dyDescent="0.3">
      <c r="A1496">
        <v>1495</v>
      </c>
      <c r="B1496" t="s">
        <v>3273</v>
      </c>
      <c r="C1496" t="s">
        <v>11</v>
      </c>
      <c r="D1496" t="s">
        <v>135</v>
      </c>
      <c r="E1496" t="s">
        <v>6345</v>
      </c>
      <c r="F1496" t="s">
        <v>6384</v>
      </c>
      <c r="G1496" t="s">
        <v>6393</v>
      </c>
      <c r="H1496" t="s">
        <v>6389</v>
      </c>
      <c r="I1496" t="s">
        <v>6381</v>
      </c>
      <c r="J1496">
        <f>AVERAGE(ai_job_market[[#This Row],[min_salary]],ai_job_market[[#This Row],[max_salary]])</f>
        <v>117816.5</v>
      </c>
      <c r="K1496"/>
      <c r="L1496" t="s">
        <v>27</v>
      </c>
      <c r="M1496" t="s">
        <v>15</v>
      </c>
      <c r="N1496" t="s">
        <v>5890</v>
      </c>
      <c r="O1496" t="s">
        <v>4329</v>
      </c>
      <c r="P1496">
        <v>92626</v>
      </c>
      <c r="Q1496">
        <v>143007</v>
      </c>
      <c r="R1496" s="2">
        <v>45243</v>
      </c>
      <c r="S1496" t="s">
        <v>14</v>
      </c>
      <c r="T1496" t="s">
        <v>77</v>
      </c>
      <c r="U1496" t="s">
        <v>6384</v>
      </c>
      <c r="V1496" t="s">
        <v>6388</v>
      </c>
      <c r="W1496" t="s">
        <v>6345</v>
      </c>
      <c r="X1496">
        <v>101</v>
      </c>
      <c r="Y1496" t="s">
        <v>77</v>
      </c>
      <c r="Z1496">
        <v>251</v>
      </c>
    </row>
    <row r="1497" spans="1:26" x14ac:dyDescent="0.3">
      <c r="A1497">
        <v>1496</v>
      </c>
      <c r="B1497" t="s">
        <v>3275</v>
      </c>
      <c r="C1497" t="s">
        <v>11</v>
      </c>
      <c r="D1497" t="s">
        <v>30</v>
      </c>
      <c r="E1497" t="s">
        <v>6351</v>
      </c>
      <c r="F1497" t="s">
        <v>6379</v>
      </c>
      <c r="G1497" t="s">
        <v>6391</v>
      </c>
      <c r="H1497" t="s">
        <v>6386</v>
      </c>
      <c r="I1497" t="s">
        <v>6381</v>
      </c>
      <c r="J1497">
        <f>AVERAGE(ai_job_market[[#This Row],[min_salary]],ai_job_market[[#This Row],[max_salary]])</f>
        <v>151860</v>
      </c>
      <c r="K1497"/>
      <c r="L1497" t="s">
        <v>22</v>
      </c>
      <c r="M1497" t="s">
        <v>37</v>
      </c>
      <c r="N1497" t="s">
        <v>5891</v>
      </c>
      <c r="O1497" t="s">
        <v>4547</v>
      </c>
      <c r="P1497">
        <v>108432</v>
      </c>
      <c r="Q1497">
        <v>195288</v>
      </c>
      <c r="R1497" s="2">
        <v>45544</v>
      </c>
      <c r="S1497" t="s">
        <v>16</v>
      </c>
      <c r="T1497" t="s">
        <v>77</v>
      </c>
      <c r="U1497" t="s">
        <v>6375</v>
      </c>
      <c r="V1497" t="s">
        <v>6383</v>
      </c>
      <c r="W1497" t="s">
        <v>6351</v>
      </c>
      <c r="X1497">
        <v>89</v>
      </c>
      <c r="Y1497" t="s">
        <v>77</v>
      </c>
      <c r="Z1497">
        <v>251</v>
      </c>
    </row>
    <row r="1498" spans="1:26" x14ac:dyDescent="0.3">
      <c r="A1498">
        <v>1497</v>
      </c>
      <c r="B1498" t="s">
        <v>3277</v>
      </c>
      <c r="C1498" t="s">
        <v>40</v>
      </c>
      <c r="D1498" t="s">
        <v>30</v>
      </c>
      <c r="E1498" t="s">
        <v>6350</v>
      </c>
      <c r="F1498" t="s">
        <v>6376</v>
      </c>
      <c r="G1498" t="s">
        <v>6378</v>
      </c>
      <c r="J1498" s="6">
        <f>AVERAGE(ai_job_market[[#This Row],[min_salary]],ai_job_market[[#This Row],[max_salary]])</f>
        <v>163237</v>
      </c>
      <c r="K1498"/>
      <c r="L1498" t="s">
        <v>27</v>
      </c>
      <c r="M1498" t="s">
        <v>42</v>
      </c>
      <c r="N1498" t="s">
        <v>5892</v>
      </c>
      <c r="O1498" t="s">
        <v>4521</v>
      </c>
      <c r="P1498" s="5">
        <v>121907</v>
      </c>
      <c r="Q1498" s="5">
        <v>204567</v>
      </c>
      <c r="R1498" s="2">
        <v>45477</v>
      </c>
      <c r="S1498" t="s">
        <v>16</v>
      </c>
      <c r="T1498" t="s">
        <v>80</v>
      </c>
      <c r="W1498" t="s">
        <v>6350</v>
      </c>
      <c r="X1498">
        <v>84</v>
      </c>
      <c r="Y1498" t="s">
        <v>80</v>
      </c>
      <c r="Z1498">
        <v>249</v>
      </c>
    </row>
    <row r="1499" spans="1:26" x14ac:dyDescent="0.3">
      <c r="A1499">
        <v>1498</v>
      </c>
      <c r="B1499" t="s">
        <v>3279</v>
      </c>
      <c r="C1499" t="s">
        <v>34</v>
      </c>
      <c r="D1499" t="s">
        <v>67</v>
      </c>
      <c r="E1499" t="s">
        <v>77</v>
      </c>
      <c r="F1499" t="s">
        <v>6374</v>
      </c>
      <c r="G1499" t="s">
        <v>6375</v>
      </c>
      <c r="H1499" t="s">
        <v>6385</v>
      </c>
      <c r="I1499" t="s">
        <v>6390</v>
      </c>
      <c r="J1499">
        <f>AVERAGE(ai_job_market[[#This Row],[min_salary]],ai_job_market[[#This Row],[max_salary]])</f>
        <v>116849</v>
      </c>
      <c r="K1499"/>
      <c r="L1499" t="s">
        <v>27</v>
      </c>
      <c r="M1499" t="s">
        <v>37</v>
      </c>
      <c r="N1499" t="s">
        <v>5893</v>
      </c>
      <c r="O1499" t="s">
        <v>4439</v>
      </c>
      <c r="P1499">
        <v>85589</v>
      </c>
      <c r="Q1499">
        <v>148109</v>
      </c>
      <c r="R1499" s="2">
        <v>45649</v>
      </c>
      <c r="S1499" t="s">
        <v>14</v>
      </c>
      <c r="T1499" t="s">
        <v>77</v>
      </c>
      <c r="W1499" t="s">
        <v>77</v>
      </c>
      <c r="X1499">
        <v>111</v>
      </c>
      <c r="Y1499" t="s">
        <v>77</v>
      </c>
      <c r="Z1499">
        <v>251</v>
      </c>
    </row>
    <row r="1500" spans="1:26" x14ac:dyDescent="0.3">
      <c r="A1500">
        <v>1499</v>
      </c>
      <c r="B1500" t="s">
        <v>3281</v>
      </c>
      <c r="C1500" t="s">
        <v>19</v>
      </c>
      <c r="D1500" t="s">
        <v>67</v>
      </c>
      <c r="E1500" t="s">
        <v>6354</v>
      </c>
      <c r="F1500" t="s">
        <v>6382</v>
      </c>
      <c r="G1500" t="s">
        <v>6386</v>
      </c>
      <c r="H1500" t="s">
        <v>6379</v>
      </c>
      <c r="J1500">
        <f>AVERAGE(ai_job_market[[#This Row],[min_salary]],ai_job_market[[#This Row],[max_salary]])</f>
        <v>189411</v>
      </c>
      <c r="K1500"/>
      <c r="L1500" t="s">
        <v>22</v>
      </c>
      <c r="M1500" t="s">
        <v>37</v>
      </c>
      <c r="N1500" t="s">
        <v>5894</v>
      </c>
      <c r="O1500" t="s">
        <v>4323</v>
      </c>
      <c r="P1500">
        <v>139437</v>
      </c>
      <c r="Q1500">
        <v>239385</v>
      </c>
      <c r="R1500" s="2">
        <v>45815</v>
      </c>
      <c r="S1500" t="s">
        <v>16</v>
      </c>
      <c r="T1500" t="s">
        <v>80</v>
      </c>
      <c r="U1500" t="s">
        <v>6383</v>
      </c>
      <c r="W1500" t="s">
        <v>6354</v>
      </c>
      <c r="X1500">
        <v>75</v>
      </c>
      <c r="Y1500" t="s">
        <v>80</v>
      </c>
      <c r="Z1500">
        <v>249</v>
      </c>
    </row>
    <row r="1501" spans="1:26" x14ac:dyDescent="0.3">
      <c r="A1501">
        <v>1500</v>
      </c>
      <c r="B1501" t="s">
        <v>3283</v>
      </c>
      <c r="C1501" t="s">
        <v>40</v>
      </c>
      <c r="D1501" t="s">
        <v>25</v>
      </c>
      <c r="E1501" t="s">
        <v>70</v>
      </c>
      <c r="F1501" t="s">
        <v>6386</v>
      </c>
      <c r="G1501" t="s">
        <v>6389</v>
      </c>
      <c r="H1501" t="s">
        <v>6381</v>
      </c>
      <c r="I1501" t="s">
        <v>6393</v>
      </c>
      <c r="J1501">
        <f>AVERAGE(ai_job_market[[#This Row],[min_salary]],ai_job_market[[#This Row],[max_salary]])</f>
        <v>109493</v>
      </c>
      <c r="K1501" t="s">
        <v>6395</v>
      </c>
      <c r="L1501" t="s">
        <v>22</v>
      </c>
      <c r="M1501" t="s">
        <v>51</v>
      </c>
      <c r="N1501" t="s">
        <v>5895</v>
      </c>
      <c r="O1501" t="s">
        <v>4341</v>
      </c>
      <c r="P1501">
        <v>90279</v>
      </c>
      <c r="Q1501">
        <v>128707</v>
      </c>
      <c r="R1501" s="2">
        <v>45344</v>
      </c>
      <c r="S1501" t="s">
        <v>69</v>
      </c>
      <c r="T1501" t="s">
        <v>101</v>
      </c>
      <c r="W1501" t="s">
        <v>70</v>
      </c>
      <c r="X1501">
        <v>100</v>
      </c>
      <c r="Y1501" t="s">
        <v>101</v>
      </c>
      <c r="Z1501">
        <v>255</v>
      </c>
    </row>
    <row r="1502" spans="1:26" x14ac:dyDescent="0.3">
      <c r="A1502">
        <v>1501</v>
      </c>
      <c r="B1502" t="s">
        <v>3285</v>
      </c>
      <c r="C1502" t="s">
        <v>19</v>
      </c>
      <c r="D1502" t="s">
        <v>25</v>
      </c>
      <c r="E1502" t="s">
        <v>6356</v>
      </c>
      <c r="F1502" t="s">
        <v>6379</v>
      </c>
      <c r="G1502" t="s">
        <v>6385</v>
      </c>
      <c r="J1502">
        <f>AVERAGE(ai_job_market[[#This Row],[min_salary]],ai_job_market[[#This Row],[max_salary]])</f>
        <v>88723</v>
      </c>
      <c r="K1502"/>
      <c r="L1502" t="s">
        <v>27</v>
      </c>
      <c r="M1502" t="s">
        <v>51</v>
      </c>
      <c r="N1502" t="s">
        <v>5896</v>
      </c>
      <c r="O1502" t="s">
        <v>4601</v>
      </c>
      <c r="P1502">
        <v>71813</v>
      </c>
      <c r="Q1502">
        <v>105633</v>
      </c>
      <c r="R1502" s="2">
        <v>45318</v>
      </c>
      <c r="S1502" t="s">
        <v>16</v>
      </c>
      <c r="T1502" t="s">
        <v>80</v>
      </c>
      <c r="W1502" t="s">
        <v>6356</v>
      </c>
      <c r="X1502">
        <v>86</v>
      </c>
      <c r="Y1502" t="s">
        <v>80</v>
      </c>
      <c r="Z1502">
        <v>249</v>
      </c>
    </row>
    <row r="1503" spans="1:26" x14ac:dyDescent="0.3">
      <c r="A1503">
        <v>1502</v>
      </c>
      <c r="B1503" t="s">
        <v>3287</v>
      </c>
      <c r="C1503" t="s">
        <v>34</v>
      </c>
      <c r="D1503" t="s">
        <v>20</v>
      </c>
      <c r="E1503" t="s">
        <v>6355</v>
      </c>
      <c r="F1503" t="s">
        <v>6393</v>
      </c>
      <c r="G1503" t="s">
        <v>6384</v>
      </c>
      <c r="H1503" t="s">
        <v>6394</v>
      </c>
      <c r="I1503" t="s">
        <v>6375</v>
      </c>
      <c r="J1503">
        <f>AVERAGE(ai_job_market[[#This Row],[min_salary]],ai_job_market[[#This Row],[max_salary]])</f>
        <v>85215.5</v>
      </c>
      <c r="K1503"/>
      <c r="L1503" t="s">
        <v>22</v>
      </c>
      <c r="M1503" t="s">
        <v>51</v>
      </c>
      <c r="N1503" t="s">
        <v>5897</v>
      </c>
      <c r="O1503" t="s">
        <v>4363</v>
      </c>
      <c r="P1503">
        <v>55539</v>
      </c>
      <c r="Q1503">
        <v>114892</v>
      </c>
      <c r="R1503" s="2">
        <v>45897</v>
      </c>
      <c r="S1503" t="s">
        <v>16</v>
      </c>
      <c r="T1503" t="s">
        <v>101</v>
      </c>
      <c r="U1503" t="s">
        <v>6388</v>
      </c>
      <c r="V1503" t="s">
        <v>6383</v>
      </c>
      <c r="W1503" t="s">
        <v>6355</v>
      </c>
      <c r="X1503">
        <v>90</v>
      </c>
      <c r="Y1503" t="s">
        <v>101</v>
      </c>
      <c r="Z1503">
        <v>255</v>
      </c>
    </row>
    <row r="1504" spans="1:26" x14ac:dyDescent="0.3">
      <c r="A1504">
        <v>1503</v>
      </c>
      <c r="B1504" t="s">
        <v>3289</v>
      </c>
      <c r="C1504" t="s">
        <v>40</v>
      </c>
      <c r="D1504" t="s">
        <v>135</v>
      </c>
      <c r="E1504" t="s">
        <v>6353</v>
      </c>
      <c r="F1504" t="s">
        <v>6374</v>
      </c>
      <c r="G1504" t="s">
        <v>6379</v>
      </c>
      <c r="H1504" t="s">
        <v>6393</v>
      </c>
      <c r="I1504" t="s">
        <v>6380</v>
      </c>
      <c r="J1504">
        <f>AVERAGE(ai_job_market[[#This Row],[min_salary]],ai_job_market[[#This Row],[max_salary]])</f>
        <v>169202.5</v>
      </c>
      <c r="K1504" t="s">
        <v>6392</v>
      </c>
      <c r="L1504" t="s">
        <v>27</v>
      </c>
      <c r="M1504" t="s">
        <v>42</v>
      </c>
      <c r="N1504" t="s">
        <v>5898</v>
      </c>
      <c r="O1504" t="s">
        <v>4353</v>
      </c>
      <c r="P1504">
        <v>145430</v>
      </c>
      <c r="Q1504">
        <v>192975</v>
      </c>
      <c r="R1504" s="2">
        <v>45617</v>
      </c>
      <c r="S1504" t="s">
        <v>16</v>
      </c>
      <c r="T1504" t="s">
        <v>157</v>
      </c>
      <c r="W1504" t="s">
        <v>6353</v>
      </c>
      <c r="X1504">
        <v>86</v>
      </c>
      <c r="Y1504" t="s">
        <v>157</v>
      </c>
      <c r="Z1504">
        <v>247</v>
      </c>
    </row>
    <row r="1505" spans="1:26" x14ac:dyDescent="0.3">
      <c r="A1505">
        <v>1504</v>
      </c>
      <c r="B1505" t="s">
        <v>3291</v>
      </c>
      <c r="C1505" t="s">
        <v>49</v>
      </c>
      <c r="D1505" t="s">
        <v>30</v>
      </c>
      <c r="E1505" t="s">
        <v>6354</v>
      </c>
      <c r="F1505" t="s">
        <v>6378</v>
      </c>
      <c r="G1505" t="s">
        <v>6395</v>
      </c>
      <c r="H1505" t="s">
        <v>6392</v>
      </c>
      <c r="I1505" t="s">
        <v>6381</v>
      </c>
      <c r="J1505" s="6">
        <f>AVERAGE(ai_job_market[[#This Row],[min_salary]],ai_job_market[[#This Row],[max_salary]])</f>
        <v>93774.5</v>
      </c>
      <c r="K1505"/>
      <c r="L1505" t="s">
        <v>22</v>
      </c>
      <c r="M1505" t="s">
        <v>51</v>
      </c>
      <c r="N1505" t="s">
        <v>5899</v>
      </c>
      <c r="O1505" t="s">
        <v>4538</v>
      </c>
      <c r="P1505" s="5">
        <v>47867</v>
      </c>
      <c r="Q1505" s="5">
        <v>139682</v>
      </c>
      <c r="R1505" s="2">
        <v>45860</v>
      </c>
      <c r="S1505" t="s">
        <v>14</v>
      </c>
      <c r="T1505" t="s">
        <v>128</v>
      </c>
      <c r="U1505" t="s">
        <v>6389</v>
      </c>
      <c r="W1505" t="s">
        <v>6354</v>
      </c>
      <c r="X1505">
        <v>75</v>
      </c>
      <c r="Y1505" t="s">
        <v>128</v>
      </c>
      <c r="Z1505">
        <v>233</v>
      </c>
    </row>
    <row r="1506" spans="1:26" x14ac:dyDescent="0.3">
      <c r="A1506">
        <v>1505</v>
      </c>
      <c r="B1506" t="s">
        <v>3293</v>
      </c>
      <c r="C1506" t="s">
        <v>19</v>
      </c>
      <c r="D1506" t="s">
        <v>20</v>
      </c>
      <c r="E1506" t="s">
        <v>6346</v>
      </c>
      <c r="F1506" t="s">
        <v>6380</v>
      </c>
      <c r="G1506" t="s">
        <v>6387</v>
      </c>
      <c r="J1506" s="6">
        <f>AVERAGE(ai_job_market[[#This Row],[min_salary]],ai_job_market[[#This Row],[max_salary]])</f>
        <v>114396.5</v>
      </c>
      <c r="K1506"/>
      <c r="L1506" t="s">
        <v>14</v>
      </c>
      <c r="M1506" t="s">
        <v>15</v>
      </c>
      <c r="N1506" t="s">
        <v>5900</v>
      </c>
      <c r="O1506" t="s">
        <v>4786</v>
      </c>
      <c r="P1506" s="5">
        <v>64749</v>
      </c>
      <c r="Q1506" s="5">
        <v>164044</v>
      </c>
      <c r="R1506" s="2">
        <v>45834</v>
      </c>
      <c r="S1506" t="s">
        <v>16</v>
      </c>
      <c r="T1506" t="s">
        <v>80</v>
      </c>
      <c r="W1506" t="s">
        <v>6346</v>
      </c>
      <c r="X1506">
        <v>78</v>
      </c>
      <c r="Y1506" t="s">
        <v>80</v>
      </c>
      <c r="Z1506">
        <v>249</v>
      </c>
    </row>
    <row r="1507" spans="1:26" x14ac:dyDescent="0.3">
      <c r="A1507">
        <v>1506</v>
      </c>
      <c r="B1507" t="s">
        <v>3295</v>
      </c>
      <c r="C1507" t="s">
        <v>19</v>
      </c>
      <c r="D1507" t="s">
        <v>30</v>
      </c>
      <c r="E1507" t="s">
        <v>6356</v>
      </c>
      <c r="F1507" t="s">
        <v>6393</v>
      </c>
      <c r="G1507" t="s">
        <v>6390</v>
      </c>
      <c r="H1507" t="s">
        <v>6396</v>
      </c>
      <c r="I1507" t="s">
        <v>6376</v>
      </c>
      <c r="J1507">
        <f>AVERAGE(ai_job_market[[#This Row],[min_salary]],ai_job_market[[#This Row],[max_salary]])</f>
        <v>112000.5</v>
      </c>
      <c r="K1507"/>
      <c r="L1507" t="s">
        <v>14</v>
      </c>
      <c r="M1507" t="s">
        <v>42</v>
      </c>
      <c r="N1507" t="s">
        <v>5901</v>
      </c>
      <c r="O1507" t="s">
        <v>4382</v>
      </c>
      <c r="P1507">
        <v>72744</v>
      </c>
      <c r="Q1507">
        <v>151257</v>
      </c>
      <c r="R1507" s="2">
        <v>45350</v>
      </c>
      <c r="S1507" t="s">
        <v>69</v>
      </c>
      <c r="T1507" t="s">
        <v>70</v>
      </c>
      <c r="U1507" t="s">
        <v>6384</v>
      </c>
      <c r="V1507" t="s">
        <v>6378</v>
      </c>
      <c r="W1507" t="s">
        <v>6356</v>
      </c>
      <c r="X1507">
        <v>86</v>
      </c>
      <c r="Y1507" t="s">
        <v>70</v>
      </c>
      <c r="Z1507">
        <v>268</v>
      </c>
    </row>
    <row r="1508" spans="1:26" x14ac:dyDescent="0.3">
      <c r="A1508">
        <v>1507</v>
      </c>
      <c r="B1508" t="s">
        <v>3298</v>
      </c>
      <c r="C1508" t="s">
        <v>40</v>
      </c>
      <c r="D1508" t="s">
        <v>20</v>
      </c>
      <c r="E1508" t="s">
        <v>6354</v>
      </c>
      <c r="F1508" t="s">
        <v>6396</v>
      </c>
      <c r="G1508" t="s">
        <v>6390</v>
      </c>
      <c r="H1508" t="s">
        <v>6385</v>
      </c>
      <c r="I1508" t="s">
        <v>6375</v>
      </c>
      <c r="J1508">
        <f>AVERAGE(ai_job_market[[#This Row],[min_salary]],ai_job_market[[#This Row],[max_salary]])</f>
        <v>129500</v>
      </c>
      <c r="K1508" t="s">
        <v>6377</v>
      </c>
      <c r="L1508" t="s">
        <v>14</v>
      </c>
      <c r="M1508" t="s">
        <v>42</v>
      </c>
      <c r="N1508" t="s">
        <v>5902</v>
      </c>
      <c r="O1508" t="s">
        <v>4403</v>
      </c>
      <c r="P1508">
        <v>102252</v>
      </c>
      <c r="Q1508">
        <v>156748</v>
      </c>
      <c r="R1508" s="2">
        <v>45611</v>
      </c>
      <c r="S1508" t="s">
        <v>16</v>
      </c>
      <c r="T1508" t="s">
        <v>128</v>
      </c>
      <c r="W1508" t="s">
        <v>6354</v>
      </c>
      <c r="X1508">
        <v>75</v>
      </c>
      <c r="Y1508" t="s">
        <v>128</v>
      </c>
      <c r="Z1508">
        <v>233</v>
      </c>
    </row>
    <row r="1509" spans="1:26" x14ac:dyDescent="0.3">
      <c r="A1509">
        <v>1508</v>
      </c>
      <c r="B1509" t="s">
        <v>3300</v>
      </c>
      <c r="C1509" t="s">
        <v>72</v>
      </c>
      <c r="D1509" t="s">
        <v>30</v>
      </c>
      <c r="E1509" t="s">
        <v>6346</v>
      </c>
      <c r="F1509" t="s">
        <v>6385</v>
      </c>
      <c r="G1509" t="s">
        <v>6389</v>
      </c>
      <c r="H1509" t="s">
        <v>6375</v>
      </c>
      <c r="I1509" t="s">
        <v>6376</v>
      </c>
      <c r="J1509">
        <f>AVERAGE(ai_job_market[[#This Row],[min_salary]],ai_job_market[[#This Row],[max_salary]])</f>
        <v>82682.5</v>
      </c>
      <c r="K1509" t="s">
        <v>6378</v>
      </c>
      <c r="L1509" t="s">
        <v>27</v>
      </c>
      <c r="M1509" t="s">
        <v>51</v>
      </c>
      <c r="N1509" t="s">
        <v>5903</v>
      </c>
      <c r="O1509" t="s">
        <v>4506</v>
      </c>
      <c r="P1509">
        <v>75063</v>
      </c>
      <c r="Q1509">
        <v>90302</v>
      </c>
      <c r="R1509" s="2">
        <v>45361</v>
      </c>
      <c r="S1509" t="s">
        <v>69</v>
      </c>
      <c r="T1509" t="s">
        <v>80</v>
      </c>
      <c r="U1509" t="s">
        <v>6383</v>
      </c>
      <c r="W1509" t="s">
        <v>6346</v>
      </c>
      <c r="X1509">
        <v>78</v>
      </c>
      <c r="Y1509" t="s">
        <v>80</v>
      </c>
      <c r="Z1509">
        <v>249</v>
      </c>
    </row>
    <row r="1510" spans="1:26" x14ac:dyDescent="0.3">
      <c r="A1510">
        <v>1509</v>
      </c>
      <c r="B1510" t="s">
        <v>3302</v>
      </c>
      <c r="C1510" t="s">
        <v>49</v>
      </c>
      <c r="D1510" t="s">
        <v>12</v>
      </c>
      <c r="E1510" t="s">
        <v>6348</v>
      </c>
      <c r="F1510" t="s">
        <v>6379</v>
      </c>
      <c r="G1510" t="s">
        <v>6396</v>
      </c>
      <c r="H1510" t="s">
        <v>6395</v>
      </c>
      <c r="I1510" t="s">
        <v>6390</v>
      </c>
      <c r="J1510">
        <f>AVERAGE(ai_job_market[[#This Row],[min_salary]],ai_job_market[[#This Row],[max_salary]])</f>
        <v>60658.5</v>
      </c>
      <c r="K1510"/>
      <c r="L1510" t="s">
        <v>27</v>
      </c>
      <c r="M1510" t="s">
        <v>15</v>
      </c>
      <c r="N1510" t="s">
        <v>5904</v>
      </c>
      <c r="O1510" t="s">
        <v>5537</v>
      </c>
      <c r="P1510">
        <v>49065</v>
      </c>
      <c r="Q1510">
        <v>72252</v>
      </c>
      <c r="R1510" s="2">
        <v>45816</v>
      </c>
      <c r="S1510" t="s">
        <v>14</v>
      </c>
      <c r="T1510" t="s">
        <v>101</v>
      </c>
      <c r="W1510" t="s">
        <v>6348</v>
      </c>
      <c r="X1510">
        <v>78</v>
      </c>
      <c r="Y1510" t="s">
        <v>101</v>
      </c>
      <c r="Z1510">
        <v>255</v>
      </c>
    </row>
    <row r="1511" spans="1:26" x14ac:dyDescent="0.3">
      <c r="A1511">
        <v>1510</v>
      </c>
      <c r="B1511" t="s">
        <v>3304</v>
      </c>
      <c r="C1511" t="s">
        <v>45</v>
      </c>
      <c r="D1511" t="s">
        <v>67</v>
      </c>
      <c r="E1511" t="s">
        <v>6358</v>
      </c>
      <c r="F1511" t="s">
        <v>6374</v>
      </c>
      <c r="G1511" t="s">
        <v>6379</v>
      </c>
      <c r="H1511" t="s">
        <v>6381</v>
      </c>
      <c r="I1511" t="s">
        <v>6396</v>
      </c>
      <c r="J1511">
        <f>AVERAGE(ai_job_market[[#This Row],[min_salary]],ai_job_market[[#This Row],[max_salary]])</f>
        <v>162491.5</v>
      </c>
      <c r="K1511" t="s">
        <v>6376</v>
      </c>
      <c r="L1511" t="s">
        <v>27</v>
      </c>
      <c r="M1511" t="s">
        <v>37</v>
      </c>
      <c r="N1511" t="s">
        <v>5905</v>
      </c>
      <c r="O1511" t="s">
        <v>4762</v>
      </c>
      <c r="P1511">
        <v>138980</v>
      </c>
      <c r="Q1511">
        <v>186003</v>
      </c>
      <c r="R1511" s="2">
        <v>45643</v>
      </c>
      <c r="S1511" t="s">
        <v>69</v>
      </c>
      <c r="T1511" t="s">
        <v>80</v>
      </c>
      <c r="U1511" t="s">
        <v>6375</v>
      </c>
      <c r="V1511" t="s">
        <v>6389</v>
      </c>
      <c r="W1511" t="s">
        <v>6358</v>
      </c>
      <c r="X1511">
        <v>96</v>
      </c>
      <c r="Y1511" t="s">
        <v>80</v>
      </c>
      <c r="Z1511">
        <v>249</v>
      </c>
    </row>
    <row r="1512" spans="1:26" x14ac:dyDescent="0.3">
      <c r="A1512">
        <v>1511</v>
      </c>
      <c r="B1512" t="s">
        <v>3307</v>
      </c>
      <c r="C1512" t="s">
        <v>34</v>
      </c>
      <c r="D1512" t="s">
        <v>135</v>
      </c>
      <c r="E1512" t="s">
        <v>80</v>
      </c>
      <c r="F1512" t="s">
        <v>6380</v>
      </c>
      <c r="G1512" t="s">
        <v>6374</v>
      </c>
      <c r="H1512" t="s">
        <v>6377</v>
      </c>
      <c r="I1512" t="s">
        <v>6396</v>
      </c>
      <c r="J1512">
        <f>AVERAGE(ai_job_market[[#This Row],[min_salary]],ai_job_market[[#This Row],[max_salary]])</f>
        <v>141233.5</v>
      </c>
      <c r="K1512"/>
      <c r="L1512" t="s">
        <v>27</v>
      </c>
      <c r="M1512" t="s">
        <v>51</v>
      </c>
      <c r="N1512" t="s">
        <v>5023</v>
      </c>
      <c r="O1512" t="s">
        <v>4323</v>
      </c>
      <c r="P1512">
        <v>116702</v>
      </c>
      <c r="Q1512">
        <v>165765</v>
      </c>
      <c r="R1512" s="2">
        <v>45589</v>
      </c>
      <c r="S1512" t="s">
        <v>14</v>
      </c>
      <c r="T1512" t="s">
        <v>128</v>
      </c>
      <c r="W1512" t="s">
        <v>80</v>
      </c>
      <c r="X1512">
        <v>95</v>
      </c>
      <c r="Y1512" t="s">
        <v>128</v>
      </c>
      <c r="Z1512">
        <v>233</v>
      </c>
    </row>
    <row r="1513" spans="1:26" x14ac:dyDescent="0.3">
      <c r="A1513">
        <v>1512</v>
      </c>
      <c r="B1513" t="s">
        <v>3309</v>
      </c>
      <c r="C1513" t="s">
        <v>49</v>
      </c>
      <c r="D1513" t="s">
        <v>67</v>
      </c>
      <c r="E1513" t="s">
        <v>6349</v>
      </c>
      <c r="F1513" t="s">
        <v>6394</v>
      </c>
      <c r="G1513" t="s">
        <v>6374</v>
      </c>
      <c r="H1513" t="s">
        <v>6391</v>
      </c>
      <c r="I1513" t="s">
        <v>6377</v>
      </c>
      <c r="J1513">
        <f>AVERAGE(ai_job_market[[#This Row],[min_salary]],ai_job_market[[#This Row],[max_salary]])</f>
        <v>61337</v>
      </c>
      <c r="K1513" t="s">
        <v>6395</v>
      </c>
      <c r="L1513" t="s">
        <v>22</v>
      </c>
      <c r="M1513" t="s">
        <v>15</v>
      </c>
      <c r="N1513" t="s">
        <v>5906</v>
      </c>
      <c r="O1513" t="s">
        <v>4454</v>
      </c>
      <c r="P1513">
        <v>49864</v>
      </c>
      <c r="Q1513">
        <v>72810</v>
      </c>
      <c r="R1513" s="2">
        <v>45372</v>
      </c>
      <c r="S1513" t="s">
        <v>69</v>
      </c>
      <c r="T1513" t="s">
        <v>52</v>
      </c>
      <c r="W1513" t="s">
        <v>6349</v>
      </c>
      <c r="X1513">
        <v>96</v>
      </c>
      <c r="Y1513" t="s">
        <v>52</v>
      </c>
      <c r="Z1513">
        <v>238</v>
      </c>
    </row>
    <row r="1514" spans="1:26" x14ac:dyDescent="0.3">
      <c r="A1514">
        <v>1513</v>
      </c>
      <c r="B1514" t="s">
        <v>3311</v>
      </c>
      <c r="C1514" t="s">
        <v>19</v>
      </c>
      <c r="D1514" t="s">
        <v>135</v>
      </c>
      <c r="E1514" t="s">
        <v>6358</v>
      </c>
      <c r="F1514" t="s">
        <v>6390</v>
      </c>
      <c r="G1514" t="s">
        <v>6377</v>
      </c>
      <c r="H1514" t="s">
        <v>6378</v>
      </c>
      <c r="J1514">
        <f>AVERAGE(ai_job_market[[#This Row],[min_salary]],ai_job_market[[#This Row],[max_salary]])</f>
        <v>125651</v>
      </c>
      <c r="K1514"/>
      <c r="L1514" t="s">
        <v>14</v>
      </c>
      <c r="M1514" t="s">
        <v>42</v>
      </c>
      <c r="N1514" t="s">
        <v>5907</v>
      </c>
      <c r="O1514" t="s">
        <v>4442</v>
      </c>
      <c r="P1514">
        <v>105130</v>
      </c>
      <c r="Q1514">
        <v>146172</v>
      </c>
      <c r="R1514" s="2">
        <v>45268</v>
      </c>
      <c r="S1514" t="s">
        <v>16</v>
      </c>
      <c r="T1514" t="s">
        <v>80</v>
      </c>
      <c r="W1514" t="s">
        <v>6358</v>
      </c>
      <c r="X1514">
        <v>96</v>
      </c>
      <c r="Y1514" t="s">
        <v>80</v>
      </c>
      <c r="Z1514">
        <v>249</v>
      </c>
    </row>
    <row r="1515" spans="1:26" x14ac:dyDescent="0.3">
      <c r="A1515">
        <v>1514</v>
      </c>
      <c r="B1515" t="s">
        <v>3313</v>
      </c>
      <c r="C1515" t="s">
        <v>11</v>
      </c>
      <c r="D1515" t="s">
        <v>12</v>
      </c>
      <c r="E1515" t="s">
        <v>90</v>
      </c>
      <c r="F1515" t="s">
        <v>6378</v>
      </c>
      <c r="G1515" t="s">
        <v>6391</v>
      </c>
      <c r="H1515" t="s">
        <v>6390</v>
      </c>
      <c r="I1515" t="s">
        <v>6382</v>
      </c>
      <c r="J1515">
        <f>AVERAGE(ai_job_market[[#This Row],[min_salary]],ai_job_market[[#This Row],[max_salary]])</f>
        <v>98204.5</v>
      </c>
      <c r="K1515" t="s">
        <v>6380</v>
      </c>
      <c r="L1515" t="s">
        <v>27</v>
      </c>
      <c r="M1515" t="s">
        <v>15</v>
      </c>
      <c r="N1515" t="s">
        <v>5908</v>
      </c>
      <c r="O1515" t="s">
        <v>4509</v>
      </c>
      <c r="P1515">
        <v>74633</v>
      </c>
      <c r="Q1515">
        <v>121776</v>
      </c>
      <c r="R1515" s="2">
        <v>45655</v>
      </c>
      <c r="S1515" t="s">
        <v>69</v>
      </c>
      <c r="T1515" t="s">
        <v>101</v>
      </c>
      <c r="W1515" t="s">
        <v>90</v>
      </c>
      <c r="X1515">
        <v>80</v>
      </c>
      <c r="Y1515" t="s">
        <v>101</v>
      </c>
      <c r="Z1515">
        <v>255</v>
      </c>
    </row>
    <row r="1516" spans="1:26" x14ac:dyDescent="0.3">
      <c r="A1516">
        <v>1515</v>
      </c>
      <c r="B1516" t="s">
        <v>3315</v>
      </c>
      <c r="C1516" t="s">
        <v>11</v>
      </c>
      <c r="D1516" t="s">
        <v>25</v>
      </c>
      <c r="E1516" t="s">
        <v>90</v>
      </c>
      <c r="F1516" t="s">
        <v>6384</v>
      </c>
      <c r="G1516" t="s">
        <v>6380</v>
      </c>
      <c r="H1516" t="s">
        <v>6377</v>
      </c>
      <c r="J1516" s="6">
        <f>AVERAGE(ai_job_market[[#This Row],[min_salary]],ai_job_market[[#This Row],[max_salary]])</f>
        <v>106257</v>
      </c>
      <c r="K1516"/>
      <c r="L1516" t="s">
        <v>22</v>
      </c>
      <c r="M1516" t="s">
        <v>42</v>
      </c>
      <c r="N1516" t="s">
        <v>5909</v>
      </c>
      <c r="O1516" t="s">
        <v>5011</v>
      </c>
      <c r="P1516" s="5">
        <v>56993</v>
      </c>
      <c r="Q1516" s="5">
        <v>155521</v>
      </c>
      <c r="R1516" s="2">
        <v>45851</v>
      </c>
      <c r="S1516" t="s">
        <v>16</v>
      </c>
      <c r="T1516" t="s">
        <v>52</v>
      </c>
      <c r="U1516" t="s">
        <v>6389</v>
      </c>
      <c r="V1516" t="s">
        <v>6383</v>
      </c>
      <c r="W1516" t="s">
        <v>90</v>
      </c>
      <c r="X1516">
        <v>80</v>
      </c>
      <c r="Y1516" t="s">
        <v>52</v>
      </c>
      <c r="Z1516">
        <v>238</v>
      </c>
    </row>
    <row r="1517" spans="1:26" x14ac:dyDescent="0.3">
      <c r="A1517">
        <v>1516</v>
      </c>
      <c r="B1517" t="s">
        <v>3317</v>
      </c>
      <c r="C1517" t="s">
        <v>45</v>
      </c>
      <c r="D1517" t="s">
        <v>20</v>
      </c>
      <c r="E1517" t="s">
        <v>6347</v>
      </c>
      <c r="F1517" t="s">
        <v>6382</v>
      </c>
      <c r="G1517" t="s">
        <v>6379</v>
      </c>
      <c r="H1517" t="s">
        <v>6375</v>
      </c>
      <c r="I1517" t="s">
        <v>6393</v>
      </c>
      <c r="J1517">
        <f>AVERAGE(ai_job_market[[#This Row],[min_salary]],ai_job_market[[#This Row],[max_salary]])</f>
        <v>56714</v>
      </c>
      <c r="K1517"/>
      <c r="L1517" t="s">
        <v>27</v>
      </c>
      <c r="M1517" t="s">
        <v>15</v>
      </c>
      <c r="N1517" t="s">
        <v>5910</v>
      </c>
      <c r="O1517" t="s">
        <v>4295</v>
      </c>
      <c r="P1517">
        <v>46611</v>
      </c>
      <c r="Q1517">
        <v>66817</v>
      </c>
      <c r="R1517" s="2">
        <v>45280</v>
      </c>
      <c r="S1517" t="s">
        <v>16</v>
      </c>
      <c r="T1517" t="s">
        <v>128</v>
      </c>
      <c r="U1517" t="s">
        <v>6389</v>
      </c>
      <c r="V1517" t="s">
        <v>6376</v>
      </c>
      <c r="W1517" t="s">
        <v>6347</v>
      </c>
      <c r="X1517">
        <v>94</v>
      </c>
      <c r="Y1517" t="s">
        <v>128</v>
      </c>
      <c r="Z1517">
        <v>233</v>
      </c>
    </row>
    <row r="1518" spans="1:26" x14ac:dyDescent="0.3">
      <c r="A1518">
        <v>1517</v>
      </c>
      <c r="B1518" t="s">
        <v>3319</v>
      </c>
      <c r="C1518" t="s">
        <v>34</v>
      </c>
      <c r="D1518" t="s">
        <v>35</v>
      </c>
      <c r="E1518" t="s">
        <v>6359</v>
      </c>
      <c r="F1518" t="s">
        <v>6382</v>
      </c>
      <c r="G1518" t="s">
        <v>6392</v>
      </c>
      <c r="J1518">
        <f>AVERAGE(ai_job_market[[#This Row],[min_salary]],ai_job_market[[#This Row],[max_salary]])</f>
        <v>79698.5</v>
      </c>
      <c r="K1518"/>
      <c r="L1518" t="s">
        <v>22</v>
      </c>
      <c r="M1518" t="s">
        <v>51</v>
      </c>
      <c r="N1518" t="s">
        <v>5911</v>
      </c>
      <c r="O1518" t="s">
        <v>4365</v>
      </c>
      <c r="P1518">
        <v>46024</v>
      </c>
      <c r="Q1518">
        <v>113373</v>
      </c>
      <c r="R1518" s="2">
        <v>45590</v>
      </c>
      <c r="S1518" t="s">
        <v>14</v>
      </c>
      <c r="T1518" t="s">
        <v>128</v>
      </c>
      <c r="U1518" t="s">
        <v>6378</v>
      </c>
      <c r="V1518" t="s">
        <v>6384</v>
      </c>
      <c r="W1518" t="s">
        <v>6359</v>
      </c>
      <c r="X1518">
        <v>104</v>
      </c>
      <c r="Y1518" t="s">
        <v>128</v>
      </c>
      <c r="Z1518">
        <v>233</v>
      </c>
    </row>
    <row r="1519" spans="1:26" x14ac:dyDescent="0.3">
      <c r="A1519">
        <v>1518</v>
      </c>
      <c r="B1519" t="s">
        <v>3321</v>
      </c>
      <c r="C1519" t="s">
        <v>72</v>
      </c>
      <c r="D1519" t="s">
        <v>20</v>
      </c>
      <c r="E1519" t="s">
        <v>70</v>
      </c>
      <c r="F1519" t="s">
        <v>6391</v>
      </c>
      <c r="G1519" t="s">
        <v>6377</v>
      </c>
      <c r="H1519" t="s">
        <v>6397</v>
      </c>
      <c r="I1519" t="s">
        <v>6387</v>
      </c>
      <c r="J1519">
        <f>AVERAGE(ai_job_market[[#This Row],[min_salary]],ai_job_market[[#This Row],[max_salary]])</f>
        <v>67860.5</v>
      </c>
      <c r="K1519" t="s">
        <v>6385</v>
      </c>
      <c r="L1519" t="s">
        <v>22</v>
      </c>
      <c r="M1519" t="s">
        <v>51</v>
      </c>
      <c r="N1519" t="s">
        <v>4304</v>
      </c>
      <c r="O1519" t="s">
        <v>4395</v>
      </c>
      <c r="P1519">
        <v>41220</v>
      </c>
      <c r="Q1519">
        <v>94501</v>
      </c>
      <c r="R1519" s="2">
        <v>45289</v>
      </c>
      <c r="S1519" t="s">
        <v>69</v>
      </c>
      <c r="T1519" t="s">
        <v>157</v>
      </c>
      <c r="U1519" t="s">
        <v>6389</v>
      </c>
      <c r="V1519" t="s">
        <v>6376</v>
      </c>
      <c r="W1519" t="s">
        <v>70</v>
      </c>
      <c r="X1519">
        <v>100</v>
      </c>
      <c r="Y1519" t="s">
        <v>157</v>
      </c>
      <c r="Z1519">
        <v>247</v>
      </c>
    </row>
    <row r="1520" spans="1:26" x14ac:dyDescent="0.3">
      <c r="A1520">
        <v>1519</v>
      </c>
      <c r="B1520" t="s">
        <v>3323</v>
      </c>
      <c r="C1520" t="s">
        <v>19</v>
      </c>
      <c r="D1520" t="s">
        <v>35</v>
      </c>
      <c r="E1520" t="s">
        <v>6352</v>
      </c>
      <c r="F1520" t="s">
        <v>6392</v>
      </c>
      <c r="G1520" t="s">
        <v>6374</v>
      </c>
      <c r="H1520" t="s">
        <v>6379</v>
      </c>
      <c r="I1520" t="s">
        <v>6387</v>
      </c>
      <c r="J1520">
        <f>AVERAGE(ai_job_market[[#This Row],[min_salary]],ai_job_market[[#This Row],[max_salary]])</f>
        <v>184544</v>
      </c>
      <c r="K1520"/>
      <c r="L1520" t="s">
        <v>22</v>
      </c>
      <c r="M1520" t="s">
        <v>51</v>
      </c>
      <c r="N1520" t="s">
        <v>5912</v>
      </c>
      <c r="O1520" t="s">
        <v>4540</v>
      </c>
      <c r="P1520">
        <v>140240</v>
      </c>
      <c r="Q1520">
        <v>228848</v>
      </c>
      <c r="R1520" s="2">
        <v>45299</v>
      </c>
      <c r="S1520" t="s">
        <v>14</v>
      </c>
      <c r="T1520" t="s">
        <v>77</v>
      </c>
      <c r="U1520" t="s">
        <v>6384</v>
      </c>
      <c r="V1520" t="s">
        <v>6389</v>
      </c>
      <c r="W1520" t="s">
        <v>6352</v>
      </c>
      <c r="X1520">
        <v>97</v>
      </c>
      <c r="Y1520" t="s">
        <v>77</v>
      </c>
      <c r="Z1520">
        <v>251</v>
      </c>
    </row>
    <row r="1521" spans="1:26" x14ac:dyDescent="0.3">
      <c r="A1521">
        <v>1520</v>
      </c>
      <c r="B1521" t="s">
        <v>3325</v>
      </c>
      <c r="C1521" t="s">
        <v>40</v>
      </c>
      <c r="D1521" t="s">
        <v>30</v>
      </c>
      <c r="E1521" t="s">
        <v>6348</v>
      </c>
      <c r="F1521" t="s">
        <v>6374</v>
      </c>
      <c r="G1521" t="s">
        <v>6394</v>
      </c>
      <c r="H1521" t="s">
        <v>6384</v>
      </c>
      <c r="I1521" t="s">
        <v>6390</v>
      </c>
      <c r="J1521">
        <f>AVERAGE(ai_job_market[[#This Row],[min_salary]],ai_job_market[[#This Row],[max_salary]])</f>
        <v>180039</v>
      </c>
      <c r="K1521" t="s">
        <v>6380</v>
      </c>
      <c r="L1521" t="s">
        <v>14</v>
      </c>
      <c r="M1521" t="s">
        <v>37</v>
      </c>
      <c r="N1521" t="s">
        <v>5913</v>
      </c>
      <c r="O1521" t="s">
        <v>4349</v>
      </c>
      <c r="P1521">
        <v>136191</v>
      </c>
      <c r="Q1521">
        <v>223887</v>
      </c>
      <c r="R1521" s="2">
        <v>45632</v>
      </c>
      <c r="S1521" t="s">
        <v>14</v>
      </c>
      <c r="T1521" t="s">
        <v>77</v>
      </c>
      <c r="U1521" t="s">
        <v>6384</v>
      </c>
      <c r="W1521" t="s">
        <v>6348</v>
      </c>
      <c r="X1521">
        <v>78</v>
      </c>
      <c r="Y1521" t="s">
        <v>77</v>
      </c>
      <c r="Z1521">
        <v>251</v>
      </c>
    </row>
    <row r="1522" spans="1:26" x14ac:dyDescent="0.3">
      <c r="A1522">
        <v>1521</v>
      </c>
      <c r="B1522" t="s">
        <v>140</v>
      </c>
      <c r="C1522" t="s">
        <v>34</v>
      </c>
      <c r="D1522" t="s">
        <v>54</v>
      </c>
      <c r="E1522" t="s">
        <v>6349</v>
      </c>
      <c r="F1522" t="s">
        <v>6376</v>
      </c>
      <c r="G1522" t="s">
        <v>6378</v>
      </c>
      <c r="H1522" t="s">
        <v>6391</v>
      </c>
      <c r="I1522" t="s">
        <v>6377</v>
      </c>
      <c r="J1522">
        <f>AVERAGE(ai_job_market[[#This Row],[min_salary]],ai_job_market[[#This Row],[max_salary]])</f>
        <v>140316</v>
      </c>
      <c r="K1522" t="s">
        <v>6380</v>
      </c>
      <c r="L1522" t="s">
        <v>14</v>
      </c>
      <c r="M1522" t="s">
        <v>51</v>
      </c>
      <c r="N1522" t="s">
        <v>5389</v>
      </c>
      <c r="O1522" t="s">
        <v>4536</v>
      </c>
      <c r="P1522">
        <v>103253</v>
      </c>
      <c r="Q1522">
        <v>177379</v>
      </c>
      <c r="R1522" s="2">
        <v>45850</v>
      </c>
      <c r="S1522" t="s">
        <v>16</v>
      </c>
      <c r="T1522" t="s">
        <v>80</v>
      </c>
      <c r="U1522" t="s">
        <v>6379</v>
      </c>
      <c r="V1522" t="s">
        <v>6388</v>
      </c>
      <c r="W1522" t="s">
        <v>6349</v>
      </c>
      <c r="X1522">
        <v>96</v>
      </c>
      <c r="Y1522" t="s">
        <v>80</v>
      </c>
      <c r="Z1522">
        <v>249</v>
      </c>
    </row>
    <row r="1523" spans="1:26" x14ac:dyDescent="0.3">
      <c r="A1523">
        <v>1522</v>
      </c>
      <c r="B1523" t="s">
        <v>2018</v>
      </c>
      <c r="C1523" t="s">
        <v>72</v>
      </c>
      <c r="D1523" t="s">
        <v>67</v>
      </c>
      <c r="E1523" t="s">
        <v>6346</v>
      </c>
      <c r="F1523" t="s">
        <v>6390</v>
      </c>
      <c r="G1523" t="s">
        <v>6392</v>
      </c>
      <c r="H1523" t="s">
        <v>6379</v>
      </c>
      <c r="I1523" t="s">
        <v>6384</v>
      </c>
      <c r="J1523">
        <f>AVERAGE(ai_job_market[[#This Row],[min_salary]],ai_job_market[[#This Row],[max_salary]])</f>
        <v>168491.5</v>
      </c>
      <c r="K1523" t="s">
        <v>6397</v>
      </c>
      <c r="L1523" t="s">
        <v>27</v>
      </c>
      <c r="M1523" t="s">
        <v>15</v>
      </c>
      <c r="N1523" t="s">
        <v>5914</v>
      </c>
      <c r="O1523" t="s">
        <v>4351</v>
      </c>
      <c r="P1523">
        <v>132044</v>
      </c>
      <c r="Q1523">
        <v>204939</v>
      </c>
      <c r="R1523" s="2">
        <v>45572</v>
      </c>
      <c r="S1523" t="s">
        <v>14</v>
      </c>
      <c r="T1523" t="s">
        <v>52</v>
      </c>
      <c r="W1523" t="s">
        <v>6346</v>
      </c>
      <c r="X1523">
        <v>78</v>
      </c>
      <c r="Y1523" t="s">
        <v>52</v>
      </c>
      <c r="Z1523">
        <v>238</v>
      </c>
    </row>
    <row r="1524" spans="1:26" x14ac:dyDescent="0.3">
      <c r="A1524">
        <v>1523</v>
      </c>
      <c r="B1524" t="s">
        <v>3329</v>
      </c>
      <c r="C1524" t="s">
        <v>19</v>
      </c>
      <c r="D1524" t="s">
        <v>135</v>
      </c>
      <c r="E1524" t="s">
        <v>6347</v>
      </c>
      <c r="F1524" t="s">
        <v>6391</v>
      </c>
      <c r="G1524" t="s">
        <v>6395</v>
      </c>
      <c r="H1524" t="s">
        <v>6382</v>
      </c>
      <c r="I1524" t="s">
        <v>6385</v>
      </c>
      <c r="J1524">
        <f>AVERAGE(ai_job_market[[#This Row],[min_salary]],ai_job_market[[#This Row],[max_salary]])</f>
        <v>83045.5</v>
      </c>
      <c r="K1524" t="s">
        <v>6378</v>
      </c>
      <c r="L1524" t="s">
        <v>14</v>
      </c>
      <c r="M1524" t="s">
        <v>51</v>
      </c>
      <c r="N1524" t="s">
        <v>5773</v>
      </c>
      <c r="O1524" t="s">
        <v>4452</v>
      </c>
      <c r="P1524">
        <v>50076</v>
      </c>
      <c r="Q1524">
        <v>116015</v>
      </c>
      <c r="R1524" s="2">
        <v>45623</v>
      </c>
      <c r="S1524" t="s">
        <v>69</v>
      </c>
      <c r="T1524" t="s">
        <v>101</v>
      </c>
      <c r="U1524" t="s">
        <v>6389</v>
      </c>
      <c r="W1524" t="s">
        <v>6347</v>
      </c>
      <c r="X1524">
        <v>94</v>
      </c>
      <c r="Y1524" t="s">
        <v>101</v>
      </c>
      <c r="Z1524">
        <v>255</v>
      </c>
    </row>
    <row r="1525" spans="1:26" x14ac:dyDescent="0.3">
      <c r="A1525">
        <v>1524</v>
      </c>
      <c r="B1525" t="s">
        <v>3331</v>
      </c>
      <c r="C1525" t="s">
        <v>45</v>
      </c>
      <c r="D1525" t="s">
        <v>35</v>
      </c>
      <c r="E1525" t="s">
        <v>70</v>
      </c>
      <c r="F1525" t="s">
        <v>6394</v>
      </c>
      <c r="G1525" t="s">
        <v>6382</v>
      </c>
      <c r="H1525" t="s">
        <v>6391</v>
      </c>
      <c r="I1525" t="s">
        <v>6376</v>
      </c>
      <c r="J1525">
        <f>AVERAGE(ai_job_market[[#This Row],[min_salary]],ai_job_market[[#This Row],[max_salary]])</f>
        <v>102294.5</v>
      </c>
      <c r="K1525" t="s">
        <v>6393</v>
      </c>
      <c r="L1525" t="s">
        <v>27</v>
      </c>
      <c r="M1525" t="s">
        <v>42</v>
      </c>
      <c r="N1525" t="s">
        <v>5915</v>
      </c>
      <c r="O1525" t="s">
        <v>4446</v>
      </c>
      <c r="P1525">
        <v>92423</v>
      </c>
      <c r="Q1525">
        <v>112166</v>
      </c>
      <c r="R1525" s="2">
        <v>45312</v>
      </c>
      <c r="S1525" t="s">
        <v>69</v>
      </c>
      <c r="T1525" t="s">
        <v>157</v>
      </c>
      <c r="W1525" t="s">
        <v>70</v>
      </c>
      <c r="X1525">
        <v>100</v>
      </c>
      <c r="Y1525" t="s">
        <v>157</v>
      </c>
      <c r="Z1525">
        <v>247</v>
      </c>
    </row>
    <row r="1526" spans="1:26" x14ac:dyDescent="0.3">
      <c r="A1526">
        <v>1525</v>
      </c>
      <c r="B1526" t="s">
        <v>3333</v>
      </c>
      <c r="C1526" t="s">
        <v>72</v>
      </c>
      <c r="D1526" t="s">
        <v>67</v>
      </c>
      <c r="E1526" t="s">
        <v>101</v>
      </c>
      <c r="F1526" t="s">
        <v>6389</v>
      </c>
      <c r="G1526" t="s">
        <v>6386</v>
      </c>
      <c r="J1526">
        <f>AVERAGE(ai_job_market[[#This Row],[min_salary]],ai_job_market[[#This Row],[max_salary]])</f>
        <v>166269.5</v>
      </c>
      <c r="K1526"/>
      <c r="L1526" t="s">
        <v>27</v>
      </c>
      <c r="M1526" t="s">
        <v>51</v>
      </c>
      <c r="N1526" t="s">
        <v>5916</v>
      </c>
      <c r="O1526" t="s">
        <v>4320</v>
      </c>
      <c r="P1526">
        <v>141773</v>
      </c>
      <c r="Q1526">
        <v>190766</v>
      </c>
      <c r="R1526" s="2">
        <v>45202</v>
      </c>
      <c r="S1526" t="s">
        <v>14</v>
      </c>
      <c r="T1526" t="s">
        <v>101</v>
      </c>
      <c r="U1526" t="s">
        <v>6389</v>
      </c>
      <c r="W1526" t="s">
        <v>101</v>
      </c>
      <c r="X1526">
        <v>76</v>
      </c>
      <c r="Y1526" t="s">
        <v>101</v>
      </c>
      <c r="Z1526">
        <v>255</v>
      </c>
    </row>
    <row r="1527" spans="1:26" x14ac:dyDescent="0.3">
      <c r="A1527">
        <v>1526</v>
      </c>
      <c r="B1527" t="s">
        <v>3335</v>
      </c>
      <c r="C1527" t="s">
        <v>40</v>
      </c>
      <c r="D1527" t="s">
        <v>67</v>
      </c>
      <c r="E1527" t="s">
        <v>77</v>
      </c>
      <c r="F1527" t="s">
        <v>6379</v>
      </c>
      <c r="G1527" t="s">
        <v>6387</v>
      </c>
      <c r="J1527">
        <f>AVERAGE(ai_job_market[[#This Row],[min_salary]],ai_job_market[[#This Row],[max_salary]])</f>
        <v>82872.5</v>
      </c>
      <c r="K1527"/>
      <c r="L1527" t="s">
        <v>14</v>
      </c>
      <c r="M1527" t="s">
        <v>42</v>
      </c>
      <c r="N1527" t="s">
        <v>5917</v>
      </c>
      <c r="O1527" t="s">
        <v>4619</v>
      </c>
      <c r="P1527">
        <v>57442</v>
      </c>
      <c r="Q1527">
        <v>108303</v>
      </c>
      <c r="R1527" s="2">
        <v>45564</v>
      </c>
      <c r="S1527" t="s">
        <v>14</v>
      </c>
      <c r="T1527" t="s">
        <v>77</v>
      </c>
      <c r="U1527" t="s">
        <v>6383</v>
      </c>
      <c r="V1527" t="s">
        <v>6388</v>
      </c>
      <c r="W1527" t="s">
        <v>77</v>
      </c>
      <c r="X1527">
        <v>111</v>
      </c>
      <c r="Y1527" t="s">
        <v>77</v>
      </c>
      <c r="Z1527">
        <v>251</v>
      </c>
    </row>
    <row r="1528" spans="1:26" x14ac:dyDescent="0.3">
      <c r="A1528">
        <v>1527</v>
      </c>
      <c r="B1528" t="s">
        <v>3337</v>
      </c>
      <c r="C1528" t="s">
        <v>19</v>
      </c>
      <c r="D1528" t="s">
        <v>25</v>
      </c>
      <c r="E1528" t="s">
        <v>6356</v>
      </c>
      <c r="F1528" t="s">
        <v>6382</v>
      </c>
      <c r="G1528" t="s">
        <v>6374</v>
      </c>
      <c r="H1528" t="s">
        <v>6376</v>
      </c>
      <c r="I1528" t="s">
        <v>6394</v>
      </c>
      <c r="J1528">
        <f>AVERAGE(ai_job_market[[#This Row],[min_salary]],ai_job_market[[#This Row],[max_salary]])</f>
        <v>148780</v>
      </c>
      <c r="K1528"/>
      <c r="L1528" t="s">
        <v>27</v>
      </c>
      <c r="M1528" t="s">
        <v>51</v>
      </c>
      <c r="N1528" t="s">
        <v>5918</v>
      </c>
      <c r="O1528" t="s">
        <v>4414</v>
      </c>
      <c r="P1528">
        <v>125288</v>
      </c>
      <c r="Q1528">
        <v>172272</v>
      </c>
      <c r="R1528" s="2">
        <v>45220</v>
      </c>
      <c r="S1528" t="s">
        <v>69</v>
      </c>
      <c r="T1528" t="s">
        <v>77</v>
      </c>
      <c r="U1528" t="s">
        <v>6383</v>
      </c>
      <c r="W1528" t="s">
        <v>6356</v>
      </c>
      <c r="X1528">
        <v>86</v>
      </c>
      <c r="Y1528" t="s">
        <v>77</v>
      </c>
      <c r="Z1528">
        <v>251</v>
      </c>
    </row>
    <row r="1529" spans="1:26" x14ac:dyDescent="0.3">
      <c r="A1529">
        <v>1528</v>
      </c>
      <c r="B1529" t="s">
        <v>3339</v>
      </c>
      <c r="C1529" t="s">
        <v>40</v>
      </c>
      <c r="D1529" t="s">
        <v>25</v>
      </c>
      <c r="E1529" t="s">
        <v>6353</v>
      </c>
      <c r="F1529" t="s">
        <v>6392</v>
      </c>
      <c r="G1529" t="s">
        <v>6395</v>
      </c>
      <c r="J1529" s="6">
        <f>AVERAGE(ai_job_market[[#This Row],[min_salary]],ai_job_market[[#This Row],[max_salary]])</f>
        <v>151071</v>
      </c>
      <c r="K1529"/>
      <c r="L1529" t="s">
        <v>27</v>
      </c>
      <c r="M1529" t="s">
        <v>37</v>
      </c>
      <c r="N1529" t="s">
        <v>5919</v>
      </c>
      <c r="O1529" t="s">
        <v>4624</v>
      </c>
      <c r="P1529" s="5">
        <v>109244</v>
      </c>
      <c r="Q1529" s="5">
        <v>192898</v>
      </c>
      <c r="R1529" s="2">
        <v>45565</v>
      </c>
      <c r="S1529" t="s">
        <v>16</v>
      </c>
      <c r="T1529" t="s">
        <v>80</v>
      </c>
      <c r="W1529" t="s">
        <v>6353</v>
      </c>
      <c r="X1529">
        <v>86</v>
      </c>
      <c r="Y1529" t="s">
        <v>80</v>
      </c>
      <c r="Z1529">
        <v>249</v>
      </c>
    </row>
    <row r="1530" spans="1:26" x14ac:dyDescent="0.3">
      <c r="A1530">
        <v>1529</v>
      </c>
      <c r="B1530" t="s">
        <v>3341</v>
      </c>
      <c r="C1530" t="s">
        <v>45</v>
      </c>
      <c r="D1530" t="s">
        <v>30</v>
      </c>
      <c r="E1530" t="s">
        <v>128</v>
      </c>
      <c r="F1530" t="s">
        <v>6393</v>
      </c>
      <c r="G1530" t="s">
        <v>6381</v>
      </c>
      <c r="H1530" t="s">
        <v>6389</v>
      </c>
      <c r="I1530" t="s">
        <v>6387</v>
      </c>
      <c r="J1530">
        <f>AVERAGE(ai_job_market[[#This Row],[min_salary]],ai_job_market[[#This Row],[max_salary]])</f>
        <v>109374.5</v>
      </c>
      <c r="K1530" t="s">
        <v>6397</v>
      </c>
      <c r="L1530" t="s">
        <v>22</v>
      </c>
      <c r="M1530" t="s">
        <v>15</v>
      </c>
      <c r="N1530" t="s">
        <v>5920</v>
      </c>
      <c r="O1530" t="s">
        <v>4375</v>
      </c>
      <c r="P1530">
        <v>89405</v>
      </c>
      <c r="Q1530">
        <v>129344</v>
      </c>
      <c r="R1530" s="2">
        <v>45361</v>
      </c>
      <c r="S1530" t="s">
        <v>16</v>
      </c>
      <c r="T1530" t="s">
        <v>157</v>
      </c>
      <c r="U1530" t="s">
        <v>6379</v>
      </c>
      <c r="W1530" t="s">
        <v>128</v>
      </c>
      <c r="X1530">
        <v>92</v>
      </c>
      <c r="Y1530" t="s">
        <v>157</v>
      </c>
      <c r="Z1530">
        <v>247</v>
      </c>
    </row>
    <row r="1531" spans="1:26" x14ac:dyDescent="0.3">
      <c r="A1531">
        <v>1530</v>
      </c>
      <c r="B1531" t="s">
        <v>10</v>
      </c>
      <c r="C1531" t="s">
        <v>19</v>
      </c>
      <c r="D1531" t="s">
        <v>20</v>
      </c>
      <c r="E1531" t="s">
        <v>6346</v>
      </c>
      <c r="F1531" t="s">
        <v>6392</v>
      </c>
      <c r="G1531" t="s">
        <v>6375</v>
      </c>
      <c r="H1531" t="s">
        <v>6386</v>
      </c>
      <c r="I1531" t="s">
        <v>6396</v>
      </c>
      <c r="J1531" s="6">
        <f>AVERAGE(ai_job_market[[#This Row],[min_salary]],ai_job_market[[#This Row],[max_salary]])</f>
        <v>163283</v>
      </c>
      <c r="K1531" t="s">
        <v>6390</v>
      </c>
      <c r="L1531" t="s">
        <v>14</v>
      </c>
      <c r="M1531" t="s">
        <v>51</v>
      </c>
      <c r="N1531" t="s">
        <v>5921</v>
      </c>
      <c r="O1531" t="s">
        <v>4556</v>
      </c>
      <c r="P1531" s="5">
        <v>125228</v>
      </c>
      <c r="Q1531" s="5">
        <v>201338</v>
      </c>
      <c r="R1531" s="2">
        <v>45386</v>
      </c>
      <c r="S1531" t="s">
        <v>14</v>
      </c>
      <c r="T1531" t="s">
        <v>157</v>
      </c>
      <c r="U1531" t="s">
        <v>6378</v>
      </c>
      <c r="V1531" t="s">
        <v>6389</v>
      </c>
      <c r="W1531" t="s">
        <v>6346</v>
      </c>
      <c r="X1531">
        <v>78</v>
      </c>
      <c r="Y1531" t="s">
        <v>157</v>
      </c>
      <c r="Z1531">
        <v>247</v>
      </c>
    </row>
    <row r="1532" spans="1:26" x14ac:dyDescent="0.3">
      <c r="A1532">
        <v>1531</v>
      </c>
      <c r="B1532" t="s">
        <v>3345</v>
      </c>
      <c r="C1532" t="s">
        <v>40</v>
      </c>
      <c r="D1532" t="s">
        <v>30</v>
      </c>
      <c r="E1532" t="s">
        <v>77</v>
      </c>
      <c r="F1532" t="s">
        <v>6374</v>
      </c>
      <c r="G1532" t="s">
        <v>6386</v>
      </c>
      <c r="J1532">
        <f>AVERAGE(ai_job_market[[#This Row],[min_salary]],ai_job_market[[#This Row],[max_salary]])</f>
        <v>142079</v>
      </c>
      <c r="K1532"/>
      <c r="L1532" t="s">
        <v>14</v>
      </c>
      <c r="M1532" t="s">
        <v>37</v>
      </c>
      <c r="N1532" t="s">
        <v>5922</v>
      </c>
      <c r="O1532" t="s">
        <v>4385</v>
      </c>
      <c r="P1532">
        <v>119543</v>
      </c>
      <c r="Q1532">
        <v>164615</v>
      </c>
      <c r="R1532" s="2">
        <v>45275</v>
      </c>
      <c r="S1532" t="s">
        <v>14</v>
      </c>
      <c r="T1532" t="s">
        <v>52</v>
      </c>
      <c r="U1532" t="s">
        <v>6389</v>
      </c>
      <c r="V1532" t="s">
        <v>6383</v>
      </c>
      <c r="W1532" t="s">
        <v>77</v>
      </c>
      <c r="X1532">
        <v>111</v>
      </c>
      <c r="Y1532" t="s">
        <v>52</v>
      </c>
      <c r="Z1532">
        <v>238</v>
      </c>
    </row>
    <row r="1533" spans="1:26" x14ac:dyDescent="0.3">
      <c r="A1533">
        <v>1532</v>
      </c>
      <c r="B1533" t="s">
        <v>3347</v>
      </c>
      <c r="C1533" t="s">
        <v>45</v>
      </c>
      <c r="D1533" t="s">
        <v>20</v>
      </c>
      <c r="E1533" t="s">
        <v>6352</v>
      </c>
      <c r="F1533" t="s">
        <v>6396</v>
      </c>
      <c r="G1533" t="s">
        <v>6392</v>
      </c>
      <c r="H1533" t="s">
        <v>6375</v>
      </c>
      <c r="J1533" s="6">
        <f>AVERAGE(ai_job_market[[#This Row],[min_salary]],ai_job_market[[#This Row],[max_salary]])</f>
        <v>112513.5</v>
      </c>
      <c r="K1533"/>
      <c r="L1533" t="s">
        <v>22</v>
      </c>
      <c r="M1533" t="s">
        <v>51</v>
      </c>
      <c r="N1533" t="s">
        <v>5923</v>
      </c>
      <c r="O1533" t="s">
        <v>4371</v>
      </c>
      <c r="P1533" s="5">
        <v>69269</v>
      </c>
      <c r="Q1533" s="5">
        <v>155758</v>
      </c>
      <c r="R1533" s="2">
        <v>45795</v>
      </c>
      <c r="S1533" t="s">
        <v>16</v>
      </c>
      <c r="T1533" t="s">
        <v>70</v>
      </c>
      <c r="U1533" t="s">
        <v>6378</v>
      </c>
      <c r="W1533" t="s">
        <v>6352</v>
      </c>
      <c r="X1533">
        <v>97</v>
      </c>
      <c r="Y1533" t="s">
        <v>70</v>
      </c>
      <c r="Z1533">
        <v>268</v>
      </c>
    </row>
    <row r="1534" spans="1:26" x14ac:dyDescent="0.3">
      <c r="A1534">
        <v>1533</v>
      </c>
      <c r="B1534" t="s">
        <v>3349</v>
      </c>
      <c r="C1534" t="s">
        <v>72</v>
      </c>
      <c r="D1534" t="s">
        <v>30</v>
      </c>
      <c r="E1534" t="s">
        <v>128</v>
      </c>
      <c r="F1534" t="s">
        <v>6377</v>
      </c>
      <c r="G1534" t="s">
        <v>6396</v>
      </c>
      <c r="H1534" t="s">
        <v>6392</v>
      </c>
      <c r="J1534">
        <f>AVERAGE(ai_job_market[[#This Row],[min_salary]],ai_job_market[[#This Row],[max_salary]])</f>
        <v>119146</v>
      </c>
      <c r="K1534"/>
      <c r="L1534" t="s">
        <v>27</v>
      </c>
      <c r="M1534" t="s">
        <v>15</v>
      </c>
      <c r="N1534" t="s">
        <v>5924</v>
      </c>
      <c r="O1534" t="s">
        <v>4490</v>
      </c>
      <c r="P1534">
        <v>75472</v>
      </c>
      <c r="Q1534">
        <v>162820</v>
      </c>
      <c r="R1534" s="2">
        <v>45832</v>
      </c>
      <c r="S1534" t="s">
        <v>16</v>
      </c>
      <c r="T1534" t="s">
        <v>77</v>
      </c>
      <c r="U1534" t="s">
        <v>6389</v>
      </c>
      <c r="V1534" t="s">
        <v>6375</v>
      </c>
      <c r="W1534" t="s">
        <v>128</v>
      </c>
      <c r="X1534">
        <v>92</v>
      </c>
      <c r="Y1534" t="s">
        <v>77</v>
      </c>
      <c r="Z1534">
        <v>251</v>
      </c>
    </row>
    <row r="1535" spans="1:26" x14ac:dyDescent="0.3">
      <c r="A1535">
        <v>1534</v>
      </c>
      <c r="B1535" t="s">
        <v>3351</v>
      </c>
      <c r="C1535" t="s">
        <v>72</v>
      </c>
      <c r="D1535" t="s">
        <v>35</v>
      </c>
      <c r="E1535" t="s">
        <v>6346</v>
      </c>
      <c r="F1535" t="s">
        <v>6374</v>
      </c>
      <c r="G1535" t="s">
        <v>6386</v>
      </c>
      <c r="J1535">
        <f>AVERAGE(ai_job_market[[#This Row],[min_salary]],ai_job_market[[#This Row],[max_salary]])</f>
        <v>138109</v>
      </c>
      <c r="K1535"/>
      <c r="L1535" t="s">
        <v>22</v>
      </c>
      <c r="M1535" t="s">
        <v>15</v>
      </c>
      <c r="N1535" t="s">
        <v>5925</v>
      </c>
      <c r="O1535" t="s">
        <v>4395</v>
      </c>
      <c r="P1535">
        <v>120392</v>
      </c>
      <c r="Q1535">
        <v>155826</v>
      </c>
      <c r="R1535" s="2">
        <v>45831</v>
      </c>
      <c r="S1535" t="s">
        <v>69</v>
      </c>
      <c r="T1535" t="s">
        <v>80</v>
      </c>
      <c r="U1535" t="s">
        <v>6375</v>
      </c>
      <c r="W1535" t="s">
        <v>6346</v>
      </c>
      <c r="X1535">
        <v>78</v>
      </c>
      <c r="Y1535" t="s">
        <v>80</v>
      </c>
      <c r="Z1535">
        <v>249</v>
      </c>
    </row>
    <row r="1536" spans="1:26" x14ac:dyDescent="0.3">
      <c r="A1536">
        <v>1535</v>
      </c>
      <c r="B1536" t="s">
        <v>3353</v>
      </c>
      <c r="C1536" t="s">
        <v>19</v>
      </c>
      <c r="D1536" t="s">
        <v>54</v>
      </c>
      <c r="E1536" t="s">
        <v>6356</v>
      </c>
      <c r="F1536" t="s">
        <v>6394</v>
      </c>
      <c r="G1536" t="s">
        <v>6376</v>
      </c>
      <c r="J1536">
        <f>AVERAGE(ai_job_market[[#This Row],[min_salary]],ai_job_market[[#This Row],[max_salary]])</f>
        <v>130442.5</v>
      </c>
      <c r="K1536"/>
      <c r="L1536" t="s">
        <v>27</v>
      </c>
      <c r="M1536" t="s">
        <v>15</v>
      </c>
      <c r="N1536" t="s">
        <v>5009</v>
      </c>
      <c r="O1536" t="s">
        <v>4456</v>
      </c>
      <c r="P1536">
        <v>83724</v>
      </c>
      <c r="Q1536">
        <v>177161</v>
      </c>
      <c r="R1536" s="2">
        <v>45421</v>
      </c>
      <c r="S1536" t="s">
        <v>16</v>
      </c>
      <c r="T1536" t="s">
        <v>70</v>
      </c>
      <c r="W1536" t="s">
        <v>6356</v>
      </c>
      <c r="X1536">
        <v>86</v>
      </c>
      <c r="Y1536" t="s">
        <v>70</v>
      </c>
      <c r="Z1536">
        <v>268</v>
      </c>
    </row>
    <row r="1537" spans="1:26" x14ac:dyDescent="0.3">
      <c r="A1537">
        <v>1536</v>
      </c>
      <c r="B1537" t="s">
        <v>3355</v>
      </c>
      <c r="C1537" t="s">
        <v>34</v>
      </c>
      <c r="D1537" t="s">
        <v>54</v>
      </c>
      <c r="E1537" t="s">
        <v>90</v>
      </c>
      <c r="F1537" t="s">
        <v>6377</v>
      </c>
      <c r="G1537" t="s">
        <v>6397</v>
      </c>
      <c r="H1537" t="s">
        <v>6387</v>
      </c>
      <c r="I1537" t="s">
        <v>6384</v>
      </c>
      <c r="J1537" s="6">
        <f>AVERAGE(ai_job_market[[#This Row],[min_salary]],ai_job_market[[#This Row],[max_salary]])</f>
        <v>69070.5</v>
      </c>
      <c r="K1537"/>
      <c r="L1537" t="s">
        <v>22</v>
      </c>
      <c r="M1537" t="s">
        <v>51</v>
      </c>
      <c r="N1537" t="s">
        <v>5926</v>
      </c>
      <c r="O1537" t="s">
        <v>4815</v>
      </c>
      <c r="P1537" s="5">
        <v>43526</v>
      </c>
      <c r="Q1537" s="5">
        <v>94615</v>
      </c>
      <c r="R1537" s="2">
        <v>45316</v>
      </c>
      <c r="S1537" t="s">
        <v>14</v>
      </c>
      <c r="T1537" t="s">
        <v>90</v>
      </c>
      <c r="W1537" t="s">
        <v>90</v>
      </c>
      <c r="X1537">
        <v>80</v>
      </c>
      <c r="Y1537" t="s">
        <v>90</v>
      </c>
      <c r="Z1537">
        <v>259</v>
      </c>
    </row>
    <row r="1538" spans="1:26" x14ac:dyDescent="0.3">
      <c r="A1538">
        <v>1537</v>
      </c>
      <c r="B1538" t="s">
        <v>3357</v>
      </c>
      <c r="C1538" t="s">
        <v>45</v>
      </c>
      <c r="D1538" t="s">
        <v>20</v>
      </c>
      <c r="E1538" t="s">
        <v>6355</v>
      </c>
      <c r="F1538" t="s">
        <v>6380</v>
      </c>
      <c r="G1538" t="s">
        <v>6379</v>
      </c>
      <c r="H1538" t="s">
        <v>6393</v>
      </c>
      <c r="J1538">
        <f>AVERAGE(ai_job_market[[#This Row],[min_salary]],ai_job_market[[#This Row],[max_salary]])</f>
        <v>81006.5</v>
      </c>
      <c r="K1538"/>
      <c r="L1538" t="s">
        <v>14</v>
      </c>
      <c r="M1538" t="s">
        <v>37</v>
      </c>
      <c r="N1538" t="s">
        <v>5927</v>
      </c>
      <c r="O1538" t="s">
        <v>4927</v>
      </c>
      <c r="P1538">
        <v>69190</v>
      </c>
      <c r="Q1538">
        <v>92823</v>
      </c>
      <c r="R1538" s="2">
        <v>45296</v>
      </c>
      <c r="S1538" t="s">
        <v>16</v>
      </c>
      <c r="T1538" t="s">
        <v>101</v>
      </c>
      <c r="W1538" t="s">
        <v>6355</v>
      </c>
      <c r="X1538">
        <v>90</v>
      </c>
      <c r="Y1538" t="s">
        <v>101</v>
      </c>
      <c r="Z1538">
        <v>255</v>
      </c>
    </row>
    <row r="1539" spans="1:26" x14ac:dyDescent="0.3">
      <c r="A1539">
        <v>1538</v>
      </c>
      <c r="B1539" t="s">
        <v>3359</v>
      </c>
      <c r="C1539" t="s">
        <v>19</v>
      </c>
      <c r="D1539" t="s">
        <v>20</v>
      </c>
      <c r="E1539" t="s">
        <v>6349</v>
      </c>
      <c r="F1539" t="s">
        <v>6382</v>
      </c>
      <c r="G1539" t="s">
        <v>6380</v>
      </c>
      <c r="J1539">
        <f>AVERAGE(ai_job_market[[#This Row],[min_salary]],ai_job_market[[#This Row],[max_salary]])</f>
        <v>163615.5</v>
      </c>
      <c r="K1539"/>
      <c r="L1539" t="s">
        <v>27</v>
      </c>
      <c r="M1539" t="s">
        <v>15</v>
      </c>
      <c r="N1539" t="s">
        <v>5928</v>
      </c>
      <c r="O1539" t="s">
        <v>5030</v>
      </c>
      <c r="P1539">
        <v>142140</v>
      </c>
      <c r="Q1539">
        <v>185091</v>
      </c>
      <c r="R1539" s="2">
        <v>45894</v>
      </c>
      <c r="S1539" t="s">
        <v>14</v>
      </c>
      <c r="T1539" t="s">
        <v>70</v>
      </c>
      <c r="U1539" t="s">
        <v>6375</v>
      </c>
      <c r="V1539" t="s">
        <v>6383</v>
      </c>
      <c r="W1539" t="s">
        <v>6349</v>
      </c>
      <c r="X1539">
        <v>96</v>
      </c>
      <c r="Y1539" t="s">
        <v>70</v>
      </c>
      <c r="Z1539">
        <v>268</v>
      </c>
    </row>
    <row r="1540" spans="1:26" x14ac:dyDescent="0.3">
      <c r="A1540">
        <v>1539</v>
      </c>
      <c r="B1540" t="s">
        <v>2758</v>
      </c>
      <c r="C1540" t="s">
        <v>34</v>
      </c>
      <c r="D1540" t="s">
        <v>35</v>
      </c>
      <c r="E1540" t="s">
        <v>6359</v>
      </c>
      <c r="F1540" t="s">
        <v>6395</v>
      </c>
      <c r="G1540" t="s">
        <v>6393</v>
      </c>
      <c r="H1540" t="s">
        <v>6380</v>
      </c>
      <c r="I1540" t="s">
        <v>6382</v>
      </c>
      <c r="J1540">
        <f>AVERAGE(ai_job_market[[#This Row],[min_salary]],ai_job_market[[#This Row],[max_salary]])</f>
        <v>157670.5</v>
      </c>
      <c r="K1540"/>
      <c r="L1540" t="s">
        <v>22</v>
      </c>
      <c r="M1540" t="s">
        <v>51</v>
      </c>
      <c r="N1540" t="s">
        <v>5929</v>
      </c>
      <c r="O1540" t="s">
        <v>4346</v>
      </c>
      <c r="P1540">
        <v>137496</v>
      </c>
      <c r="Q1540">
        <v>177845</v>
      </c>
      <c r="R1540" s="2">
        <v>45259</v>
      </c>
      <c r="S1540" t="s">
        <v>16</v>
      </c>
      <c r="T1540" t="s">
        <v>80</v>
      </c>
      <c r="U1540" t="s">
        <v>6388</v>
      </c>
      <c r="V1540" t="s">
        <v>6376</v>
      </c>
      <c r="W1540" t="s">
        <v>6359</v>
      </c>
      <c r="X1540">
        <v>104</v>
      </c>
      <c r="Y1540" t="s">
        <v>80</v>
      </c>
      <c r="Z1540">
        <v>249</v>
      </c>
    </row>
    <row r="1541" spans="1:26" x14ac:dyDescent="0.3">
      <c r="A1541">
        <v>1540</v>
      </c>
      <c r="B1541" t="s">
        <v>3362</v>
      </c>
      <c r="C1541" t="s">
        <v>45</v>
      </c>
      <c r="D1541" t="s">
        <v>35</v>
      </c>
      <c r="E1541" t="s">
        <v>6352</v>
      </c>
      <c r="F1541" t="s">
        <v>6389</v>
      </c>
      <c r="G1541" t="s">
        <v>6393</v>
      </c>
      <c r="H1541" t="s">
        <v>6392</v>
      </c>
      <c r="J1541" s="6">
        <f>AVERAGE(ai_job_market[[#This Row],[min_salary]],ai_job_market[[#This Row],[max_salary]])</f>
        <v>115116.5</v>
      </c>
      <c r="K1541"/>
      <c r="L1541" t="s">
        <v>14</v>
      </c>
      <c r="M1541" t="s">
        <v>37</v>
      </c>
      <c r="N1541" t="s">
        <v>5930</v>
      </c>
      <c r="O1541" t="s">
        <v>4442</v>
      </c>
      <c r="P1541" s="5">
        <v>102029</v>
      </c>
      <c r="Q1541" s="5">
        <v>128204</v>
      </c>
      <c r="R1541" s="2">
        <v>45370</v>
      </c>
      <c r="S1541" t="s">
        <v>14</v>
      </c>
      <c r="T1541" t="s">
        <v>52</v>
      </c>
      <c r="W1541" t="s">
        <v>6352</v>
      </c>
      <c r="X1541">
        <v>97</v>
      </c>
      <c r="Y1541" t="s">
        <v>52</v>
      </c>
      <c r="Z1541">
        <v>238</v>
      </c>
    </row>
    <row r="1542" spans="1:26" x14ac:dyDescent="0.3">
      <c r="A1542">
        <v>1541</v>
      </c>
      <c r="B1542" t="s">
        <v>3364</v>
      </c>
      <c r="C1542" t="s">
        <v>45</v>
      </c>
      <c r="D1542" t="s">
        <v>20</v>
      </c>
      <c r="E1542" t="s">
        <v>6344</v>
      </c>
      <c r="F1542" t="s">
        <v>6387</v>
      </c>
      <c r="G1542" t="s">
        <v>6382</v>
      </c>
      <c r="J1542" s="6">
        <f>AVERAGE(ai_job_market[[#This Row],[min_salary]],ai_job_market[[#This Row],[max_salary]])</f>
        <v>172321</v>
      </c>
      <c r="K1542"/>
      <c r="L1542" t="s">
        <v>27</v>
      </c>
      <c r="M1542" t="s">
        <v>51</v>
      </c>
      <c r="N1542" t="s">
        <v>5931</v>
      </c>
      <c r="O1542" t="s">
        <v>4399</v>
      </c>
      <c r="P1542" s="5">
        <v>124300</v>
      </c>
      <c r="Q1542" s="5">
        <v>220342</v>
      </c>
      <c r="R1542" s="2">
        <v>45216</v>
      </c>
      <c r="S1542" t="s">
        <v>14</v>
      </c>
      <c r="T1542" t="s">
        <v>90</v>
      </c>
      <c r="U1542" t="s">
        <v>6383</v>
      </c>
      <c r="W1542" t="s">
        <v>6344</v>
      </c>
      <c r="X1542">
        <v>104</v>
      </c>
      <c r="Y1542" t="s">
        <v>90</v>
      </c>
      <c r="Z1542">
        <v>259</v>
      </c>
    </row>
    <row r="1543" spans="1:26" x14ac:dyDescent="0.3">
      <c r="A1543">
        <v>1542</v>
      </c>
      <c r="B1543" t="s">
        <v>3366</v>
      </c>
      <c r="C1543" t="s">
        <v>72</v>
      </c>
      <c r="D1543" t="s">
        <v>35</v>
      </c>
      <c r="E1543" t="s">
        <v>80</v>
      </c>
      <c r="F1543" t="s">
        <v>6391</v>
      </c>
      <c r="G1543" t="s">
        <v>6385</v>
      </c>
      <c r="H1543" t="s">
        <v>6376</v>
      </c>
      <c r="I1543" t="s">
        <v>6397</v>
      </c>
      <c r="J1543">
        <f>AVERAGE(ai_job_market[[#This Row],[min_salary]],ai_job_market[[#This Row],[max_salary]])</f>
        <v>180953</v>
      </c>
      <c r="K1543" t="s">
        <v>6392</v>
      </c>
      <c r="L1543" t="s">
        <v>27</v>
      </c>
      <c r="M1543" t="s">
        <v>15</v>
      </c>
      <c r="N1543" t="s">
        <v>5932</v>
      </c>
      <c r="O1543" t="s">
        <v>4666</v>
      </c>
      <c r="P1543">
        <v>149747</v>
      </c>
      <c r="Q1543">
        <v>212159</v>
      </c>
      <c r="R1543" s="2">
        <v>45571</v>
      </c>
      <c r="S1543" t="s">
        <v>69</v>
      </c>
      <c r="T1543" t="s">
        <v>101</v>
      </c>
      <c r="U1543" t="s">
        <v>6378</v>
      </c>
      <c r="V1543" t="s">
        <v>6388</v>
      </c>
      <c r="W1543" t="s">
        <v>80</v>
      </c>
      <c r="X1543">
        <v>95</v>
      </c>
      <c r="Y1543" t="s">
        <v>101</v>
      </c>
      <c r="Z1543">
        <v>255</v>
      </c>
    </row>
    <row r="1544" spans="1:26" x14ac:dyDescent="0.3">
      <c r="A1544">
        <v>1543</v>
      </c>
      <c r="B1544" t="s">
        <v>3369</v>
      </c>
      <c r="C1544" t="s">
        <v>40</v>
      </c>
      <c r="D1544" t="s">
        <v>35</v>
      </c>
      <c r="E1544" t="s">
        <v>6357</v>
      </c>
      <c r="F1544" t="s">
        <v>6389</v>
      </c>
      <c r="G1544" t="s">
        <v>6379</v>
      </c>
      <c r="J1544">
        <f>AVERAGE(ai_job_market[[#This Row],[min_salary]],ai_job_market[[#This Row],[max_salary]])</f>
        <v>85879.5</v>
      </c>
      <c r="K1544"/>
      <c r="L1544" t="s">
        <v>22</v>
      </c>
      <c r="M1544" t="s">
        <v>42</v>
      </c>
      <c r="N1544" t="s">
        <v>5933</v>
      </c>
      <c r="O1544" t="s">
        <v>4599</v>
      </c>
      <c r="P1544">
        <v>58550</v>
      </c>
      <c r="Q1544">
        <v>113209</v>
      </c>
      <c r="R1544" s="2">
        <v>45663</v>
      </c>
      <c r="S1544" t="s">
        <v>16</v>
      </c>
      <c r="T1544" t="s">
        <v>77</v>
      </c>
      <c r="U1544" t="s">
        <v>6376</v>
      </c>
      <c r="W1544" t="s">
        <v>6357</v>
      </c>
      <c r="X1544">
        <v>88</v>
      </c>
      <c r="Y1544" t="s">
        <v>77</v>
      </c>
      <c r="Z1544">
        <v>251</v>
      </c>
    </row>
    <row r="1545" spans="1:26" x14ac:dyDescent="0.3">
      <c r="A1545">
        <v>1544</v>
      </c>
      <c r="B1545" t="s">
        <v>3371</v>
      </c>
      <c r="C1545" t="s">
        <v>11</v>
      </c>
      <c r="D1545" t="s">
        <v>54</v>
      </c>
      <c r="E1545" t="s">
        <v>6349</v>
      </c>
      <c r="F1545" t="s">
        <v>6389</v>
      </c>
      <c r="G1545" t="s">
        <v>6393</v>
      </c>
      <c r="H1545" t="s">
        <v>6378</v>
      </c>
      <c r="I1545" t="s">
        <v>6391</v>
      </c>
      <c r="J1545">
        <f>AVERAGE(ai_job_market[[#This Row],[min_salary]],ai_job_market[[#This Row],[max_salary]])</f>
        <v>171281</v>
      </c>
      <c r="K1545"/>
      <c r="L1545" t="s">
        <v>14</v>
      </c>
      <c r="M1545" t="s">
        <v>37</v>
      </c>
      <c r="N1545" t="s">
        <v>5934</v>
      </c>
      <c r="O1545" t="s">
        <v>4582</v>
      </c>
      <c r="P1545">
        <v>136005</v>
      </c>
      <c r="Q1545">
        <v>206557</v>
      </c>
      <c r="R1545" s="2">
        <v>45673</v>
      </c>
      <c r="S1545" t="s">
        <v>16</v>
      </c>
      <c r="T1545" t="s">
        <v>157</v>
      </c>
      <c r="W1545" t="s">
        <v>6349</v>
      </c>
      <c r="X1545">
        <v>96</v>
      </c>
      <c r="Y1545" t="s">
        <v>157</v>
      </c>
      <c r="Z1545">
        <v>247</v>
      </c>
    </row>
    <row r="1546" spans="1:26" x14ac:dyDescent="0.3">
      <c r="A1546">
        <v>1545</v>
      </c>
      <c r="B1546" t="s">
        <v>3373</v>
      </c>
      <c r="C1546" t="s">
        <v>45</v>
      </c>
      <c r="D1546" t="s">
        <v>12</v>
      </c>
      <c r="E1546" t="s">
        <v>6345</v>
      </c>
      <c r="F1546" t="s">
        <v>6391</v>
      </c>
      <c r="G1546" t="s">
        <v>6393</v>
      </c>
      <c r="H1546" t="s">
        <v>6378</v>
      </c>
      <c r="J1546">
        <f>AVERAGE(ai_job_market[[#This Row],[min_salary]],ai_job_market[[#This Row],[max_salary]])</f>
        <v>187139.5</v>
      </c>
      <c r="K1546"/>
      <c r="L1546" t="s">
        <v>27</v>
      </c>
      <c r="M1546" t="s">
        <v>37</v>
      </c>
      <c r="N1546" t="s">
        <v>5935</v>
      </c>
      <c r="O1546" t="s">
        <v>4463</v>
      </c>
      <c r="P1546">
        <v>149181</v>
      </c>
      <c r="Q1546">
        <v>225098</v>
      </c>
      <c r="R1546" s="2">
        <v>45485</v>
      </c>
      <c r="S1546" t="s">
        <v>69</v>
      </c>
      <c r="T1546" t="s">
        <v>80</v>
      </c>
      <c r="W1546" t="s">
        <v>6345</v>
      </c>
      <c r="X1546">
        <v>101</v>
      </c>
      <c r="Y1546" t="s">
        <v>80</v>
      </c>
      <c r="Z1546">
        <v>249</v>
      </c>
    </row>
    <row r="1547" spans="1:26" x14ac:dyDescent="0.3">
      <c r="A1547">
        <v>1546</v>
      </c>
      <c r="B1547" t="s">
        <v>3375</v>
      </c>
      <c r="C1547" t="s">
        <v>11</v>
      </c>
      <c r="D1547" t="s">
        <v>25</v>
      </c>
      <c r="E1547" t="s">
        <v>6352</v>
      </c>
      <c r="F1547" t="s">
        <v>6390</v>
      </c>
      <c r="G1547" t="s">
        <v>6378</v>
      </c>
      <c r="J1547">
        <f>AVERAGE(ai_job_market[[#This Row],[min_salary]],ai_job_market[[#This Row],[max_salary]])</f>
        <v>158002</v>
      </c>
      <c r="K1547"/>
      <c r="L1547" t="s">
        <v>27</v>
      </c>
      <c r="M1547" t="s">
        <v>42</v>
      </c>
      <c r="N1547" t="s">
        <v>5936</v>
      </c>
      <c r="O1547" t="s">
        <v>4446</v>
      </c>
      <c r="P1547">
        <v>133857</v>
      </c>
      <c r="Q1547">
        <v>182147</v>
      </c>
      <c r="R1547" s="2">
        <v>45832</v>
      </c>
      <c r="S1547" t="s">
        <v>16</v>
      </c>
      <c r="T1547" t="s">
        <v>70</v>
      </c>
      <c r="W1547" t="s">
        <v>6352</v>
      </c>
      <c r="X1547">
        <v>97</v>
      </c>
      <c r="Y1547" t="s">
        <v>70</v>
      </c>
      <c r="Z1547">
        <v>268</v>
      </c>
    </row>
    <row r="1548" spans="1:26" x14ac:dyDescent="0.3">
      <c r="A1548">
        <v>1547</v>
      </c>
      <c r="B1548" t="s">
        <v>3377</v>
      </c>
      <c r="C1548" t="s">
        <v>49</v>
      </c>
      <c r="D1548" t="s">
        <v>135</v>
      </c>
      <c r="E1548" t="s">
        <v>6358</v>
      </c>
      <c r="F1548" t="s">
        <v>6390</v>
      </c>
      <c r="G1548" t="s">
        <v>6382</v>
      </c>
      <c r="H1548" t="s">
        <v>6396</v>
      </c>
      <c r="I1548" t="s">
        <v>6394</v>
      </c>
      <c r="J1548">
        <f>AVERAGE(ai_job_market[[#This Row],[min_salary]],ai_job_market[[#This Row],[max_salary]])</f>
        <v>145712</v>
      </c>
      <c r="K1548" t="s">
        <v>6375</v>
      </c>
      <c r="L1548" t="s">
        <v>22</v>
      </c>
      <c r="M1548" t="s">
        <v>37</v>
      </c>
      <c r="N1548" t="s">
        <v>5937</v>
      </c>
      <c r="O1548" t="s">
        <v>4810</v>
      </c>
      <c r="P1548">
        <v>117573</v>
      </c>
      <c r="Q1548">
        <v>173851</v>
      </c>
      <c r="R1548" s="2">
        <v>45436</v>
      </c>
      <c r="S1548" t="s">
        <v>16</v>
      </c>
      <c r="T1548" t="s">
        <v>80</v>
      </c>
      <c r="U1548" t="s">
        <v>6376</v>
      </c>
      <c r="W1548" t="s">
        <v>6358</v>
      </c>
      <c r="X1548">
        <v>96</v>
      </c>
      <c r="Y1548" t="s">
        <v>80</v>
      </c>
      <c r="Z1548">
        <v>249</v>
      </c>
    </row>
    <row r="1549" spans="1:26" x14ac:dyDescent="0.3">
      <c r="A1549">
        <v>1548</v>
      </c>
      <c r="B1549" t="s">
        <v>3379</v>
      </c>
      <c r="C1549" t="s">
        <v>11</v>
      </c>
      <c r="D1549" t="s">
        <v>135</v>
      </c>
      <c r="E1549" t="s">
        <v>6344</v>
      </c>
      <c r="F1549" t="s">
        <v>6393</v>
      </c>
      <c r="G1549" t="s">
        <v>6390</v>
      </c>
      <c r="H1549" t="s">
        <v>6391</v>
      </c>
      <c r="J1549" s="6">
        <f>AVERAGE(ai_job_market[[#This Row],[min_salary]],ai_job_market[[#This Row],[max_salary]])</f>
        <v>107741</v>
      </c>
      <c r="K1549"/>
      <c r="L1549" t="s">
        <v>22</v>
      </c>
      <c r="M1549" t="s">
        <v>51</v>
      </c>
      <c r="N1549" t="s">
        <v>5938</v>
      </c>
      <c r="O1549" t="s">
        <v>4365</v>
      </c>
      <c r="P1549" s="5">
        <v>85363</v>
      </c>
      <c r="Q1549" s="5">
        <v>130119</v>
      </c>
      <c r="R1549" s="2">
        <v>45849</v>
      </c>
      <c r="S1549" t="s">
        <v>69</v>
      </c>
      <c r="T1549" t="s">
        <v>52</v>
      </c>
      <c r="U1549" t="s">
        <v>6384</v>
      </c>
      <c r="W1549" t="s">
        <v>6344</v>
      </c>
      <c r="X1549">
        <v>104</v>
      </c>
      <c r="Y1549" t="s">
        <v>52</v>
      </c>
      <c r="Z1549">
        <v>238</v>
      </c>
    </row>
    <row r="1550" spans="1:26" x14ac:dyDescent="0.3">
      <c r="A1550">
        <v>1549</v>
      </c>
      <c r="B1550" t="s">
        <v>3381</v>
      </c>
      <c r="C1550" t="s">
        <v>40</v>
      </c>
      <c r="D1550" t="s">
        <v>25</v>
      </c>
      <c r="E1550" t="s">
        <v>101</v>
      </c>
      <c r="F1550" t="s">
        <v>6382</v>
      </c>
      <c r="G1550" t="s">
        <v>6397</v>
      </c>
      <c r="H1550" t="s">
        <v>6390</v>
      </c>
      <c r="J1550">
        <f>AVERAGE(ai_job_market[[#This Row],[min_salary]],ai_job_market[[#This Row],[max_salary]])</f>
        <v>70174.5</v>
      </c>
      <c r="K1550"/>
      <c r="L1550" t="s">
        <v>14</v>
      </c>
      <c r="M1550" t="s">
        <v>42</v>
      </c>
      <c r="N1550" t="s">
        <v>5939</v>
      </c>
      <c r="O1550" t="s">
        <v>4454</v>
      </c>
      <c r="P1550">
        <v>56646</v>
      </c>
      <c r="Q1550">
        <v>83703</v>
      </c>
      <c r="R1550" s="2">
        <v>45725</v>
      </c>
      <c r="S1550" t="s">
        <v>69</v>
      </c>
      <c r="T1550" t="s">
        <v>101</v>
      </c>
      <c r="U1550" t="s">
        <v>6383</v>
      </c>
      <c r="W1550" t="s">
        <v>101</v>
      </c>
      <c r="X1550">
        <v>76</v>
      </c>
      <c r="Y1550" t="s">
        <v>101</v>
      </c>
      <c r="Z1550">
        <v>255</v>
      </c>
    </row>
    <row r="1551" spans="1:26" x14ac:dyDescent="0.3">
      <c r="A1551">
        <v>1550</v>
      </c>
      <c r="B1551" t="s">
        <v>3383</v>
      </c>
      <c r="C1551" t="s">
        <v>49</v>
      </c>
      <c r="D1551" t="s">
        <v>20</v>
      </c>
      <c r="E1551" t="s">
        <v>6356</v>
      </c>
      <c r="F1551" t="s">
        <v>6377</v>
      </c>
      <c r="G1551" t="s">
        <v>6378</v>
      </c>
      <c r="H1551" t="s">
        <v>6374</v>
      </c>
      <c r="J1551">
        <f>AVERAGE(ai_job_market[[#This Row],[min_salary]],ai_job_market[[#This Row],[max_salary]])</f>
        <v>119038.5</v>
      </c>
      <c r="K1551"/>
      <c r="L1551" t="s">
        <v>14</v>
      </c>
      <c r="M1551" t="s">
        <v>15</v>
      </c>
      <c r="N1551" t="s">
        <v>5940</v>
      </c>
      <c r="O1551" t="s">
        <v>4536</v>
      </c>
      <c r="P1551">
        <v>102732</v>
      </c>
      <c r="Q1551">
        <v>135345</v>
      </c>
      <c r="R1551" s="2">
        <v>45215</v>
      </c>
      <c r="S1551" t="s">
        <v>14</v>
      </c>
      <c r="T1551" t="s">
        <v>101</v>
      </c>
      <c r="U1551" t="s">
        <v>6383</v>
      </c>
      <c r="V1551" t="s">
        <v>6375</v>
      </c>
      <c r="W1551" t="s">
        <v>6356</v>
      </c>
      <c r="X1551">
        <v>86</v>
      </c>
      <c r="Y1551" t="s">
        <v>101</v>
      </c>
      <c r="Z1551">
        <v>255</v>
      </c>
    </row>
    <row r="1552" spans="1:26" x14ac:dyDescent="0.3">
      <c r="A1552">
        <v>1551</v>
      </c>
      <c r="B1552" t="s">
        <v>3385</v>
      </c>
      <c r="C1552" t="s">
        <v>34</v>
      </c>
      <c r="D1552" t="s">
        <v>135</v>
      </c>
      <c r="E1552" t="s">
        <v>6351</v>
      </c>
      <c r="F1552" t="s">
        <v>6375</v>
      </c>
      <c r="G1552" t="s">
        <v>6395</v>
      </c>
      <c r="H1552" t="s">
        <v>6382</v>
      </c>
      <c r="I1552" t="s">
        <v>6392</v>
      </c>
      <c r="J1552">
        <f>AVERAGE(ai_job_market[[#This Row],[min_salary]],ai_job_market[[#This Row],[max_salary]])</f>
        <v>75478.5</v>
      </c>
      <c r="K1552"/>
      <c r="L1552" t="s">
        <v>22</v>
      </c>
      <c r="M1552" t="s">
        <v>42</v>
      </c>
      <c r="N1552" t="s">
        <v>5941</v>
      </c>
      <c r="O1552" t="s">
        <v>4601</v>
      </c>
      <c r="P1552">
        <v>45791</v>
      </c>
      <c r="Q1552">
        <v>105166</v>
      </c>
      <c r="R1552" s="2">
        <v>45558</v>
      </c>
      <c r="S1552" t="s">
        <v>16</v>
      </c>
      <c r="T1552" t="s">
        <v>90</v>
      </c>
      <c r="U1552" t="s">
        <v>6379</v>
      </c>
      <c r="W1552" t="s">
        <v>6351</v>
      </c>
      <c r="X1552">
        <v>89</v>
      </c>
      <c r="Y1552" t="s">
        <v>90</v>
      </c>
      <c r="Z1552">
        <v>259</v>
      </c>
    </row>
    <row r="1553" spans="1:26" x14ac:dyDescent="0.3">
      <c r="A1553">
        <v>1552</v>
      </c>
      <c r="B1553" t="s">
        <v>3387</v>
      </c>
      <c r="C1553" t="s">
        <v>34</v>
      </c>
      <c r="D1553" t="s">
        <v>30</v>
      </c>
      <c r="E1553" t="s">
        <v>6354</v>
      </c>
      <c r="F1553" t="s">
        <v>6394</v>
      </c>
      <c r="G1553" t="s">
        <v>6384</v>
      </c>
      <c r="H1553" t="s">
        <v>6390</v>
      </c>
      <c r="J1553">
        <f>AVERAGE(ai_job_market[[#This Row],[min_salary]],ai_job_market[[#This Row],[max_salary]])</f>
        <v>73465.5</v>
      </c>
      <c r="K1553"/>
      <c r="L1553" t="s">
        <v>22</v>
      </c>
      <c r="M1553" t="s">
        <v>15</v>
      </c>
      <c r="N1553" t="s">
        <v>5942</v>
      </c>
      <c r="O1553" t="s">
        <v>4312</v>
      </c>
      <c r="P1553">
        <v>59099</v>
      </c>
      <c r="Q1553">
        <v>87832</v>
      </c>
      <c r="R1553" s="2">
        <v>45755</v>
      </c>
      <c r="S1553" t="s">
        <v>14</v>
      </c>
      <c r="T1553" t="s">
        <v>157</v>
      </c>
      <c r="U1553" t="s">
        <v>6389</v>
      </c>
      <c r="W1553" t="s">
        <v>6354</v>
      </c>
      <c r="X1553">
        <v>75</v>
      </c>
      <c r="Y1553" t="s">
        <v>157</v>
      </c>
      <c r="Z1553">
        <v>247</v>
      </c>
    </row>
    <row r="1554" spans="1:26" x14ac:dyDescent="0.3">
      <c r="A1554">
        <v>1553</v>
      </c>
      <c r="B1554" t="s">
        <v>3389</v>
      </c>
      <c r="C1554" t="s">
        <v>34</v>
      </c>
      <c r="D1554" t="s">
        <v>25</v>
      </c>
      <c r="E1554" t="s">
        <v>6347</v>
      </c>
      <c r="F1554" t="s">
        <v>6387</v>
      </c>
      <c r="G1554" t="s">
        <v>6384</v>
      </c>
      <c r="H1554" t="s">
        <v>6386</v>
      </c>
      <c r="I1554" t="s">
        <v>6393</v>
      </c>
      <c r="J1554">
        <f>AVERAGE(ai_job_market[[#This Row],[min_salary]],ai_job_market[[#This Row],[max_salary]])</f>
        <v>58912</v>
      </c>
      <c r="K1554" t="s">
        <v>6377</v>
      </c>
      <c r="L1554" t="s">
        <v>27</v>
      </c>
      <c r="M1554" t="s">
        <v>37</v>
      </c>
      <c r="N1554" t="s">
        <v>5943</v>
      </c>
      <c r="O1554" t="s">
        <v>4637</v>
      </c>
      <c r="P1554">
        <v>47248</v>
      </c>
      <c r="Q1554">
        <v>70576</v>
      </c>
      <c r="R1554" s="2">
        <v>45192</v>
      </c>
      <c r="S1554" t="s">
        <v>14</v>
      </c>
      <c r="T1554" t="s">
        <v>52</v>
      </c>
      <c r="U1554" t="s">
        <v>6383</v>
      </c>
      <c r="V1554" t="s">
        <v>6389</v>
      </c>
      <c r="W1554" t="s">
        <v>6347</v>
      </c>
      <c r="X1554">
        <v>94</v>
      </c>
      <c r="Y1554" t="s">
        <v>52</v>
      </c>
      <c r="Z1554">
        <v>238</v>
      </c>
    </row>
    <row r="1555" spans="1:26" x14ac:dyDescent="0.3">
      <c r="A1555">
        <v>1554</v>
      </c>
      <c r="B1555" t="s">
        <v>3392</v>
      </c>
      <c r="C1555" t="s">
        <v>34</v>
      </c>
      <c r="D1555" t="s">
        <v>20</v>
      </c>
      <c r="E1555" t="s">
        <v>6344</v>
      </c>
      <c r="F1555" t="s">
        <v>6384</v>
      </c>
      <c r="G1555" t="s">
        <v>6374</v>
      </c>
      <c r="H1555" t="s">
        <v>6390</v>
      </c>
      <c r="J1555" s="6">
        <f>AVERAGE(ai_job_market[[#This Row],[min_salary]],ai_job_market[[#This Row],[max_salary]])</f>
        <v>112341.5</v>
      </c>
      <c r="K1555"/>
      <c r="L1555" t="s">
        <v>27</v>
      </c>
      <c r="M1555" t="s">
        <v>15</v>
      </c>
      <c r="N1555" t="s">
        <v>5944</v>
      </c>
      <c r="O1555" t="s">
        <v>4619</v>
      </c>
      <c r="P1555" s="5">
        <v>66493</v>
      </c>
      <c r="Q1555" s="5">
        <v>158190</v>
      </c>
      <c r="R1555" s="2">
        <v>45592</v>
      </c>
      <c r="S1555" t="s">
        <v>69</v>
      </c>
      <c r="T1555" t="s">
        <v>52</v>
      </c>
      <c r="U1555" t="s">
        <v>6384</v>
      </c>
      <c r="V1555" t="s">
        <v>6375</v>
      </c>
      <c r="W1555" t="s">
        <v>6344</v>
      </c>
      <c r="X1555">
        <v>104</v>
      </c>
      <c r="Y1555" t="s">
        <v>52</v>
      </c>
      <c r="Z1555">
        <v>238</v>
      </c>
    </row>
    <row r="1556" spans="1:26" x14ac:dyDescent="0.3">
      <c r="A1556">
        <v>1555</v>
      </c>
      <c r="B1556" t="s">
        <v>3395</v>
      </c>
      <c r="C1556" t="s">
        <v>72</v>
      </c>
      <c r="D1556" t="s">
        <v>12</v>
      </c>
      <c r="E1556" t="s">
        <v>70</v>
      </c>
      <c r="F1556" t="s">
        <v>6390</v>
      </c>
      <c r="G1556" t="s">
        <v>6381</v>
      </c>
      <c r="H1556" t="s">
        <v>6394</v>
      </c>
      <c r="I1556" t="s">
        <v>6384</v>
      </c>
      <c r="J1556">
        <f>AVERAGE(ai_job_market[[#This Row],[min_salary]],ai_job_market[[#This Row],[max_salary]])</f>
        <v>163200.5</v>
      </c>
      <c r="K1556" t="s">
        <v>6376</v>
      </c>
      <c r="L1556" t="s">
        <v>27</v>
      </c>
      <c r="M1556" t="s">
        <v>51</v>
      </c>
      <c r="N1556" t="s">
        <v>5945</v>
      </c>
      <c r="O1556" t="s">
        <v>4646</v>
      </c>
      <c r="P1556">
        <v>114601</v>
      </c>
      <c r="Q1556">
        <v>211800</v>
      </c>
      <c r="R1556" s="2">
        <v>45696</v>
      </c>
      <c r="S1556" t="s">
        <v>16</v>
      </c>
      <c r="T1556" t="s">
        <v>90</v>
      </c>
      <c r="U1556" t="s">
        <v>6378</v>
      </c>
      <c r="W1556" t="s">
        <v>70</v>
      </c>
      <c r="X1556">
        <v>100</v>
      </c>
      <c r="Y1556" t="s">
        <v>90</v>
      </c>
      <c r="Z1556">
        <v>259</v>
      </c>
    </row>
    <row r="1557" spans="1:26" x14ac:dyDescent="0.3">
      <c r="A1557">
        <v>1556</v>
      </c>
      <c r="B1557" t="s">
        <v>3397</v>
      </c>
      <c r="C1557" t="s">
        <v>49</v>
      </c>
      <c r="D1557" t="s">
        <v>35</v>
      </c>
      <c r="E1557" t="s">
        <v>6353</v>
      </c>
      <c r="F1557" t="s">
        <v>6378</v>
      </c>
      <c r="G1557" t="s">
        <v>6394</v>
      </c>
      <c r="H1557" t="s">
        <v>6375</v>
      </c>
      <c r="I1557" t="s">
        <v>6396</v>
      </c>
      <c r="J1557">
        <f>AVERAGE(ai_job_market[[#This Row],[min_salary]],ai_job_market[[#This Row],[max_salary]])</f>
        <v>144477.5</v>
      </c>
      <c r="K1557"/>
      <c r="L1557" t="s">
        <v>27</v>
      </c>
      <c r="M1557" t="s">
        <v>15</v>
      </c>
      <c r="N1557" t="s">
        <v>5946</v>
      </c>
      <c r="O1557" t="s">
        <v>4456</v>
      </c>
      <c r="P1557">
        <v>117083</v>
      </c>
      <c r="Q1557">
        <v>171872</v>
      </c>
      <c r="R1557" s="2">
        <v>45642</v>
      </c>
      <c r="S1557" t="s">
        <v>14</v>
      </c>
      <c r="T1557" t="s">
        <v>157</v>
      </c>
      <c r="W1557" t="s">
        <v>6353</v>
      </c>
      <c r="X1557">
        <v>86</v>
      </c>
      <c r="Y1557" t="s">
        <v>157</v>
      </c>
      <c r="Z1557">
        <v>247</v>
      </c>
    </row>
    <row r="1558" spans="1:26" x14ac:dyDescent="0.3">
      <c r="A1558">
        <v>1557</v>
      </c>
      <c r="B1558" t="s">
        <v>3399</v>
      </c>
      <c r="C1558" t="s">
        <v>34</v>
      </c>
      <c r="D1558" t="s">
        <v>54</v>
      </c>
      <c r="E1558" t="s">
        <v>77</v>
      </c>
      <c r="F1558" t="s">
        <v>6391</v>
      </c>
      <c r="G1558" t="s">
        <v>6382</v>
      </c>
      <c r="H1558" t="s">
        <v>6390</v>
      </c>
      <c r="J1558" s="6">
        <f>AVERAGE(ai_job_market[[#This Row],[min_salary]],ai_job_market[[#This Row],[max_salary]])</f>
        <v>128134.5</v>
      </c>
      <c r="K1558"/>
      <c r="L1558" t="s">
        <v>27</v>
      </c>
      <c r="M1558" t="s">
        <v>15</v>
      </c>
      <c r="N1558" t="s">
        <v>5947</v>
      </c>
      <c r="O1558" t="s">
        <v>4331</v>
      </c>
      <c r="P1558" s="5">
        <v>109164</v>
      </c>
      <c r="Q1558" s="5">
        <v>147105</v>
      </c>
      <c r="R1558" s="2">
        <v>45310</v>
      </c>
      <c r="S1558" t="s">
        <v>16</v>
      </c>
      <c r="T1558" t="s">
        <v>101</v>
      </c>
      <c r="U1558" t="s">
        <v>6384</v>
      </c>
      <c r="W1558" t="s">
        <v>77</v>
      </c>
      <c r="X1558">
        <v>111</v>
      </c>
      <c r="Y1558" t="s">
        <v>101</v>
      </c>
      <c r="Z1558">
        <v>255</v>
      </c>
    </row>
    <row r="1559" spans="1:26" x14ac:dyDescent="0.3">
      <c r="A1559">
        <v>1558</v>
      </c>
      <c r="B1559" t="s">
        <v>2546</v>
      </c>
      <c r="C1559" t="s">
        <v>49</v>
      </c>
      <c r="D1559" t="s">
        <v>54</v>
      </c>
      <c r="E1559" t="s">
        <v>6352</v>
      </c>
      <c r="F1559" t="s">
        <v>6391</v>
      </c>
      <c r="G1559" t="s">
        <v>6385</v>
      </c>
      <c r="H1559" t="s">
        <v>6394</v>
      </c>
      <c r="J1559">
        <f>AVERAGE(ai_job_market[[#This Row],[min_salary]],ai_job_market[[#This Row],[max_salary]])</f>
        <v>186495</v>
      </c>
      <c r="K1559"/>
      <c r="L1559" t="s">
        <v>22</v>
      </c>
      <c r="M1559" t="s">
        <v>51</v>
      </c>
      <c r="N1559" t="s">
        <v>5948</v>
      </c>
      <c r="O1559" t="s">
        <v>4480</v>
      </c>
      <c r="P1559">
        <v>140820</v>
      </c>
      <c r="Q1559">
        <v>232170</v>
      </c>
      <c r="R1559" s="2">
        <v>45919</v>
      </c>
      <c r="S1559" t="s">
        <v>69</v>
      </c>
      <c r="T1559" t="s">
        <v>101</v>
      </c>
      <c r="U1559" t="s">
        <v>6388</v>
      </c>
      <c r="V1559" t="s">
        <v>6379</v>
      </c>
      <c r="W1559" t="s">
        <v>6352</v>
      </c>
      <c r="X1559">
        <v>97</v>
      </c>
      <c r="Y1559" t="s">
        <v>101</v>
      </c>
      <c r="Z1559">
        <v>255</v>
      </c>
    </row>
    <row r="1560" spans="1:26" x14ac:dyDescent="0.3">
      <c r="A1560">
        <v>1559</v>
      </c>
      <c r="B1560" t="s">
        <v>3402</v>
      </c>
      <c r="C1560" t="s">
        <v>19</v>
      </c>
      <c r="D1560" t="s">
        <v>30</v>
      </c>
      <c r="E1560" t="s">
        <v>6346</v>
      </c>
      <c r="F1560" t="s">
        <v>6387</v>
      </c>
      <c r="G1560" t="s">
        <v>6392</v>
      </c>
      <c r="H1560" t="s">
        <v>6391</v>
      </c>
      <c r="I1560" t="s">
        <v>6382</v>
      </c>
      <c r="J1560">
        <f>AVERAGE(ai_job_market[[#This Row],[min_salary]],ai_job_market[[#This Row],[max_salary]])</f>
        <v>186573.5</v>
      </c>
      <c r="K1560" t="s">
        <v>6378</v>
      </c>
      <c r="L1560" t="s">
        <v>14</v>
      </c>
      <c r="M1560" t="s">
        <v>42</v>
      </c>
      <c r="N1560" t="s">
        <v>5949</v>
      </c>
      <c r="O1560" t="s">
        <v>4767</v>
      </c>
      <c r="P1560">
        <v>143360</v>
      </c>
      <c r="Q1560">
        <v>229787</v>
      </c>
      <c r="R1560" s="2">
        <v>45804</v>
      </c>
      <c r="S1560" t="s">
        <v>69</v>
      </c>
      <c r="T1560" t="s">
        <v>128</v>
      </c>
      <c r="W1560" t="s">
        <v>6346</v>
      </c>
      <c r="X1560">
        <v>78</v>
      </c>
      <c r="Y1560" t="s">
        <v>128</v>
      </c>
      <c r="Z1560">
        <v>233</v>
      </c>
    </row>
    <row r="1561" spans="1:26" x14ac:dyDescent="0.3">
      <c r="A1561">
        <v>1560</v>
      </c>
      <c r="B1561" t="s">
        <v>3404</v>
      </c>
      <c r="C1561" t="s">
        <v>49</v>
      </c>
      <c r="D1561" t="s">
        <v>67</v>
      </c>
      <c r="E1561" t="s">
        <v>80</v>
      </c>
      <c r="F1561" t="s">
        <v>6377</v>
      </c>
      <c r="G1561" t="s">
        <v>6392</v>
      </c>
      <c r="H1561" t="s">
        <v>6396</v>
      </c>
      <c r="J1561">
        <f>AVERAGE(ai_job_market[[#This Row],[min_salary]],ai_job_market[[#This Row],[max_salary]])</f>
        <v>111453</v>
      </c>
      <c r="K1561"/>
      <c r="L1561" t="s">
        <v>22</v>
      </c>
      <c r="M1561" t="s">
        <v>51</v>
      </c>
      <c r="N1561" t="s">
        <v>5950</v>
      </c>
      <c r="O1561" t="s">
        <v>4433</v>
      </c>
      <c r="P1561">
        <v>93833</v>
      </c>
      <c r="Q1561">
        <v>129073</v>
      </c>
      <c r="R1561" s="2">
        <v>45625</v>
      </c>
      <c r="S1561" t="s">
        <v>14</v>
      </c>
      <c r="T1561" t="s">
        <v>90</v>
      </c>
      <c r="U1561" t="s">
        <v>6375</v>
      </c>
      <c r="W1561" t="s">
        <v>80</v>
      </c>
      <c r="X1561">
        <v>95</v>
      </c>
      <c r="Y1561" t="s">
        <v>90</v>
      </c>
      <c r="Z1561">
        <v>259</v>
      </c>
    </row>
    <row r="1562" spans="1:26" x14ac:dyDescent="0.3">
      <c r="A1562">
        <v>1561</v>
      </c>
      <c r="B1562" t="s">
        <v>3406</v>
      </c>
      <c r="C1562" t="s">
        <v>19</v>
      </c>
      <c r="D1562" t="s">
        <v>54</v>
      </c>
      <c r="E1562" t="s">
        <v>80</v>
      </c>
      <c r="F1562" t="s">
        <v>6392</v>
      </c>
      <c r="G1562" t="s">
        <v>6386</v>
      </c>
      <c r="H1562" t="s">
        <v>6397</v>
      </c>
      <c r="J1562" s="6">
        <f>AVERAGE(ai_job_market[[#This Row],[min_salary]],ai_job_market[[#This Row],[max_salary]])</f>
        <v>85420</v>
      </c>
      <c r="K1562"/>
      <c r="L1562" t="s">
        <v>27</v>
      </c>
      <c r="M1562" t="s">
        <v>51</v>
      </c>
      <c r="N1562" t="s">
        <v>5951</v>
      </c>
      <c r="O1562" t="s">
        <v>4375</v>
      </c>
      <c r="P1562" s="5">
        <v>52854</v>
      </c>
      <c r="Q1562" s="5">
        <v>117986</v>
      </c>
      <c r="R1562" s="2">
        <v>45561</v>
      </c>
      <c r="S1562" t="s">
        <v>16</v>
      </c>
      <c r="T1562" t="s">
        <v>80</v>
      </c>
      <c r="W1562" t="s">
        <v>80</v>
      </c>
      <c r="X1562">
        <v>95</v>
      </c>
      <c r="Y1562" t="s">
        <v>80</v>
      </c>
      <c r="Z1562">
        <v>249</v>
      </c>
    </row>
    <row r="1563" spans="1:26" x14ac:dyDescent="0.3">
      <c r="A1563">
        <v>1562</v>
      </c>
      <c r="B1563" t="s">
        <v>3408</v>
      </c>
      <c r="C1563" t="s">
        <v>11</v>
      </c>
      <c r="D1563" t="s">
        <v>30</v>
      </c>
      <c r="E1563" t="s">
        <v>6359</v>
      </c>
      <c r="F1563" t="s">
        <v>6385</v>
      </c>
      <c r="G1563" t="s">
        <v>6390</v>
      </c>
      <c r="J1563">
        <f>AVERAGE(ai_job_market[[#This Row],[min_salary]],ai_job_market[[#This Row],[max_salary]])</f>
        <v>58869.5</v>
      </c>
      <c r="K1563"/>
      <c r="L1563" t="s">
        <v>22</v>
      </c>
      <c r="M1563" t="s">
        <v>42</v>
      </c>
      <c r="N1563" t="s">
        <v>5952</v>
      </c>
      <c r="O1563" t="s">
        <v>4988</v>
      </c>
      <c r="P1563">
        <v>50279</v>
      </c>
      <c r="Q1563">
        <v>67460</v>
      </c>
      <c r="R1563" s="2">
        <v>45867</v>
      </c>
      <c r="S1563" t="s">
        <v>16</v>
      </c>
      <c r="T1563" t="s">
        <v>52</v>
      </c>
      <c r="U1563" t="s">
        <v>6389</v>
      </c>
      <c r="V1563" t="s">
        <v>6375</v>
      </c>
      <c r="W1563" t="s">
        <v>6359</v>
      </c>
      <c r="X1563">
        <v>104</v>
      </c>
      <c r="Y1563" t="s">
        <v>52</v>
      </c>
      <c r="Z1563">
        <v>238</v>
      </c>
    </row>
    <row r="1564" spans="1:26" x14ac:dyDescent="0.3">
      <c r="A1564">
        <v>1563</v>
      </c>
      <c r="B1564" t="s">
        <v>3411</v>
      </c>
      <c r="C1564" t="s">
        <v>45</v>
      </c>
      <c r="D1564" t="s">
        <v>35</v>
      </c>
      <c r="E1564" t="s">
        <v>6357</v>
      </c>
      <c r="F1564" t="s">
        <v>6393</v>
      </c>
      <c r="G1564" t="s">
        <v>6380</v>
      </c>
      <c r="H1564" t="s">
        <v>6377</v>
      </c>
      <c r="I1564" t="s">
        <v>6394</v>
      </c>
      <c r="J1564">
        <f>AVERAGE(ai_job_market[[#This Row],[min_salary]],ai_job_market[[#This Row],[max_salary]])</f>
        <v>57514.5</v>
      </c>
      <c r="K1564" t="s">
        <v>6385</v>
      </c>
      <c r="L1564" t="s">
        <v>22</v>
      </c>
      <c r="M1564" t="s">
        <v>15</v>
      </c>
      <c r="N1564" t="s">
        <v>5953</v>
      </c>
      <c r="O1564" t="s">
        <v>4831</v>
      </c>
      <c r="P1564">
        <v>50207</v>
      </c>
      <c r="Q1564">
        <v>64822</v>
      </c>
      <c r="R1564" s="2">
        <v>45447</v>
      </c>
      <c r="S1564" t="s">
        <v>14</v>
      </c>
      <c r="T1564" t="s">
        <v>128</v>
      </c>
      <c r="U1564" t="s">
        <v>6376</v>
      </c>
      <c r="W1564" t="s">
        <v>6357</v>
      </c>
      <c r="X1564">
        <v>88</v>
      </c>
      <c r="Y1564" t="s">
        <v>128</v>
      </c>
      <c r="Z1564">
        <v>233</v>
      </c>
    </row>
    <row r="1565" spans="1:26" x14ac:dyDescent="0.3">
      <c r="A1565">
        <v>1564</v>
      </c>
      <c r="B1565" t="s">
        <v>3413</v>
      </c>
      <c r="C1565" t="s">
        <v>34</v>
      </c>
      <c r="D1565" t="s">
        <v>20</v>
      </c>
      <c r="E1565" t="s">
        <v>6347</v>
      </c>
      <c r="F1565" t="s">
        <v>6384</v>
      </c>
      <c r="G1565" t="s">
        <v>6391</v>
      </c>
      <c r="H1565" t="s">
        <v>6375</v>
      </c>
      <c r="I1565" t="s">
        <v>6395</v>
      </c>
      <c r="J1565">
        <f>AVERAGE(ai_job_market[[#This Row],[min_salary]],ai_job_market[[#This Row],[max_salary]])</f>
        <v>56051</v>
      </c>
      <c r="K1565" t="s">
        <v>6393</v>
      </c>
      <c r="L1565" t="s">
        <v>27</v>
      </c>
      <c r="M1565" t="s">
        <v>37</v>
      </c>
      <c r="N1565" t="s">
        <v>5179</v>
      </c>
      <c r="O1565" t="s">
        <v>4490</v>
      </c>
      <c r="P1565">
        <v>49814</v>
      </c>
      <c r="Q1565">
        <v>62288</v>
      </c>
      <c r="R1565" s="2">
        <v>45844</v>
      </c>
      <c r="S1565" t="s">
        <v>14</v>
      </c>
      <c r="T1565" t="s">
        <v>80</v>
      </c>
      <c r="U1565" t="s">
        <v>6383</v>
      </c>
      <c r="W1565" t="s">
        <v>6347</v>
      </c>
      <c r="X1565">
        <v>94</v>
      </c>
      <c r="Y1565" t="s">
        <v>80</v>
      </c>
      <c r="Z1565">
        <v>249</v>
      </c>
    </row>
    <row r="1566" spans="1:26" x14ac:dyDescent="0.3">
      <c r="A1566">
        <v>1565</v>
      </c>
      <c r="B1566" t="s">
        <v>3415</v>
      </c>
      <c r="C1566" t="s">
        <v>40</v>
      </c>
      <c r="D1566" t="s">
        <v>30</v>
      </c>
      <c r="E1566" t="s">
        <v>6346</v>
      </c>
      <c r="F1566" t="s">
        <v>6381</v>
      </c>
      <c r="G1566" t="s">
        <v>6392</v>
      </c>
      <c r="H1566" t="s">
        <v>6385</v>
      </c>
      <c r="I1566" t="s">
        <v>6376</v>
      </c>
      <c r="J1566">
        <f>AVERAGE(ai_job_market[[#This Row],[min_salary]],ai_job_market[[#This Row],[max_salary]])</f>
        <v>121012</v>
      </c>
      <c r="K1566"/>
      <c r="L1566" t="s">
        <v>22</v>
      </c>
      <c r="M1566" t="s">
        <v>51</v>
      </c>
      <c r="N1566" t="s">
        <v>5954</v>
      </c>
      <c r="O1566" t="s">
        <v>4722</v>
      </c>
      <c r="P1566">
        <v>111908</v>
      </c>
      <c r="Q1566">
        <v>130116</v>
      </c>
      <c r="R1566" s="2">
        <v>45819</v>
      </c>
      <c r="S1566" t="s">
        <v>14</v>
      </c>
      <c r="T1566" t="s">
        <v>52</v>
      </c>
      <c r="U1566" t="s">
        <v>6378</v>
      </c>
      <c r="V1566" t="s">
        <v>6376</v>
      </c>
      <c r="W1566" t="s">
        <v>6346</v>
      </c>
      <c r="X1566">
        <v>78</v>
      </c>
      <c r="Y1566" t="s">
        <v>52</v>
      </c>
      <c r="Z1566">
        <v>238</v>
      </c>
    </row>
    <row r="1567" spans="1:26" x14ac:dyDescent="0.3">
      <c r="A1567">
        <v>1566</v>
      </c>
      <c r="B1567" t="s">
        <v>3418</v>
      </c>
      <c r="C1567" t="s">
        <v>49</v>
      </c>
      <c r="D1567" t="s">
        <v>135</v>
      </c>
      <c r="E1567" t="s">
        <v>70</v>
      </c>
      <c r="F1567" t="s">
        <v>6376</v>
      </c>
      <c r="G1567" t="s">
        <v>6393</v>
      </c>
      <c r="J1567">
        <f>AVERAGE(ai_job_market[[#This Row],[min_salary]],ai_job_market[[#This Row],[max_salary]])</f>
        <v>155988.5</v>
      </c>
      <c r="K1567"/>
      <c r="L1567" t="s">
        <v>22</v>
      </c>
      <c r="M1567" t="s">
        <v>42</v>
      </c>
      <c r="N1567" t="s">
        <v>5201</v>
      </c>
      <c r="O1567" t="s">
        <v>4538</v>
      </c>
      <c r="P1567">
        <v>109390</v>
      </c>
      <c r="Q1567">
        <v>202587</v>
      </c>
      <c r="R1567" s="2">
        <v>45820</v>
      </c>
      <c r="S1567" t="s">
        <v>16</v>
      </c>
      <c r="T1567" t="s">
        <v>77</v>
      </c>
      <c r="W1567" t="s">
        <v>70</v>
      </c>
      <c r="X1567">
        <v>100</v>
      </c>
      <c r="Y1567" t="s">
        <v>77</v>
      </c>
      <c r="Z1567">
        <v>251</v>
      </c>
    </row>
    <row r="1568" spans="1:26" x14ac:dyDescent="0.3">
      <c r="A1568">
        <v>1567</v>
      </c>
      <c r="B1568" t="s">
        <v>3420</v>
      </c>
      <c r="C1568" t="s">
        <v>40</v>
      </c>
      <c r="D1568" t="s">
        <v>67</v>
      </c>
      <c r="E1568" t="s">
        <v>77</v>
      </c>
      <c r="F1568" t="s">
        <v>6381</v>
      </c>
      <c r="G1568" t="s">
        <v>6377</v>
      </c>
      <c r="H1568" t="s">
        <v>6382</v>
      </c>
      <c r="I1568" t="s">
        <v>6380</v>
      </c>
      <c r="J1568">
        <f>AVERAGE(ai_job_market[[#This Row],[min_salary]],ai_job_market[[#This Row],[max_salary]])</f>
        <v>135290.5</v>
      </c>
      <c r="K1568" t="s">
        <v>6374</v>
      </c>
      <c r="L1568" t="s">
        <v>27</v>
      </c>
      <c r="M1568" t="s">
        <v>51</v>
      </c>
      <c r="N1568" t="s">
        <v>5955</v>
      </c>
      <c r="O1568" t="s">
        <v>4835</v>
      </c>
      <c r="P1568">
        <v>101444</v>
      </c>
      <c r="Q1568">
        <v>169137</v>
      </c>
      <c r="R1568" s="2">
        <v>45484</v>
      </c>
      <c r="S1568" t="s">
        <v>16</v>
      </c>
      <c r="T1568" t="s">
        <v>77</v>
      </c>
      <c r="U1568" t="s">
        <v>6376</v>
      </c>
      <c r="V1568" t="s">
        <v>6383</v>
      </c>
      <c r="W1568" t="s">
        <v>77</v>
      </c>
      <c r="X1568">
        <v>111</v>
      </c>
      <c r="Y1568" t="s">
        <v>77</v>
      </c>
      <c r="Z1568">
        <v>251</v>
      </c>
    </row>
    <row r="1569" spans="1:26" x14ac:dyDescent="0.3">
      <c r="A1569">
        <v>1568</v>
      </c>
      <c r="B1569" t="s">
        <v>3423</v>
      </c>
      <c r="C1569" t="s">
        <v>34</v>
      </c>
      <c r="D1569" t="s">
        <v>35</v>
      </c>
      <c r="E1569" t="s">
        <v>90</v>
      </c>
      <c r="F1569" t="s">
        <v>6397</v>
      </c>
      <c r="G1569" t="s">
        <v>6386</v>
      </c>
      <c r="H1569" t="s">
        <v>6394</v>
      </c>
      <c r="I1569" t="s">
        <v>6392</v>
      </c>
      <c r="J1569">
        <f>AVERAGE(ai_job_market[[#This Row],[min_salary]],ai_job_market[[#This Row],[max_salary]])</f>
        <v>166363.5</v>
      </c>
      <c r="K1569" t="s">
        <v>6385</v>
      </c>
      <c r="L1569" t="s">
        <v>27</v>
      </c>
      <c r="M1569" t="s">
        <v>15</v>
      </c>
      <c r="N1569" t="s">
        <v>5956</v>
      </c>
      <c r="O1569" t="s">
        <v>4401</v>
      </c>
      <c r="P1569">
        <v>117133</v>
      </c>
      <c r="Q1569">
        <v>215594</v>
      </c>
      <c r="R1569" s="2">
        <v>45905</v>
      </c>
      <c r="S1569" t="s">
        <v>16</v>
      </c>
      <c r="T1569" t="s">
        <v>77</v>
      </c>
      <c r="U1569" t="s">
        <v>6375</v>
      </c>
      <c r="W1569" t="s">
        <v>90</v>
      </c>
      <c r="X1569">
        <v>80</v>
      </c>
      <c r="Y1569" t="s">
        <v>77</v>
      </c>
      <c r="Z1569">
        <v>251</v>
      </c>
    </row>
    <row r="1570" spans="1:26" x14ac:dyDescent="0.3">
      <c r="A1570">
        <v>1569</v>
      </c>
      <c r="B1570" t="s">
        <v>3425</v>
      </c>
      <c r="C1570" t="s">
        <v>40</v>
      </c>
      <c r="D1570" t="s">
        <v>35</v>
      </c>
      <c r="E1570" t="s">
        <v>6359</v>
      </c>
      <c r="F1570" t="s">
        <v>6390</v>
      </c>
      <c r="G1570" t="s">
        <v>6389</v>
      </c>
      <c r="H1570" t="s">
        <v>6392</v>
      </c>
      <c r="I1570" t="s">
        <v>6382</v>
      </c>
      <c r="J1570">
        <f>AVERAGE(ai_job_market[[#This Row],[min_salary]],ai_job_market[[#This Row],[max_salary]])</f>
        <v>77929</v>
      </c>
      <c r="K1570" t="s">
        <v>6386</v>
      </c>
      <c r="L1570" t="s">
        <v>22</v>
      </c>
      <c r="M1570" t="s">
        <v>37</v>
      </c>
      <c r="N1570" t="s">
        <v>5957</v>
      </c>
      <c r="O1570" t="s">
        <v>4424</v>
      </c>
      <c r="P1570">
        <v>55477</v>
      </c>
      <c r="Q1570">
        <v>100381</v>
      </c>
      <c r="R1570" s="2">
        <v>45334</v>
      </c>
      <c r="S1570" t="s">
        <v>69</v>
      </c>
      <c r="T1570" t="s">
        <v>90</v>
      </c>
      <c r="W1570" t="s">
        <v>6359</v>
      </c>
      <c r="X1570">
        <v>104</v>
      </c>
      <c r="Y1570" t="s">
        <v>90</v>
      </c>
      <c r="Z1570">
        <v>259</v>
      </c>
    </row>
    <row r="1571" spans="1:26" x14ac:dyDescent="0.3">
      <c r="A1571">
        <v>1570</v>
      </c>
      <c r="B1571" t="s">
        <v>3427</v>
      </c>
      <c r="C1571" t="s">
        <v>45</v>
      </c>
      <c r="D1571" t="s">
        <v>30</v>
      </c>
      <c r="E1571" t="s">
        <v>6350</v>
      </c>
      <c r="F1571" t="s">
        <v>6376</v>
      </c>
      <c r="G1571" t="s">
        <v>6375</v>
      </c>
      <c r="H1571" t="s">
        <v>6381</v>
      </c>
      <c r="I1571" t="s">
        <v>6374</v>
      </c>
      <c r="J1571">
        <f>AVERAGE(ai_job_market[[#This Row],[min_salary]],ai_job_market[[#This Row],[max_salary]])</f>
        <v>128030</v>
      </c>
      <c r="K1571" t="s">
        <v>6393</v>
      </c>
      <c r="L1571" t="s">
        <v>27</v>
      </c>
      <c r="M1571" t="s">
        <v>15</v>
      </c>
      <c r="N1571" t="s">
        <v>5958</v>
      </c>
      <c r="O1571" t="s">
        <v>4305</v>
      </c>
      <c r="P1571">
        <v>92033</v>
      </c>
      <c r="Q1571">
        <v>164027</v>
      </c>
      <c r="R1571" s="2">
        <v>45633</v>
      </c>
      <c r="S1571" t="s">
        <v>14</v>
      </c>
      <c r="T1571" t="s">
        <v>157</v>
      </c>
      <c r="W1571" t="s">
        <v>6350</v>
      </c>
      <c r="X1571">
        <v>84</v>
      </c>
      <c r="Y1571" t="s">
        <v>157</v>
      </c>
      <c r="Z1571">
        <v>247</v>
      </c>
    </row>
    <row r="1572" spans="1:26" x14ac:dyDescent="0.3">
      <c r="A1572">
        <v>1571</v>
      </c>
      <c r="B1572" t="s">
        <v>1897</v>
      </c>
      <c r="C1572" t="s">
        <v>11</v>
      </c>
      <c r="D1572" t="s">
        <v>135</v>
      </c>
      <c r="E1572" t="s">
        <v>6355</v>
      </c>
      <c r="F1572" t="s">
        <v>6380</v>
      </c>
      <c r="G1572" t="s">
        <v>6396</v>
      </c>
      <c r="J1572">
        <f>AVERAGE(ai_job_market[[#This Row],[min_salary]],ai_job_market[[#This Row],[max_salary]])</f>
        <v>122985</v>
      </c>
      <c r="K1572"/>
      <c r="L1572" t="s">
        <v>22</v>
      </c>
      <c r="M1572" t="s">
        <v>15</v>
      </c>
      <c r="N1572" t="s">
        <v>5959</v>
      </c>
      <c r="O1572" t="s">
        <v>4355</v>
      </c>
      <c r="P1572">
        <v>97058</v>
      </c>
      <c r="Q1572">
        <v>148912</v>
      </c>
      <c r="R1572" s="2">
        <v>45644</v>
      </c>
      <c r="S1572" t="s">
        <v>16</v>
      </c>
      <c r="T1572" t="s">
        <v>157</v>
      </c>
      <c r="W1572" t="s">
        <v>6355</v>
      </c>
      <c r="X1572">
        <v>90</v>
      </c>
      <c r="Y1572" t="s">
        <v>157</v>
      </c>
      <c r="Z1572">
        <v>247</v>
      </c>
    </row>
    <row r="1573" spans="1:26" x14ac:dyDescent="0.3">
      <c r="A1573">
        <v>1572</v>
      </c>
      <c r="B1573" t="s">
        <v>3430</v>
      </c>
      <c r="C1573" t="s">
        <v>40</v>
      </c>
      <c r="D1573" t="s">
        <v>54</v>
      </c>
      <c r="E1573" t="s">
        <v>6345</v>
      </c>
      <c r="F1573" t="s">
        <v>6392</v>
      </c>
      <c r="G1573" t="s">
        <v>6381</v>
      </c>
      <c r="H1573" t="s">
        <v>6387</v>
      </c>
      <c r="J1573">
        <f>AVERAGE(ai_job_market[[#This Row],[min_salary]],ai_job_market[[#This Row],[max_salary]])</f>
        <v>76832</v>
      </c>
      <c r="K1573"/>
      <c r="L1573" t="s">
        <v>22</v>
      </c>
      <c r="M1573" t="s">
        <v>51</v>
      </c>
      <c r="N1573" t="s">
        <v>5960</v>
      </c>
      <c r="O1573" t="s">
        <v>4482</v>
      </c>
      <c r="P1573">
        <v>70051</v>
      </c>
      <c r="Q1573">
        <v>83613</v>
      </c>
      <c r="R1573" s="2">
        <v>45231</v>
      </c>
      <c r="S1573" t="s">
        <v>16</v>
      </c>
      <c r="T1573" t="s">
        <v>90</v>
      </c>
      <c r="W1573" t="s">
        <v>6345</v>
      </c>
      <c r="X1573">
        <v>101</v>
      </c>
      <c r="Y1573" t="s">
        <v>90</v>
      </c>
      <c r="Z1573">
        <v>259</v>
      </c>
    </row>
    <row r="1574" spans="1:26" x14ac:dyDescent="0.3">
      <c r="A1574">
        <v>1573</v>
      </c>
      <c r="B1574" t="s">
        <v>3432</v>
      </c>
      <c r="C1574" t="s">
        <v>11</v>
      </c>
      <c r="D1574" t="s">
        <v>54</v>
      </c>
      <c r="E1574" t="s">
        <v>6349</v>
      </c>
      <c r="F1574" t="s">
        <v>6394</v>
      </c>
      <c r="G1574" t="s">
        <v>6392</v>
      </c>
      <c r="H1574" t="s">
        <v>6397</v>
      </c>
      <c r="J1574" s="6">
        <f>AVERAGE(ai_job_market[[#This Row],[min_salary]],ai_job_market[[#This Row],[max_salary]])</f>
        <v>174547</v>
      </c>
      <c r="K1574"/>
      <c r="L1574" t="s">
        <v>14</v>
      </c>
      <c r="M1574" t="s">
        <v>15</v>
      </c>
      <c r="N1574" t="s">
        <v>5961</v>
      </c>
      <c r="O1574" t="s">
        <v>4403</v>
      </c>
      <c r="P1574" s="5">
        <v>125724</v>
      </c>
      <c r="Q1574" s="5">
        <v>223370</v>
      </c>
      <c r="R1574" s="2">
        <v>45389</v>
      </c>
      <c r="S1574" t="s">
        <v>69</v>
      </c>
      <c r="T1574" t="s">
        <v>77</v>
      </c>
      <c r="W1574" t="s">
        <v>6349</v>
      </c>
      <c r="X1574">
        <v>96</v>
      </c>
      <c r="Y1574" t="s">
        <v>77</v>
      </c>
      <c r="Z1574">
        <v>251</v>
      </c>
    </row>
    <row r="1575" spans="1:26" x14ac:dyDescent="0.3">
      <c r="A1575">
        <v>1574</v>
      </c>
      <c r="B1575" t="s">
        <v>3434</v>
      </c>
      <c r="C1575" t="s">
        <v>34</v>
      </c>
      <c r="D1575" t="s">
        <v>30</v>
      </c>
      <c r="E1575" t="s">
        <v>70</v>
      </c>
      <c r="F1575" t="s">
        <v>6394</v>
      </c>
      <c r="G1575" t="s">
        <v>6380</v>
      </c>
      <c r="J1575">
        <f>AVERAGE(ai_job_market[[#This Row],[min_salary]],ai_job_market[[#This Row],[max_salary]])</f>
        <v>142171.5</v>
      </c>
      <c r="K1575"/>
      <c r="L1575" t="s">
        <v>22</v>
      </c>
      <c r="M1575" t="s">
        <v>37</v>
      </c>
      <c r="N1575" t="s">
        <v>5962</v>
      </c>
      <c r="O1575" t="s">
        <v>4544</v>
      </c>
      <c r="P1575">
        <v>131442</v>
      </c>
      <c r="Q1575">
        <v>152901</v>
      </c>
      <c r="R1575" s="2">
        <v>45404</v>
      </c>
      <c r="S1575" t="s">
        <v>69</v>
      </c>
      <c r="T1575" t="s">
        <v>52</v>
      </c>
      <c r="U1575" t="s">
        <v>6383</v>
      </c>
      <c r="W1575" t="s">
        <v>70</v>
      </c>
      <c r="X1575">
        <v>100</v>
      </c>
      <c r="Y1575" t="s">
        <v>52</v>
      </c>
      <c r="Z1575">
        <v>238</v>
      </c>
    </row>
    <row r="1576" spans="1:26" x14ac:dyDescent="0.3">
      <c r="A1576">
        <v>1575</v>
      </c>
      <c r="B1576" t="s">
        <v>3436</v>
      </c>
      <c r="C1576" t="s">
        <v>49</v>
      </c>
      <c r="D1576" t="s">
        <v>25</v>
      </c>
      <c r="E1576" t="s">
        <v>6353</v>
      </c>
      <c r="F1576" t="s">
        <v>6396</v>
      </c>
      <c r="G1576" t="s">
        <v>6381</v>
      </c>
      <c r="H1576" t="s">
        <v>6389</v>
      </c>
      <c r="I1576" t="s">
        <v>6375</v>
      </c>
      <c r="J1576">
        <f>AVERAGE(ai_job_market[[#This Row],[min_salary]],ai_job_market[[#This Row],[max_salary]])</f>
        <v>88181.5</v>
      </c>
      <c r="K1576" t="s">
        <v>6380</v>
      </c>
      <c r="L1576" t="s">
        <v>22</v>
      </c>
      <c r="M1576" t="s">
        <v>42</v>
      </c>
      <c r="N1576" t="s">
        <v>5963</v>
      </c>
      <c r="O1576" t="s">
        <v>4648</v>
      </c>
      <c r="P1576">
        <v>79312</v>
      </c>
      <c r="Q1576">
        <v>97051</v>
      </c>
      <c r="R1576" s="2">
        <v>45229</v>
      </c>
      <c r="S1576" t="s">
        <v>14</v>
      </c>
      <c r="T1576" t="s">
        <v>101</v>
      </c>
      <c r="W1576" t="s">
        <v>6353</v>
      </c>
      <c r="X1576">
        <v>86</v>
      </c>
      <c r="Y1576" t="s">
        <v>101</v>
      </c>
      <c r="Z1576">
        <v>255</v>
      </c>
    </row>
    <row r="1577" spans="1:26" x14ac:dyDescent="0.3">
      <c r="A1577">
        <v>1576</v>
      </c>
      <c r="B1577" t="s">
        <v>3438</v>
      </c>
      <c r="C1577" t="s">
        <v>11</v>
      </c>
      <c r="D1577" t="s">
        <v>25</v>
      </c>
      <c r="E1577" t="s">
        <v>6346</v>
      </c>
      <c r="F1577" t="s">
        <v>6397</v>
      </c>
      <c r="G1577" t="s">
        <v>6387</v>
      </c>
      <c r="J1577">
        <f>AVERAGE(ai_job_market[[#This Row],[min_salary]],ai_job_market[[#This Row],[max_salary]])</f>
        <v>128559</v>
      </c>
      <c r="K1577"/>
      <c r="L1577" t="s">
        <v>14</v>
      </c>
      <c r="M1577" t="s">
        <v>42</v>
      </c>
      <c r="N1577" t="s">
        <v>5964</v>
      </c>
      <c r="O1577" t="s">
        <v>4291</v>
      </c>
      <c r="P1577">
        <v>115682</v>
      </c>
      <c r="Q1577">
        <v>141436</v>
      </c>
      <c r="R1577" s="2">
        <v>45552</v>
      </c>
      <c r="S1577" t="s">
        <v>69</v>
      </c>
      <c r="T1577" t="s">
        <v>70</v>
      </c>
      <c r="W1577" t="s">
        <v>6346</v>
      </c>
      <c r="X1577">
        <v>78</v>
      </c>
      <c r="Y1577" t="s">
        <v>70</v>
      </c>
      <c r="Z1577">
        <v>268</v>
      </c>
    </row>
    <row r="1578" spans="1:26" x14ac:dyDescent="0.3">
      <c r="A1578">
        <v>1577</v>
      </c>
      <c r="B1578" t="s">
        <v>3440</v>
      </c>
      <c r="C1578" t="s">
        <v>19</v>
      </c>
      <c r="D1578" t="s">
        <v>12</v>
      </c>
      <c r="E1578" t="s">
        <v>6346</v>
      </c>
      <c r="F1578" t="s">
        <v>6375</v>
      </c>
      <c r="G1578" t="s">
        <v>6390</v>
      </c>
      <c r="H1578" t="s">
        <v>6374</v>
      </c>
      <c r="I1578" t="s">
        <v>6385</v>
      </c>
      <c r="J1578">
        <f>AVERAGE(ai_job_market[[#This Row],[min_salary]],ai_job_market[[#This Row],[max_salary]])</f>
        <v>180248.5</v>
      </c>
      <c r="K1578"/>
      <c r="L1578" t="s">
        <v>14</v>
      </c>
      <c r="M1578" t="s">
        <v>37</v>
      </c>
      <c r="N1578" t="s">
        <v>5239</v>
      </c>
      <c r="O1578" t="s">
        <v>5170</v>
      </c>
      <c r="P1578">
        <v>138711</v>
      </c>
      <c r="Q1578">
        <v>221786</v>
      </c>
      <c r="R1578" s="2">
        <v>45459</v>
      </c>
      <c r="S1578" t="s">
        <v>14</v>
      </c>
      <c r="T1578" t="s">
        <v>101</v>
      </c>
      <c r="U1578" t="s">
        <v>6378</v>
      </c>
      <c r="W1578" t="s">
        <v>6346</v>
      </c>
      <c r="X1578">
        <v>78</v>
      </c>
      <c r="Y1578" t="s">
        <v>101</v>
      </c>
      <c r="Z1578">
        <v>255</v>
      </c>
    </row>
    <row r="1579" spans="1:26" x14ac:dyDescent="0.3">
      <c r="A1579">
        <v>1578</v>
      </c>
      <c r="B1579" t="s">
        <v>3442</v>
      </c>
      <c r="C1579" t="s">
        <v>72</v>
      </c>
      <c r="D1579" t="s">
        <v>67</v>
      </c>
      <c r="E1579" t="s">
        <v>77</v>
      </c>
      <c r="F1579" t="s">
        <v>6382</v>
      </c>
      <c r="G1579" t="s">
        <v>6389</v>
      </c>
      <c r="H1579" t="s">
        <v>6387</v>
      </c>
      <c r="J1579">
        <f>AVERAGE(ai_job_market[[#This Row],[min_salary]],ai_job_market[[#This Row],[max_salary]])</f>
        <v>64227.5</v>
      </c>
      <c r="K1579"/>
      <c r="L1579" t="s">
        <v>27</v>
      </c>
      <c r="M1579" t="s">
        <v>15</v>
      </c>
      <c r="N1579" t="s">
        <v>5965</v>
      </c>
      <c r="O1579" t="s">
        <v>4743</v>
      </c>
      <c r="P1579">
        <v>46308</v>
      </c>
      <c r="Q1579">
        <v>82147</v>
      </c>
      <c r="R1579" s="2">
        <v>45500</v>
      </c>
      <c r="S1579" t="s">
        <v>14</v>
      </c>
      <c r="T1579" t="s">
        <v>90</v>
      </c>
      <c r="U1579" t="s">
        <v>6384</v>
      </c>
      <c r="V1579" t="s">
        <v>6375</v>
      </c>
      <c r="W1579" t="s">
        <v>77</v>
      </c>
      <c r="X1579">
        <v>111</v>
      </c>
      <c r="Y1579" t="s">
        <v>90</v>
      </c>
      <c r="Z1579">
        <v>259</v>
      </c>
    </row>
    <row r="1580" spans="1:26" x14ac:dyDescent="0.3">
      <c r="A1580">
        <v>1579</v>
      </c>
      <c r="B1580" t="s">
        <v>3444</v>
      </c>
      <c r="C1580" t="s">
        <v>34</v>
      </c>
      <c r="D1580" t="s">
        <v>135</v>
      </c>
      <c r="E1580" t="s">
        <v>6359</v>
      </c>
      <c r="F1580" t="s">
        <v>6386</v>
      </c>
      <c r="G1580" t="s">
        <v>6391</v>
      </c>
      <c r="J1580">
        <f>AVERAGE(ai_job_market[[#This Row],[min_salary]],ai_job_market[[#This Row],[max_salary]])</f>
        <v>79250.5</v>
      </c>
      <c r="K1580"/>
      <c r="L1580" t="s">
        <v>14</v>
      </c>
      <c r="M1580" t="s">
        <v>42</v>
      </c>
      <c r="N1580" t="s">
        <v>5966</v>
      </c>
      <c r="O1580" t="s">
        <v>4564</v>
      </c>
      <c r="P1580">
        <v>46859</v>
      </c>
      <c r="Q1580">
        <v>111642</v>
      </c>
      <c r="R1580" s="2">
        <v>45367</v>
      </c>
      <c r="S1580" t="s">
        <v>14</v>
      </c>
      <c r="T1580" t="s">
        <v>70</v>
      </c>
      <c r="U1580" t="s">
        <v>6376</v>
      </c>
      <c r="W1580" t="s">
        <v>6359</v>
      </c>
      <c r="X1580">
        <v>104</v>
      </c>
      <c r="Y1580" t="s">
        <v>70</v>
      </c>
      <c r="Z1580">
        <v>268</v>
      </c>
    </row>
    <row r="1581" spans="1:26" x14ac:dyDescent="0.3">
      <c r="A1581">
        <v>1580</v>
      </c>
      <c r="B1581" t="s">
        <v>3446</v>
      </c>
      <c r="C1581" t="s">
        <v>72</v>
      </c>
      <c r="D1581" t="s">
        <v>54</v>
      </c>
      <c r="E1581" t="s">
        <v>6352</v>
      </c>
      <c r="F1581" t="s">
        <v>6392</v>
      </c>
      <c r="G1581" t="s">
        <v>6374</v>
      </c>
      <c r="H1581" t="s">
        <v>6376</v>
      </c>
      <c r="I1581" t="s">
        <v>6396</v>
      </c>
      <c r="J1581">
        <f>AVERAGE(ai_job_market[[#This Row],[min_salary]],ai_job_market[[#This Row],[max_salary]])</f>
        <v>167681.5</v>
      </c>
      <c r="K1581"/>
      <c r="L1581" t="s">
        <v>22</v>
      </c>
      <c r="M1581" t="s">
        <v>42</v>
      </c>
      <c r="N1581" t="s">
        <v>5967</v>
      </c>
      <c r="O1581" t="s">
        <v>4634</v>
      </c>
      <c r="P1581">
        <v>135050</v>
      </c>
      <c r="Q1581">
        <v>200313</v>
      </c>
      <c r="R1581" s="2">
        <v>45833</v>
      </c>
      <c r="S1581" t="s">
        <v>69</v>
      </c>
      <c r="T1581" t="s">
        <v>90</v>
      </c>
      <c r="U1581" t="s">
        <v>6376</v>
      </c>
      <c r="V1581" t="s">
        <v>6388</v>
      </c>
      <c r="W1581" t="s">
        <v>6352</v>
      </c>
      <c r="X1581">
        <v>97</v>
      </c>
      <c r="Y1581" t="s">
        <v>90</v>
      </c>
      <c r="Z1581">
        <v>259</v>
      </c>
    </row>
    <row r="1582" spans="1:26" x14ac:dyDescent="0.3">
      <c r="A1582">
        <v>1581</v>
      </c>
      <c r="B1582" t="s">
        <v>1928</v>
      </c>
      <c r="C1582" t="s">
        <v>11</v>
      </c>
      <c r="D1582" t="s">
        <v>54</v>
      </c>
      <c r="E1582" t="s">
        <v>77</v>
      </c>
      <c r="F1582" t="s">
        <v>6382</v>
      </c>
      <c r="G1582" t="s">
        <v>6389</v>
      </c>
      <c r="J1582">
        <f>AVERAGE(ai_job_market[[#This Row],[min_salary]],ai_job_market[[#This Row],[max_salary]])</f>
        <v>119579.5</v>
      </c>
      <c r="K1582"/>
      <c r="L1582" t="s">
        <v>14</v>
      </c>
      <c r="M1582" t="s">
        <v>15</v>
      </c>
      <c r="N1582" t="s">
        <v>5968</v>
      </c>
      <c r="O1582" t="s">
        <v>4587</v>
      </c>
      <c r="P1582">
        <v>106176</v>
      </c>
      <c r="Q1582">
        <v>132983</v>
      </c>
      <c r="R1582" s="2">
        <v>45428</v>
      </c>
      <c r="S1582" t="s">
        <v>14</v>
      </c>
      <c r="T1582" t="s">
        <v>77</v>
      </c>
      <c r="W1582" t="s">
        <v>77</v>
      </c>
      <c r="X1582">
        <v>111</v>
      </c>
      <c r="Y1582" t="s">
        <v>77</v>
      </c>
      <c r="Z1582">
        <v>251</v>
      </c>
    </row>
    <row r="1583" spans="1:26" x14ac:dyDescent="0.3">
      <c r="A1583">
        <v>1582</v>
      </c>
      <c r="B1583" t="s">
        <v>3449</v>
      </c>
      <c r="C1583" t="s">
        <v>49</v>
      </c>
      <c r="D1583" t="s">
        <v>12</v>
      </c>
      <c r="E1583" t="s">
        <v>77</v>
      </c>
      <c r="F1583" t="s">
        <v>6396</v>
      </c>
      <c r="G1583" t="s">
        <v>6382</v>
      </c>
      <c r="J1583">
        <f>AVERAGE(ai_job_market[[#This Row],[min_salary]],ai_job_market[[#This Row],[max_salary]])</f>
        <v>109882.5</v>
      </c>
      <c r="K1583"/>
      <c r="L1583" t="s">
        <v>27</v>
      </c>
      <c r="M1583" t="s">
        <v>42</v>
      </c>
      <c r="N1583" t="s">
        <v>5969</v>
      </c>
      <c r="O1583" t="s">
        <v>4418</v>
      </c>
      <c r="P1583">
        <v>61825</v>
      </c>
      <c r="Q1583">
        <v>157940</v>
      </c>
      <c r="R1583" s="2">
        <v>45660</v>
      </c>
      <c r="S1583" t="s">
        <v>14</v>
      </c>
      <c r="T1583" t="s">
        <v>90</v>
      </c>
      <c r="W1583" t="s">
        <v>77</v>
      </c>
      <c r="X1583">
        <v>111</v>
      </c>
      <c r="Y1583" t="s">
        <v>90</v>
      </c>
      <c r="Z1583">
        <v>259</v>
      </c>
    </row>
    <row r="1584" spans="1:26" x14ac:dyDescent="0.3">
      <c r="A1584">
        <v>1583</v>
      </c>
      <c r="B1584" t="s">
        <v>3451</v>
      </c>
      <c r="C1584" t="s">
        <v>34</v>
      </c>
      <c r="D1584" t="s">
        <v>25</v>
      </c>
      <c r="E1584" t="s">
        <v>6350</v>
      </c>
      <c r="F1584" t="s">
        <v>6382</v>
      </c>
      <c r="G1584" t="s">
        <v>6380</v>
      </c>
      <c r="H1584" t="s">
        <v>6376</v>
      </c>
      <c r="J1584">
        <f>AVERAGE(ai_job_market[[#This Row],[min_salary]],ai_job_market[[#This Row],[max_salary]])</f>
        <v>165018.5</v>
      </c>
      <c r="K1584"/>
      <c r="L1584" t="s">
        <v>14</v>
      </c>
      <c r="M1584" t="s">
        <v>37</v>
      </c>
      <c r="N1584" t="s">
        <v>5970</v>
      </c>
      <c r="O1584" t="s">
        <v>4450</v>
      </c>
      <c r="P1584">
        <v>134559</v>
      </c>
      <c r="Q1584">
        <v>195478</v>
      </c>
      <c r="R1584" s="2">
        <v>45713</v>
      </c>
      <c r="S1584" t="s">
        <v>69</v>
      </c>
      <c r="T1584" t="s">
        <v>52</v>
      </c>
      <c r="U1584" t="s">
        <v>6375</v>
      </c>
      <c r="V1584" t="s">
        <v>6389</v>
      </c>
      <c r="W1584" t="s">
        <v>6350</v>
      </c>
      <c r="X1584">
        <v>84</v>
      </c>
      <c r="Y1584" t="s">
        <v>52</v>
      </c>
      <c r="Z1584">
        <v>238</v>
      </c>
    </row>
    <row r="1585" spans="1:26" x14ac:dyDescent="0.3">
      <c r="A1585">
        <v>1584</v>
      </c>
      <c r="B1585" t="s">
        <v>3453</v>
      </c>
      <c r="C1585" t="s">
        <v>72</v>
      </c>
      <c r="D1585" t="s">
        <v>135</v>
      </c>
      <c r="E1585" t="s">
        <v>6349</v>
      </c>
      <c r="F1585" t="s">
        <v>6393</v>
      </c>
      <c r="G1585" t="s">
        <v>6395</v>
      </c>
      <c r="H1585" t="s">
        <v>6385</v>
      </c>
      <c r="I1585" t="s">
        <v>6381</v>
      </c>
      <c r="J1585">
        <f>AVERAGE(ai_job_market[[#This Row],[min_salary]],ai_job_market[[#This Row],[max_salary]])</f>
        <v>102335.5</v>
      </c>
      <c r="K1585" t="s">
        <v>6397</v>
      </c>
      <c r="L1585" t="s">
        <v>14</v>
      </c>
      <c r="M1585" t="s">
        <v>15</v>
      </c>
      <c r="N1585" t="s">
        <v>5971</v>
      </c>
      <c r="O1585" t="s">
        <v>4660</v>
      </c>
      <c r="P1585">
        <v>79291</v>
      </c>
      <c r="Q1585">
        <v>125380</v>
      </c>
      <c r="R1585" s="2">
        <v>45498</v>
      </c>
      <c r="S1585" t="s">
        <v>69</v>
      </c>
      <c r="T1585" t="s">
        <v>90</v>
      </c>
      <c r="W1585" t="s">
        <v>6349</v>
      </c>
      <c r="X1585">
        <v>96</v>
      </c>
      <c r="Y1585" t="s">
        <v>90</v>
      </c>
      <c r="Z1585">
        <v>259</v>
      </c>
    </row>
    <row r="1586" spans="1:26" x14ac:dyDescent="0.3">
      <c r="A1586">
        <v>1585</v>
      </c>
      <c r="B1586" t="s">
        <v>3455</v>
      </c>
      <c r="C1586" t="s">
        <v>72</v>
      </c>
      <c r="D1586" t="s">
        <v>30</v>
      </c>
      <c r="E1586" t="s">
        <v>80</v>
      </c>
      <c r="F1586" t="s">
        <v>6382</v>
      </c>
      <c r="G1586" t="s">
        <v>6374</v>
      </c>
      <c r="J1586">
        <f>AVERAGE(ai_job_market[[#This Row],[min_salary]],ai_job_market[[#This Row],[max_salary]])</f>
        <v>59611</v>
      </c>
      <c r="K1586"/>
      <c r="L1586" t="s">
        <v>27</v>
      </c>
      <c r="M1586" t="s">
        <v>37</v>
      </c>
      <c r="N1586" t="s">
        <v>5972</v>
      </c>
      <c r="O1586" t="s">
        <v>4349</v>
      </c>
      <c r="P1586">
        <v>48218</v>
      </c>
      <c r="Q1586">
        <v>71004</v>
      </c>
      <c r="R1586" s="2">
        <v>45620</v>
      </c>
      <c r="S1586" t="s">
        <v>69</v>
      </c>
      <c r="T1586" t="s">
        <v>157</v>
      </c>
      <c r="U1586" t="s">
        <v>6375</v>
      </c>
      <c r="V1586" t="s">
        <v>6378</v>
      </c>
      <c r="W1586" t="s">
        <v>80</v>
      </c>
      <c r="X1586">
        <v>95</v>
      </c>
      <c r="Y1586" t="s">
        <v>157</v>
      </c>
      <c r="Z1586">
        <v>247</v>
      </c>
    </row>
    <row r="1587" spans="1:26" x14ac:dyDescent="0.3">
      <c r="A1587">
        <v>1586</v>
      </c>
      <c r="B1587" t="s">
        <v>3457</v>
      </c>
      <c r="C1587" t="s">
        <v>40</v>
      </c>
      <c r="D1587" t="s">
        <v>30</v>
      </c>
      <c r="E1587" t="s">
        <v>6348</v>
      </c>
      <c r="F1587" t="s">
        <v>6374</v>
      </c>
      <c r="G1587" t="s">
        <v>6384</v>
      </c>
      <c r="J1587">
        <f>AVERAGE(ai_job_market[[#This Row],[min_salary]],ai_job_market[[#This Row],[max_salary]])</f>
        <v>81577.5</v>
      </c>
      <c r="K1587"/>
      <c r="L1587" t="s">
        <v>27</v>
      </c>
      <c r="M1587" t="s">
        <v>51</v>
      </c>
      <c r="N1587" t="s">
        <v>5973</v>
      </c>
      <c r="O1587" t="s">
        <v>4554</v>
      </c>
      <c r="P1587">
        <v>42270</v>
      </c>
      <c r="Q1587">
        <v>120885</v>
      </c>
      <c r="R1587" s="2">
        <v>45891</v>
      </c>
      <c r="S1587" t="s">
        <v>14</v>
      </c>
      <c r="T1587" t="s">
        <v>101</v>
      </c>
      <c r="W1587" t="s">
        <v>6348</v>
      </c>
      <c r="X1587">
        <v>78</v>
      </c>
      <c r="Y1587" t="s">
        <v>101</v>
      </c>
      <c r="Z1587">
        <v>255</v>
      </c>
    </row>
    <row r="1588" spans="1:26" x14ac:dyDescent="0.3">
      <c r="A1588">
        <v>1587</v>
      </c>
      <c r="B1588" t="s">
        <v>3459</v>
      </c>
      <c r="C1588" t="s">
        <v>72</v>
      </c>
      <c r="D1588" t="s">
        <v>12</v>
      </c>
      <c r="E1588" t="s">
        <v>6359</v>
      </c>
      <c r="F1588" t="s">
        <v>6392</v>
      </c>
      <c r="G1588" t="s">
        <v>6393</v>
      </c>
      <c r="J1588">
        <f>AVERAGE(ai_job_market[[#This Row],[min_salary]],ai_job_market[[#This Row],[max_salary]])</f>
        <v>131424.5</v>
      </c>
      <c r="K1588"/>
      <c r="L1588" t="s">
        <v>14</v>
      </c>
      <c r="M1588" t="s">
        <v>15</v>
      </c>
      <c r="N1588" t="s">
        <v>5974</v>
      </c>
      <c r="O1588" t="s">
        <v>4367</v>
      </c>
      <c r="P1588">
        <v>106925</v>
      </c>
      <c r="Q1588">
        <v>155924</v>
      </c>
      <c r="R1588" s="2">
        <v>45275</v>
      </c>
      <c r="S1588" t="s">
        <v>69</v>
      </c>
      <c r="T1588" t="s">
        <v>77</v>
      </c>
      <c r="U1588" t="s">
        <v>6389</v>
      </c>
      <c r="V1588" t="s">
        <v>6383</v>
      </c>
      <c r="W1588" t="s">
        <v>6359</v>
      </c>
      <c r="X1588">
        <v>104</v>
      </c>
      <c r="Y1588" t="s">
        <v>77</v>
      </c>
      <c r="Z1588">
        <v>251</v>
      </c>
    </row>
    <row r="1589" spans="1:26" x14ac:dyDescent="0.3">
      <c r="A1589">
        <v>1588</v>
      </c>
      <c r="B1589" t="s">
        <v>3461</v>
      </c>
      <c r="C1589" t="s">
        <v>40</v>
      </c>
      <c r="D1589" t="s">
        <v>30</v>
      </c>
      <c r="E1589" t="s">
        <v>6352</v>
      </c>
      <c r="F1589" t="s">
        <v>6381</v>
      </c>
      <c r="G1589" t="s">
        <v>6397</v>
      </c>
      <c r="H1589" t="s">
        <v>6379</v>
      </c>
      <c r="I1589" t="s">
        <v>6390</v>
      </c>
      <c r="J1589">
        <f>AVERAGE(ai_job_market[[#This Row],[min_salary]],ai_job_market[[#This Row],[max_salary]])</f>
        <v>157977</v>
      </c>
      <c r="K1589" t="s">
        <v>6391</v>
      </c>
      <c r="L1589" t="s">
        <v>14</v>
      </c>
      <c r="M1589" t="s">
        <v>42</v>
      </c>
      <c r="N1589" t="s">
        <v>5975</v>
      </c>
      <c r="O1589" t="s">
        <v>4842</v>
      </c>
      <c r="P1589">
        <v>129266</v>
      </c>
      <c r="Q1589">
        <v>186688</v>
      </c>
      <c r="R1589" s="2">
        <v>45344</v>
      </c>
      <c r="S1589" t="s">
        <v>69</v>
      </c>
      <c r="T1589" t="s">
        <v>101</v>
      </c>
      <c r="U1589" t="s">
        <v>6379</v>
      </c>
      <c r="W1589" t="s">
        <v>6352</v>
      </c>
      <c r="X1589">
        <v>97</v>
      </c>
      <c r="Y1589" t="s">
        <v>101</v>
      </c>
      <c r="Z1589">
        <v>255</v>
      </c>
    </row>
    <row r="1590" spans="1:26" x14ac:dyDescent="0.3">
      <c r="A1590">
        <v>1589</v>
      </c>
      <c r="B1590" t="s">
        <v>3463</v>
      </c>
      <c r="C1590" t="s">
        <v>72</v>
      </c>
      <c r="D1590" t="s">
        <v>30</v>
      </c>
      <c r="E1590" t="s">
        <v>6353</v>
      </c>
      <c r="F1590" t="s">
        <v>6396</v>
      </c>
      <c r="G1590" t="s">
        <v>6394</v>
      </c>
      <c r="J1590">
        <f>AVERAGE(ai_job_market[[#This Row],[min_salary]],ai_job_market[[#This Row],[max_salary]])</f>
        <v>144195</v>
      </c>
      <c r="K1590"/>
      <c r="L1590" t="s">
        <v>14</v>
      </c>
      <c r="M1590" t="s">
        <v>15</v>
      </c>
      <c r="N1590" t="s">
        <v>4472</v>
      </c>
      <c r="O1590" t="s">
        <v>4630</v>
      </c>
      <c r="P1590">
        <v>119647</v>
      </c>
      <c r="Q1590">
        <v>168743</v>
      </c>
      <c r="R1590" s="2">
        <v>45475</v>
      </c>
      <c r="S1590" t="s">
        <v>14</v>
      </c>
      <c r="T1590" t="s">
        <v>101</v>
      </c>
      <c r="U1590" t="s">
        <v>6389</v>
      </c>
      <c r="V1590" t="s">
        <v>6375</v>
      </c>
      <c r="W1590" t="s">
        <v>6353</v>
      </c>
      <c r="X1590">
        <v>86</v>
      </c>
      <c r="Y1590" t="s">
        <v>101</v>
      </c>
      <c r="Z1590">
        <v>255</v>
      </c>
    </row>
    <row r="1591" spans="1:26" x14ac:dyDescent="0.3">
      <c r="A1591">
        <v>1590</v>
      </c>
      <c r="B1591" t="s">
        <v>3465</v>
      </c>
      <c r="C1591" t="s">
        <v>40</v>
      </c>
      <c r="D1591" t="s">
        <v>35</v>
      </c>
      <c r="E1591" t="s">
        <v>6352</v>
      </c>
      <c r="F1591" t="s">
        <v>6395</v>
      </c>
      <c r="G1591" t="s">
        <v>6389</v>
      </c>
      <c r="H1591" t="s">
        <v>6385</v>
      </c>
      <c r="J1591">
        <f>AVERAGE(ai_job_market[[#This Row],[min_salary]],ai_job_market[[#This Row],[max_salary]])</f>
        <v>100543.5</v>
      </c>
      <c r="K1591"/>
      <c r="L1591" t="s">
        <v>22</v>
      </c>
      <c r="M1591" t="s">
        <v>15</v>
      </c>
      <c r="N1591" t="s">
        <v>4533</v>
      </c>
      <c r="O1591" t="s">
        <v>4289</v>
      </c>
      <c r="P1591">
        <v>51216</v>
      </c>
      <c r="Q1591">
        <v>149871</v>
      </c>
      <c r="R1591" s="2">
        <v>45518</v>
      </c>
      <c r="S1591" t="s">
        <v>14</v>
      </c>
      <c r="T1591" t="s">
        <v>90</v>
      </c>
      <c r="W1591" t="s">
        <v>6352</v>
      </c>
      <c r="X1591">
        <v>97</v>
      </c>
      <c r="Y1591" t="s">
        <v>90</v>
      </c>
      <c r="Z1591">
        <v>259</v>
      </c>
    </row>
    <row r="1592" spans="1:26" x14ac:dyDescent="0.3">
      <c r="A1592">
        <v>1591</v>
      </c>
      <c r="B1592" t="s">
        <v>3467</v>
      </c>
      <c r="C1592" t="s">
        <v>11</v>
      </c>
      <c r="D1592" t="s">
        <v>135</v>
      </c>
      <c r="E1592" t="s">
        <v>6348</v>
      </c>
      <c r="F1592" t="s">
        <v>6391</v>
      </c>
      <c r="G1592" t="s">
        <v>6393</v>
      </c>
      <c r="H1592" t="s">
        <v>6397</v>
      </c>
      <c r="J1592">
        <f>AVERAGE(ai_job_market[[#This Row],[min_salary]],ai_job_market[[#This Row],[max_salary]])</f>
        <v>185570.5</v>
      </c>
      <c r="K1592"/>
      <c r="L1592" t="s">
        <v>22</v>
      </c>
      <c r="M1592" t="s">
        <v>51</v>
      </c>
      <c r="N1592" t="s">
        <v>5976</v>
      </c>
      <c r="O1592" t="s">
        <v>4559</v>
      </c>
      <c r="P1592">
        <v>143939</v>
      </c>
      <c r="Q1592">
        <v>227202</v>
      </c>
      <c r="R1592" s="2">
        <v>45206</v>
      </c>
      <c r="S1592" t="s">
        <v>14</v>
      </c>
      <c r="T1592" t="s">
        <v>90</v>
      </c>
      <c r="U1592" t="s">
        <v>6383</v>
      </c>
      <c r="V1592" t="s">
        <v>6378</v>
      </c>
      <c r="W1592" t="s">
        <v>6348</v>
      </c>
      <c r="X1592">
        <v>78</v>
      </c>
      <c r="Y1592" t="s">
        <v>90</v>
      </c>
      <c r="Z1592">
        <v>259</v>
      </c>
    </row>
    <row r="1593" spans="1:26" x14ac:dyDescent="0.3">
      <c r="A1593">
        <v>1592</v>
      </c>
      <c r="B1593" t="s">
        <v>3469</v>
      </c>
      <c r="C1593" t="s">
        <v>34</v>
      </c>
      <c r="D1593" t="s">
        <v>12</v>
      </c>
      <c r="E1593" t="s">
        <v>6357</v>
      </c>
      <c r="F1593" t="s">
        <v>6378</v>
      </c>
      <c r="G1593" t="s">
        <v>6392</v>
      </c>
      <c r="H1593" t="s">
        <v>6393</v>
      </c>
      <c r="J1593" s="6">
        <f>AVERAGE(ai_job_market[[#This Row],[min_salary]],ai_job_market[[#This Row],[max_salary]])</f>
        <v>145988</v>
      </c>
      <c r="K1593"/>
      <c r="L1593" t="s">
        <v>27</v>
      </c>
      <c r="M1593" t="s">
        <v>15</v>
      </c>
      <c r="N1593" t="s">
        <v>5977</v>
      </c>
      <c r="O1593" t="s">
        <v>4444</v>
      </c>
      <c r="P1593" s="5">
        <v>99415</v>
      </c>
      <c r="Q1593" s="5">
        <v>192561</v>
      </c>
      <c r="R1593" s="2">
        <v>45624</v>
      </c>
      <c r="S1593" t="s">
        <v>16</v>
      </c>
      <c r="T1593" t="s">
        <v>70</v>
      </c>
      <c r="U1593" t="s">
        <v>6388</v>
      </c>
      <c r="W1593" t="s">
        <v>6357</v>
      </c>
      <c r="X1593">
        <v>88</v>
      </c>
      <c r="Y1593" t="s">
        <v>70</v>
      </c>
      <c r="Z1593">
        <v>268</v>
      </c>
    </row>
    <row r="1594" spans="1:26" x14ac:dyDescent="0.3">
      <c r="A1594">
        <v>1593</v>
      </c>
      <c r="B1594" t="s">
        <v>3471</v>
      </c>
      <c r="C1594" t="s">
        <v>49</v>
      </c>
      <c r="D1594" t="s">
        <v>54</v>
      </c>
      <c r="E1594" t="s">
        <v>6351</v>
      </c>
      <c r="F1594" t="s">
        <v>6391</v>
      </c>
      <c r="G1594" t="s">
        <v>6385</v>
      </c>
      <c r="H1594" t="s">
        <v>6374</v>
      </c>
      <c r="J1594" s="6">
        <f>AVERAGE(ai_job_market[[#This Row],[min_salary]],ai_job_market[[#This Row],[max_salary]])</f>
        <v>118672.5</v>
      </c>
      <c r="K1594"/>
      <c r="L1594" t="s">
        <v>14</v>
      </c>
      <c r="M1594" t="s">
        <v>51</v>
      </c>
      <c r="N1594" t="s">
        <v>5978</v>
      </c>
      <c r="O1594" t="s">
        <v>4506</v>
      </c>
      <c r="P1594" s="5">
        <v>92763</v>
      </c>
      <c r="Q1594" s="5">
        <v>144582</v>
      </c>
      <c r="R1594" s="2">
        <v>45573</v>
      </c>
      <c r="S1594" t="s">
        <v>14</v>
      </c>
      <c r="T1594" t="s">
        <v>52</v>
      </c>
      <c r="U1594" t="s">
        <v>6375</v>
      </c>
      <c r="V1594" t="s">
        <v>6378</v>
      </c>
      <c r="W1594" t="s">
        <v>6351</v>
      </c>
      <c r="X1594">
        <v>89</v>
      </c>
      <c r="Y1594" t="s">
        <v>52</v>
      </c>
      <c r="Z1594">
        <v>238</v>
      </c>
    </row>
    <row r="1595" spans="1:26" x14ac:dyDescent="0.3">
      <c r="A1595">
        <v>1594</v>
      </c>
      <c r="B1595" t="s">
        <v>3473</v>
      </c>
      <c r="C1595" t="s">
        <v>72</v>
      </c>
      <c r="D1595" t="s">
        <v>35</v>
      </c>
      <c r="E1595" t="s">
        <v>101</v>
      </c>
      <c r="F1595" t="s">
        <v>6385</v>
      </c>
      <c r="G1595" t="s">
        <v>6377</v>
      </c>
      <c r="H1595" t="s">
        <v>6378</v>
      </c>
      <c r="J1595">
        <f>AVERAGE(ai_job_market[[#This Row],[min_salary]],ai_job_market[[#This Row],[max_salary]])</f>
        <v>137379.5</v>
      </c>
      <c r="K1595"/>
      <c r="L1595" t="s">
        <v>22</v>
      </c>
      <c r="M1595" t="s">
        <v>37</v>
      </c>
      <c r="N1595" t="s">
        <v>5979</v>
      </c>
      <c r="O1595" t="s">
        <v>4371</v>
      </c>
      <c r="P1595">
        <v>87741</v>
      </c>
      <c r="Q1595">
        <v>187018</v>
      </c>
      <c r="R1595" s="2">
        <v>45438</v>
      </c>
      <c r="S1595" t="s">
        <v>69</v>
      </c>
      <c r="T1595" t="s">
        <v>80</v>
      </c>
      <c r="U1595" t="s">
        <v>6376</v>
      </c>
      <c r="V1595" t="s">
        <v>6388</v>
      </c>
      <c r="W1595" t="s">
        <v>101</v>
      </c>
      <c r="X1595">
        <v>76</v>
      </c>
      <c r="Y1595" t="s">
        <v>80</v>
      </c>
      <c r="Z1595">
        <v>249</v>
      </c>
    </row>
    <row r="1596" spans="1:26" x14ac:dyDescent="0.3">
      <c r="A1596">
        <v>1595</v>
      </c>
      <c r="B1596" t="s">
        <v>3476</v>
      </c>
      <c r="C1596" t="s">
        <v>11</v>
      </c>
      <c r="D1596" t="s">
        <v>35</v>
      </c>
      <c r="E1596" t="s">
        <v>6350</v>
      </c>
      <c r="F1596" t="s">
        <v>6381</v>
      </c>
      <c r="G1596" t="s">
        <v>6374</v>
      </c>
      <c r="H1596" t="s">
        <v>6375</v>
      </c>
      <c r="J1596">
        <f>AVERAGE(ai_job_market[[#This Row],[min_salary]],ai_job_market[[#This Row],[max_salary]])</f>
        <v>87394</v>
      </c>
      <c r="K1596"/>
      <c r="L1596" t="s">
        <v>27</v>
      </c>
      <c r="M1596" t="s">
        <v>15</v>
      </c>
      <c r="N1596" t="s">
        <v>5980</v>
      </c>
      <c r="O1596" t="s">
        <v>4652</v>
      </c>
      <c r="P1596">
        <v>70119</v>
      </c>
      <c r="Q1596">
        <v>104669</v>
      </c>
      <c r="R1596" s="2">
        <v>45603</v>
      </c>
      <c r="S1596" t="s">
        <v>14</v>
      </c>
      <c r="T1596" t="s">
        <v>70</v>
      </c>
      <c r="U1596" t="s">
        <v>6376</v>
      </c>
      <c r="W1596" t="s">
        <v>6350</v>
      </c>
      <c r="X1596">
        <v>84</v>
      </c>
      <c r="Y1596" t="s">
        <v>70</v>
      </c>
      <c r="Z1596">
        <v>268</v>
      </c>
    </row>
    <row r="1597" spans="1:26" x14ac:dyDescent="0.3">
      <c r="A1597">
        <v>1596</v>
      </c>
      <c r="B1597" t="s">
        <v>3478</v>
      </c>
      <c r="C1597" t="s">
        <v>49</v>
      </c>
      <c r="D1597" t="s">
        <v>35</v>
      </c>
      <c r="E1597" t="s">
        <v>6352</v>
      </c>
      <c r="F1597" t="s">
        <v>6381</v>
      </c>
      <c r="G1597" t="s">
        <v>6374</v>
      </c>
      <c r="H1597" t="s">
        <v>6390</v>
      </c>
      <c r="I1597" t="s">
        <v>6392</v>
      </c>
      <c r="J1597">
        <f>AVERAGE(ai_job_market[[#This Row],[min_salary]],ai_job_market[[#This Row],[max_salary]])</f>
        <v>125589.5</v>
      </c>
      <c r="K1597" t="s">
        <v>6385</v>
      </c>
      <c r="L1597" t="s">
        <v>14</v>
      </c>
      <c r="M1597" t="s">
        <v>51</v>
      </c>
      <c r="N1597" t="s">
        <v>5055</v>
      </c>
      <c r="O1597" t="s">
        <v>4710</v>
      </c>
      <c r="P1597">
        <v>96233</v>
      </c>
      <c r="Q1597">
        <v>154946</v>
      </c>
      <c r="R1597" s="2">
        <v>45841</v>
      </c>
      <c r="S1597" t="s">
        <v>69</v>
      </c>
      <c r="T1597" t="s">
        <v>101</v>
      </c>
      <c r="W1597" t="s">
        <v>6352</v>
      </c>
      <c r="X1597">
        <v>97</v>
      </c>
      <c r="Y1597" t="s">
        <v>101</v>
      </c>
      <c r="Z1597">
        <v>255</v>
      </c>
    </row>
    <row r="1598" spans="1:26" x14ac:dyDescent="0.3">
      <c r="A1598">
        <v>1597</v>
      </c>
      <c r="B1598" t="s">
        <v>3480</v>
      </c>
      <c r="C1598" t="s">
        <v>11</v>
      </c>
      <c r="D1598" t="s">
        <v>35</v>
      </c>
      <c r="E1598" t="s">
        <v>6357</v>
      </c>
      <c r="F1598" t="s">
        <v>6387</v>
      </c>
      <c r="G1598" t="s">
        <v>6389</v>
      </c>
      <c r="H1598" t="s">
        <v>6392</v>
      </c>
      <c r="I1598" t="s">
        <v>6374</v>
      </c>
      <c r="J1598">
        <f>AVERAGE(ai_job_market[[#This Row],[min_salary]],ai_job_market[[#This Row],[max_salary]])</f>
        <v>120906</v>
      </c>
      <c r="K1598" t="s">
        <v>6397</v>
      </c>
      <c r="L1598" t="s">
        <v>14</v>
      </c>
      <c r="M1598" t="s">
        <v>15</v>
      </c>
      <c r="N1598" t="s">
        <v>5981</v>
      </c>
      <c r="O1598" t="s">
        <v>5113</v>
      </c>
      <c r="P1598">
        <v>84163</v>
      </c>
      <c r="Q1598">
        <v>157649</v>
      </c>
      <c r="R1598" s="2">
        <v>45420</v>
      </c>
      <c r="S1598" t="s">
        <v>16</v>
      </c>
      <c r="T1598" t="s">
        <v>52</v>
      </c>
      <c r="U1598" t="s">
        <v>6379</v>
      </c>
      <c r="V1598" t="s">
        <v>6383</v>
      </c>
      <c r="W1598" t="s">
        <v>6357</v>
      </c>
      <c r="X1598">
        <v>88</v>
      </c>
      <c r="Y1598" t="s">
        <v>52</v>
      </c>
      <c r="Z1598">
        <v>238</v>
      </c>
    </row>
    <row r="1599" spans="1:26" x14ac:dyDescent="0.3">
      <c r="A1599">
        <v>1598</v>
      </c>
      <c r="B1599" t="s">
        <v>3483</v>
      </c>
      <c r="C1599" t="s">
        <v>45</v>
      </c>
      <c r="D1599" t="s">
        <v>30</v>
      </c>
      <c r="E1599" t="s">
        <v>6346</v>
      </c>
      <c r="F1599" t="s">
        <v>6391</v>
      </c>
      <c r="G1599" t="s">
        <v>6386</v>
      </c>
      <c r="H1599" t="s">
        <v>6381</v>
      </c>
      <c r="I1599" t="s">
        <v>6389</v>
      </c>
      <c r="J1599">
        <f>AVERAGE(ai_job_market[[#This Row],[min_salary]],ai_job_market[[#This Row],[max_salary]])</f>
        <v>150567.5</v>
      </c>
      <c r="K1599" t="s">
        <v>6380</v>
      </c>
      <c r="L1599" t="s">
        <v>14</v>
      </c>
      <c r="M1599" t="s">
        <v>51</v>
      </c>
      <c r="N1599" t="s">
        <v>5334</v>
      </c>
      <c r="O1599" t="s">
        <v>4526</v>
      </c>
      <c r="P1599">
        <v>108145</v>
      </c>
      <c r="Q1599">
        <v>192990</v>
      </c>
      <c r="R1599" s="2">
        <v>45473</v>
      </c>
      <c r="S1599" t="s">
        <v>69</v>
      </c>
      <c r="T1599" t="s">
        <v>80</v>
      </c>
      <c r="U1599" t="s">
        <v>6383</v>
      </c>
      <c r="V1599" t="s">
        <v>6378</v>
      </c>
      <c r="W1599" t="s">
        <v>6346</v>
      </c>
      <c r="X1599">
        <v>78</v>
      </c>
      <c r="Y1599" t="s">
        <v>80</v>
      </c>
      <c r="Z1599">
        <v>249</v>
      </c>
    </row>
    <row r="1600" spans="1:26" x14ac:dyDescent="0.3">
      <c r="A1600">
        <v>1599</v>
      </c>
      <c r="B1600" t="s">
        <v>3485</v>
      </c>
      <c r="C1600" t="s">
        <v>40</v>
      </c>
      <c r="D1600" t="s">
        <v>20</v>
      </c>
      <c r="E1600" t="s">
        <v>6349</v>
      </c>
      <c r="F1600" t="s">
        <v>6377</v>
      </c>
      <c r="G1600" t="s">
        <v>6380</v>
      </c>
      <c r="H1600" t="s">
        <v>6386</v>
      </c>
      <c r="I1600" t="s">
        <v>6375</v>
      </c>
      <c r="J1600">
        <f>AVERAGE(ai_job_market[[#This Row],[min_salary]],ai_job_market[[#This Row],[max_salary]])</f>
        <v>151198.5</v>
      </c>
      <c r="K1600"/>
      <c r="L1600" t="s">
        <v>14</v>
      </c>
      <c r="M1600" t="s">
        <v>15</v>
      </c>
      <c r="N1600" t="s">
        <v>5982</v>
      </c>
      <c r="O1600" t="s">
        <v>4791</v>
      </c>
      <c r="P1600">
        <v>108715</v>
      </c>
      <c r="Q1600">
        <v>193682</v>
      </c>
      <c r="R1600" s="2">
        <v>45891</v>
      </c>
      <c r="S1600" t="s">
        <v>16</v>
      </c>
      <c r="T1600" t="s">
        <v>52</v>
      </c>
      <c r="W1600" t="s">
        <v>6349</v>
      </c>
      <c r="X1600">
        <v>96</v>
      </c>
      <c r="Y1600" t="s">
        <v>52</v>
      </c>
      <c r="Z1600">
        <v>238</v>
      </c>
    </row>
    <row r="1601" spans="1:26" x14ac:dyDescent="0.3">
      <c r="A1601">
        <v>1600</v>
      </c>
      <c r="B1601" t="s">
        <v>3487</v>
      </c>
      <c r="C1601" t="s">
        <v>40</v>
      </c>
      <c r="D1601" t="s">
        <v>30</v>
      </c>
      <c r="E1601" t="s">
        <v>6347</v>
      </c>
      <c r="F1601" t="s">
        <v>6386</v>
      </c>
      <c r="G1601" t="s">
        <v>6375</v>
      </c>
      <c r="H1601" t="s">
        <v>6394</v>
      </c>
      <c r="J1601">
        <f>AVERAGE(ai_job_market[[#This Row],[min_salary]],ai_job_market[[#This Row],[max_salary]])</f>
        <v>173480.5</v>
      </c>
      <c r="K1601"/>
      <c r="L1601" t="s">
        <v>22</v>
      </c>
      <c r="M1601" t="s">
        <v>15</v>
      </c>
      <c r="N1601" t="s">
        <v>5983</v>
      </c>
      <c r="O1601" t="s">
        <v>4281</v>
      </c>
      <c r="P1601">
        <v>147144</v>
      </c>
      <c r="Q1601">
        <v>199817</v>
      </c>
      <c r="R1601" s="2">
        <v>45725</v>
      </c>
      <c r="S1601" t="s">
        <v>16</v>
      </c>
      <c r="T1601" t="s">
        <v>90</v>
      </c>
      <c r="W1601" t="s">
        <v>6347</v>
      </c>
      <c r="X1601">
        <v>94</v>
      </c>
      <c r="Y1601" t="s">
        <v>90</v>
      </c>
      <c r="Z1601">
        <v>259</v>
      </c>
    </row>
    <row r="1602" spans="1:26" x14ac:dyDescent="0.3">
      <c r="A1602">
        <v>1601</v>
      </c>
      <c r="B1602" t="s">
        <v>3489</v>
      </c>
      <c r="C1602" t="s">
        <v>45</v>
      </c>
      <c r="D1602" t="s">
        <v>30</v>
      </c>
      <c r="E1602" t="s">
        <v>128</v>
      </c>
      <c r="F1602" t="s">
        <v>6377</v>
      </c>
      <c r="G1602" t="s">
        <v>6376</v>
      </c>
      <c r="H1602" t="s">
        <v>6379</v>
      </c>
      <c r="I1602" t="s">
        <v>6374</v>
      </c>
      <c r="J1602">
        <f>AVERAGE(ai_job_market[[#This Row],[min_salary]],ai_job_market[[#This Row],[max_salary]])</f>
        <v>185305.5</v>
      </c>
      <c r="K1602" t="s">
        <v>6390</v>
      </c>
      <c r="L1602" t="s">
        <v>27</v>
      </c>
      <c r="M1602" t="s">
        <v>42</v>
      </c>
      <c r="N1602" t="s">
        <v>5984</v>
      </c>
      <c r="O1602" t="s">
        <v>4666</v>
      </c>
      <c r="P1602">
        <v>145610</v>
      </c>
      <c r="Q1602">
        <v>225001</v>
      </c>
      <c r="R1602" s="2">
        <v>45521</v>
      </c>
      <c r="S1602" t="s">
        <v>69</v>
      </c>
      <c r="T1602" t="s">
        <v>80</v>
      </c>
      <c r="W1602" t="s">
        <v>128</v>
      </c>
      <c r="X1602">
        <v>92</v>
      </c>
      <c r="Y1602" t="s">
        <v>80</v>
      </c>
      <c r="Z1602">
        <v>249</v>
      </c>
    </row>
    <row r="1603" spans="1:26" x14ac:dyDescent="0.3">
      <c r="A1603">
        <v>1602</v>
      </c>
      <c r="B1603" t="s">
        <v>3491</v>
      </c>
      <c r="C1603" t="s">
        <v>11</v>
      </c>
      <c r="D1603" t="s">
        <v>20</v>
      </c>
      <c r="E1603" t="s">
        <v>6355</v>
      </c>
      <c r="F1603" t="s">
        <v>6393</v>
      </c>
      <c r="G1603" t="s">
        <v>6396</v>
      </c>
      <c r="H1603" t="s">
        <v>6376</v>
      </c>
      <c r="J1603">
        <f>AVERAGE(ai_job_market[[#This Row],[min_salary]],ai_job_market[[#This Row],[max_salary]])</f>
        <v>103692.5</v>
      </c>
      <c r="K1603"/>
      <c r="L1603" t="s">
        <v>14</v>
      </c>
      <c r="M1603" t="s">
        <v>37</v>
      </c>
      <c r="N1603" t="s">
        <v>5985</v>
      </c>
      <c r="O1603" t="s">
        <v>4783</v>
      </c>
      <c r="P1603">
        <v>60515</v>
      </c>
      <c r="Q1603">
        <v>146870</v>
      </c>
      <c r="R1603" s="2">
        <v>45692</v>
      </c>
      <c r="S1603" t="s">
        <v>14</v>
      </c>
      <c r="T1603" t="s">
        <v>128</v>
      </c>
      <c r="U1603" t="s">
        <v>6378</v>
      </c>
      <c r="V1603" t="s">
        <v>6384</v>
      </c>
      <c r="W1603" t="s">
        <v>6355</v>
      </c>
      <c r="X1603">
        <v>90</v>
      </c>
      <c r="Y1603" t="s">
        <v>128</v>
      </c>
      <c r="Z1603">
        <v>233</v>
      </c>
    </row>
    <row r="1604" spans="1:26" x14ac:dyDescent="0.3">
      <c r="A1604">
        <v>1603</v>
      </c>
      <c r="B1604" t="s">
        <v>3493</v>
      </c>
      <c r="C1604" t="s">
        <v>19</v>
      </c>
      <c r="D1604" t="s">
        <v>12</v>
      </c>
      <c r="E1604" t="s">
        <v>6350</v>
      </c>
      <c r="F1604" t="s">
        <v>6380</v>
      </c>
      <c r="G1604" t="s">
        <v>6376</v>
      </c>
      <c r="H1604" t="s">
        <v>6390</v>
      </c>
      <c r="J1604">
        <f>AVERAGE(ai_job_market[[#This Row],[min_salary]],ai_job_market[[#This Row],[max_salary]])</f>
        <v>157180</v>
      </c>
      <c r="K1604"/>
      <c r="L1604" t="s">
        <v>27</v>
      </c>
      <c r="M1604" t="s">
        <v>51</v>
      </c>
      <c r="N1604" t="s">
        <v>5770</v>
      </c>
      <c r="O1604" t="s">
        <v>4699</v>
      </c>
      <c r="P1604">
        <v>120811</v>
      </c>
      <c r="Q1604">
        <v>193549</v>
      </c>
      <c r="R1604" s="2">
        <v>45887</v>
      </c>
      <c r="S1604" t="s">
        <v>14</v>
      </c>
      <c r="T1604" t="s">
        <v>157</v>
      </c>
      <c r="U1604" t="s">
        <v>6388</v>
      </c>
      <c r="W1604" t="s">
        <v>6350</v>
      </c>
      <c r="X1604">
        <v>84</v>
      </c>
      <c r="Y1604" t="s">
        <v>157</v>
      </c>
      <c r="Z1604">
        <v>247</v>
      </c>
    </row>
    <row r="1605" spans="1:26" x14ac:dyDescent="0.3">
      <c r="A1605">
        <v>1604</v>
      </c>
      <c r="B1605" t="s">
        <v>3495</v>
      </c>
      <c r="C1605" t="s">
        <v>72</v>
      </c>
      <c r="D1605" t="s">
        <v>25</v>
      </c>
      <c r="E1605" t="s">
        <v>77</v>
      </c>
      <c r="F1605" t="s">
        <v>6376</v>
      </c>
      <c r="G1605" t="s">
        <v>6386</v>
      </c>
      <c r="H1605" t="s">
        <v>6394</v>
      </c>
      <c r="J1605">
        <f>AVERAGE(ai_job_market[[#This Row],[min_salary]],ai_job_market[[#This Row],[max_salary]])</f>
        <v>94152</v>
      </c>
      <c r="K1605"/>
      <c r="L1605" t="s">
        <v>14</v>
      </c>
      <c r="M1605" t="s">
        <v>42</v>
      </c>
      <c r="N1605" t="s">
        <v>4693</v>
      </c>
      <c r="O1605" t="s">
        <v>4327</v>
      </c>
      <c r="P1605">
        <v>61543</v>
      </c>
      <c r="Q1605">
        <v>126761</v>
      </c>
      <c r="R1605" s="2">
        <v>45865</v>
      </c>
      <c r="S1605" t="s">
        <v>69</v>
      </c>
      <c r="T1605" t="s">
        <v>80</v>
      </c>
      <c r="W1605" t="s">
        <v>77</v>
      </c>
      <c r="X1605">
        <v>111</v>
      </c>
      <c r="Y1605" t="s">
        <v>80</v>
      </c>
      <c r="Z1605">
        <v>249</v>
      </c>
    </row>
    <row r="1606" spans="1:26" x14ac:dyDescent="0.3">
      <c r="A1606">
        <v>1605</v>
      </c>
      <c r="B1606" t="s">
        <v>3497</v>
      </c>
      <c r="C1606" t="s">
        <v>11</v>
      </c>
      <c r="D1606" t="s">
        <v>54</v>
      </c>
      <c r="E1606" t="s">
        <v>6359</v>
      </c>
      <c r="F1606" t="s">
        <v>6392</v>
      </c>
      <c r="G1606" t="s">
        <v>6394</v>
      </c>
      <c r="H1606" t="s">
        <v>6390</v>
      </c>
      <c r="J1606" s="6">
        <f>AVERAGE(ai_job_market[[#This Row],[min_salary]],ai_job_market[[#This Row],[max_salary]])</f>
        <v>152638</v>
      </c>
      <c r="K1606"/>
      <c r="L1606" t="s">
        <v>27</v>
      </c>
      <c r="M1606" t="s">
        <v>51</v>
      </c>
      <c r="N1606" t="s">
        <v>5986</v>
      </c>
      <c r="O1606" t="s">
        <v>4617</v>
      </c>
      <c r="P1606" s="5">
        <v>147220</v>
      </c>
      <c r="Q1606" s="5">
        <v>158056</v>
      </c>
      <c r="R1606" s="2">
        <v>45582</v>
      </c>
      <c r="S1606" t="s">
        <v>69</v>
      </c>
      <c r="T1606" t="s">
        <v>90</v>
      </c>
      <c r="U1606" t="s">
        <v>6375</v>
      </c>
      <c r="V1606" t="s">
        <v>6378</v>
      </c>
      <c r="W1606" t="s">
        <v>6359</v>
      </c>
      <c r="X1606">
        <v>104</v>
      </c>
      <c r="Y1606" t="s">
        <v>90</v>
      </c>
      <c r="Z1606">
        <v>259</v>
      </c>
    </row>
    <row r="1607" spans="1:26" x14ac:dyDescent="0.3">
      <c r="A1607">
        <v>1606</v>
      </c>
      <c r="B1607" t="s">
        <v>3499</v>
      </c>
      <c r="C1607" t="s">
        <v>72</v>
      </c>
      <c r="D1607" t="s">
        <v>12</v>
      </c>
      <c r="E1607" t="s">
        <v>6351</v>
      </c>
      <c r="F1607" t="s">
        <v>6396</v>
      </c>
      <c r="G1607" t="s">
        <v>6381</v>
      </c>
      <c r="H1607" t="s">
        <v>6379</v>
      </c>
      <c r="J1607" s="6">
        <f>AVERAGE(ai_job_market[[#This Row],[min_salary]],ai_job_market[[#This Row],[max_salary]])</f>
        <v>111883.5</v>
      </c>
      <c r="K1607"/>
      <c r="L1607" t="s">
        <v>14</v>
      </c>
      <c r="M1607" t="s">
        <v>37</v>
      </c>
      <c r="N1607" t="s">
        <v>4770</v>
      </c>
      <c r="O1607" t="s">
        <v>4610</v>
      </c>
      <c r="P1607" s="5">
        <v>63354</v>
      </c>
      <c r="Q1607" s="5">
        <v>160413</v>
      </c>
      <c r="R1607" s="2">
        <v>45257</v>
      </c>
      <c r="S1607" t="s">
        <v>69</v>
      </c>
      <c r="T1607" t="s">
        <v>157</v>
      </c>
      <c r="U1607" t="s">
        <v>6388</v>
      </c>
      <c r="W1607" t="s">
        <v>6351</v>
      </c>
      <c r="X1607">
        <v>89</v>
      </c>
      <c r="Y1607" t="s">
        <v>157</v>
      </c>
      <c r="Z1607">
        <v>247</v>
      </c>
    </row>
    <row r="1608" spans="1:26" x14ac:dyDescent="0.3">
      <c r="A1608">
        <v>1607</v>
      </c>
      <c r="B1608" t="s">
        <v>3501</v>
      </c>
      <c r="C1608" t="s">
        <v>19</v>
      </c>
      <c r="D1608" t="s">
        <v>25</v>
      </c>
      <c r="E1608" t="s">
        <v>128</v>
      </c>
      <c r="F1608" t="s">
        <v>6379</v>
      </c>
      <c r="G1608" t="s">
        <v>6378</v>
      </c>
      <c r="J1608" s="6">
        <f>AVERAGE(ai_job_market[[#This Row],[min_salary]],ai_job_market[[#This Row],[max_salary]])</f>
        <v>153020.5</v>
      </c>
      <c r="K1608"/>
      <c r="L1608" t="s">
        <v>22</v>
      </c>
      <c r="M1608" t="s">
        <v>15</v>
      </c>
      <c r="N1608" t="s">
        <v>5987</v>
      </c>
      <c r="O1608" t="s">
        <v>4684</v>
      </c>
      <c r="P1608" s="5">
        <v>131169</v>
      </c>
      <c r="Q1608" s="5">
        <v>174872</v>
      </c>
      <c r="R1608" s="2">
        <v>45337</v>
      </c>
      <c r="S1608" t="s">
        <v>14</v>
      </c>
      <c r="T1608" t="s">
        <v>157</v>
      </c>
      <c r="W1608" t="s">
        <v>128</v>
      </c>
      <c r="X1608">
        <v>92</v>
      </c>
      <c r="Y1608" t="s">
        <v>157</v>
      </c>
      <c r="Z1608">
        <v>247</v>
      </c>
    </row>
    <row r="1609" spans="1:26" x14ac:dyDescent="0.3">
      <c r="A1609">
        <v>1608</v>
      </c>
      <c r="B1609" t="s">
        <v>3503</v>
      </c>
      <c r="C1609" t="s">
        <v>11</v>
      </c>
      <c r="D1609" t="s">
        <v>54</v>
      </c>
      <c r="E1609" t="s">
        <v>101</v>
      </c>
      <c r="F1609" t="s">
        <v>6394</v>
      </c>
      <c r="G1609" t="s">
        <v>6395</v>
      </c>
      <c r="H1609" t="s">
        <v>6391</v>
      </c>
      <c r="I1609" t="s">
        <v>6378</v>
      </c>
      <c r="J1609">
        <f>AVERAGE(ai_job_market[[#This Row],[min_salary]],ai_job_market[[#This Row],[max_salary]])</f>
        <v>88227</v>
      </c>
      <c r="K1609" t="s">
        <v>6374</v>
      </c>
      <c r="L1609" t="s">
        <v>22</v>
      </c>
      <c r="M1609" t="s">
        <v>15</v>
      </c>
      <c r="N1609" t="s">
        <v>5988</v>
      </c>
      <c r="O1609" t="s">
        <v>4524</v>
      </c>
      <c r="P1609">
        <v>41566</v>
      </c>
      <c r="Q1609">
        <v>134888</v>
      </c>
      <c r="R1609" s="2">
        <v>45507</v>
      </c>
      <c r="S1609" t="s">
        <v>69</v>
      </c>
      <c r="T1609" t="s">
        <v>77</v>
      </c>
      <c r="U1609" t="s">
        <v>6379</v>
      </c>
      <c r="V1609" t="s">
        <v>6384</v>
      </c>
      <c r="W1609" t="s">
        <v>101</v>
      </c>
      <c r="X1609">
        <v>76</v>
      </c>
      <c r="Y1609" t="s">
        <v>77</v>
      </c>
      <c r="Z1609">
        <v>251</v>
      </c>
    </row>
    <row r="1610" spans="1:26" x14ac:dyDescent="0.3">
      <c r="A1610">
        <v>1609</v>
      </c>
      <c r="B1610" t="s">
        <v>3505</v>
      </c>
      <c r="C1610" t="s">
        <v>40</v>
      </c>
      <c r="D1610" t="s">
        <v>25</v>
      </c>
      <c r="E1610" t="s">
        <v>6349</v>
      </c>
      <c r="F1610" t="s">
        <v>6377</v>
      </c>
      <c r="G1610" t="s">
        <v>6375</v>
      </c>
      <c r="J1610">
        <f>AVERAGE(ai_job_market[[#This Row],[min_salary]],ai_job_market[[#This Row],[max_salary]])</f>
        <v>164671.5</v>
      </c>
      <c r="K1610"/>
      <c r="L1610" t="s">
        <v>22</v>
      </c>
      <c r="M1610" t="s">
        <v>51</v>
      </c>
      <c r="N1610" t="s">
        <v>5989</v>
      </c>
      <c r="O1610" t="s">
        <v>4678</v>
      </c>
      <c r="P1610">
        <v>118883</v>
      </c>
      <c r="Q1610">
        <v>210460</v>
      </c>
      <c r="R1610" s="2">
        <v>45696</v>
      </c>
      <c r="S1610" t="s">
        <v>69</v>
      </c>
      <c r="T1610" t="s">
        <v>101</v>
      </c>
      <c r="W1610" t="s">
        <v>6349</v>
      </c>
      <c r="X1610">
        <v>96</v>
      </c>
      <c r="Y1610" t="s">
        <v>101</v>
      </c>
      <c r="Z1610">
        <v>255</v>
      </c>
    </row>
    <row r="1611" spans="1:26" x14ac:dyDescent="0.3">
      <c r="A1611">
        <v>1610</v>
      </c>
      <c r="B1611" t="s">
        <v>974</v>
      </c>
      <c r="C1611" t="s">
        <v>19</v>
      </c>
      <c r="D1611" t="s">
        <v>54</v>
      </c>
      <c r="E1611" t="s">
        <v>101</v>
      </c>
      <c r="F1611" t="s">
        <v>6389</v>
      </c>
      <c r="G1611" t="s">
        <v>6397</v>
      </c>
      <c r="H1611" t="s">
        <v>6387</v>
      </c>
      <c r="I1611" t="s">
        <v>6382</v>
      </c>
      <c r="J1611">
        <f>AVERAGE(ai_job_market[[#This Row],[min_salary]],ai_job_market[[#This Row],[max_salary]])</f>
        <v>110970.5</v>
      </c>
      <c r="K1611" t="s">
        <v>6378</v>
      </c>
      <c r="L1611" t="s">
        <v>22</v>
      </c>
      <c r="M1611" t="s">
        <v>51</v>
      </c>
      <c r="N1611" t="s">
        <v>5990</v>
      </c>
      <c r="O1611" t="s">
        <v>4327</v>
      </c>
      <c r="P1611">
        <v>95354</v>
      </c>
      <c r="Q1611">
        <v>126587</v>
      </c>
      <c r="R1611" s="2">
        <v>45818</v>
      </c>
      <c r="S1611" t="s">
        <v>69</v>
      </c>
      <c r="T1611" t="s">
        <v>90</v>
      </c>
      <c r="W1611" t="s">
        <v>101</v>
      </c>
      <c r="X1611">
        <v>76</v>
      </c>
      <c r="Y1611" t="s">
        <v>90</v>
      </c>
      <c r="Z1611">
        <v>259</v>
      </c>
    </row>
    <row r="1612" spans="1:26" x14ac:dyDescent="0.3">
      <c r="A1612">
        <v>1611</v>
      </c>
      <c r="B1612" t="s">
        <v>3508</v>
      </c>
      <c r="C1612" t="s">
        <v>11</v>
      </c>
      <c r="D1612" t="s">
        <v>20</v>
      </c>
      <c r="E1612" t="s">
        <v>6352</v>
      </c>
      <c r="F1612" t="s">
        <v>6377</v>
      </c>
      <c r="G1612" t="s">
        <v>6380</v>
      </c>
      <c r="H1612" t="s">
        <v>6389</v>
      </c>
      <c r="J1612">
        <f>AVERAGE(ai_job_market[[#This Row],[min_salary]],ai_job_market[[#This Row],[max_salary]])</f>
        <v>179130.5</v>
      </c>
      <c r="K1612"/>
      <c r="L1612" t="s">
        <v>22</v>
      </c>
      <c r="M1612" t="s">
        <v>15</v>
      </c>
      <c r="N1612" t="s">
        <v>5991</v>
      </c>
      <c r="O1612" t="s">
        <v>4652</v>
      </c>
      <c r="P1612">
        <v>142291</v>
      </c>
      <c r="Q1612">
        <v>215970</v>
      </c>
      <c r="R1612" s="2">
        <v>45200</v>
      </c>
      <c r="S1612" t="s">
        <v>69</v>
      </c>
      <c r="T1612" t="s">
        <v>70</v>
      </c>
      <c r="U1612" t="s">
        <v>6383</v>
      </c>
      <c r="V1612" t="s">
        <v>6378</v>
      </c>
      <c r="W1612" t="s">
        <v>6352</v>
      </c>
      <c r="X1612">
        <v>97</v>
      </c>
      <c r="Y1612" t="s">
        <v>70</v>
      </c>
      <c r="Z1612">
        <v>268</v>
      </c>
    </row>
    <row r="1613" spans="1:26" x14ac:dyDescent="0.3">
      <c r="A1613">
        <v>1612</v>
      </c>
      <c r="B1613" t="s">
        <v>3510</v>
      </c>
      <c r="C1613" t="s">
        <v>49</v>
      </c>
      <c r="D1613" t="s">
        <v>20</v>
      </c>
      <c r="E1613" t="s">
        <v>101</v>
      </c>
      <c r="F1613" t="s">
        <v>6396</v>
      </c>
      <c r="G1613" t="s">
        <v>6395</v>
      </c>
      <c r="H1613" t="s">
        <v>6397</v>
      </c>
      <c r="J1613">
        <f>AVERAGE(ai_job_market[[#This Row],[min_salary]],ai_job_market[[#This Row],[max_salary]])</f>
        <v>56335.5</v>
      </c>
      <c r="K1613"/>
      <c r="L1613" t="s">
        <v>27</v>
      </c>
      <c r="M1613" t="s">
        <v>42</v>
      </c>
      <c r="N1613" t="s">
        <v>4304</v>
      </c>
      <c r="O1613" t="s">
        <v>4842</v>
      </c>
      <c r="P1613">
        <v>40629</v>
      </c>
      <c r="Q1613">
        <v>72042</v>
      </c>
      <c r="R1613" s="2">
        <v>45800</v>
      </c>
      <c r="S1613" t="s">
        <v>14</v>
      </c>
      <c r="T1613" t="s">
        <v>157</v>
      </c>
      <c r="W1613" t="s">
        <v>101</v>
      </c>
      <c r="X1613">
        <v>76</v>
      </c>
      <c r="Y1613" t="s">
        <v>157</v>
      </c>
      <c r="Z1613">
        <v>247</v>
      </c>
    </row>
    <row r="1614" spans="1:26" x14ac:dyDescent="0.3">
      <c r="A1614">
        <v>1613</v>
      </c>
      <c r="B1614" t="s">
        <v>3512</v>
      </c>
      <c r="C1614" t="s">
        <v>19</v>
      </c>
      <c r="D1614" t="s">
        <v>35</v>
      </c>
      <c r="E1614" t="s">
        <v>70</v>
      </c>
      <c r="F1614" t="s">
        <v>6382</v>
      </c>
      <c r="G1614" t="s">
        <v>6374</v>
      </c>
      <c r="H1614" t="s">
        <v>6387</v>
      </c>
      <c r="I1614" t="s">
        <v>6378</v>
      </c>
      <c r="J1614">
        <f>AVERAGE(ai_job_market[[#This Row],[min_salary]],ai_job_market[[#This Row],[max_salary]])</f>
        <v>100540</v>
      </c>
      <c r="K1614"/>
      <c r="L1614" t="s">
        <v>14</v>
      </c>
      <c r="M1614" t="s">
        <v>42</v>
      </c>
      <c r="N1614" t="s">
        <v>5992</v>
      </c>
      <c r="O1614" t="s">
        <v>4536</v>
      </c>
      <c r="P1614">
        <v>54969</v>
      </c>
      <c r="Q1614">
        <v>146111</v>
      </c>
      <c r="R1614" s="2">
        <v>45240</v>
      </c>
      <c r="S1614" t="s">
        <v>14</v>
      </c>
      <c r="T1614" t="s">
        <v>90</v>
      </c>
      <c r="U1614" t="s">
        <v>6383</v>
      </c>
      <c r="V1614" t="s">
        <v>6375</v>
      </c>
      <c r="W1614" t="s">
        <v>70</v>
      </c>
      <c r="X1614">
        <v>100</v>
      </c>
      <c r="Y1614" t="s">
        <v>90</v>
      </c>
      <c r="Z1614">
        <v>259</v>
      </c>
    </row>
    <row r="1615" spans="1:26" x14ac:dyDescent="0.3">
      <c r="A1615">
        <v>1614</v>
      </c>
      <c r="B1615" t="s">
        <v>3515</v>
      </c>
      <c r="C1615" t="s">
        <v>49</v>
      </c>
      <c r="D1615" t="s">
        <v>25</v>
      </c>
      <c r="E1615" t="s">
        <v>128</v>
      </c>
      <c r="F1615" t="s">
        <v>6395</v>
      </c>
      <c r="G1615" t="s">
        <v>6382</v>
      </c>
      <c r="H1615" t="s">
        <v>6393</v>
      </c>
      <c r="J1615">
        <f>AVERAGE(ai_job_market[[#This Row],[min_salary]],ai_job_market[[#This Row],[max_salary]])</f>
        <v>129939.5</v>
      </c>
      <c r="K1615"/>
      <c r="L1615" t="s">
        <v>14</v>
      </c>
      <c r="M1615" t="s">
        <v>51</v>
      </c>
      <c r="N1615" t="s">
        <v>5993</v>
      </c>
      <c r="O1615" t="s">
        <v>4369</v>
      </c>
      <c r="P1615">
        <v>108252</v>
      </c>
      <c r="Q1615">
        <v>151627</v>
      </c>
      <c r="R1615" s="2">
        <v>45890</v>
      </c>
      <c r="S1615" t="s">
        <v>69</v>
      </c>
      <c r="T1615" t="s">
        <v>52</v>
      </c>
      <c r="W1615" t="s">
        <v>128</v>
      </c>
      <c r="X1615">
        <v>92</v>
      </c>
      <c r="Y1615" t="s">
        <v>52</v>
      </c>
      <c r="Z1615">
        <v>238</v>
      </c>
    </row>
    <row r="1616" spans="1:26" x14ac:dyDescent="0.3">
      <c r="A1616">
        <v>1615</v>
      </c>
      <c r="B1616" t="s">
        <v>3517</v>
      </c>
      <c r="C1616" t="s">
        <v>49</v>
      </c>
      <c r="D1616" t="s">
        <v>135</v>
      </c>
      <c r="E1616" t="s">
        <v>6351</v>
      </c>
      <c r="F1616" t="s">
        <v>6381</v>
      </c>
      <c r="G1616" t="s">
        <v>6379</v>
      </c>
      <c r="H1616" t="s">
        <v>6378</v>
      </c>
      <c r="I1616" t="s">
        <v>6392</v>
      </c>
      <c r="J1616">
        <f>AVERAGE(ai_job_market[[#This Row],[min_salary]],ai_job_market[[#This Row],[max_salary]])</f>
        <v>111402</v>
      </c>
      <c r="K1616"/>
      <c r="L1616" t="s">
        <v>22</v>
      </c>
      <c r="M1616" t="s">
        <v>42</v>
      </c>
      <c r="N1616" t="s">
        <v>5994</v>
      </c>
      <c r="O1616" t="s">
        <v>4783</v>
      </c>
      <c r="P1616">
        <v>70656</v>
      </c>
      <c r="Q1616">
        <v>152148</v>
      </c>
      <c r="R1616" s="2">
        <v>45405</v>
      </c>
      <c r="S1616" t="s">
        <v>69</v>
      </c>
      <c r="T1616" t="s">
        <v>90</v>
      </c>
      <c r="U1616" t="s">
        <v>6384</v>
      </c>
      <c r="W1616" t="s">
        <v>6351</v>
      </c>
      <c r="X1616">
        <v>89</v>
      </c>
      <c r="Y1616" t="s">
        <v>90</v>
      </c>
      <c r="Z1616">
        <v>259</v>
      </c>
    </row>
    <row r="1617" spans="1:26" x14ac:dyDescent="0.3">
      <c r="A1617">
        <v>1616</v>
      </c>
      <c r="B1617" t="s">
        <v>3519</v>
      </c>
      <c r="C1617" t="s">
        <v>40</v>
      </c>
      <c r="D1617" t="s">
        <v>54</v>
      </c>
      <c r="E1617" t="s">
        <v>77</v>
      </c>
      <c r="F1617" t="s">
        <v>6385</v>
      </c>
      <c r="G1617" t="s">
        <v>6389</v>
      </c>
      <c r="J1617">
        <f>AVERAGE(ai_job_market[[#This Row],[min_salary]],ai_job_market[[#This Row],[max_salary]])</f>
        <v>100218</v>
      </c>
      <c r="K1617"/>
      <c r="L1617" t="s">
        <v>22</v>
      </c>
      <c r="M1617" t="s">
        <v>37</v>
      </c>
      <c r="N1617" t="s">
        <v>5995</v>
      </c>
      <c r="O1617" t="s">
        <v>4343</v>
      </c>
      <c r="P1617">
        <v>73293</v>
      </c>
      <c r="Q1617">
        <v>127143</v>
      </c>
      <c r="R1617" s="2">
        <v>45786</v>
      </c>
      <c r="S1617" t="s">
        <v>69</v>
      </c>
      <c r="T1617" t="s">
        <v>77</v>
      </c>
      <c r="U1617" t="s">
        <v>6384</v>
      </c>
      <c r="W1617" t="s">
        <v>77</v>
      </c>
      <c r="X1617">
        <v>111</v>
      </c>
      <c r="Y1617" t="s">
        <v>77</v>
      </c>
      <c r="Z1617">
        <v>251</v>
      </c>
    </row>
    <row r="1618" spans="1:26" x14ac:dyDescent="0.3">
      <c r="A1618">
        <v>1617</v>
      </c>
      <c r="B1618" t="s">
        <v>3521</v>
      </c>
      <c r="C1618" t="s">
        <v>72</v>
      </c>
      <c r="D1618" t="s">
        <v>135</v>
      </c>
      <c r="E1618" t="s">
        <v>6353</v>
      </c>
      <c r="F1618" t="s">
        <v>6385</v>
      </c>
      <c r="G1618" t="s">
        <v>6390</v>
      </c>
      <c r="H1618" t="s">
        <v>6396</v>
      </c>
      <c r="I1618" t="s">
        <v>6391</v>
      </c>
      <c r="J1618">
        <f>AVERAGE(ai_job_market[[#This Row],[min_salary]],ai_job_market[[#This Row],[max_salary]])</f>
        <v>78485</v>
      </c>
      <c r="K1618"/>
      <c r="L1618" t="s">
        <v>14</v>
      </c>
      <c r="M1618" t="s">
        <v>42</v>
      </c>
      <c r="N1618" t="s">
        <v>5996</v>
      </c>
      <c r="O1618" t="s">
        <v>4488</v>
      </c>
      <c r="P1618">
        <v>58659</v>
      </c>
      <c r="Q1618">
        <v>98311</v>
      </c>
      <c r="R1618" s="2">
        <v>45395</v>
      </c>
      <c r="S1618" t="s">
        <v>16</v>
      </c>
      <c r="T1618" t="s">
        <v>90</v>
      </c>
      <c r="U1618" t="s">
        <v>6375</v>
      </c>
      <c r="V1618" t="s">
        <v>6376</v>
      </c>
      <c r="W1618" t="s">
        <v>6353</v>
      </c>
      <c r="X1618">
        <v>86</v>
      </c>
      <c r="Y1618" t="s">
        <v>90</v>
      </c>
      <c r="Z1618">
        <v>259</v>
      </c>
    </row>
    <row r="1619" spans="1:26" x14ac:dyDescent="0.3">
      <c r="A1619">
        <v>1618</v>
      </c>
      <c r="B1619" t="s">
        <v>3523</v>
      </c>
      <c r="C1619" t="s">
        <v>40</v>
      </c>
      <c r="D1619" t="s">
        <v>67</v>
      </c>
      <c r="E1619" t="s">
        <v>128</v>
      </c>
      <c r="F1619" t="s">
        <v>6381</v>
      </c>
      <c r="G1619" t="s">
        <v>6397</v>
      </c>
      <c r="J1619">
        <f>AVERAGE(ai_job_market[[#This Row],[min_salary]],ai_job_market[[#This Row],[max_salary]])</f>
        <v>132373.5</v>
      </c>
      <c r="K1619"/>
      <c r="L1619" t="s">
        <v>27</v>
      </c>
      <c r="M1619" t="s">
        <v>42</v>
      </c>
      <c r="N1619" t="s">
        <v>5997</v>
      </c>
      <c r="O1619" t="s">
        <v>4835</v>
      </c>
      <c r="P1619">
        <v>124301</v>
      </c>
      <c r="Q1619">
        <v>140446</v>
      </c>
      <c r="R1619" s="2">
        <v>45535</v>
      </c>
      <c r="S1619" t="s">
        <v>69</v>
      </c>
      <c r="T1619" t="s">
        <v>77</v>
      </c>
      <c r="U1619" t="s">
        <v>6379</v>
      </c>
      <c r="W1619" t="s">
        <v>128</v>
      </c>
      <c r="X1619">
        <v>92</v>
      </c>
      <c r="Y1619" t="s">
        <v>77</v>
      </c>
      <c r="Z1619">
        <v>251</v>
      </c>
    </row>
    <row r="1620" spans="1:26" x14ac:dyDescent="0.3">
      <c r="A1620">
        <v>1619</v>
      </c>
      <c r="B1620" t="s">
        <v>3525</v>
      </c>
      <c r="C1620" t="s">
        <v>72</v>
      </c>
      <c r="D1620" t="s">
        <v>30</v>
      </c>
      <c r="E1620" t="s">
        <v>80</v>
      </c>
      <c r="F1620" t="s">
        <v>6377</v>
      </c>
      <c r="G1620" t="s">
        <v>6380</v>
      </c>
      <c r="H1620" t="s">
        <v>6387</v>
      </c>
      <c r="J1620">
        <f>AVERAGE(ai_job_market[[#This Row],[min_salary]],ai_job_market[[#This Row],[max_salary]])</f>
        <v>126301.5</v>
      </c>
      <c r="K1620"/>
      <c r="L1620" t="s">
        <v>27</v>
      </c>
      <c r="M1620" t="s">
        <v>37</v>
      </c>
      <c r="N1620" t="s">
        <v>5950</v>
      </c>
      <c r="O1620" t="s">
        <v>4831</v>
      </c>
      <c r="P1620">
        <v>113791</v>
      </c>
      <c r="Q1620">
        <v>138812</v>
      </c>
      <c r="R1620" s="2">
        <v>45190</v>
      </c>
      <c r="S1620" t="s">
        <v>16</v>
      </c>
      <c r="T1620" t="s">
        <v>70</v>
      </c>
      <c r="W1620" t="s">
        <v>80</v>
      </c>
      <c r="X1620">
        <v>95</v>
      </c>
      <c r="Y1620" t="s">
        <v>70</v>
      </c>
      <c r="Z1620">
        <v>268</v>
      </c>
    </row>
    <row r="1621" spans="1:26" x14ac:dyDescent="0.3">
      <c r="A1621">
        <v>1620</v>
      </c>
      <c r="B1621" t="s">
        <v>3527</v>
      </c>
      <c r="C1621" t="s">
        <v>19</v>
      </c>
      <c r="D1621" t="s">
        <v>12</v>
      </c>
      <c r="E1621" t="s">
        <v>6357</v>
      </c>
      <c r="F1621" t="s">
        <v>6380</v>
      </c>
      <c r="G1621" t="s">
        <v>6379</v>
      </c>
      <c r="H1621" t="s">
        <v>6376</v>
      </c>
      <c r="I1621" t="s">
        <v>6374</v>
      </c>
      <c r="J1621">
        <f>AVERAGE(ai_job_market[[#This Row],[min_salary]],ai_job_market[[#This Row],[max_salary]])</f>
        <v>184067</v>
      </c>
      <c r="K1621"/>
      <c r="L1621" t="s">
        <v>14</v>
      </c>
      <c r="M1621" t="s">
        <v>42</v>
      </c>
      <c r="N1621" t="s">
        <v>5998</v>
      </c>
      <c r="O1621" t="s">
        <v>4293</v>
      </c>
      <c r="P1621">
        <v>145000</v>
      </c>
      <c r="Q1621">
        <v>223134</v>
      </c>
      <c r="R1621" s="2">
        <v>45786</v>
      </c>
      <c r="S1621" t="s">
        <v>16</v>
      </c>
      <c r="T1621" t="s">
        <v>157</v>
      </c>
      <c r="U1621" t="s">
        <v>6379</v>
      </c>
      <c r="V1621" t="s">
        <v>6388</v>
      </c>
      <c r="W1621" t="s">
        <v>6357</v>
      </c>
      <c r="X1621">
        <v>88</v>
      </c>
      <c r="Y1621" t="s">
        <v>157</v>
      </c>
      <c r="Z1621">
        <v>247</v>
      </c>
    </row>
    <row r="1622" spans="1:26" x14ac:dyDescent="0.3">
      <c r="A1622">
        <v>1621</v>
      </c>
      <c r="B1622" t="s">
        <v>3529</v>
      </c>
      <c r="C1622" t="s">
        <v>49</v>
      </c>
      <c r="D1622" t="s">
        <v>30</v>
      </c>
      <c r="E1622" t="s">
        <v>6352</v>
      </c>
      <c r="F1622" t="s">
        <v>6395</v>
      </c>
      <c r="G1622" t="s">
        <v>6378</v>
      </c>
      <c r="J1622">
        <f>AVERAGE(ai_job_market[[#This Row],[min_salary]],ai_job_market[[#This Row],[max_salary]])</f>
        <v>103433.5</v>
      </c>
      <c r="K1622"/>
      <c r="L1622" t="s">
        <v>27</v>
      </c>
      <c r="M1622" t="s">
        <v>37</v>
      </c>
      <c r="N1622" t="s">
        <v>5999</v>
      </c>
      <c r="O1622" t="s">
        <v>4576</v>
      </c>
      <c r="P1622">
        <v>90927</v>
      </c>
      <c r="Q1622">
        <v>115940</v>
      </c>
      <c r="R1622" s="2">
        <v>45264</v>
      </c>
      <c r="S1622" t="s">
        <v>14</v>
      </c>
      <c r="T1622" t="s">
        <v>90</v>
      </c>
      <c r="U1622" t="s">
        <v>6388</v>
      </c>
      <c r="W1622" t="s">
        <v>6352</v>
      </c>
      <c r="X1622">
        <v>97</v>
      </c>
      <c r="Y1622" t="s">
        <v>90</v>
      </c>
      <c r="Z1622">
        <v>259</v>
      </c>
    </row>
    <row r="1623" spans="1:26" x14ac:dyDescent="0.3">
      <c r="A1623">
        <v>1622</v>
      </c>
      <c r="B1623" t="s">
        <v>3531</v>
      </c>
      <c r="C1623" t="s">
        <v>19</v>
      </c>
      <c r="D1623" t="s">
        <v>67</v>
      </c>
      <c r="E1623" t="s">
        <v>6359</v>
      </c>
      <c r="F1623" t="s">
        <v>6381</v>
      </c>
      <c r="G1623" t="s">
        <v>6385</v>
      </c>
      <c r="H1623" t="s">
        <v>6382</v>
      </c>
      <c r="J1623">
        <f>AVERAGE(ai_job_market[[#This Row],[min_salary]],ai_job_market[[#This Row],[max_salary]])</f>
        <v>88403.5</v>
      </c>
      <c r="K1623"/>
      <c r="L1623" t="s">
        <v>27</v>
      </c>
      <c r="M1623" t="s">
        <v>42</v>
      </c>
      <c r="N1623" t="s">
        <v>6000</v>
      </c>
      <c r="O1623" t="s">
        <v>4476</v>
      </c>
      <c r="P1623">
        <v>81624</v>
      </c>
      <c r="Q1623">
        <v>95183</v>
      </c>
      <c r="R1623" s="2">
        <v>45288</v>
      </c>
      <c r="S1623" t="s">
        <v>69</v>
      </c>
      <c r="T1623" t="s">
        <v>52</v>
      </c>
      <c r="U1623" t="s">
        <v>6378</v>
      </c>
      <c r="V1623" t="s">
        <v>6389</v>
      </c>
      <c r="W1623" t="s">
        <v>6359</v>
      </c>
      <c r="X1623">
        <v>104</v>
      </c>
      <c r="Y1623" t="s">
        <v>52</v>
      </c>
      <c r="Z1623">
        <v>238</v>
      </c>
    </row>
    <row r="1624" spans="1:26" x14ac:dyDescent="0.3">
      <c r="A1624">
        <v>1623</v>
      </c>
      <c r="B1624" t="s">
        <v>3534</v>
      </c>
      <c r="C1624" t="s">
        <v>34</v>
      </c>
      <c r="D1624" t="s">
        <v>20</v>
      </c>
      <c r="E1624" t="s">
        <v>6359</v>
      </c>
      <c r="F1624" t="s">
        <v>6375</v>
      </c>
      <c r="G1624" t="s">
        <v>6377</v>
      </c>
      <c r="H1624" t="s">
        <v>6387</v>
      </c>
      <c r="I1624" t="s">
        <v>6396</v>
      </c>
      <c r="J1624">
        <f>AVERAGE(ai_job_market[[#This Row],[min_salary]],ai_job_market[[#This Row],[max_salary]])</f>
        <v>109860.5</v>
      </c>
      <c r="K1624"/>
      <c r="L1624" t="s">
        <v>22</v>
      </c>
      <c r="M1624" t="s">
        <v>15</v>
      </c>
      <c r="N1624" t="s">
        <v>6001</v>
      </c>
      <c r="O1624" t="s">
        <v>4514</v>
      </c>
      <c r="P1624">
        <v>99722</v>
      </c>
      <c r="Q1624">
        <v>119999</v>
      </c>
      <c r="R1624" s="2">
        <v>45348</v>
      </c>
      <c r="S1624" t="s">
        <v>69</v>
      </c>
      <c r="T1624" t="s">
        <v>70</v>
      </c>
      <c r="U1624" t="s">
        <v>6383</v>
      </c>
      <c r="W1624" t="s">
        <v>6359</v>
      </c>
      <c r="X1624">
        <v>104</v>
      </c>
      <c r="Y1624" t="s">
        <v>70</v>
      </c>
      <c r="Z1624">
        <v>268</v>
      </c>
    </row>
    <row r="1625" spans="1:26" x14ac:dyDescent="0.3">
      <c r="A1625">
        <v>1624</v>
      </c>
      <c r="B1625" t="s">
        <v>3536</v>
      </c>
      <c r="C1625" t="s">
        <v>11</v>
      </c>
      <c r="D1625" t="s">
        <v>12</v>
      </c>
      <c r="E1625" t="s">
        <v>6348</v>
      </c>
      <c r="F1625" t="s">
        <v>6396</v>
      </c>
      <c r="G1625" t="s">
        <v>6378</v>
      </c>
      <c r="H1625" t="s">
        <v>6374</v>
      </c>
      <c r="I1625" t="s">
        <v>6379</v>
      </c>
      <c r="J1625">
        <f>AVERAGE(ai_job_market[[#This Row],[min_salary]],ai_job_market[[#This Row],[max_salary]])</f>
        <v>125039</v>
      </c>
      <c r="K1625"/>
      <c r="L1625" t="s">
        <v>27</v>
      </c>
      <c r="M1625" t="s">
        <v>42</v>
      </c>
      <c r="N1625" t="s">
        <v>6002</v>
      </c>
      <c r="O1625" t="s">
        <v>5011</v>
      </c>
      <c r="P1625">
        <v>102547</v>
      </c>
      <c r="Q1625">
        <v>147531</v>
      </c>
      <c r="R1625" s="2">
        <v>45302</v>
      </c>
      <c r="S1625" t="s">
        <v>69</v>
      </c>
      <c r="T1625" t="s">
        <v>80</v>
      </c>
      <c r="U1625" t="s">
        <v>6378</v>
      </c>
      <c r="V1625" t="s">
        <v>6375</v>
      </c>
      <c r="W1625" t="s">
        <v>6348</v>
      </c>
      <c r="X1625">
        <v>78</v>
      </c>
      <c r="Y1625" t="s">
        <v>80</v>
      </c>
      <c r="Z1625">
        <v>249</v>
      </c>
    </row>
    <row r="1626" spans="1:26" x14ac:dyDescent="0.3">
      <c r="A1626">
        <v>1625</v>
      </c>
      <c r="B1626" t="s">
        <v>3538</v>
      </c>
      <c r="C1626" t="s">
        <v>40</v>
      </c>
      <c r="D1626" t="s">
        <v>25</v>
      </c>
      <c r="E1626" t="s">
        <v>6355</v>
      </c>
      <c r="F1626" t="s">
        <v>6396</v>
      </c>
      <c r="G1626" t="s">
        <v>6395</v>
      </c>
      <c r="H1626" t="s">
        <v>6385</v>
      </c>
      <c r="I1626" t="s">
        <v>6394</v>
      </c>
      <c r="J1626">
        <f>AVERAGE(ai_job_market[[#This Row],[min_salary]],ai_job_market[[#This Row],[max_salary]])</f>
        <v>151443.5</v>
      </c>
      <c r="K1626"/>
      <c r="L1626" t="s">
        <v>14</v>
      </c>
      <c r="M1626" t="s">
        <v>51</v>
      </c>
      <c r="N1626" t="s">
        <v>6003</v>
      </c>
      <c r="O1626" t="s">
        <v>4456</v>
      </c>
      <c r="P1626">
        <v>124126</v>
      </c>
      <c r="Q1626">
        <v>178761</v>
      </c>
      <c r="R1626" s="2">
        <v>45630</v>
      </c>
      <c r="S1626" t="s">
        <v>14</v>
      </c>
      <c r="T1626" t="s">
        <v>157</v>
      </c>
      <c r="U1626" t="s">
        <v>6378</v>
      </c>
      <c r="V1626" t="s">
        <v>6389</v>
      </c>
      <c r="W1626" t="s">
        <v>6355</v>
      </c>
      <c r="X1626">
        <v>90</v>
      </c>
      <c r="Y1626" t="s">
        <v>157</v>
      </c>
      <c r="Z1626">
        <v>247</v>
      </c>
    </row>
    <row r="1627" spans="1:26" x14ac:dyDescent="0.3">
      <c r="A1627">
        <v>1626</v>
      </c>
      <c r="B1627" t="s">
        <v>3540</v>
      </c>
      <c r="C1627" t="s">
        <v>11</v>
      </c>
      <c r="D1627" t="s">
        <v>20</v>
      </c>
      <c r="E1627" t="s">
        <v>128</v>
      </c>
      <c r="F1627" t="s">
        <v>6386</v>
      </c>
      <c r="G1627" t="s">
        <v>6379</v>
      </c>
      <c r="H1627" t="s">
        <v>6382</v>
      </c>
      <c r="I1627" t="s">
        <v>6377</v>
      </c>
      <c r="J1627">
        <f>AVERAGE(ai_job_market[[#This Row],[min_salary]],ai_job_market[[#This Row],[max_salary]])</f>
        <v>150204</v>
      </c>
      <c r="K1627"/>
      <c r="L1627" t="s">
        <v>14</v>
      </c>
      <c r="M1627" t="s">
        <v>51</v>
      </c>
      <c r="N1627" t="s">
        <v>6004</v>
      </c>
      <c r="O1627" t="s">
        <v>4414</v>
      </c>
      <c r="P1627">
        <v>100455</v>
      </c>
      <c r="Q1627">
        <v>199953</v>
      </c>
      <c r="R1627" s="2">
        <v>45410</v>
      </c>
      <c r="S1627" t="s">
        <v>14</v>
      </c>
      <c r="T1627" t="s">
        <v>77</v>
      </c>
      <c r="U1627" t="s">
        <v>6379</v>
      </c>
      <c r="W1627" t="s">
        <v>128</v>
      </c>
      <c r="X1627">
        <v>92</v>
      </c>
      <c r="Y1627" t="s">
        <v>77</v>
      </c>
      <c r="Z1627">
        <v>251</v>
      </c>
    </row>
    <row r="1628" spans="1:26" x14ac:dyDescent="0.3">
      <c r="A1628">
        <v>1627</v>
      </c>
      <c r="B1628" t="s">
        <v>3542</v>
      </c>
      <c r="C1628" t="s">
        <v>11</v>
      </c>
      <c r="D1628" t="s">
        <v>54</v>
      </c>
      <c r="E1628" t="s">
        <v>6357</v>
      </c>
      <c r="F1628" t="s">
        <v>6391</v>
      </c>
      <c r="G1628" t="s">
        <v>6389</v>
      </c>
      <c r="H1628" t="s">
        <v>6379</v>
      </c>
      <c r="J1628">
        <f>AVERAGE(ai_job_market[[#This Row],[min_salary]],ai_job_market[[#This Row],[max_salary]])</f>
        <v>179766</v>
      </c>
      <c r="K1628"/>
      <c r="L1628" t="s">
        <v>14</v>
      </c>
      <c r="M1628" t="s">
        <v>15</v>
      </c>
      <c r="N1628" t="s">
        <v>6005</v>
      </c>
      <c r="O1628" t="s">
        <v>4301</v>
      </c>
      <c r="P1628">
        <v>142229</v>
      </c>
      <c r="Q1628">
        <v>217303</v>
      </c>
      <c r="R1628" s="2">
        <v>45638</v>
      </c>
      <c r="S1628" t="s">
        <v>14</v>
      </c>
      <c r="T1628" t="s">
        <v>157</v>
      </c>
      <c r="W1628" t="s">
        <v>6357</v>
      </c>
      <c r="X1628">
        <v>88</v>
      </c>
      <c r="Y1628" t="s">
        <v>157</v>
      </c>
      <c r="Z1628">
        <v>247</v>
      </c>
    </row>
    <row r="1629" spans="1:26" x14ac:dyDescent="0.3">
      <c r="A1629">
        <v>1628</v>
      </c>
      <c r="B1629" t="s">
        <v>1506</v>
      </c>
      <c r="C1629" t="s">
        <v>45</v>
      </c>
      <c r="D1629" t="s">
        <v>67</v>
      </c>
      <c r="E1629" t="s">
        <v>6352</v>
      </c>
      <c r="F1629" t="s">
        <v>6394</v>
      </c>
      <c r="G1629" t="s">
        <v>6380</v>
      </c>
      <c r="H1629" t="s">
        <v>6391</v>
      </c>
      <c r="I1629" t="s">
        <v>6381</v>
      </c>
      <c r="J1629" s="6">
        <f>AVERAGE(ai_job_market[[#This Row],[min_salary]],ai_job_market[[#This Row],[max_salary]])</f>
        <v>132422.5</v>
      </c>
      <c r="K1629" t="s">
        <v>6393</v>
      </c>
      <c r="L1629" t="s">
        <v>14</v>
      </c>
      <c r="M1629" t="s">
        <v>15</v>
      </c>
      <c r="N1629" t="s">
        <v>6006</v>
      </c>
      <c r="O1629" t="s">
        <v>4283</v>
      </c>
      <c r="P1629" s="5">
        <v>99303</v>
      </c>
      <c r="Q1629" s="5">
        <v>165542</v>
      </c>
      <c r="R1629" s="2">
        <v>45467</v>
      </c>
      <c r="S1629" t="s">
        <v>14</v>
      </c>
      <c r="T1629" t="s">
        <v>80</v>
      </c>
      <c r="U1629" t="s">
        <v>6378</v>
      </c>
      <c r="W1629" t="s">
        <v>6352</v>
      </c>
      <c r="X1629">
        <v>97</v>
      </c>
      <c r="Y1629" t="s">
        <v>80</v>
      </c>
      <c r="Z1629">
        <v>249</v>
      </c>
    </row>
    <row r="1630" spans="1:26" x14ac:dyDescent="0.3">
      <c r="A1630">
        <v>1629</v>
      </c>
      <c r="B1630" t="s">
        <v>3545</v>
      </c>
      <c r="C1630" t="s">
        <v>45</v>
      </c>
      <c r="D1630" t="s">
        <v>67</v>
      </c>
      <c r="E1630" t="s">
        <v>6349</v>
      </c>
      <c r="F1630" t="s">
        <v>6375</v>
      </c>
      <c r="G1630" t="s">
        <v>6391</v>
      </c>
      <c r="H1630" t="s">
        <v>6385</v>
      </c>
      <c r="I1630" t="s">
        <v>6397</v>
      </c>
      <c r="J1630">
        <f>AVERAGE(ai_job_market[[#This Row],[min_salary]],ai_job_market[[#This Row],[max_salary]])</f>
        <v>161002</v>
      </c>
      <c r="K1630" t="s">
        <v>6379</v>
      </c>
      <c r="L1630" t="s">
        <v>14</v>
      </c>
      <c r="M1630" t="s">
        <v>42</v>
      </c>
      <c r="N1630" t="s">
        <v>6007</v>
      </c>
      <c r="O1630" t="s">
        <v>4420</v>
      </c>
      <c r="P1630">
        <v>127730</v>
      </c>
      <c r="Q1630">
        <v>194274</v>
      </c>
      <c r="R1630" s="2">
        <v>45473</v>
      </c>
      <c r="S1630" t="s">
        <v>14</v>
      </c>
      <c r="T1630" t="s">
        <v>70</v>
      </c>
      <c r="W1630" t="s">
        <v>6349</v>
      </c>
      <c r="X1630">
        <v>96</v>
      </c>
      <c r="Y1630" t="s">
        <v>70</v>
      </c>
      <c r="Z1630">
        <v>268</v>
      </c>
    </row>
    <row r="1631" spans="1:26" x14ac:dyDescent="0.3">
      <c r="A1631">
        <v>1630</v>
      </c>
      <c r="B1631" t="s">
        <v>3547</v>
      </c>
      <c r="C1631" t="s">
        <v>19</v>
      </c>
      <c r="D1631" t="s">
        <v>20</v>
      </c>
      <c r="E1631" t="s">
        <v>70</v>
      </c>
      <c r="F1631" t="s">
        <v>6376</v>
      </c>
      <c r="G1631" t="s">
        <v>6393</v>
      </c>
      <c r="J1631">
        <f>AVERAGE(ai_job_market[[#This Row],[min_salary]],ai_job_market[[#This Row],[max_salary]])</f>
        <v>114350.5</v>
      </c>
      <c r="K1631"/>
      <c r="L1631" t="s">
        <v>14</v>
      </c>
      <c r="M1631" t="s">
        <v>15</v>
      </c>
      <c r="N1631" t="s">
        <v>6008</v>
      </c>
      <c r="O1631" t="s">
        <v>5113</v>
      </c>
      <c r="P1631">
        <v>68119</v>
      </c>
      <c r="Q1631">
        <v>160582</v>
      </c>
      <c r="R1631" s="2">
        <v>45332</v>
      </c>
      <c r="S1631" t="s">
        <v>69</v>
      </c>
      <c r="T1631" t="s">
        <v>90</v>
      </c>
      <c r="U1631" t="s">
        <v>6376</v>
      </c>
      <c r="V1631" t="s">
        <v>6378</v>
      </c>
      <c r="W1631" t="s">
        <v>70</v>
      </c>
      <c r="X1631">
        <v>100</v>
      </c>
      <c r="Y1631" t="s">
        <v>90</v>
      </c>
      <c r="Z1631">
        <v>259</v>
      </c>
    </row>
    <row r="1632" spans="1:26" x14ac:dyDescent="0.3">
      <c r="A1632">
        <v>1631</v>
      </c>
      <c r="B1632" t="s">
        <v>3548</v>
      </c>
      <c r="C1632" t="s">
        <v>49</v>
      </c>
      <c r="D1632" t="s">
        <v>20</v>
      </c>
      <c r="E1632" t="s">
        <v>128</v>
      </c>
      <c r="F1632" t="s">
        <v>6380</v>
      </c>
      <c r="G1632" t="s">
        <v>6390</v>
      </c>
      <c r="J1632">
        <f>AVERAGE(ai_job_market[[#This Row],[min_salary]],ai_job_market[[#This Row],[max_salary]])</f>
        <v>82124.5</v>
      </c>
      <c r="K1632"/>
      <c r="L1632" t="s">
        <v>27</v>
      </c>
      <c r="M1632" t="s">
        <v>37</v>
      </c>
      <c r="N1632" t="s">
        <v>6009</v>
      </c>
      <c r="O1632" t="s">
        <v>4584</v>
      </c>
      <c r="P1632">
        <v>72082</v>
      </c>
      <c r="Q1632">
        <v>92167</v>
      </c>
      <c r="R1632" s="2">
        <v>45800</v>
      </c>
      <c r="S1632" t="s">
        <v>69</v>
      </c>
      <c r="T1632" t="s">
        <v>52</v>
      </c>
      <c r="W1632" t="s">
        <v>128</v>
      </c>
      <c r="X1632">
        <v>92</v>
      </c>
      <c r="Y1632" t="s">
        <v>52</v>
      </c>
      <c r="Z1632">
        <v>238</v>
      </c>
    </row>
    <row r="1633" spans="1:26" x14ac:dyDescent="0.3">
      <c r="A1633">
        <v>1632</v>
      </c>
      <c r="B1633" t="s">
        <v>3550</v>
      </c>
      <c r="C1633" t="s">
        <v>72</v>
      </c>
      <c r="D1633" t="s">
        <v>20</v>
      </c>
      <c r="E1633" t="s">
        <v>6351</v>
      </c>
      <c r="F1633" t="s">
        <v>6377</v>
      </c>
      <c r="G1633" t="s">
        <v>6387</v>
      </c>
      <c r="H1633" t="s">
        <v>6376</v>
      </c>
      <c r="J1633">
        <f>AVERAGE(ai_job_market[[#This Row],[min_salary]],ai_job_market[[#This Row],[max_salary]])</f>
        <v>138121</v>
      </c>
      <c r="K1633"/>
      <c r="L1633" t="s">
        <v>14</v>
      </c>
      <c r="M1633" t="s">
        <v>15</v>
      </c>
      <c r="N1633" t="s">
        <v>5600</v>
      </c>
      <c r="O1633" t="s">
        <v>4626</v>
      </c>
      <c r="P1633">
        <v>124909</v>
      </c>
      <c r="Q1633">
        <v>151333</v>
      </c>
      <c r="R1633" s="2">
        <v>45205</v>
      </c>
      <c r="S1633" t="s">
        <v>16</v>
      </c>
      <c r="T1633" t="s">
        <v>90</v>
      </c>
      <c r="U1633" t="s">
        <v>6384</v>
      </c>
      <c r="V1633" t="s">
        <v>6383</v>
      </c>
      <c r="W1633" t="s">
        <v>6351</v>
      </c>
      <c r="X1633">
        <v>89</v>
      </c>
      <c r="Y1633" t="s">
        <v>90</v>
      </c>
      <c r="Z1633">
        <v>259</v>
      </c>
    </row>
    <row r="1634" spans="1:26" x14ac:dyDescent="0.3">
      <c r="A1634">
        <v>1633</v>
      </c>
      <c r="B1634" t="s">
        <v>3553</v>
      </c>
      <c r="C1634" t="s">
        <v>72</v>
      </c>
      <c r="D1634" t="s">
        <v>25</v>
      </c>
      <c r="E1634" t="s">
        <v>6358</v>
      </c>
      <c r="F1634" t="s">
        <v>6379</v>
      </c>
      <c r="G1634" t="s">
        <v>6378</v>
      </c>
      <c r="H1634" t="s">
        <v>6392</v>
      </c>
      <c r="I1634" t="s">
        <v>6381</v>
      </c>
      <c r="J1634">
        <f>AVERAGE(ai_job_market[[#This Row],[min_salary]],ai_job_market[[#This Row],[max_salary]])</f>
        <v>150454</v>
      </c>
      <c r="K1634" t="s">
        <v>6376</v>
      </c>
      <c r="L1634" t="s">
        <v>14</v>
      </c>
      <c r="M1634" t="s">
        <v>37</v>
      </c>
      <c r="N1634" t="s">
        <v>6010</v>
      </c>
      <c r="O1634" t="s">
        <v>4704</v>
      </c>
      <c r="P1634">
        <v>102584</v>
      </c>
      <c r="Q1634">
        <v>198324</v>
      </c>
      <c r="R1634" s="2">
        <v>45580</v>
      </c>
      <c r="S1634" t="s">
        <v>69</v>
      </c>
      <c r="T1634" t="s">
        <v>52</v>
      </c>
      <c r="U1634" t="s">
        <v>6389</v>
      </c>
      <c r="V1634" t="s">
        <v>6384</v>
      </c>
      <c r="W1634" t="s">
        <v>6358</v>
      </c>
      <c r="X1634">
        <v>96</v>
      </c>
      <c r="Y1634" t="s">
        <v>52</v>
      </c>
      <c r="Z1634">
        <v>238</v>
      </c>
    </row>
    <row r="1635" spans="1:26" x14ac:dyDescent="0.3">
      <c r="A1635">
        <v>1634</v>
      </c>
      <c r="B1635" t="s">
        <v>3555</v>
      </c>
      <c r="C1635" t="s">
        <v>45</v>
      </c>
      <c r="D1635" t="s">
        <v>30</v>
      </c>
      <c r="E1635" t="s">
        <v>6344</v>
      </c>
      <c r="F1635" t="s">
        <v>6374</v>
      </c>
      <c r="G1635" t="s">
        <v>6377</v>
      </c>
      <c r="H1635" t="s">
        <v>6391</v>
      </c>
      <c r="I1635" t="s">
        <v>6379</v>
      </c>
      <c r="J1635">
        <f>AVERAGE(ai_job_market[[#This Row],[min_salary]],ai_job_market[[#This Row],[max_salary]])</f>
        <v>62985.5</v>
      </c>
      <c r="K1635" t="s">
        <v>6376</v>
      </c>
      <c r="L1635" t="s">
        <v>27</v>
      </c>
      <c r="M1635" t="s">
        <v>42</v>
      </c>
      <c r="N1635" t="s">
        <v>6011</v>
      </c>
      <c r="O1635" t="s">
        <v>4634</v>
      </c>
      <c r="P1635">
        <v>51986</v>
      </c>
      <c r="Q1635">
        <v>73985</v>
      </c>
      <c r="R1635" s="2">
        <v>45579</v>
      </c>
      <c r="S1635" t="s">
        <v>14</v>
      </c>
      <c r="T1635" t="s">
        <v>157</v>
      </c>
      <c r="U1635" t="s">
        <v>6384</v>
      </c>
      <c r="V1635" t="s">
        <v>6379</v>
      </c>
      <c r="W1635" t="s">
        <v>6344</v>
      </c>
      <c r="X1635">
        <v>104</v>
      </c>
      <c r="Y1635" t="s">
        <v>157</v>
      </c>
      <c r="Z1635">
        <v>247</v>
      </c>
    </row>
    <row r="1636" spans="1:26" x14ac:dyDescent="0.3">
      <c r="A1636">
        <v>1635</v>
      </c>
      <c r="B1636" t="s">
        <v>3557</v>
      </c>
      <c r="C1636" t="s">
        <v>19</v>
      </c>
      <c r="D1636" t="s">
        <v>135</v>
      </c>
      <c r="E1636" t="s">
        <v>6355</v>
      </c>
      <c r="F1636" t="s">
        <v>6392</v>
      </c>
      <c r="G1636" t="s">
        <v>6375</v>
      </c>
      <c r="H1636" t="s">
        <v>6396</v>
      </c>
      <c r="I1636" t="s">
        <v>6382</v>
      </c>
      <c r="J1636" s="6">
        <f>AVERAGE(ai_job_market[[#This Row],[min_salary]],ai_job_market[[#This Row],[max_salary]])</f>
        <v>164670.5</v>
      </c>
      <c r="K1636"/>
      <c r="L1636" t="s">
        <v>14</v>
      </c>
      <c r="M1636" t="s">
        <v>37</v>
      </c>
      <c r="N1636" t="s">
        <v>6012</v>
      </c>
      <c r="O1636" t="s">
        <v>4666</v>
      </c>
      <c r="P1636" s="5">
        <v>132003</v>
      </c>
      <c r="Q1636" s="5">
        <v>197338</v>
      </c>
      <c r="R1636" s="2">
        <v>45555</v>
      </c>
      <c r="S1636" t="s">
        <v>69</v>
      </c>
      <c r="T1636" t="s">
        <v>77</v>
      </c>
      <c r="U1636" t="s">
        <v>6389</v>
      </c>
      <c r="V1636" t="s">
        <v>6375</v>
      </c>
      <c r="W1636" t="s">
        <v>6355</v>
      </c>
      <c r="X1636">
        <v>90</v>
      </c>
      <c r="Y1636" t="s">
        <v>77</v>
      </c>
      <c r="Z1636">
        <v>251</v>
      </c>
    </row>
    <row r="1637" spans="1:26" x14ac:dyDescent="0.3">
      <c r="A1637">
        <v>1636</v>
      </c>
      <c r="B1637" t="s">
        <v>3559</v>
      </c>
      <c r="C1637" t="s">
        <v>11</v>
      </c>
      <c r="D1637" t="s">
        <v>12</v>
      </c>
      <c r="E1637" t="s">
        <v>80</v>
      </c>
      <c r="F1637" t="s">
        <v>6395</v>
      </c>
      <c r="G1637" t="s">
        <v>6389</v>
      </c>
      <c r="H1637" t="s">
        <v>6392</v>
      </c>
      <c r="I1637" t="s">
        <v>6380</v>
      </c>
      <c r="J1637">
        <f>AVERAGE(ai_job_market[[#This Row],[min_salary]],ai_job_market[[#This Row],[max_salary]])</f>
        <v>74229.5</v>
      </c>
      <c r="K1637" t="s">
        <v>6374</v>
      </c>
      <c r="L1637" t="s">
        <v>27</v>
      </c>
      <c r="M1637" t="s">
        <v>42</v>
      </c>
      <c r="N1637" t="s">
        <v>6013</v>
      </c>
      <c r="O1637" t="s">
        <v>4499</v>
      </c>
      <c r="P1637">
        <v>44162</v>
      </c>
      <c r="Q1637">
        <v>104297</v>
      </c>
      <c r="R1637" s="2">
        <v>45841</v>
      </c>
      <c r="S1637" t="s">
        <v>16</v>
      </c>
      <c r="T1637" t="s">
        <v>52</v>
      </c>
      <c r="U1637" t="s">
        <v>6378</v>
      </c>
      <c r="V1637" t="s">
        <v>6389</v>
      </c>
      <c r="W1637" t="s">
        <v>80</v>
      </c>
      <c r="X1637">
        <v>95</v>
      </c>
      <c r="Y1637" t="s">
        <v>52</v>
      </c>
      <c r="Z1637">
        <v>238</v>
      </c>
    </row>
    <row r="1638" spans="1:26" x14ac:dyDescent="0.3">
      <c r="A1638">
        <v>1637</v>
      </c>
      <c r="B1638" t="s">
        <v>3561</v>
      </c>
      <c r="C1638" t="s">
        <v>11</v>
      </c>
      <c r="D1638" t="s">
        <v>12</v>
      </c>
      <c r="E1638" t="s">
        <v>128</v>
      </c>
      <c r="F1638" t="s">
        <v>6394</v>
      </c>
      <c r="G1638" t="s">
        <v>6381</v>
      </c>
      <c r="H1638" t="s">
        <v>6378</v>
      </c>
      <c r="J1638">
        <f>AVERAGE(ai_job_market[[#This Row],[min_salary]],ai_job_market[[#This Row],[max_salary]])</f>
        <v>87503</v>
      </c>
      <c r="K1638"/>
      <c r="L1638" t="s">
        <v>22</v>
      </c>
      <c r="M1638" t="s">
        <v>37</v>
      </c>
      <c r="N1638" t="s">
        <v>6014</v>
      </c>
      <c r="O1638" t="s">
        <v>4634</v>
      </c>
      <c r="P1638">
        <v>62381</v>
      </c>
      <c r="Q1638">
        <v>112625</v>
      </c>
      <c r="R1638" s="2">
        <v>45496</v>
      </c>
      <c r="S1638" t="s">
        <v>14</v>
      </c>
      <c r="T1638" t="s">
        <v>77</v>
      </c>
      <c r="W1638" t="s">
        <v>128</v>
      </c>
      <c r="X1638">
        <v>92</v>
      </c>
      <c r="Y1638" t="s">
        <v>77</v>
      </c>
      <c r="Z1638">
        <v>251</v>
      </c>
    </row>
    <row r="1639" spans="1:26" x14ac:dyDescent="0.3">
      <c r="A1639">
        <v>1638</v>
      </c>
      <c r="B1639" t="s">
        <v>3563</v>
      </c>
      <c r="C1639" t="s">
        <v>11</v>
      </c>
      <c r="D1639" t="s">
        <v>20</v>
      </c>
      <c r="E1639" t="s">
        <v>80</v>
      </c>
      <c r="F1639" t="s">
        <v>6382</v>
      </c>
      <c r="G1639" t="s">
        <v>6396</v>
      </c>
      <c r="H1639" t="s">
        <v>6379</v>
      </c>
      <c r="I1639" t="s">
        <v>6389</v>
      </c>
      <c r="J1639">
        <f>AVERAGE(ai_job_market[[#This Row],[min_salary]],ai_job_market[[#This Row],[max_salary]])</f>
        <v>164225</v>
      </c>
      <c r="K1639"/>
      <c r="L1639" t="s">
        <v>27</v>
      </c>
      <c r="M1639" t="s">
        <v>51</v>
      </c>
      <c r="N1639" t="s">
        <v>6015</v>
      </c>
      <c r="O1639" t="s">
        <v>4927</v>
      </c>
      <c r="P1639">
        <v>144304</v>
      </c>
      <c r="Q1639">
        <v>184146</v>
      </c>
      <c r="R1639" s="2">
        <v>45784</v>
      </c>
      <c r="S1639" t="s">
        <v>14</v>
      </c>
      <c r="T1639" t="s">
        <v>90</v>
      </c>
      <c r="U1639" t="s">
        <v>6388</v>
      </c>
      <c r="W1639" t="s">
        <v>80</v>
      </c>
      <c r="X1639">
        <v>95</v>
      </c>
      <c r="Y1639" t="s">
        <v>90</v>
      </c>
      <c r="Z1639">
        <v>259</v>
      </c>
    </row>
    <row r="1640" spans="1:26" x14ac:dyDescent="0.3">
      <c r="A1640">
        <v>1639</v>
      </c>
      <c r="B1640" t="s">
        <v>3565</v>
      </c>
      <c r="C1640" t="s">
        <v>34</v>
      </c>
      <c r="D1640" t="s">
        <v>135</v>
      </c>
      <c r="E1640" t="s">
        <v>6351</v>
      </c>
      <c r="F1640" t="s">
        <v>6378</v>
      </c>
      <c r="G1640" t="s">
        <v>6386</v>
      </c>
      <c r="H1640" t="s">
        <v>6376</v>
      </c>
      <c r="I1640" t="s">
        <v>6390</v>
      </c>
      <c r="J1640">
        <f>AVERAGE(ai_job_market[[#This Row],[min_salary]],ai_job_market[[#This Row],[max_salary]])</f>
        <v>96766</v>
      </c>
      <c r="K1640"/>
      <c r="L1640" t="s">
        <v>14</v>
      </c>
      <c r="M1640" t="s">
        <v>51</v>
      </c>
      <c r="N1640" t="s">
        <v>4677</v>
      </c>
      <c r="O1640" t="s">
        <v>4484</v>
      </c>
      <c r="P1640">
        <v>55918</v>
      </c>
      <c r="Q1640">
        <v>137614</v>
      </c>
      <c r="R1640" s="2">
        <v>45816</v>
      </c>
      <c r="S1640" t="s">
        <v>69</v>
      </c>
      <c r="T1640" t="s">
        <v>157</v>
      </c>
      <c r="U1640" t="s">
        <v>6378</v>
      </c>
      <c r="W1640" t="s">
        <v>6351</v>
      </c>
      <c r="X1640">
        <v>89</v>
      </c>
      <c r="Y1640" t="s">
        <v>157</v>
      </c>
      <c r="Z1640">
        <v>247</v>
      </c>
    </row>
    <row r="1641" spans="1:26" x14ac:dyDescent="0.3">
      <c r="A1641">
        <v>1640</v>
      </c>
      <c r="B1641" t="s">
        <v>3567</v>
      </c>
      <c r="C1641" t="s">
        <v>49</v>
      </c>
      <c r="D1641" t="s">
        <v>67</v>
      </c>
      <c r="E1641" t="s">
        <v>6357</v>
      </c>
      <c r="F1641" t="s">
        <v>6382</v>
      </c>
      <c r="G1641" t="s">
        <v>6386</v>
      </c>
      <c r="H1641" t="s">
        <v>6395</v>
      </c>
      <c r="I1641" t="s">
        <v>6376</v>
      </c>
      <c r="J1641">
        <f>AVERAGE(ai_job_market[[#This Row],[min_salary]],ai_job_market[[#This Row],[max_salary]])</f>
        <v>103486.5</v>
      </c>
      <c r="K1641"/>
      <c r="L1641" t="s">
        <v>27</v>
      </c>
      <c r="M1641" t="s">
        <v>37</v>
      </c>
      <c r="N1641" t="s">
        <v>5096</v>
      </c>
      <c r="O1641" t="s">
        <v>4401</v>
      </c>
      <c r="P1641">
        <v>59275</v>
      </c>
      <c r="Q1641">
        <v>147698</v>
      </c>
      <c r="R1641" s="2">
        <v>45733</v>
      </c>
      <c r="S1641" t="s">
        <v>14</v>
      </c>
      <c r="T1641" t="s">
        <v>101</v>
      </c>
      <c r="U1641" t="s">
        <v>6375</v>
      </c>
      <c r="W1641" t="s">
        <v>6357</v>
      </c>
      <c r="X1641">
        <v>88</v>
      </c>
      <c r="Y1641" t="s">
        <v>101</v>
      </c>
      <c r="Z1641">
        <v>255</v>
      </c>
    </row>
    <row r="1642" spans="1:26" x14ac:dyDescent="0.3">
      <c r="A1642">
        <v>1641</v>
      </c>
      <c r="B1642" t="s">
        <v>3569</v>
      </c>
      <c r="C1642" t="s">
        <v>72</v>
      </c>
      <c r="D1642" t="s">
        <v>12</v>
      </c>
      <c r="E1642" t="s">
        <v>80</v>
      </c>
      <c r="F1642" t="s">
        <v>6386</v>
      </c>
      <c r="G1642" t="s">
        <v>6392</v>
      </c>
      <c r="J1642" s="6">
        <f>AVERAGE(ai_job_market[[#This Row],[min_salary]],ai_job_market[[#This Row],[max_salary]])</f>
        <v>80896.5</v>
      </c>
      <c r="K1642"/>
      <c r="L1642" t="s">
        <v>14</v>
      </c>
      <c r="M1642" t="s">
        <v>15</v>
      </c>
      <c r="N1642" t="s">
        <v>6016</v>
      </c>
      <c r="O1642" t="s">
        <v>4610</v>
      </c>
      <c r="P1642" s="5">
        <v>51956</v>
      </c>
      <c r="Q1642" s="5">
        <v>109837</v>
      </c>
      <c r="R1642" s="2">
        <v>45879</v>
      </c>
      <c r="S1642" t="s">
        <v>14</v>
      </c>
      <c r="T1642" t="s">
        <v>157</v>
      </c>
      <c r="W1642" t="s">
        <v>80</v>
      </c>
      <c r="X1642">
        <v>95</v>
      </c>
      <c r="Y1642" t="s">
        <v>157</v>
      </c>
      <c r="Z1642">
        <v>247</v>
      </c>
    </row>
    <row r="1643" spans="1:26" x14ac:dyDescent="0.3">
      <c r="A1643">
        <v>1642</v>
      </c>
      <c r="B1643" t="s">
        <v>3571</v>
      </c>
      <c r="C1643" t="s">
        <v>45</v>
      </c>
      <c r="D1643" t="s">
        <v>67</v>
      </c>
      <c r="E1643" t="s">
        <v>6351</v>
      </c>
      <c r="F1643" t="s">
        <v>6378</v>
      </c>
      <c r="G1643" t="s">
        <v>6384</v>
      </c>
      <c r="H1643" t="s">
        <v>6377</v>
      </c>
      <c r="J1643">
        <f>AVERAGE(ai_job_market[[#This Row],[min_salary]],ai_job_market[[#This Row],[max_salary]])</f>
        <v>71305</v>
      </c>
      <c r="K1643"/>
      <c r="L1643" t="s">
        <v>14</v>
      </c>
      <c r="M1643" t="s">
        <v>37</v>
      </c>
      <c r="N1643" t="s">
        <v>6017</v>
      </c>
      <c r="O1643" t="s">
        <v>4538</v>
      </c>
      <c r="P1643">
        <v>61087</v>
      </c>
      <c r="Q1643">
        <v>81523</v>
      </c>
      <c r="R1643" s="2">
        <v>45877</v>
      </c>
      <c r="S1643" t="s">
        <v>16</v>
      </c>
      <c r="T1643" t="s">
        <v>80</v>
      </c>
      <c r="W1643" t="s">
        <v>6351</v>
      </c>
      <c r="X1643">
        <v>89</v>
      </c>
      <c r="Y1643" t="s">
        <v>80</v>
      </c>
      <c r="Z1643">
        <v>249</v>
      </c>
    </row>
    <row r="1644" spans="1:26" x14ac:dyDescent="0.3">
      <c r="A1644">
        <v>1643</v>
      </c>
      <c r="B1644" t="s">
        <v>3573</v>
      </c>
      <c r="C1644" t="s">
        <v>19</v>
      </c>
      <c r="D1644" t="s">
        <v>54</v>
      </c>
      <c r="E1644" t="s">
        <v>80</v>
      </c>
      <c r="F1644" t="s">
        <v>6390</v>
      </c>
      <c r="G1644" t="s">
        <v>6387</v>
      </c>
      <c r="J1644">
        <f>AVERAGE(ai_job_market[[#This Row],[min_salary]],ai_job_market[[#This Row],[max_salary]])</f>
        <v>168212</v>
      </c>
      <c r="K1644"/>
      <c r="L1644" t="s">
        <v>14</v>
      </c>
      <c r="M1644" t="s">
        <v>51</v>
      </c>
      <c r="N1644" t="s">
        <v>6018</v>
      </c>
      <c r="O1644" t="s">
        <v>4281</v>
      </c>
      <c r="P1644">
        <v>132865</v>
      </c>
      <c r="Q1644">
        <v>203559</v>
      </c>
      <c r="R1644" s="2">
        <v>45389</v>
      </c>
      <c r="S1644" t="s">
        <v>16</v>
      </c>
      <c r="T1644" t="s">
        <v>90</v>
      </c>
      <c r="U1644" t="s">
        <v>6384</v>
      </c>
      <c r="V1644" t="s">
        <v>6383</v>
      </c>
      <c r="W1644" t="s">
        <v>80</v>
      </c>
      <c r="X1644">
        <v>95</v>
      </c>
      <c r="Y1644" t="s">
        <v>90</v>
      </c>
      <c r="Z1644">
        <v>259</v>
      </c>
    </row>
    <row r="1645" spans="1:26" x14ac:dyDescent="0.3">
      <c r="A1645">
        <v>1644</v>
      </c>
      <c r="B1645" t="s">
        <v>3525</v>
      </c>
      <c r="C1645" t="s">
        <v>34</v>
      </c>
      <c r="D1645" t="s">
        <v>67</v>
      </c>
      <c r="E1645" t="s">
        <v>6354</v>
      </c>
      <c r="F1645" t="s">
        <v>6391</v>
      </c>
      <c r="G1645" t="s">
        <v>6397</v>
      </c>
      <c r="H1645" t="s">
        <v>6376</v>
      </c>
      <c r="I1645" t="s">
        <v>6395</v>
      </c>
      <c r="J1645">
        <f>AVERAGE(ai_job_market[[#This Row],[min_salary]],ai_job_market[[#This Row],[max_salary]])</f>
        <v>172026</v>
      </c>
      <c r="K1645"/>
      <c r="L1645" t="s">
        <v>22</v>
      </c>
      <c r="M1645" t="s">
        <v>42</v>
      </c>
      <c r="N1645" t="s">
        <v>6019</v>
      </c>
      <c r="O1645" t="s">
        <v>4680</v>
      </c>
      <c r="P1645">
        <v>146176</v>
      </c>
      <c r="Q1645">
        <v>197876</v>
      </c>
      <c r="R1645" s="2">
        <v>45732</v>
      </c>
      <c r="S1645" t="s">
        <v>14</v>
      </c>
      <c r="T1645" t="s">
        <v>52</v>
      </c>
      <c r="W1645" t="s">
        <v>6354</v>
      </c>
      <c r="X1645">
        <v>75</v>
      </c>
      <c r="Y1645" t="s">
        <v>52</v>
      </c>
      <c r="Z1645">
        <v>238</v>
      </c>
    </row>
    <row r="1646" spans="1:26" x14ac:dyDescent="0.3">
      <c r="A1646">
        <v>1645</v>
      </c>
      <c r="B1646" t="s">
        <v>3576</v>
      </c>
      <c r="C1646" t="s">
        <v>72</v>
      </c>
      <c r="D1646" t="s">
        <v>25</v>
      </c>
      <c r="E1646" t="s">
        <v>6355</v>
      </c>
      <c r="F1646" t="s">
        <v>6384</v>
      </c>
      <c r="G1646" t="s">
        <v>6386</v>
      </c>
      <c r="H1646" t="s">
        <v>6392</v>
      </c>
      <c r="I1646" t="s">
        <v>6374</v>
      </c>
      <c r="J1646">
        <f>AVERAGE(ai_job_market[[#This Row],[min_salary]],ai_job_market[[#This Row],[max_salary]])</f>
        <v>104560</v>
      </c>
      <c r="K1646" t="s">
        <v>6379</v>
      </c>
      <c r="L1646" t="s">
        <v>14</v>
      </c>
      <c r="M1646" t="s">
        <v>42</v>
      </c>
      <c r="N1646" t="s">
        <v>6020</v>
      </c>
      <c r="O1646" t="s">
        <v>4549</v>
      </c>
      <c r="P1646">
        <v>92934</v>
      </c>
      <c r="Q1646">
        <v>116186</v>
      </c>
      <c r="R1646" s="2">
        <v>45487</v>
      </c>
      <c r="S1646" t="s">
        <v>14</v>
      </c>
      <c r="T1646" t="s">
        <v>157</v>
      </c>
      <c r="U1646" t="s">
        <v>6388</v>
      </c>
      <c r="W1646" t="s">
        <v>6355</v>
      </c>
      <c r="X1646">
        <v>90</v>
      </c>
      <c r="Y1646" t="s">
        <v>157</v>
      </c>
      <c r="Z1646">
        <v>247</v>
      </c>
    </row>
    <row r="1647" spans="1:26" x14ac:dyDescent="0.3">
      <c r="A1647">
        <v>1646</v>
      </c>
      <c r="B1647" t="s">
        <v>3578</v>
      </c>
      <c r="C1647" t="s">
        <v>49</v>
      </c>
      <c r="D1647" t="s">
        <v>35</v>
      </c>
      <c r="E1647" t="s">
        <v>6347</v>
      </c>
      <c r="F1647" t="s">
        <v>6395</v>
      </c>
      <c r="G1647" t="s">
        <v>6392</v>
      </c>
      <c r="J1647">
        <f>AVERAGE(ai_job_market[[#This Row],[min_salary]],ai_job_market[[#This Row],[max_salary]])</f>
        <v>121501</v>
      </c>
      <c r="K1647"/>
      <c r="L1647" t="s">
        <v>22</v>
      </c>
      <c r="M1647" t="s">
        <v>15</v>
      </c>
      <c r="N1647" t="s">
        <v>6021</v>
      </c>
      <c r="O1647" t="s">
        <v>4634</v>
      </c>
      <c r="P1647">
        <v>116015</v>
      </c>
      <c r="Q1647">
        <v>126987</v>
      </c>
      <c r="R1647" s="2">
        <v>45373</v>
      </c>
      <c r="S1647" t="s">
        <v>16</v>
      </c>
      <c r="T1647" t="s">
        <v>70</v>
      </c>
      <c r="U1647" t="s">
        <v>6383</v>
      </c>
      <c r="W1647" t="s">
        <v>6347</v>
      </c>
      <c r="X1647">
        <v>94</v>
      </c>
      <c r="Y1647" t="s">
        <v>70</v>
      </c>
      <c r="Z1647">
        <v>268</v>
      </c>
    </row>
    <row r="1648" spans="1:26" x14ac:dyDescent="0.3">
      <c r="A1648">
        <v>1647</v>
      </c>
      <c r="B1648" t="s">
        <v>3580</v>
      </c>
      <c r="C1648" t="s">
        <v>72</v>
      </c>
      <c r="D1648" t="s">
        <v>135</v>
      </c>
      <c r="E1648" t="s">
        <v>101</v>
      </c>
      <c r="F1648" t="s">
        <v>6386</v>
      </c>
      <c r="G1648" t="s">
        <v>6397</v>
      </c>
      <c r="H1648" t="s">
        <v>6389</v>
      </c>
      <c r="J1648">
        <f>AVERAGE(ai_job_market[[#This Row],[min_salary]],ai_job_market[[#This Row],[max_salary]])</f>
        <v>181185</v>
      </c>
      <c r="K1648"/>
      <c r="L1648" t="s">
        <v>22</v>
      </c>
      <c r="M1648" t="s">
        <v>51</v>
      </c>
      <c r="N1648" t="s">
        <v>6022</v>
      </c>
      <c r="O1648" t="s">
        <v>4666</v>
      </c>
      <c r="P1648">
        <v>141959</v>
      </c>
      <c r="Q1648">
        <v>220411</v>
      </c>
      <c r="R1648" s="2">
        <v>45523</v>
      </c>
      <c r="S1648" t="s">
        <v>14</v>
      </c>
      <c r="T1648" t="s">
        <v>77</v>
      </c>
      <c r="W1648" t="s">
        <v>101</v>
      </c>
      <c r="X1648">
        <v>76</v>
      </c>
      <c r="Y1648" t="s">
        <v>77</v>
      </c>
      <c r="Z1648">
        <v>251</v>
      </c>
    </row>
    <row r="1649" spans="1:26" x14ac:dyDescent="0.3">
      <c r="A1649">
        <v>1648</v>
      </c>
      <c r="B1649" t="s">
        <v>3582</v>
      </c>
      <c r="C1649" t="s">
        <v>45</v>
      </c>
      <c r="D1649" t="s">
        <v>67</v>
      </c>
      <c r="E1649" t="s">
        <v>70</v>
      </c>
      <c r="F1649" t="s">
        <v>6387</v>
      </c>
      <c r="G1649" t="s">
        <v>6385</v>
      </c>
      <c r="J1649">
        <f>AVERAGE(ai_job_market[[#This Row],[min_salary]],ai_job_market[[#This Row],[max_salary]])</f>
        <v>173263.5</v>
      </c>
      <c r="K1649"/>
      <c r="L1649" t="s">
        <v>22</v>
      </c>
      <c r="M1649" t="s">
        <v>51</v>
      </c>
      <c r="N1649" t="s">
        <v>6023</v>
      </c>
      <c r="O1649" t="s">
        <v>4287</v>
      </c>
      <c r="P1649">
        <v>139741</v>
      </c>
      <c r="Q1649">
        <v>206786</v>
      </c>
      <c r="R1649" s="2">
        <v>45649</v>
      </c>
      <c r="S1649" t="s">
        <v>69</v>
      </c>
      <c r="T1649" t="s">
        <v>128</v>
      </c>
      <c r="U1649" t="s">
        <v>6376</v>
      </c>
      <c r="W1649" t="s">
        <v>70</v>
      </c>
      <c r="X1649">
        <v>100</v>
      </c>
      <c r="Y1649" t="s">
        <v>128</v>
      </c>
      <c r="Z1649">
        <v>233</v>
      </c>
    </row>
    <row r="1650" spans="1:26" x14ac:dyDescent="0.3">
      <c r="A1650">
        <v>1649</v>
      </c>
      <c r="B1650" t="s">
        <v>3584</v>
      </c>
      <c r="C1650" t="s">
        <v>40</v>
      </c>
      <c r="D1650" t="s">
        <v>20</v>
      </c>
      <c r="E1650" t="s">
        <v>6355</v>
      </c>
      <c r="F1650" t="s">
        <v>6385</v>
      </c>
      <c r="G1650" t="s">
        <v>6384</v>
      </c>
      <c r="H1650" t="s">
        <v>6393</v>
      </c>
      <c r="I1650" t="s">
        <v>6397</v>
      </c>
      <c r="J1650">
        <f>AVERAGE(ai_job_market[[#This Row],[min_salary]],ai_job_market[[#This Row],[max_salary]])</f>
        <v>189827</v>
      </c>
      <c r="K1650" t="s">
        <v>6375</v>
      </c>
      <c r="L1650" t="s">
        <v>22</v>
      </c>
      <c r="M1650" t="s">
        <v>51</v>
      </c>
      <c r="N1650" t="s">
        <v>6024</v>
      </c>
      <c r="O1650" t="s">
        <v>4714</v>
      </c>
      <c r="P1650">
        <v>149199</v>
      </c>
      <c r="Q1650">
        <v>230455</v>
      </c>
      <c r="R1650" s="2">
        <v>45694</v>
      </c>
      <c r="S1650" t="s">
        <v>16</v>
      </c>
      <c r="T1650" t="s">
        <v>80</v>
      </c>
      <c r="W1650" t="s">
        <v>6355</v>
      </c>
      <c r="X1650">
        <v>90</v>
      </c>
      <c r="Y1650" t="s">
        <v>80</v>
      </c>
      <c r="Z1650">
        <v>249</v>
      </c>
    </row>
    <row r="1651" spans="1:26" x14ac:dyDescent="0.3">
      <c r="A1651">
        <v>1650</v>
      </c>
      <c r="B1651" t="s">
        <v>3586</v>
      </c>
      <c r="C1651" t="s">
        <v>40</v>
      </c>
      <c r="D1651" t="s">
        <v>12</v>
      </c>
      <c r="E1651" t="s">
        <v>6354</v>
      </c>
      <c r="F1651" t="s">
        <v>6381</v>
      </c>
      <c r="G1651" t="s">
        <v>6390</v>
      </c>
      <c r="H1651" t="s">
        <v>6391</v>
      </c>
      <c r="I1651" t="s">
        <v>6379</v>
      </c>
      <c r="J1651" s="6">
        <f>AVERAGE(ai_job_market[[#This Row],[min_salary]],ai_job_market[[#This Row],[max_salary]])</f>
        <v>138457</v>
      </c>
      <c r="K1651" t="s">
        <v>6374</v>
      </c>
      <c r="L1651" t="s">
        <v>27</v>
      </c>
      <c r="M1651" t="s">
        <v>42</v>
      </c>
      <c r="N1651" t="s">
        <v>6025</v>
      </c>
      <c r="O1651" t="s">
        <v>4456</v>
      </c>
      <c r="P1651" s="5">
        <v>115250</v>
      </c>
      <c r="Q1651" s="5">
        <v>161664</v>
      </c>
      <c r="R1651" s="2">
        <v>45650</v>
      </c>
      <c r="S1651" t="s">
        <v>69</v>
      </c>
      <c r="T1651" t="s">
        <v>90</v>
      </c>
      <c r="U1651" t="s">
        <v>6375</v>
      </c>
      <c r="W1651" t="s">
        <v>6354</v>
      </c>
      <c r="X1651">
        <v>75</v>
      </c>
      <c r="Y1651" t="s">
        <v>90</v>
      </c>
      <c r="Z1651">
        <v>259</v>
      </c>
    </row>
    <row r="1652" spans="1:26" x14ac:dyDescent="0.3">
      <c r="A1652">
        <v>1651</v>
      </c>
      <c r="B1652" t="s">
        <v>3588</v>
      </c>
      <c r="C1652" t="s">
        <v>49</v>
      </c>
      <c r="D1652" t="s">
        <v>25</v>
      </c>
      <c r="E1652" t="s">
        <v>70</v>
      </c>
      <c r="F1652" t="s">
        <v>6390</v>
      </c>
      <c r="G1652" t="s">
        <v>6397</v>
      </c>
      <c r="H1652" t="s">
        <v>6378</v>
      </c>
      <c r="I1652" t="s">
        <v>6387</v>
      </c>
      <c r="J1652">
        <f>AVERAGE(ai_job_market[[#This Row],[min_salary]],ai_job_market[[#This Row],[max_salary]])</f>
        <v>87343.5</v>
      </c>
      <c r="K1652" t="s">
        <v>6385</v>
      </c>
      <c r="L1652" t="s">
        <v>22</v>
      </c>
      <c r="M1652" t="s">
        <v>15</v>
      </c>
      <c r="N1652" t="s">
        <v>6026</v>
      </c>
      <c r="O1652" t="s">
        <v>4699</v>
      </c>
      <c r="P1652">
        <v>45887</v>
      </c>
      <c r="Q1652">
        <v>128800</v>
      </c>
      <c r="R1652" s="2">
        <v>45892</v>
      </c>
      <c r="S1652" t="s">
        <v>69</v>
      </c>
      <c r="T1652" t="s">
        <v>80</v>
      </c>
      <c r="U1652" t="s">
        <v>6383</v>
      </c>
      <c r="V1652" t="s">
        <v>6375</v>
      </c>
      <c r="W1652" t="s">
        <v>70</v>
      </c>
      <c r="X1652">
        <v>100</v>
      </c>
      <c r="Y1652" t="s">
        <v>80</v>
      </c>
      <c r="Z1652">
        <v>249</v>
      </c>
    </row>
    <row r="1653" spans="1:26" x14ac:dyDescent="0.3">
      <c r="A1653">
        <v>1652</v>
      </c>
      <c r="B1653" t="s">
        <v>3591</v>
      </c>
      <c r="C1653" t="s">
        <v>19</v>
      </c>
      <c r="D1653" t="s">
        <v>30</v>
      </c>
      <c r="E1653" t="s">
        <v>6347</v>
      </c>
      <c r="F1653" t="s">
        <v>6395</v>
      </c>
      <c r="G1653" t="s">
        <v>6377</v>
      </c>
      <c r="J1653">
        <f>AVERAGE(ai_job_market[[#This Row],[min_salary]],ai_job_market[[#This Row],[max_salary]])</f>
        <v>86841</v>
      </c>
      <c r="K1653"/>
      <c r="L1653" t="s">
        <v>27</v>
      </c>
      <c r="M1653" t="s">
        <v>51</v>
      </c>
      <c r="N1653" t="s">
        <v>6027</v>
      </c>
      <c r="O1653" t="s">
        <v>4499</v>
      </c>
      <c r="P1653">
        <v>59665</v>
      </c>
      <c r="Q1653">
        <v>114017</v>
      </c>
      <c r="R1653" s="2">
        <v>45591</v>
      </c>
      <c r="S1653" t="s">
        <v>14</v>
      </c>
      <c r="T1653" t="s">
        <v>70</v>
      </c>
      <c r="W1653" t="s">
        <v>6347</v>
      </c>
      <c r="X1653">
        <v>94</v>
      </c>
      <c r="Y1653" t="s">
        <v>70</v>
      </c>
      <c r="Z1653">
        <v>268</v>
      </c>
    </row>
    <row r="1654" spans="1:26" x14ac:dyDescent="0.3">
      <c r="A1654">
        <v>1653</v>
      </c>
      <c r="B1654" t="s">
        <v>3593</v>
      </c>
      <c r="C1654" t="s">
        <v>40</v>
      </c>
      <c r="D1654" t="s">
        <v>54</v>
      </c>
      <c r="E1654" t="s">
        <v>80</v>
      </c>
      <c r="F1654" t="s">
        <v>6395</v>
      </c>
      <c r="G1654" t="s">
        <v>6376</v>
      </c>
      <c r="H1654" t="s">
        <v>6397</v>
      </c>
      <c r="I1654" t="s">
        <v>6377</v>
      </c>
      <c r="J1654">
        <f>AVERAGE(ai_job_market[[#This Row],[min_salary]],ai_job_market[[#This Row],[max_salary]])</f>
        <v>129528</v>
      </c>
      <c r="K1654" t="s">
        <v>6381</v>
      </c>
      <c r="L1654" t="s">
        <v>14</v>
      </c>
      <c r="M1654" t="s">
        <v>15</v>
      </c>
      <c r="N1654" t="s">
        <v>6028</v>
      </c>
      <c r="O1654" t="s">
        <v>4297</v>
      </c>
      <c r="P1654">
        <v>109287</v>
      </c>
      <c r="Q1654">
        <v>149769</v>
      </c>
      <c r="R1654" s="2">
        <v>45237</v>
      </c>
      <c r="S1654" t="s">
        <v>16</v>
      </c>
      <c r="T1654" t="s">
        <v>70</v>
      </c>
      <c r="W1654" t="s">
        <v>80</v>
      </c>
      <c r="X1654">
        <v>95</v>
      </c>
      <c r="Y1654" t="s">
        <v>70</v>
      </c>
      <c r="Z1654">
        <v>268</v>
      </c>
    </row>
    <row r="1655" spans="1:26" x14ac:dyDescent="0.3">
      <c r="A1655">
        <v>1654</v>
      </c>
      <c r="B1655" t="s">
        <v>3595</v>
      </c>
      <c r="C1655" t="s">
        <v>45</v>
      </c>
      <c r="D1655" t="s">
        <v>135</v>
      </c>
      <c r="E1655" t="s">
        <v>6346</v>
      </c>
      <c r="F1655" t="s">
        <v>6389</v>
      </c>
      <c r="G1655" t="s">
        <v>6384</v>
      </c>
      <c r="J1655">
        <f>AVERAGE(ai_job_market[[#This Row],[min_salary]],ai_job_market[[#This Row],[max_salary]])</f>
        <v>152065.5</v>
      </c>
      <c r="K1655"/>
      <c r="L1655" t="s">
        <v>14</v>
      </c>
      <c r="M1655" t="s">
        <v>51</v>
      </c>
      <c r="N1655" t="s">
        <v>6029</v>
      </c>
      <c r="O1655" t="s">
        <v>4337</v>
      </c>
      <c r="P1655">
        <v>116431</v>
      </c>
      <c r="Q1655">
        <v>187700</v>
      </c>
      <c r="R1655" s="2">
        <v>45549</v>
      </c>
      <c r="S1655" t="s">
        <v>14</v>
      </c>
      <c r="T1655" t="s">
        <v>157</v>
      </c>
      <c r="U1655" t="s">
        <v>6388</v>
      </c>
      <c r="V1655" t="s">
        <v>6376</v>
      </c>
      <c r="W1655" t="s">
        <v>6346</v>
      </c>
      <c r="X1655">
        <v>78</v>
      </c>
      <c r="Y1655" t="s">
        <v>157</v>
      </c>
      <c r="Z1655">
        <v>247</v>
      </c>
    </row>
    <row r="1656" spans="1:26" x14ac:dyDescent="0.3">
      <c r="A1656">
        <v>1655</v>
      </c>
      <c r="B1656" t="s">
        <v>3597</v>
      </c>
      <c r="C1656" t="s">
        <v>49</v>
      </c>
      <c r="D1656" t="s">
        <v>20</v>
      </c>
      <c r="E1656" t="s">
        <v>6356</v>
      </c>
      <c r="F1656" t="s">
        <v>6376</v>
      </c>
      <c r="G1656" t="s">
        <v>6394</v>
      </c>
      <c r="J1656">
        <f>AVERAGE(ai_job_market[[#This Row],[min_salary]],ai_job_market[[#This Row],[max_salary]])</f>
        <v>145092.5</v>
      </c>
      <c r="K1656"/>
      <c r="L1656" t="s">
        <v>14</v>
      </c>
      <c r="M1656" t="s">
        <v>37</v>
      </c>
      <c r="N1656" t="s">
        <v>6030</v>
      </c>
      <c r="O1656" t="s">
        <v>4797</v>
      </c>
      <c r="P1656">
        <v>126575</v>
      </c>
      <c r="Q1656">
        <v>163610</v>
      </c>
      <c r="R1656" s="2">
        <v>45828</v>
      </c>
      <c r="S1656" t="s">
        <v>14</v>
      </c>
      <c r="T1656" t="s">
        <v>128</v>
      </c>
      <c r="U1656" t="s">
        <v>6389</v>
      </c>
      <c r="V1656" t="s">
        <v>6384</v>
      </c>
      <c r="W1656" t="s">
        <v>6356</v>
      </c>
      <c r="X1656">
        <v>86</v>
      </c>
      <c r="Y1656" t="s">
        <v>128</v>
      </c>
      <c r="Z1656">
        <v>233</v>
      </c>
    </row>
    <row r="1657" spans="1:26" x14ac:dyDescent="0.3">
      <c r="A1657">
        <v>1656</v>
      </c>
      <c r="B1657" t="s">
        <v>514</v>
      </c>
      <c r="C1657" t="s">
        <v>34</v>
      </c>
      <c r="D1657" t="s">
        <v>135</v>
      </c>
      <c r="E1657" t="s">
        <v>6344</v>
      </c>
      <c r="F1657" t="s">
        <v>6374</v>
      </c>
      <c r="G1657" t="s">
        <v>6386</v>
      </c>
      <c r="H1657" t="s">
        <v>6395</v>
      </c>
      <c r="I1657" t="s">
        <v>6375</v>
      </c>
      <c r="J1657">
        <f>AVERAGE(ai_job_market[[#This Row],[min_salary]],ai_job_market[[#This Row],[max_salary]])</f>
        <v>57358.5</v>
      </c>
      <c r="K1657" t="s">
        <v>6381</v>
      </c>
      <c r="L1657" t="s">
        <v>14</v>
      </c>
      <c r="M1657" t="s">
        <v>37</v>
      </c>
      <c r="N1657" t="s">
        <v>6031</v>
      </c>
      <c r="O1657" t="s">
        <v>4524</v>
      </c>
      <c r="P1657">
        <v>41897</v>
      </c>
      <c r="Q1657">
        <v>72820</v>
      </c>
      <c r="R1657" s="2">
        <v>45304</v>
      </c>
      <c r="S1657" t="s">
        <v>69</v>
      </c>
      <c r="T1657" t="s">
        <v>157</v>
      </c>
      <c r="U1657" t="s">
        <v>6389</v>
      </c>
      <c r="V1657" t="s">
        <v>6388</v>
      </c>
      <c r="W1657" t="s">
        <v>6344</v>
      </c>
      <c r="X1657">
        <v>104</v>
      </c>
      <c r="Y1657" t="s">
        <v>157</v>
      </c>
      <c r="Z1657">
        <v>247</v>
      </c>
    </row>
    <row r="1658" spans="1:26" x14ac:dyDescent="0.3">
      <c r="A1658">
        <v>1657</v>
      </c>
      <c r="B1658" t="s">
        <v>3600</v>
      </c>
      <c r="C1658" t="s">
        <v>19</v>
      </c>
      <c r="D1658" t="s">
        <v>35</v>
      </c>
      <c r="E1658" t="s">
        <v>6359</v>
      </c>
      <c r="F1658" t="s">
        <v>6377</v>
      </c>
      <c r="G1658" t="s">
        <v>6384</v>
      </c>
      <c r="H1658" t="s">
        <v>6382</v>
      </c>
      <c r="J1658">
        <f>AVERAGE(ai_job_market[[#This Row],[min_salary]],ai_job_market[[#This Row],[max_salary]])</f>
        <v>70578</v>
      </c>
      <c r="K1658"/>
      <c r="L1658" t="s">
        <v>14</v>
      </c>
      <c r="M1658" t="s">
        <v>51</v>
      </c>
      <c r="N1658" t="s">
        <v>5334</v>
      </c>
      <c r="O1658" t="s">
        <v>4547</v>
      </c>
      <c r="P1658">
        <v>40844</v>
      </c>
      <c r="Q1658">
        <v>100312</v>
      </c>
      <c r="R1658" s="2">
        <v>45540</v>
      </c>
      <c r="S1658" t="s">
        <v>16</v>
      </c>
      <c r="T1658" t="s">
        <v>77</v>
      </c>
      <c r="W1658" t="s">
        <v>6359</v>
      </c>
      <c r="X1658">
        <v>104</v>
      </c>
      <c r="Y1658" t="s">
        <v>77</v>
      </c>
      <c r="Z1658">
        <v>251</v>
      </c>
    </row>
    <row r="1659" spans="1:26" x14ac:dyDescent="0.3">
      <c r="A1659">
        <v>1658</v>
      </c>
      <c r="B1659" t="s">
        <v>3602</v>
      </c>
      <c r="C1659" t="s">
        <v>34</v>
      </c>
      <c r="D1659" t="s">
        <v>35</v>
      </c>
      <c r="E1659" t="s">
        <v>128</v>
      </c>
      <c r="F1659" t="s">
        <v>6394</v>
      </c>
      <c r="G1659" t="s">
        <v>6389</v>
      </c>
      <c r="J1659" s="6">
        <f>AVERAGE(ai_job_market[[#This Row],[min_salary]],ai_job_market[[#This Row],[max_salary]])</f>
        <v>123764</v>
      </c>
      <c r="K1659"/>
      <c r="L1659" t="s">
        <v>27</v>
      </c>
      <c r="M1659" t="s">
        <v>15</v>
      </c>
      <c r="N1659" t="s">
        <v>6032</v>
      </c>
      <c r="O1659" t="s">
        <v>4528</v>
      </c>
      <c r="P1659" s="5">
        <v>100222</v>
      </c>
      <c r="Q1659" s="5">
        <v>147306</v>
      </c>
      <c r="R1659" s="2">
        <v>45856</v>
      </c>
      <c r="S1659" t="s">
        <v>16</v>
      </c>
      <c r="T1659" t="s">
        <v>52</v>
      </c>
      <c r="U1659" t="s">
        <v>6378</v>
      </c>
      <c r="W1659" t="s">
        <v>128</v>
      </c>
      <c r="X1659">
        <v>92</v>
      </c>
      <c r="Y1659" t="s">
        <v>52</v>
      </c>
      <c r="Z1659">
        <v>238</v>
      </c>
    </row>
    <row r="1660" spans="1:26" x14ac:dyDescent="0.3">
      <c r="A1660">
        <v>1659</v>
      </c>
      <c r="B1660" t="s">
        <v>3604</v>
      </c>
      <c r="C1660" t="s">
        <v>11</v>
      </c>
      <c r="D1660" t="s">
        <v>12</v>
      </c>
      <c r="E1660" t="s">
        <v>6359</v>
      </c>
      <c r="F1660" t="s">
        <v>6397</v>
      </c>
      <c r="G1660" t="s">
        <v>6375</v>
      </c>
      <c r="H1660" t="s">
        <v>6390</v>
      </c>
      <c r="J1660">
        <f>AVERAGE(ai_job_market[[#This Row],[min_salary]],ai_job_market[[#This Row],[max_salary]])</f>
        <v>181603</v>
      </c>
      <c r="K1660"/>
      <c r="L1660" t="s">
        <v>14</v>
      </c>
      <c r="M1660" t="s">
        <v>51</v>
      </c>
      <c r="N1660" t="s">
        <v>6033</v>
      </c>
      <c r="O1660" t="s">
        <v>4418</v>
      </c>
      <c r="P1660">
        <v>140982</v>
      </c>
      <c r="Q1660">
        <v>222224</v>
      </c>
      <c r="R1660" s="2">
        <v>45526</v>
      </c>
      <c r="S1660" t="s">
        <v>16</v>
      </c>
      <c r="T1660" t="s">
        <v>70</v>
      </c>
      <c r="U1660" t="s">
        <v>6383</v>
      </c>
      <c r="W1660" t="s">
        <v>6359</v>
      </c>
      <c r="X1660">
        <v>104</v>
      </c>
      <c r="Y1660" t="s">
        <v>70</v>
      </c>
      <c r="Z1660">
        <v>268</v>
      </c>
    </row>
    <row r="1661" spans="1:26" x14ac:dyDescent="0.3">
      <c r="A1661">
        <v>1660</v>
      </c>
      <c r="B1661" t="s">
        <v>1614</v>
      </c>
      <c r="C1661" t="s">
        <v>45</v>
      </c>
      <c r="D1661" t="s">
        <v>67</v>
      </c>
      <c r="E1661" t="s">
        <v>128</v>
      </c>
      <c r="F1661" t="s">
        <v>6394</v>
      </c>
      <c r="G1661" t="s">
        <v>6395</v>
      </c>
      <c r="J1661">
        <f>AVERAGE(ai_job_market[[#This Row],[min_salary]],ai_job_market[[#This Row],[max_salary]])</f>
        <v>105810</v>
      </c>
      <c r="K1661"/>
      <c r="L1661" t="s">
        <v>14</v>
      </c>
      <c r="M1661" t="s">
        <v>51</v>
      </c>
      <c r="N1661" t="s">
        <v>6034</v>
      </c>
      <c r="O1661" t="s">
        <v>4582</v>
      </c>
      <c r="P1661">
        <v>78788</v>
      </c>
      <c r="Q1661">
        <v>132832</v>
      </c>
      <c r="R1661" s="2">
        <v>45286</v>
      </c>
      <c r="S1661" t="s">
        <v>16</v>
      </c>
      <c r="T1661" t="s">
        <v>157</v>
      </c>
      <c r="U1661" t="s">
        <v>6388</v>
      </c>
      <c r="W1661" t="s">
        <v>128</v>
      </c>
      <c r="X1661">
        <v>92</v>
      </c>
      <c r="Y1661" t="s">
        <v>157</v>
      </c>
      <c r="Z1661">
        <v>247</v>
      </c>
    </row>
    <row r="1662" spans="1:26" x14ac:dyDescent="0.3">
      <c r="A1662">
        <v>1661</v>
      </c>
      <c r="B1662" t="s">
        <v>3607</v>
      </c>
      <c r="C1662" t="s">
        <v>19</v>
      </c>
      <c r="D1662" t="s">
        <v>135</v>
      </c>
      <c r="E1662" t="s">
        <v>6356</v>
      </c>
      <c r="F1662" t="s">
        <v>6390</v>
      </c>
      <c r="G1662" t="s">
        <v>6377</v>
      </c>
      <c r="H1662" t="s">
        <v>6395</v>
      </c>
      <c r="J1662" s="6">
        <f>AVERAGE(ai_job_market[[#This Row],[min_salary]],ai_job_market[[#This Row],[max_salary]])</f>
        <v>131203.5</v>
      </c>
      <c r="K1662"/>
      <c r="L1662" t="s">
        <v>27</v>
      </c>
      <c r="M1662" t="s">
        <v>42</v>
      </c>
      <c r="N1662" t="s">
        <v>6035</v>
      </c>
      <c r="O1662" t="s">
        <v>4578</v>
      </c>
      <c r="P1662" s="5">
        <v>114070</v>
      </c>
      <c r="Q1662" s="5">
        <v>148337</v>
      </c>
      <c r="R1662" s="2">
        <v>45861</v>
      </c>
      <c r="S1662" t="s">
        <v>16</v>
      </c>
      <c r="T1662" t="s">
        <v>157</v>
      </c>
      <c r="W1662" t="s">
        <v>6356</v>
      </c>
      <c r="X1662">
        <v>86</v>
      </c>
      <c r="Y1662" t="s">
        <v>157</v>
      </c>
      <c r="Z1662">
        <v>247</v>
      </c>
    </row>
    <row r="1663" spans="1:26" x14ac:dyDescent="0.3">
      <c r="A1663">
        <v>1662</v>
      </c>
      <c r="B1663" t="s">
        <v>3609</v>
      </c>
      <c r="C1663" t="s">
        <v>11</v>
      </c>
      <c r="D1663" t="s">
        <v>35</v>
      </c>
      <c r="E1663" t="s">
        <v>101</v>
      </c>
      <c r="F1663" t="s">
        <v>6377</v>
      </c>
      <c r="G1663" t="s">
        <v>6389</v>
      </c>
      <c r="J1663">
        <f>AVERAGE(ai_job_market[[#This Row],[min_salary]],ai_job_market[[#This Row],[max_salary]])</f>
        <v>85302</v>
      </c>
      <c r="K1663"/>
      <c r="L1663" t="s">
        <v>14</v>
      </c>
      <c r="M1663" t="s">
        <v>42</v>
      </c>
      <c r="N1663" t="s">
        <v>5305</v>
      </c>
      <c r="O1663" t="s">
        <v>4528</v>
      </c>
      <c r="P1663">
        <v>76395</v>
      </c>
      <c r="Q1663">
        <v>94209</v>
      </c>
      <c r="R1663" s="2">
        <v>45268</v>
      </c>
      <c r="S1663" t="s">
        <v>16</v>
      </c>
      <c r="T1663" t="s">
        <v>77</v>
      </c>
      <c r="U1663" t="s">
        <v>6376</v>
      </c>
      <c r="V1663" t="s">
        <v>6379</v>
      </c>
      <c r="W1663" t="s">
        <v>101</v>
      </c>
      <c r="X1663">
        <v>76</v>
      </c>
      <c r="Y1663" t="s">
        <v>77</v>
      </c>
      <c r="Z1663">
        <v>251</v>
      </c>
    </row>
    <row r="1664" spans="1:26" x14ac:dyDescent="0.3">
      <c r="A1664">
        <v>1663</v>
      </c>
      <c r="B1664" t="s">
        <v>3611</v>
      </c>
      <c r="C1664" t="s">
        <v>72</v>
      </c>
      <c r="D1664" t="s">
        <v>25</v>
      </c>
      <c r="E1664" t="s">
        <v>101</v>
      </c>
      <c r="F1664" t="s">
        <v>6380</v>
      </c>
      <c r="G1664" t="s">
        <v>6397</v>
      </c>
      <c r="J1664" s="6">
        <f>AVERAGE(ai_job_market[[#This Row],[min_salary]],ai_job_market[[#This Row],[max_salary]])</f>
        <v>102844.5</v>
      </c>
      <c r="K1664"/>
      <c r="L1664" t="s">
        <v>27</v>
      </c>
      <c r="M1664" t="s">
        <v>15</v>
      </c>
      <c r="N1664" t="s">
        <v>6036</v>
      </c>
      <c r="O1664" t="s">
        <v>4401</v>
      </c>
      <c r="P1664" s="5">
        <v>90605</v>
      </c>
      <c r="Q1664" s="5">
        <v>115084</v>
      </c>
      <c r="R1664" s="2">
        <v>45366</v>
      </c>
      <c r="S1664" t="s">
        <v>14</v>
      </c>
      <c r="T1664" t="s">
        <v>128</v>
      </c>
      <c r="U1664" t="s">
        <v>6378</v>
      </c>
      <c r="W1664" t="s">
        <v>101</v>
      </c>
      <c r="X1664">
        <v>76</v>
      </c>
      <c r="Y1664" t="s">
        <v>128</v>
      </c>
      <c r="Z1664">
        <v>233</v>
      </c>
    </row>
    <row r="1665" spans="1:26" x14ac:dyDescent="0.3">
      <c r="A1665">
        <v>1664</v>
      </c>
      <c r="B1665" t="s">
        <v>3613</v>
      </c>
      <c r="C1665" t="s">
        <v>19</v>
      </c>
      <c r="D1665" t="s">
        <v>20</v>
      </c>
      <c r="E1665" t="s">
        <v>128</v>
      </c>
      <c r="F1665" t="s">
        <v>6396</v>
      </c>
      <c r="G1665" t="s">
        <v>6384</v>
      </c>
      <c r="H1665" t="s">
        <v>6376</v>
      </c>
      <c r="I1665" t="s">
        <v>6395</v>
      </c>
      <c r="J1665">
        <f>AVERAGE(ai_job_market[[#This Row],[min_salary]],ai_job_market[[#This Row],[max_salary]])</f>
        <v>97476</v>
      </c>
      <c r="K1665"/>
      <c r="L1665" t="s">
        <v>14</v>
      </c>
      <c r="M1665" t="s">
        <v>51</v>
      </c>
      <c r="N1665" t="s">
        <v>6037</v>
      </c>
      <c r="O1665" t="s">
        <v>4329</v>
      </c>
      <c r="P1665">
        <v>47724</v>
      </c>
      <c r="Q1665">
        <v>147228</v>
      </c>
      <c r="R1665" s="2">
        <v>45450</v>
      </c>
      <c r="S1665" t="s">
        <v>69</v>
      </c>
      <c r="T1665" t="s">
        <v>157</v>
      </c>
      <c r="U1665" t="s">
        <v>6379</v>
      </c>
      <c r="W1665" t="s">
        <v>128</v>
      </c>
      <c r="X1665">
        <v>92</v>
      </c>
      <c r="Y1665" t="s">
        <v>157</v>
      </c>
      <c r="Z1665">
        <v>247</v>
      </c>
    </row>
    <row r="1666" spans="1:26" x14ac:dyDescent="0.3">
      <c r="A1666">
        <v>1665</v>
      </c>
      <c r="B1666" t="s">
        <v>3615</v>
      </c>
      <c r="C1666" t="s">
        <v>49</v>
      </c>
      <c r="D1666" t="s">
        <v>67</v>
      </c>
      <c r="E1666" t="s">
        <v>6359</v>
      </c>
      <c r="F1666" t="s">
        <v>6389</v>
      </c>
      <c r="G1666" t="s">
        <v>6376</v>
      </c>
      <c r="H1666" t="s">
        <v>6392</v>
      </c>
      <c r="I1666" t="s">
        <v>6397</v>
      </c>
      <c r="J1666">
        <f>AVERAGE(ai_job_market[[#This Row],[min_salary]],ai_job_market[[#This Row],[max_salary]])</f>
        <v>186827.5</v>
      </c>
      <c r="K1666" t="s">
        <v>6378</v>
      </c>
      <c r="L1666" t="s">
        <v>14</v>
      </c>
      <c r="M1666" t="s">
        <v>37</v>
      </c>
      <c r="N1666" t="s">
        <v>6038</v>
      </c>
      <c r="O1666" t="s">
        <v>4318</v>
      </c>
      <c r="P1666">
        <v>143188</v>
      </c>
      <c r="Q1666">
        <v>230467</v>
      </c>
      <c r="R1666" s="2">
        <v>45386</v>
      </c>
      <c r="S1666" t="s">
        <v>14</v>
      </c>
      <c r="T1666" t="s">
        <v>77</v>
      </c>
      <c r="U1666" t="s">
        <v>6383</v>
      </c>
      <c r="V1666" t="s">
        <v>6379</v>
      </c>
      <c r="W1666" t="s">
        <v>6359</v>
      </c>
      <c r="X1666">
        <v>104</v>
      </c>
      <c r="Y1666" t="s">
        <v>77</v>
      </c>
      <c r="Z1666">
        <v>251</v>
      </c>
    </row>
    <row r="1667" spans="1:26" x14ac:dyDescent="0.3">
      <c r="A1667">
        <v>1666</v>
      </c>
      <c r="B1667" t="s">
        <v>3617</v>
      </c>
      <c r="C1667" t="s">
        <v>40</v>
      </c>
      <c r="D1667" t="s">
        <v>135</v>
      </c>
      <c r="E1667" t="s">
        <v>70</v>
      </c>
      <c r="F1667" t="s">
        <v>6393</v>
      </c>
      <c r="G1667" t="s">
        <v>6376</v>
      </c>
      <c r="H1667" t="s">
        <v>6392</v>
      </c>
      <c r="I1667" t="s">
        <v>6374</v>
      </c>
      <c r="J1667" s="6">
        <f>AVERAGE(ai_job_market[[#This Row],[min_salary]],ai_job_market[[#This Row],[max_salary]])</f>
        <v>116644.5</v>
      </c>
      <c r="K1667" t="s">
        <v>6396</v>
      </c>
      <c r="L1667" t="s">
        <v>14</v>
      </c>
      <c r="M1667" t="s">
        <v>42</v>
      </c>
      <c r="N1667" t="s">
        <v>5569</v>
      </c>
      <c r="O1667" t="s">
        <v>4466</v>
      </c>
      <c r="P1667" s="5">
        <v>96395</v>
      </c>
      <c r="Q1667" s="5">
        <v>136894</v>
      </c>
      <c r="R1667" s="2">
        <v>45198</v>
      </c>
      <c r="S1667" t="s">
        <v>69</v>
      </c>
      <c r="T1667" t="s">
        <v>80</v>
      </c>
      <c r="U1667" t="s">
        <v>6375</v>
      </c>
      <c r="V1667" t="s">
        <v>6376</v>
      </c>
      <c r="W1667" t="s">
        <v>70</v>
      </c>
      <c r="X1667">
        <v>100</v>
      </c>
      <c r="Y1667" t="s">
        <v>80</v>
      </c>
      <c r="Z1667">
        <v>249</v>
      </c>
    </row>
    <row r="1668" spans="1:26" x14ac:dyDescent="0.3">
      <c r="A1668">
        <v>1667</v>
      </c>
      <c r="B1668" t="s">
        <v>3620</v>
      </c>
      <c r="C1668" t="s">
        <v>49</v>
      </c>
      <c r="D1668" t="s">
        <v>54</v>
      </c>
      <c r="E1668" t="s">
        <v>6349</v>
      </c>
      <c r="F1668" t="s">
        <v>6387</v>
      </c>
      <c r="G1668" t="s">
        <v>6395</v>
      </c>
      <c r="H1668" t="s">
        <v>6379</v>
      </c>
      <c r="J1668">
        <f>AVERAGE(ai_job_market[[#This Row],[min_salary]],ai_job_market[[#This Row],[max_salary]])</f>
        <v>144383</v>
      </c>
      <c r="K1668"/>
      <c r="L1668" t="s">
        <v>27</v>
      </c>
      <c r="M1668" t="s">
        <v>37</v>
      </c>
      <c r="N1668" t="s">
        <v>4896</v>
      </c>
      <c r="O1668" t="s">
        <v>4454</v>
      </c>
      <c r="P1668">
        <v>98076</v>
      </c>
      <c r="Q1668">
        <v>190690</v>
      </c>
      <c r="R1668" s="2">
        <v>45486</v>
      </c>
      <c r="S1668" t="s">
        <v>69</v>
      </c>
      <c r="T1668" t="s">
        <v>157</v>
      </c>
      <c r="W1668" t="s">
        <v>6349</v>
      </c>
      <c r="X1668">
        <v>96</v>
      </c>
      <c r="Y1668" t="s">
        <v>157</v>
      </c>
      <c r="Z1668">
        <v>247</v>
      </c>
    </row>
    <row r="1669" spans="1:26" x14ac:dyDescent="0.3">
      <c r="A1669">
        <v>1668</v>
      </c>
      <c r="B1669" t="s">
        <v>3622</v>
      </c>
      <c r="C1669" t="s">
        <v>72</v>
      </c>
      <c r="D1669" t="s">
        <v>12</v>
      </c>
      <c r="E1669" t="s">
        <v>6351</v>
      </c>
      <c r="F1669" t="s">
        <v>6381</v>
      </c>
      <c r="G1669" t="s">
        <v>6379</v>
      </c>
      <c r="H1669" t="s">
        <v>6374</v>
      </c>
      <c r="J1669">
        <f>AVERAGE(ai_job_market[[#This Row],[min_salary]],ai_job_market[[#This Row],[max_salary]])</f>
        <v>154662</v>
      </c>
      <c r="K1669"/>
      <c r="L1669" t="s">
        <v>27</v>
      </c>
      <c r="M1669" t="s">
        <v>42</v>
      </c>
      <c r="N1669" t="s">
        <v>6039</v>
      </c>
      <c r="O1669" t="s">
        <v>4610</v>
      </c>
      <c r="P1669">
        <v>134169</v>
      </c>
      <c r="Q1669">
        <v>175155</v>
      </c>
      <c r="R1669" s="2">
        <v>45416</v>
      </c>
      <c r="S1669" t="s">
        <v>14</v>
      </c>
      <c r="T1669" t="s">
        <v>70</v>
      </c>
      <c r="W1669" t="s">
        <v>6351</v>
      </c>
      <c r="X1669">
        <v>89</v>
      </c>
      <c r="Y1669" t="s">
        <v>70</v>
      </c>
      <c r="Z1669">
        <v>268</v>
      </c>
    </row>
    <row r="1670" spans="1:26" x14ac:dyDescent="0.3">
      <c r="A1670">
        <v>1669</v>
      </c>
      <c r="B1670" t="s">
        <v>3624</v>
      </c>
      <c r="C1670" t="s">
        <v>34</v>
      </c>
      <c r="D1670" t="s">
        <v>54</v>
      </c>
      <c r="E1670" t="s">
        <v>128</v>
      </c>
      <c r="F1670" t="s">
        <v>6397</v>
      </c>
      <c r="G1670" t="s">
        <v>6391</v>
      </c>
      <c r="H1670" t="s">
        <v>6385</v>
      </c>
      <c r="I1670" t="s">
        <v>6377</v>
      </c>
      <c r="J1670">
        <f>AVERAGE(ai_job_market[[#This Row],[min_salary]],ai_job_market[[#This Row],[max_salary]])</f>
        <v>172814</v>
      </c>
      <c r="K1670"/>
      <c r="L1670" t="s">
        <v>27</v>
      </c>
      <c r="M1670" t="s">
        <v>42</v>
      </c>
      <c r="N1670" t="s">
        <v>6040</v>
      </c>
      <c r="O1670" t="s">
        <v>4646</v>
      </c>
      <c r="P1670">
        <v>132041</v>
      </c>
      <c r="Q1670">
        <v>213587</v>
      </c>
      <c r="R1670" s="2">
        <v>45793</v>
      </c>
      <c r="S1670" t="s">
        <v>16</v>
      </c>
      <c r="T1670" t="s">
        <v>128</v>
      </c>
      <c r="U1670" t="s">
        <v>6376</v>
      </c>
      <c r="V1670" t="s">
        <v>6379</v>
      </c>
      <c r="W1670" t="s">
        <v>128</v>
      </c>
      <c r="X1670">
        <v>92</v>
      </c>
      <c r="Y1670" t="s">
        <v>128</v>
      </c>
      <c r="Z1670">
        <v>233</v>
      </c>
    </row>
    <row r="1671" spans="1:26" x14ac:dyDescent="0.3">
      <c r="A1671">
        <v>1670</v>
      </c>
      <c r="B1671" t="s">
        <v>3627</v>
      </c>
      <c r="C1671" t="s">
        <v>40</v>
      </c>
      <c r="D1671" t="s">
        <v>20</v>
      </c>
      <c r="E1671" t="s">
        <v>80</v>
      </c>
      <c r="F1671" t="s">
        <v>6385</v>
      </c>
      <c r="G1671" t="s">
        <v>6386</v>
      </c>
      <c r="H1671" t="s">
        <v>6380</v>
      </c>
      <c r="J1671">
        <f>AVERAGE(ai_job_market[[#This Row],[min_salary]],ai_job_market[[#This Row],[max_salary]])</f>
        <v>68255.5</v>
      </c>
      <c r="K1671"/>
      <c r="L1671" t="s">
        <v>27</v>
      </c>
      <c r="M1671" t="s">
        <v>51</v>
      </c>
      <c r="N1671" t="s">
        <v>5118</v>
      </c>
      <c r="O1671" t="s">
        <v>4377</v>
      </c>
      <c r="P1671">
        <v>60346</v>
      </c>
      <c r="Q1671">
        <v>76165</v>
      </c>
      <c r="R1671" s="2">
        <v>45347</v>
      </c>
      <c r="S1671" t="s">
        <v>16</v>
      </c>
      <c r="T1671" t="s">
        <v>157</v>
      </c>
      <c r="U1671" t="s">
        <v>6384</v>
      </c>
      <c r="W1671" t="s">
        <v>80</v>
      </c>
      <c r="X1671">
        <v>95</v>
      </c>
      <c r="Y1671" t="s">
        <v>157</v>
      </c>
      <c r="Z1671">
        <v>247</v>
      </c>
    </row>
    <row r="1672" spans="1:26" x14ac:dyDescent="0.3">
      <c r="A1672">
        <v>1671</v>
      </c>
      <c r="B1672" t="s">
        <v>3629</v>
      </c>
      <c r="C1672" t="s">
        <v>34</v>
      </c>
      <c r="D1672" t="s">
        <v>35</v>
      </c>
      <c r="E1672" t="s">
        <v>6356</v>
      </c>
      <c r="F1672" t="s">
        <v>6394</v>
      </c>
      <c r="G1672" t="s">
        <v>6385</v>
      </c>
      <c r="H1672" t="s">
        <v>6390</v>
      </c>
      <c r="I1672" t="s">
        <v>6395</v>
      </c>
      <c r="J1672">
        <f>AVERAGE(ai_job_market[[#This Row],[min_salary]],ai_job_market[[#This Row],[max_salary]])</f>
        <v>168284.5</v>
      </c>
      <c r="K1672"/>
      <c r="L1672" t="s">
        <v>27</v>
      </c>
      <c r="M1672" t="s">
        <v>51</v>
      </c>
      <c r="N1672" t="s">
        <v>6041</v>
      </c>
      <c r="O1672" t="s">
        <v>4297</v>
      </c>
      <c r="P1672">
        <v>129117</v>
      </c>
      <c r="Q1672">
        <v>207452</v>
      </c>
      <c r="R1672" s="2">
        <v>45623</v>
      </c>
      <c r="S1672" t="s">
        <v>16</v>
      </c>
      <c r="T1672" t="s">
        <v>77</v>
      </c>
      <c r="U1672" t="s">
        <v>6384</v>
      </c>
      <c r="W1672" t="s">
        <v>6356</v>
      </c>
      <c r="X1672">
        <v>86</v>
      </c>
      <c r="Y1672" t="s">
        <v>77</v>
      </c>
      <c r="Z1672">
        <v>251</v>
      </c>
    </row>
    <row r="1673" spans="1:26" x14ac:dyDescent="0.3">
      <c r="A1673">
        <v>1672</v>
      </c>
      <c r="B1673" t="s">
        <v>3631</v>
      </c>
      <c r="C1673" t="s">
        <v>11</v>
      </c>
      <c r="D1673" t="s">
        <v>135</v>
      </c>
      <c r="E1673" t="s">
        <v>101</v>
      </c>
      <c r="F1673" t="s">
        <v>6391</v>
      </c>
      <c r="G1673" t="s">
        <v>6389</v>
      </c>
      <c r="H1673" t="s">
        <v>6379</v>
      </c>
      <c r="I1673" t="s">
        <v>6384</v>
      </c>
      <c r="J1673">
        <f>AVERAGE(ai_job_market[[#This Row],[min_salary]],ai_job_market[[#This Row],[max_salary]])</f>
        <v>145732.5</v>
      </c>
      <c r="K1673"/>
      <c r="L1673" t="s">
        <v>14</v>
      </c>
      <c r="M1673" t="s">
        <v>15</v>
      </c>
      <c r="N1673" t="s">
        <v>6042</v>
      </c>
      <c r="O1673" t="s">
        <v>4303</v>
      </c>
      <c r="P1673">
        <v>119535</v>
      </c>
      <c r="Q1673">
        <v>171930</v>
      </c>
      <c r="R1673" s="2">
        <v>45666</v>
      </c>
      <c r="S1673" t="s">
        <v>69</v>
      </c>
      <c r="T1673" t="s">
        <v>128</v>
      </c>
      <c r="W1673" t="s">
        <v>101</v>
      </c>
      <c r="X1673">
        <v>76</v>
      </c>
      <c r="Y1673" t="s">
        <v>128</v>
      </c>
      <c r="Z1673">
        <v>233</v>
      </c>
    </row>
    <row r="1674" spans="1:26" x14ac:dyDescent="0.3">
      <c r="A1674">
        <v>1673</v>
      </c>
      <c r="B1674" t="s">
        <v>3633</v>
      </c>
      <c r="C1674" t="s">
        <v>45</v>
      </c>
      <c r="D1674" t="s">
        <v>67</v>
      </c>
      <c r="E1674" t="s">
        <v>6345</v>
      </c>
      <c r="F1674" t="s">
        <v>6385</v>
      </c>
      <c r="G1674" t="s">
        <v>6389</v>
      </c>
      <c r="H1674" t="s">
        <v>6382</v>
      </c>
      <c r="J1674" s="6">
        <f>AVERAGE(ai_job_market[[#This Row],[min_salary]],ai_job_market[[#This Row],[max_salary]])</f>
        <v>107124.5</v>
      </c>
      <c r="K1674"/>
      <c r="L1674" t="s">
        <v>22</v>
      </c>
      <c r="M1674" t="s">
        <v>15</v>
      </c>
      <c r="N1674" t="s">
        <v>6043</v>
      </c>
      <c r="O1674" t="s">
        <v>4815</v>
      </c>
      <c r="P1674" s="5">
        <v>79319</v>
      </c>
      <c r="Q1674" s="5">
        <v>134930</v>
      </c>
      <c r="R1674" s="2">
        <v>45694</v>
      </c>
      <c r="S1674" t="s">
        <v>69</v>
      </c>
      <c r="T1674" t="s">
        <v>128</v>
      </c>
      <c r="W1674" t="s">
        <v>6345</v>
      </c>
      <c r="X1674">
        <v>101</v>
      </c>
      <c r="Y1674" t="s">
        <v>128</v>
      </c>
      <c r="Z1674">
        <v>233</v>
      </c>
    </row>
    <row r="1675" spans="1:26" x14ac:dyDescent="0.3">
      <c r="A1675">
        <v>1674</v>
      </c>
      <c r="B1675" t="s">
        <v>3635</v>
      </c>
      <c r="C1675" t="s">
        <v>11</v>
      </c>
      <c r="D1675" t="s">
        <v>12</v>
      </c>
      <c r="E1675" t="s">
        <v>6346</v>
      </c>
      <c r="F1675" t="s">
        <v>6389</v>
      </c>
      <c r="G1675" t="s">
        <v>6374</v>
      </c>
      <c r="H1675" t="s">
        <v>6381</v>
      </c>
      <c r="I1675" t="s">
        <v>6391</v>
      </c>
      <c r="J1675" s="6">
        <f>AVERAGE(ai_job_market[[#This Row],[min_salary]],ai_job_market[[#This Row],[max_salary]])</f>
        <v>160714.5</v>
      </c>
      <c r="K1675" t="s">
        <v>6376</v>
      </c>
      <c r="L1675" t="s">
        <v>22</v>
      </c>
      <c r="M1675" t="s">
        <v>15</v>
      </c>
      <c r="N1675" t="s">
        <v>6044</v>
      </c>
      <c r="O1675" t="s">
        <v>4973</v>
      </c>
      <c r="P1675" s="5">
        <v>120828</v>
      </c>
      <c r="Q1675" s="5">
        <v>200601</v>
      </c>
      <c r="R1675" s="2">
        <v>45794</v>
      </c>
      <c r="S1675" t="s">
        <v>16</v>
      </c>
      <c r="T1675" t="s">
        <v>128</v>
      </c>
      <c r="U1675" t="s">
        <v>6384</v>
      </c>
      <c r="W1675" t="s">
        <v>6346</v>
      </c>
      <c r="X1675">
        <v>78</v>
      </c>
      <c r="Y1675" t="s">
        <v>128</v>
      </c>
      <c r="Z1675">
        <v>233</v>
      </c>
    </row>
    <row r="1676" spans="1:26" x14ac:dyDescent="0.3">
      <c r="A1676">
        <v>1675</v>
      </c>
      <c r="B1676" t="s">
        <v>3637</v>
      </c>
      <c r="C1676" t="s">
        <v>49</v>
      </c>
      <c r="D1676" t="s">
        <v>54</v>
      </c>
      <c r="E1676" t="s">
        <v>6353</v>
      </c>
      <c r="F1676" t="s">
        <v>6385</v>
      </c>
      <c r="G1676" t="s">
        <v>6378</v>
      </c>
      <c r="H1676" t="s">
        <v>6396</v>
      </c>
      <c r="J1676">
        <f>AVERAGE(ai_job_market[[#This Row],[min_salary]],ai_job_market[[#This Row],[max_salary]])</f>
        <v>77279.5</v>
      </c>
      <c r="K1676"/>
      <c r="L1676" t="s">
        <v>14</v>
      </c>
      <c r="M1676" t="s">
        <v>37</v>
      </c>
      <c r="N1676" t="s">
        <v>6045</v>
      </c>
      <c r="O1676" t="s">
        <v>4684</v>
      </c>
      <c r="P1676">
        <v>70609</v>
      </c>
      <c r="Q1676">
        <v>83950</v>
      </c>
      <c r="R1676" s="2">
        <v>45305</v>
      </c>
      <c r="S1676" t="s">
        <v>14</v>
      </c>
      <c r="T1676" t="s">
        <v>157</v>
      </c>
      <c r="U1676" t="s">
        <v>6378</v>
      </c>
      <c r="W1676" t="s">
        <v>6353</v>
      </c>
      <c r="X1676">
        <v>86</v>
      </c>
      <c r="Y1676" t="s">
        <v>157</v>
      </c>
      <c r="Z1676">
        <v>247</v>
      </c>
    </row>
    <row r="1677" spans="1:26" x14ac:dyDescent="0.3">
      <c r="A1677">
        <v>1676</v>
      </c>
      <c r="B1677" t="s">
        <v>3639</v>
      </c>
      <c r="C1677" t="s">
        <v>34</v>
      </c>
      <c r="D1677" t="s">
        <v>25</v>
      </c>
      <c r="E1677" t="s">
        <v>6347</v>
      </c>
      <c r="F1677" t="s">
        <v>6393</v>
      </c>
      <c r="G1677" t="s">
        <v>6387</v>
      </c>
      <c r="J1677">
        <f>AVERAGE(ai_job_market[[#This Row],[min_salary]],ai_job_market[[#This Row],[max_salary]])</f>
        <v>96103</v>
      </c>
      <c r="K1677"/>
      <c r="L1677" t="s">
        <v>14</v>
      </c>
      <c r="M1677" t="s">
        <v>42</v>
      </c>
      <c r="N1677" t="s">
        <v>6046</v>
      </c>
      <c r="O1677" t="s">
        <v>4325</v>
      </c>
      <c r="P1677">
        <v>88910</v>
      </c>
      <c r="Q1677">
        <v>103296</v>
      </c>
      <c r="R1677" s="2">
        <v>45725</v>
      </c>
      <c r="S1677" t="s">
        <v>16</v>
      </c>
      <c r="T1677" t="s">
        <v>90</v>
      </c>
      <c r="W1677" t="s">
        <v>6347</v>
      </c>
      <c r="X1677">
        <v>94</v>
      </c>
      <c r="Y1677" t="s">
        <v>90</v>
      </c>
      <c r="Z1677">
        <v>259</v>
      </c>
    </row>
    <row r="1678" spans="1:26" x14ac:dyDescent="0.3">
      <c r="A1678">
        <v>1677</v>
      </c>
      <c r="B1678" t="s">
        <v>3641</v>
      </c>
      <c r="C1678" t="s">
        <v>19</v>
      </c>
      <c r="D1678" t="s">
        <v>67</v>
      </c>
      <c r="E1678" t="s">
        <v>80</v>
      </c>
      <c r="F1678" t="s">
        <v>6397</v>
      </c>
      <c r="G1678" t="s">
        <v>6386</v>
      </c>
      <c r="H1678" t="s">
        <v>6395</v>
      </c>
      <c r="I1678" t="s">
        <v>6394</v>
      </c>
      <c r="J1678">
        <f>AVERAGE(ai_job_market[[#This Row],[min_salary]],ai_job_market[[#This Row],[max_salary]])</f>
        <v>135997</v>
      </c>
      <c r="K1678"/>
      <c r="L1678" t="s">
        <v>27</v>
      </c>
      <c r="M1678" t="s">
        <v>42</v>
      </c>
      <c r="N1678" t="s">
        <v>6047</v>
      </c>
      <c r="O1678" t="s">
        <v>5098</v>
      </c>
      <c r="P1678">
        <v>90926</v>
      </c>
      <c r="Q1678">
        <v>181068</v>
      </c>
      <c r="R1678" s="2">
        <v>45755</v>
      </c>
      <c r="S1678" t="s">
        <v>69</v>
      </c>
      <c r="T1678" t="s">
        <v>101</v>
      </c>
      <c r="W1678" t="s">
        <v>80</v>
      </c>
      <c r="X1678">
        <v>95</v>
      </c>
      <c r="Y1678" t="s">
        <v>101</v>
      </c>
      <c r="Z1678">
        <v>255</v>
      </c>
    </row>
    <row r="1679" spans="1:26" x14ac:dyDescent="0.3">
      <c r="A1679">
        <v>1678</v>
      </c>
      <c r="B1679" t="s">
        <v>3643</v>
      </c>
      <c r="C1679" t="s">
        <v>40</v>
      </c>
      <c r="D1679" t="s">
        <v>30</v>
      </c>
      <c r="E1679" t="s">
        <v>6347</v>
      </c>
      <c r="F1679" t="s">
        <v>6375</v>
      </c>
      <c r="G1679" t="s">
        <v>6377</v>
      </c>
      <c r="H1679" t="s">
        <v>6390</v>
      </c>
      <c r="I1679" t="s">
        <v>6391</v>
      </c>
      <c r="J1679">
        <f>AVERAGE(ai_job_market[[#This Row],[min_salary]],ai_job_market[[#This Row],[max_salary]])</f>
        <v>107283.5</v>
      </c>
      <c r="K1679" t="s">
        <v>6392</v>
      </c>
      <c r="L1679" t="s">
        <v>14</v>
      </c>
      <c r="M1679" t="s">
        <v>15</v>
      </c>
      <c r="N1679" t="s">
        <v>6048</v>
      </c>
      <c r="O1679" t="s">
        <v>4849</v>
      </c>
      <c r="P1679">
        <v>64447</v>
      </c>
      <c r="Q1679">
        <v>150120</v>
      </c>
      <c r="R1679" s="2">
        <v>45615</v>
      </c>
      <c r="S1679" t="s">
        <v>16</v>
      </c>
      <c r="T1679" t="s">
        <v>157</v>
      </c>
      <c r="U1679" t="s">
        <v>6388</v>
      </c>
      <c r="W1679" t="s">
        <v>6347</v>
      </c>
      <c r="X1679">
        <v>94</v>
      </c>
      <c r="Y1679" t="s">
        <v>157</v>
      </c>
      <c r="Z1679">
        <v>247</v>
      </c>
    </row>
    <row r="1680" spans="1:26" x14ac:dyDescent="0.3">
      <c r="A1680">
        <v>1679</v>
      </c>
      <c r="B1680" t="s">
        <v>3645</v>
      </c>
      <c r="C1680" t="s">
        <v>49</v>
      </c>
      <c r="D1680" t="s">
        <v>30</v>
      </c>
      <c r="E1680" t="s">
        <v>6346</v>
      </c>
      <c r="F1680" t="s">
        <v>6381</v>
      </c>
      <c r="G1680" t="s">
        <v>6395</v>
      </c>
      <c r="H1680" t="s">
        <v>6380</v>
      </c>
      <c r="I1680" t="s">
        <v>6386</v>
      </c>
      <c r="J1680" s="6">
        <f>AVERAGE(ai_job_market[[#This Row],[min_salary]],ai_job_market[[#This Row],[max_salary]])</f>
        <v>135302</v>
      </c>
      <c r="K1680"/>
      <c r="L1680" t="s">
        <v>14</v>
      </c>
      <c r="M1680" t="s">
        <v>15</v>
      </c>
      <c r="N1680" t="s">
        <v>6049</v>
      </c>
      <c r="O1680" t="s">
        <v>4666</v>
      </c>
      <c r="P1680" s="5">
        <v>121010</v>
      </c>
      <c r="Q1680" s="5">
        <v>149594</v>
      </c>
      <c r="R1680" s="2">
        <v>45761</v>
      </c>
      <c r="S1680" t="s">
        <v>16</v>
      </c>
      <c r="T1680" t="s">
        <v>157</v>
      </c>
      <c r="W1680" t="s">
        <v>6346</v>
      </c>
      <c r="X1680">
        <v>78</v>
      </c>
      <c r="Y1680" t="s">
        <v>157</v>
      </c>
      <c r="Z1680">
        <v>247</v>
      </c>
    </row>
    <row r="1681" spans="1:26" x14ac:dyDescent="0.3">
      <c r="A1681">
        <v>1680</v>
      </c>
      <c r="B1681" t="s">
        <v>3647</v>
      </c>
      <c r="C1681" t="s">
        <v>45</v>
      </c>
      <c r="D1681" t="s">
        <v>54</v>
      </c>
      <c r="E1681" t="s">
        <v>6346</v>
      </c>
      <c r="F1681" t="s">
        <v>6384</v>
      </c>
      <c r="G1681" t="s">
        <v>6389</v>
      </c>
      <c r="J1681">
        <f>AVERAGE(ai_job_market[[#This Row],[min_salary]],ai_job_market[[#This Row],[max_salary]])</f>
        <v>129661</v>
      </c>
      <c r="K1681"/>
      <c r="L1681" t="s">
        <v>14</v>
      </c>
      <c r="M1681" t="s">
        <v>37</v>
      </c>
      <c r="N1681" t="s">
        <v>6050</v>
      </c>
      <c r="O1681" t="s">
        <v>4320</v>
      </c>
      <c r="P1681">
        <v>117833</v>
      </c>
      <c r="Q1681">
        <v>141489</v>
      </c>
      <c r="R1681" s="2">
        <v>45467</v>
      </c>
      <c r="S1681" t="s">
        <v>16</v>
      </c>
      <c r="T1681" t="s">
        <v>128</v>
      </c>
      <c r="W1681" t="s">
        <v>6346</v>
      </c>
      <c r="X1681">
        <v>78</v>
      </c>
      <c r="Y1681" t="s">
        <v>128</v>
      </c>
      <c r="Z1681">
        <v>233</v>
      </c>
    </row>
    <row r="1682" spans="1:26" x14ac:dyDescent="0.3">
      <c r="A1682">
        <v>1681</v>
      </c>
      <c r="B1682" t="s">
        <v>250</v>
      </c>
      <c r="C1682" t="s">
        <v>72</v>
      </c>
      <c r="D1682" t="s">
        <v>135</v>
      </c>
      <c r="E1682" t="s">
        <v>6357</v>
      </c>
      <c r="F1682" t="s">
        <v>6382</v>
      </c>
      <c r="G1682" t="s">
        <v>6396</v>
      </c>
      <c r="J1682">
        <f>AVERAGE(ai_job_market[[#This Row],[min_salary]],ai_job_market[[#This Row],[max_salary]])</f>
        <v>77141.5</v>
      </c>
      <c r="K1682"/>
      <c r="L1682" t="s">
        <v>27</v>
      </c>
      <c r="M1682" t="s">
        <v>51</v>
      </c>
      <c r="N1682" t="s">
        <v>6051</v>
      </c>
      <c r="O1682" t="s">
        <v>4794</v>
      </c>
      <c r="P1682">
        <v>51913</v>
      </c>
      <c r="Q1682">
        <v>102370</v>
      </c>
      <c r="R1682" s="2">
        <v>45202</v>
      </c>
      <c r="S1682" t="s">
        <v>16</v>
      </c>
      <c r="T1682" t="s">
        <v>70</v>
      </c>
      <c r="U1682" t="s">
        <v>6383</v>
      </c>
      <c r="W1682" t="s">
        <v>6357</v>
      </c>
      <c r="X1682">
        <v>88</v>
      </c>
      <c r="Y1682" t="s">
        <v>70</v>
      </c>
      <c r="Z1682">
        <v>268</v>
      </c>
    </row>
    <row r="1683" spans="1:26" x14ac:dyDescent="0.3">
      <c r="A1683">
        <v>1682</v>
      </c>
      <c r="B1683" t="s">
        <v>3650</v>
      </c>
      <c r="C1683" t="s">
        <v>40</v>
      </c>
      <c r="D1683" t="s">
        <v>20</v>
      </c>
      <c r="E1683" t="s">
        <v>77</v>
      </c>
      <c r="F1683" t="s">
        <v>6381</v>
      </c>
      <c r="G1683" t="s">
        <v>6382</v>
      </c>
      <c r="H1683" t="s">
        <v>6384</v>
      </c>
      <c r="I1683" t="s">
        <v>6389</v>
      </c>
      <c r="J1683">
        <f>AVERAGE(ai_job_market[[#This Row],[min_salary]],ai_job_market[[#This Row],[max_salary]])</f>
        <v>90814</v>
      </c>
      <c r="K1683"/>
      <c r="L1683" t="s">
        <v>14</v>
      </c>
      <c r="M1683" t="s">
        <v>37</v>
      </c>
      <c r="N1683" t="s">
        <v>6052</v>
      </c>
      <c r="O1683" t="s">
        <v>4424</v>
      </c>
      <c r="P1683">
        <v>74357</v>
      </c>
      <c r="Q1683">
        <v>107271</v>
      </c>
      <c r="R1683" s="2">
        <v>45550</v>
      </c>
      <c r="S1683" t="s">
        <v>16</v>
      </c>
      <c r="T1683" t="s">
        <v>157</v>
      </c>
      <c r="U1683" t="s">
        <v>6384</v>
      </c>
      <c r="V1683" t="s">
        <v>6379</v>
      </c>
      <c r="W1683" t="s">
        <v>77</v>
      </c>
      <c r="X1683">
        <v>111</v>
      </c>
      <c r="Y1683" t="s">
        <v>157</v>
      </c>
      <c r="Z1683">
        <v>247</v>
      </c>
    </row>
    <row r="1684" spans="1:26" x14ac:dyDescent="0.3">
      <c r="A1684">
        <v>1683</v>
      </c>
      <c r="B1684" t="s">
        <v>3652</v>
      </c>
      <c r="C1684" t="s">
        <v>45</v>
      </c>
      <c r="D1684" t="s">
        <v>25</v>
      </c>
      <c r="E1684" t="s">
        <v>128</v>
      </c>
      <c r="F1684" t="s">
        <v>6392</v>
      </c>
      <c r="G1684" t="s">
        <v>6374</v>
      </c>
      <c r="H1684" t="s">
        <v>6395</v>
      </c>
      <c r="J1684">
        <f>AVERAGE(ai_job_market[[#This Row],[min_salary]],ai_job_market[[#This Row],[max_salary]])</f>
        <v>101710.5</v>
      </c>
      <c r="K1684"/>
      <c r="L1684" t="s">
        <v>27</v>
      </c>
      <c r="M1684" t="s">
        <v>15</v>
      </c>
      <c r="N1684" t="s">
        <v>6053</v>
      </c>
      <c r="O1684" t="s">
        <v>4480</v>
      </c>
      <c r="P1684">
        <v>57249</v>
      </c>
      <c r="Q1684">
        <v>146172</v>
      </c>
      <c r="R1684" s="2">
        <v>45561</v>
      </c>
      <c r="S1684" t="s">
        <v>69</v>
      </c>
      <c r="T1684" t="s">
        <v>157</v>
      </c>
      <c r="U1684" t="s">
        <v>6379</v>
      </c>
      <c r="W1684" t="s">
        <v>128</v>
      </c>
      <c r="X1684">
        <v>92</v>
      </c>
      <c r="Y1684" t="s">
        <v>157</v>
      </c>
      <c r="Z1684">
        <v>247</v>
      </c>
    </row>
    <row r="1685" spans="1:26" x14ac:dyDescent="0.3">
      <c r="A1685">
        <v>1684</v>
      </c>
      <c r="B1685" t="s">
        <v>3654</v>
      </c>
      <c r="C1685" t="s">
        <v>34</v>
      </c>
      <c r="D1685" t="s">
        <v>20</v>
      </c>
      <c r="E1685" t="s">
        <v>6356</v>
      </c>
      <c r="F1685" t="s">
        <v>6386</v>
      </c>
      <c r="G1685" t="s">
        <v>6393</v>
      </c>
      <c r="J1685" s="6">
        <f>AVERAGE(ai_job_market[[#This Row],[min_salary]],ai_job_market[[#This Row],[max_salary]])</f>
        <v>193166</v>
      </c>
      <c r="K1685"/>
      <c r="L1685" t="s">
        <v>27</v>
      </c>
      <c r="M1685" t="s">
        <v>37</v>
      </c>
      <c r="N1685" t="s">
        <v>4777</v>
      </c>
      <c r="O1685" t="s">
        <v>4427</v>
      </c>
      <c r="P1685" s="5">
        <v>145971</v>
      </c>
      <c r="Q1685" s="5">
        <v>240361</v>
      </c>
      <c r="R1685" s="2">
        <v>45800</v>
      </c>
      <c r="S1685" t="s">
        <v>14</v>
      </c>
      <c r="T1685" t="s">
        <v>80</v>
      </c>
      <c r="U1685" t="s">
        <v>6379</v>
      </c>
      <c r="W1685" t="s">
        <v>6356</v>
      </c>
      <c r="X1685">
        <v>86</v>
      </c>
      <c r="Y1685" t="s">
        <v>80</v>
      </c>
      <c r="Z1685">
        <v>249</v>
      </c>
    </row>
    <row r="1686" spans="1:26" x14ac:dyDescent="0.3">
      <c r="A1686">
        <v>1685</v>
      </c>
      <c r="B1686" t="s">
        <v>3656</v>
      </c>
      <c r="C1686" t="s">
        <v>72</v>
      </c>
      <c r="D1686" t="s">
        <v>30</v>
      </c>
      <c r="E1686" t="s">
        <v>6351</v>
      </c>
      <c r="F1686" t="s">
        <v>6391</v>
      </c>
      <c r="G1686" t="s">
        <v>6380</v>
      </c>
      <c r="H1686" t="s">
        <v>6394</v>
      </c>
      <c r="J1686">
        <f>AVERAGE(ai_job_market[[#This Row],[min_salary]],ai_job_market[[#This Row],[max_salary]])</f>
        <v>77274.5</v>
      </c>
      <c r="K1686"/>
      <c r="L1686" t="s">
        <v>22</v>
      </c>
      <c r="M1686" t="s">
        <v>15</v>
      </c>
      <c r="N1686" t="s">
        <v>6054</v>
      </c>
      <c r="O1686" t="s">
        <v>5192</v>
      </c>
      <c r="P1686">
        <v>58633</v>
      </c>
      <c r="Q1686">
        <v>95916</v>
      </c>
      <c r="R1686" s="2">
        <v>45280</v>
      </c>
      <c r="S1686" t="s">
        <v>14</v>
      </c>
      <c r="T1686" t="s">
        <v>128</v>
      </c>
      <c r="U1686" t="s">
        <v>6378</v>
      </c>
      <c r="W1686" t="s">
        <v>6351</v>
      </c>
      <c r="X1686">
        <v>89</v>
      </c>
      <c r="Y1686" t="s">
        <v>128</v>
      </c>
      <c r="Z1686">
        <v>233</v>
      </c>
    </row>
    <row r="1687" spans="1:26" x14ac:dyDescent="0.3">
      <c r="A1687">
        <v>1686</v>
      </c>
      <c r="B1687" t="s">
        <v>3658</v>
      </c>
      <c r="C1687" t="s">
        <v>72</v>
      </c>
      <c r="D1687" t="s">
        <v>20</v>
      </c>
      <c r="E1687" t="s">
        <v>77</v>
      </c>
      <c r="F1687" t="s">
        <v>6390</v>
      </c>
      <c r="G1687" t="s">
        <v>6393</v>
      </c>
      <c r="H1687" t="s">
        <v>6391</v>
      </c>
      <c r="I1687" t="s">
        <v>6394</v>
      </c>
      <c r="J1687">
        <f>AVERAGE(ai_job_market[[#This Row],[min_salary]],ai_job_market[[#This Row],[max_salary]])</f>
        <v>158424</v>
      </c>
      <c r="K1687"/>
      <c r="L1687" t="s">
        <v>22</v>
      </c>
      <c r="M1687" t="s">
        <v>51</v>
      </c>
      <c r="N1687" t="s">
        <v>6055</v>
      </c>
      <c r="O1687" t="s">
        <v>4668</v>
      </c>
      <c r="P1687">
        <v>146101</v>
      </c>
      <c r="Q1687">
        <v>170747</v>
      </c>
      <c r="R1687" s="2">
        <v>45237</v>
      </c>
      <c r="S1687" t="s">
        <v>16</v>
      </c>
      <c r="T1687" t="s">
        <v>52</v>
      </c>
      <c r="W1687" t="s">
        <v>77</v>
      </c>
      <c r="X1687">
        <v>111</v>
      </c>
      <c r="Y1687" t="s">
        <v>52</v>
      </c>
      <c r="Z1687">
        <v>238</v>
      </c>
    </row>
    <row r="1688" spans="1:26" x14ac:dyDescent="0.3">
      <c r="A1688">
        <v>1687</v>
      </c>
      <c r="B1688" t="s">
        <v>3660</v>
      </c>
      <c r="C1688" t="s">
        <v>72</v>
      </c>
      <c r="D1688" t="s">
        <v>20</v>
      </c>
      <c r="E1688" t="s">
        <v>80</v>
      </c>
      <c r="F1688" t="s">
        <v>6394</v>
      </c>
      <c r="G1688" t="s">
        <v>6380</v>
      </c>
      <c r="H1688" t="s">
        <v>6397</v>
      </c>
      <c r="I1688" t="s">
        <v>6386</v>
      </c>
      <c r="J1688" s="6">
        <f>AVERAGE(ai_job_market[[#This Row],[min_salary]],ai_job_market[[#This Row],[max_salary]])</f>
        <v>140928.5</v>
      </c>
      <c r="K1688" t="s">
        <v>6382</v>
      </c>
      <c r="L1688" t="s">
        <v>27</v>
      </c>
      <c r="M1688" t="s">
        <v>15</v>
      </c>
      <c r="N1688" t="s">
        <v>6056</v>
      </c>
      <c r="O1688" t="s">
        <v>4427</v>
      </c>
      <c r="P1688" s="5">
        <v>108220</v>
      </c>
      <c r="Q1688" s="5">
        <v>173637</v>
      </c>
      <c r="R1688" s="2">
        <v>45803</v>
      </c>
      <c r="S1688" t="s">
        <v>69</v>
      </c>
      <c r="T1688" t="s">
        <v>90</v>
      </c>
      <c r="W1688" t="s">
        <v>80</v>
      </c>
      <c r="X1688">
        <v>95</v>
      </c>
      <c r="Y1688" t="s">
        <v>90</v>
      </c>
      <c r="Z1688">
        <v>259</v>
      </c>
    </row>
    <row r="1689" spans="1:26" x14ac:dyDescent="0.3">
      <c r="A1689">
        <v>1688</v>
      </c>
      <c r="B1689" t="s">
        <v>3662</v>
      </c>
      <c r="C1689" t="s">
        <v>40</v>
      </c>
      <c r="D1689" t="s">
        <v>25</v>
      </c>
      <c r="E1689" t="s">
        <v>101</v>
      </c>
      <c r="F1689" t="s">
        <v>6374</v>
      </c>
      <c r="G1689" t="s">
        <v>6382</v>
      </c>
      <c r="H1689" t="s">
        <v>6391</v>
      </c>
      <c r="I1689" t="s">
        <v>6387</v>
      </c>
      <c r="J1689">
        <f>AVERAGE(ai_job_market[[#This Row],[min_salary]],ai_job_market[[#This Row],[max_salary]])</f>
        <v>176149.5</v>
      </c>
      <c r="K1689" t="s">
        <v>6377</v>
      </c>
      <c r="L1689" t="s">
        <v>27</v>
      </c>
      <c r="M1689" t="s">
        <v>42</v>
      </c>
      <c r="N1689" t="s">
        <v>6057</v>
      </c>
      <c r="O1689" t="s">
        <v>4361</v>
      </c>
      <c r="P1689">
        <v>131341</v>
      </c>
      <c r="Q1689">
        <v>220958</v>
      </c>
      <c r="R1689" s="2">
        <v>45627</v>
      </c>
      <c r="S1689" t="s">
        <v>16</v>
      </c>
      <c r="T1689" t="s">
        <v>80</v>
      </c>
      <c r="W1689" t="s">
        <v>101</v>
      </c>
      <c r="X1689">
        <v>76</v>
      </c>
      <c r="Y1689" t="s">
        <v>80</v>
      </c>
      <c r="Z1689">
        <v>249</v>
      </c>
    </row>
    <row r="1690" spans="1:26" x14ac:dyDescent="0.3">
      <c r="A1690">
        <v>1689</v>
      </c>
      <c r="B1690" t="s">
        <v>83</v>
      </c>
      <c r="C1690" t="s">
        <v>11</v>
      </c>
      <c r="D1690" t="s">
        <v>12</v>
      </c>
      <c r="E1690" t="s">
        <v>70</v>
      </c>
      <c r="F1690" t="s">
        <v>6376</v>
      </c>
      <c r="G1690" t="s">
        <v>6391</v>
      </c>
      <c r="H1690" t="s">
        <v>6397</v>
      </c>
      <c r="I1690" t="s">
        <v>6382</v>
      </c>
      <c r="J1690">
        <f>AVERAGE(ai_job_market[[#This Row],[min_salary]],ai_job_market[[#This Row],[max_salary]])</f>
        <v>115478</v>
      </c>
      <c r="K1690"/>
      <c r="L1690" t="s">
        <v>14</v>
      </c>
      <c r="M1690" t="s">
        <v>37</v>
      </c>
      <c r="N1690" t="s">
        <v>6058</v>
      </c>
      <c r="O1690" t="s">
        <v>4337</v>
      </c>
      <c r="P1690">
        <v>94305</v>
      </c>
      <c r="Q1690">
        <v>136651</v>
      </c>
      <c r="R1690" s="2">
        <v>45355</v>
      </c>
      <c r="S1690" t="s">
        <v>14</v>
      </c>
      <c r="T1690" t="s">
        <v>80</v>
      </c>
      <c r="U1690" t="s">
        <v>6383</v>
      </c>
      <c r="W1690" t="s">
        <v>70</v>
      </c>
      <c r="X1690">
        <v>100</v>
      </c>
      <c r="Y1690" t="s">
        <v>80</v>
      </c>
      <c r="Z1690">
        <v>249</v>
      </c>
    </row>
    <row r="1691" spans="1:26" x14ac:dyDescent="0.3">
      <c r="A1691">
        <v>1690</v>
      </c>
      <c r="B1691" t="s">
        <v>3665</v>
      </c>
      <c r="C1691" t="s">
        <v>19</v>
      </c>
      <c r="D1691" t="s">
        <v>12</v>
      </c>
      <c r="E1691" t="s">
        <v>6346</v>
      </c>
      <c r="F1691" t="s">
        <v>6397</v>
      </c>
      <c r="G1691" t="s">
        <v>6375</v>
      </c>
      <c r="H1691" t="s">
        <v>6396</v>
      </c>
      <c r="I1691" t="s">
        <v>6395</v>
      </c>
      <c r="J1691">
        <f>AVERAGE(ai_job_market[[#This Row],[min_salary]],ai_job_market[[#This Row],[max_salary]])</f>
        <v>125601.5</v>
      </c>
      <c r="K1691"/>
      <c r="L1691" t="s">
        <v>14</v>
      </c>
      <c r="M1691" t="s">
        <v>51</v>
      </c>
      <c r="N1691" t="s">
        <v>6059</v>
      </c>
      <c r="O1691" t="s">
        <v>4444</v>
      </c>
      <c r="P1691">
        <v>118072</v>
      </c>
      <c r="Q1691">
        <v>133131</v>
      </c>
      <c r="R1691" s="2">
        <v>45334</v>
      </c>
      <c r="S1691" t="s">
        <v>16</v>
      </c>
      <c r="T1691" t="s">
        <v>90</v>
      </c>
      <c r="U1691" t="s">
        <v>6379</v>
      </c>
      <c r="W1691" t="s">
        <v>6346</v>
      </c>
      <c r="X1691">
        <v>78</v>
      </c>
      <c r="Y1691" t="s">
        <v>90</v>
      </c>
      <c r="Z1691">
        <v>259</v>
      </c>
    </row>
    <row r="1692" spans="1:26" x14ac:dyDescent="0.3">
      <c r="A1692">
        <v>1691</v>
      </c>
      <c r="B1692" t="s">
        <v>3667</v>
      </c>
      <c r="C1692" t="s">
        <v>19</v>
      </c>
      <c r="D1692" t="s">
        <v>20</v>
      </c>
      <c r="E1692" t="s">
        <v>6353</v>
      </c>
      <c r="F1692" t="s">
        <v>6379</v>
      </c>
      <c r="G1692" t="s">
        <v>6378</v>
      </c>
      <c r="H1692" t="s">
        <v>6374</v>
      </c>
      <c r="I1692" t="s">
        <v>6382</v>
      </c>
      <c r="J1692" s="6">
        <f>AVERAGE(ai_job_market[[#This Row],[min_salary]],ai_job_market[[#This Row],[max_salary]])</f>
        <v>69673</v>
      </c>
      <c r="K1692" t="s">
        <v>6377</v>
      </c>
      <c r="L1692" t="s">
        <v>14</v>
      </c>
      <c r="M1692" t="s">
        <v>15</v>
      </c>
      <c r="N1692" t="s">
        <v>4759</v>
      </c>
      <c r="O1692" t="s">
        <v>4714</v>
      </c>
      <c r="P1692" s="5">
        <v>49623</v>
      </c>
      <c r="Q1692" s="5">
        <v>89723</v>
      </c>
      <c r="R1692" s="2">
        <v>45374</v>
      </c>
      <c r="S1692" t="s">
        <v>69</v>
      </c>
      <c r="T1692" t="s">
        <v>70</v>
      </c>
      <c r="U1692" t="s">
        <v>6378</v>
      </c>
      <c r="W1692" t="s">
        <v>6353</v>
      </c>
      <c r="X1692">
        <v>86</v>
      </c>
      <c r="Y1692" t="s">
        <v>70</v>
      </c>
      <c r="Z1692">
        <v>268</v>
      </c>
    </row>
    <row r="1693" spans="1:26" x14ac:dyDescent="0.3">
      <c r="A1693">
        <v>1692</v>
      </c>
      <c r="B1693" t="s">
        <v>3669</v>
      </c>
      <c r="C1693" t="s">
        <v>11</v>
      </c>
      <c r="D1693" t="s">
        <v>135</v>
      </c>
      <c r="E1693" t="s">
        <v>6354</v>
      </c>
      <c r="F1693" t="s">
        <v>6389</v>
      </c>
      <c r="G1693" t="s">
        <v>6385</v>
      </c>
      <c r="H1693" t="s">
        <v>6397</v>
      </c>
      <c r="I1693" t="s">
        <v>6395</v>
      </c>
      <c r="J1693">
        <f>AVERAGE(ai_job_market[[#This Row],[min_salary]],ai_job_market[[#This Row],[max_salary]])</f>
        <v>130342</v>
      </c>
      <c r="K1693" t="s">
        <v>6394</v>
      </c>
      <c r="L1693" t="s">
        <v>27</v>
      </c>
      <c r="M1693" t="s">
        <v>51</v>
      </c>
      <c r="N1693" t="s">
        <v>6060</v>
      </c>
      <c r="O1693" t="s">
        <v>4601</v>
      </c>
      <c r="P1693">
        <v>89682</v>
      </c>
      <c r="Q1693">
        <v>171002</v>
      </c>
      <c r="R1693" s="2">
        <v>45503</v>
      </c>
      <c r="S1693" t="s">
        <v>16</v>
      </c>
      <c r="T1693" t="s">
        <v>77</v>
      </c>
      <c r="W1693" t="s">
        <v>6354</v>
      </c>
      <c r="X1693">
        <v>75</v>
      </c>
      <c r="Y1693" t="s">
        <v>77</v>
      </c>
      <c r="Z1693">
        <v>251</v>
      </c>
    </row>
    <row r="1694" spans="1:26" x14ac:dyDescent="0.3">
      <c r="A1694">
        <v>1693</v>
      </c>
      <c r="B1694" t="s">
        <v>3671</v>
      </c>
      <c r="C1694" t="s">
        <v>11</v>
      </c>
      <c r="D1694" t="s">
        <v>30</v>
      </c>
      <c r="E1694" t="s">
        <v>77</v>
      </c>
      <c r="F1694" t="s">
        <v>6385</v>
      </c>
      <c r="G1694" t="s">
        <v>6387</v>
      </c>
      <c r="H1694" t="s">
        <v>6384</v>
      </c>
      <c r="I1694" t="s">
        <v>6374</v>
      </c>
      <c r="J1694">
        <f>AVERAGE(ai_job_market[[#This Row],[min_salary]],ai_job_market[[#This Row],[max_salary]])</f>
        <v>171336</v>
      </c>
      <c r="K1694"/>
      <c r="L1694" t="s">
        <v>14</v>
      </c>
      <c r="M1694" t="s">
        <v>37</v>
      </c>
      <c r="N1694" t="s">
        <v>6061</v>
      </c>
      <c r="O1694" t="s">
        <v>4624</v>
      </c>
      <c r="P1694">
        <v>124069</v>
      </c>
      <c r="Q1694">
        <v>218603</v>
      </c>
      <c r="R1694" s="2">
        <v>45767</v>
      </c>
      <c r="S1694" t="s">
        <v>69</v>
      </c>
      <c r="T1694" t="s">
        <v>128</v>
      </c>
      <c r="W1694" t="s">
        <v>77</v>
      </c>
      <c r="X1694">
        <v>111</v>
      </c>
      <c r="Y1694" t="s">
        <v>128</v>
      </c>
      <c r="Z1694">
        <v>233</v>
      </c>
    </row>
    <row r="1695" spans="1:26" x14ac:dyDescent="0.3">
      <c r="A1695">
        <v>1694</v>
      </c>
      <c r="B1695" t="s">
        <v>3673</v>
      </c>
      <c r="C1695" t="s">
        <v>19</v>
      </c>
      <c r="D1695" t="s">
        <v>35</v>
      </c>
      <c r="E1695" t="s">
        <v>80</v>
      </c>
      <c r="F1695" t="s">
        <v>6381</v>
      </c>
      <c r="G1695" t="s">
        <v>6386</v>
      </c>
      <c r="H1695" t="s">
        <v>6375</v>
      </c>
      <c r="I1695" t="s">
        <v>6379</v>
      </c>
      <c r="J1695">
        <f>AVERAGE(ai_job_market[[#This Row],[min_salary]],ai_job_market[[#This Row],[max_salary]])</f>
        <v>83415.5</v>
      </c>
      <c r="K1695"/>
      <c r="L1695" t="s">
        <v>14</v>
      </c>
      <c r="M1695" t="s">
        <v>42</v>
      </c>
      <c r="N1695" t="s">
        <v>6062</v>
      </c>
      <c r="O1695" t="s">
        <v>5011</v>
      </c>
      <c r="P1695">
        <v>77044</v>
      </c>
      <c r="Q1695">
        <v>89787</v>
      </c>
      <c r="R1695" s="2">
        <v>45218</v>
      </c>
      <c r="S1695" t="s">
        <v>69</v>
      </c>
      <c r="T1695" t="s">
        <v>128</v>
      </c>
      <c r="W1695" t="s">
        <v>80</v>
      </c>
      <c r="X1695">
        <v>95</v>
      </c>
      <c r="Y1695" t="s">
        <v>128</v>
      </c>
      <c r="Z1695">
        <v>233</v>
      </c>
    </row>
    <row r="1696" spans="1:26" x14ac:dyDescent="0.3">
      <c r="A1696">
        <v>1695</v>
      </c>
      <c r="B1696" t="s">
        <v>3675</v>
      </c>
      <c r="C1696" t="s">
        <v>11</v>
      </c>
      <c r="D1696" t="s">
        <v>12</v>
      </c>
      <c r="E1696" t="s">
        <v>70</v>
      </c>
      <c r="F1696" t="s">
        <v>6389</v>
      </c>
      <c r="G1696" t="s">
        <v>6391</v>
      </c>
      <c r="H1696" t="s">
        <v>6382</v>
      </c>
      <c r="J1696">
        <f>AVERAGE(ai_job_market[[#This Row],[min_salary]],ai_job_market[[#This Row],[max_salary]])</f>
        <v>91873.5</v>
      </c>
      <c r="K1696"/>
      <c r="L1696" t="s">
        <v>27</v>
      </c>
      <c r="M1696" t="s">
        <v>51</v>
      </c>
      <c r="N1696" t="s">
        <v>6063</v>
      </c>
      <c r="O1696" t="s">
        <v>4333</v>
      </c>
      <c r="P1696">
        <v>57934</v>
      </c>
      <c r="Q1696">
        <v>125813</v>
      </c>
      <c r="R1696" s="2">
        <v>45665</v>
      </c>
      <c r="S1696" t="s">
        <v>16</v>
      </c>
      <c r="T1696" t="s">
        <v>157</v>
      </c>
      <c r="W1696" t="s">
        <v>70</v>
      </c>
      <c r="X1696">
        <v>100</v>
      </c>
      <c r="Y1696" t="s">
        <v>157</v>
      </c>
      <c r="Z1696">
        <v>247</v>
      </c>
    </row>
    <row r="1697" spans="1:26" x14ac:dyDescent="0.3">
      <c r="A1697">
        <v>1696</v>
      </c>
      <c r="B1697" t="s">
        <v>3677</v>
      </c>
      <c r="C1697" t="s">
        <v>72</v>
      </c>
      <c r="D1697" t="s">
        <v>135</v>
      </c>
      <c r="E1697" t="s">
        <v>6350</v>
      </c>
      <c r="F1697" t="s">
        <v>6387</v>
      </c>
      <c r="G1697" t="s">
        <v>6380</v>
      </c>
      <c r="H1697" t="s">
        <v>6382</v>
      </c>
      <c r="I1697" t="s">
        <v>6391</v>
      </c>
      <c r="J1697">
        <f>AVERAGE(ai_job_market[[#This Row],[min_salary]],ai_job_market[[#This Row],[max_salary]])</f>
        <v>49122.5</v>
      </c>
      <c r="K1697"/>
      <c r="L1697" t="s">
        <v>27</v>
      </c>
      <c r="M1697" t="s">
        <v>37</v>
      </c>
      <c r="N1697" t="s">
        <v>5365</v>
      </c>
      <c r="O1697" t="s">
        <v>4634</v>
      </c>
      <c r="P1697">
        <v>40829</v>
      </c>
      <c r="Q1697">
        <v>57416</v>
      </c>
      <c r="R1697" s="2">
        <v>45323</v>
      </c>
      <c r="S1697" t="s">
        <v>14</v>
      </c>
      <c r="T1697" t="s">
        <v>52</v>
      </c>
      <c r="U1697" t="s">
        <v>6376</v>
      </c>
      <c r="W1697" t="s">
        <v>6350</v>
      </c>
      <c r="X1697">
        <v>84</v>
      </c>
      <c r="Y1697" t="s">
        <v>52</v>
      </c>
      <c r="Z1697">
        <v>238</v>
      </c>
    </row>
    <row r="1698" spans="1:26" x14ac:dyDescent="0.3">
      <c r="A1698">
        <v>1697</v>
      </c>
      <c r="B1698" t="s">
        <v>3679</v>
      </c>
      <c r="C1698" t="s">
        <v>45</v>
      </c>
      <c r="D1698" t="s">
        <v>35</v>
      </c>
      <c r="E1698" t="s">
        <v>6349</v>
      </c>
      <c r="F1698" t="s">
        <v>6375</v>
      </c>
      <c r="G1698" t="s">
        <v>6392</v>
      </c>
      <c r="J1698">
        <f>AVERAGE(ai_job_market[[#This Row],[min_salary]],ai_job_market[[#This Row],[max_salary]])</f>
        <v>137623</v>
      </c>
      <c r="K1698"/>
      <c r="L1698" t="s">
        <v>27</v>
      </c>
      <c r="M1698" t="s">
        <v>51</v>
      </c>
      <c r="N1698" t="s">
        <v>6064</v>
      </c>
      <c r="O1698" t="s">
        <v>4439</v>
      </c>
      <c r="P1698">
        <v>104387</v>
      </c>
      <c r="Q1698">
        <v>170859</v>
      </c>
      <c r="R1698" s="2">
        <v>45205</v>
      </c>
      <c r="S1698" t="s">
        <v>16</v>
      </c>
      <c r="T1698" t="s">
        <v>157</v>
      </c>
      <c r="W1698" t="s">
        <v>6349</v>
      </c>
      <c r="X1698">
        <v>96</v>
      </c>
      <c r="Y1698" t="s">
        <v>157</v>
      </c>
      <c r="Z1698">
        <v>247</v>
      </c>
    </row>
    <row r="1699" spans="1:26" x14ac:dyDescent="0.3">
      <c r="A1699">
        <v>1698</v>
      </c>
      <c r="B1699" t="s">
        <v>3681</v>
      </c>
      <c r="C1699" t="s">
        <v>45</v>
      </c>
      <c r="D1699" t="s">
        <v>25</v>
      </c>
      <c r="E1699" t="s">
        <v>6349</v>
      </c>
      <c r="F1699" t="s">
        <v>6381</v>
      </c>
      <c r="G1699" t="s">
        <v>6375</v>
      </c>
      <c r="H1699" t="s">
        <v>6397</v>
      </c>
      <c r="I1699" t="s">
        <v>6382</v>
      </c>
      <c r="J1699">
        <f>AVERAGE(ai_job_market[[#This Row],[min_salary]],ai_job_market[[#This Row],[max_salary]])</f>
        <v>178847.5</v>
      </c>
      <c r="K1699" t="s">
        <v>6391</v>
      </c>
      <c r="L1699" t="s">
        <v>14</v>
      </c>
      <c r="M1699" t="s">
        <v>42</v>
      </c>
      <c r="N1699" t="s">
        <v>6065</v>
      </c>
      <c r="O1699" t="s">
        <v>5109</v>
      </c>
      <c r="P1699">
        <v>129320</v>
      </c>
      <c r="Q1699">
        <v>228375</v>
      </c>
      <c r="R1699" s="2">
        <v>45297</v>
      </c>
      <c r="S1699" t="s">
        <v>14</v>
      </c>
      <c r="T1699" t="s">
        <v>90</v>
      </c>
      <c r="U1699" t="s">
        <v>6384</v>
      </c>
      <c r="W1699" t="s">
        <v>6349</v>
      </c>
      <c r="X1699">
        <v>96</v>
      </c>
      <c r="Y1699" t="s">
        <v>90</v>
      </c>
      <c r="Z1699">
        <v>259</v>
      </c>
    </row>
    <row r="1700" spans="1:26" x14ac:dyDescent="0.3">
      <c r="A1700">
        <v>1699</v>
      </c>
      <c r="B1700" t="s">
        <v>3683</v>
      </c>
      <c r="C1700" t="s">
        <v>34</v>
      </c>
      <c r="D1700" t="s">
        <v>54</v>
      </c>
      <c r="E1700" t="s">
        <v>6352</v>
      </c>
      <c r="F1700" t="s">
        <v>6376</v>
      </c>
      <c r="G1700" t="s">
        <v>6391</v>
      </c>
      <c r="H1700" t="s">
        <v>6397</v>
      </c>
      <c r="I1700" t="s">
        <v>6384</v>
      </c>
      <c r="J1700">
        <f>AVERAGE(ai_job_market[[#This Row],[min_salary]],ai_job_market[[#This Row],[max_salary]])</f>
        <v>152612.5</v>
      </c>
      <c r="K1700" t="s">
        <v>6379</v>
      </c>
      <c r="L1700" t="s">
        <v>14</v>
      </c>
      <c r="M1700" t="s">
        <v>51</v>
      </c>
      <c r="N1700" t="s">
        <v>6066</v>
      </c>
      <c r="O1700" t="s">
        <v>4410</v>
      </c>
      <c r="P1700">
        <v>137419</v>
      </c>
      <c r="Q1700">
        <v>167806</v>
      </c>
      <c r="R1700" s="2">
        <v>45911</v>
      </c>
      <c r="S1700" t="s">
        <v>16</v>
      </c>
      <c r="T1700" t="s">
        <v>128</v>
      </c>
      <c r="W1700" t="s">
        <v>6352</v>
      </c>
      <c r="X1700">
        <v>97</v>
      </c>
      <c r="Y1700" t="s">
        <v>128</v>
      </c>
      <c r="Z1700">
        <v>233</v>
      </c>
    </row>
    <row r="1701" spans="1:26" x14ac:dyDescent="0.3">
      <c r="A1701">
        <v>1700</v>
      </c>
      <c r="B1701" t="s">
        <v>3685</v>
      </c>
      <c r="C1701" t="s">
        <v>45</v>
      </c>
      <c r="D1701" t="s">
        <v>20</v>
      </c>
      <c r="E1701" t="s">
        <v>6356</v>
      </c>
      <c r="F1701" t="s">
        <v>6387</v>
      </c>
      <c r="G1701" t="s">
        <v>6396</v>
      </c>
      <c r="J1701">
        <f>AVERAGE(ai_job_market[[#This Row],[min_salary]],ai_job_market[[#This Row],[max_salary]])</f>
        <v>155365.5</v>
      </c>
      <c r="K1701"/>
      <c r="L1701" t="s">
        <v>14</v>
      </c>
      <c r="M1701" t="s">
        <v>15</v>
      </c>
      <c r="N1701" t="s">
        <v>6067</v>
      </c>
      <c r="O1701" t="s">
        <v>4938</v>
      </c>
      <c r="P1701">
        <v>147739</v>
      </c>
      <c r="Q1701">
        <v>162992</v>
      </c>
      <c r="R1701" s="2">
        <v>45322</v>
      </c>
      <c r="S1701" t="s">
        <v>69</v>
      </c>
      <c r="T1701" t="s">
        <v>70</v>
      </c>
      <c r="W1701" t="s">
        <v>6356</v>
      </c>
      <c r="X1701">
        <v>86</v>
      </c>
      <c r="Y1701" t="s">
        <v>70</v>
      </c>
      <c r="Z1701">
        <v>268</v>
      </c>
    </row>
    <row r="1702" spans="1:26" x14ac:dyDescent="0.3">
      <c r="A1702">
        <v>1701</v>
      </c>
      <c r="B1702" t="s">
        <v>3687</v>
      </c>
      <c r="C1702" t="s">
        <v>72</v>
      </c>
      <c r="D1702" t="s">
        <v>135</v>
      </c>
      <c r="E1702" t="s">
        <v>80</v>
      </c>
      <c r="F1702" t="s">
        <v>6394</v>
      </c>
      <c r="G1702" t="s">
        <v>6378</v>
      </c>
      <c r="J1702">
        <f>AVERAGE(ai_job_market[[#This Row],[min_salary]],ai_job_market[[#This Row],[max_salary]])</f>
        <v>92446</v>
      </c>
      <c r="K1702"/>
      <c r="L1702" t="s">
        <v>27</v>
      </c>
      <c r="M1702" t="s">
        <v>42</v>
      </c>
      <c r="N1702" t="s">
        <v>6068</v>
      </c>
      <c r="O1702" t="s">
        <v>4289</v>
      </c>
      <c r="P1702">
        <v>62811</v>
      </c>
      <c r="Q1702">
        <v>122081</v>
      </c>
      <c r="R1702" s="2">
        <v>45702</v>
      </c>
      <c r="S1702" t="s">
        <v>69</v>
      </c>
      <c r="T1702" t="s">
        <v>52</v>
      </c>
      <c r="U1702" t="s">
        <v>6379</v>
      </c>
      <c r="V1702" t="s">
        <v>6389</v>
      </c>
      <c r="W1702" t="s">
        <v>80</v>
      </c>
      <c r="X1702">
        <v>95</v>
      </c>
      <c r="Y1702" t="s">
        <v>52</v>
      </c>
      <c r="Z1702">
        <v>238</v>
      </c>
    </row>
    <row r="1703" spans="1:26" x14ac:dyDescent="0.3">
      <c r="A1703">
        <v>1702</v>
      </c>
      <c r="B1703" t="s">
        <v>3689</v>
      </c>
      <c r="C1703" t="s">
        <v>72</v>
      </c>
      <c r="D1703" t="s">
        <v>35</v>
      </c>
      <c r="E1703" t="s">
        <v>6359</v>
      </c>
      <c r="F1703" t="s">
        <v>6377</v>
      </c>
      <c r="G1703" t="s">
        <v>6384</v>
      </c>
      <c r="J1703" s="6">
        <f>AVERAGE(ai_job_market[[#This Row],[min_salary]],ai_job_market[[#This Row],[max_salary]])</f>
        <v>149525.5</v>
      </c>
      <c r="K1703"/>
      <c r="L1703" t="s">
        <v>22</v>
      </c>
      <c r="M1703" t="s">
        <v>15</v>
      </c>
      <c r="N1703" t="s">
        <v>6069</v>
      </c>
      <c r="O1703" t="s">
        <v>4355</v>
      </c>
      <c r="P1703" s="5">
        <v>136329</v>
      </c>
      <c r="Q1703" s="5">
        <v>162722</v>
      </c>
      <c r="R1703" s="2">
        <v>45626</v>
      </c>
      <c r="S1703" t="s">
        <v>16</v>
      </c>
      <c r="T1703" t="s">
        <v>101</v>
      </c>
      <c r="U1703" t="s">
        <v>6389</v>
      </c>
      <c r="V1703" t="s">
        <v>6379</v>
      </c>
      <c r="W1703" t="s">
        <v>6359</v>
      </c>
      <c r="X1703">
        <v>104</v>
      </c>
      <c r="Y1703" t="s">
        <v>101</v>
      </c>
      <c r="Z1703">
        <v>255</v>
      </c>
    </row>
    <row r="1704" spans="1:26" x14ac:dyDescent="0.3">
      <c r="A1704">
        <v>1703</v>
      </c>
      <c r="B1704" t="s">
        <v>3691</v>
      </c>
      <c r="C1704" t="s">
        <v>40</v>
      </c>
      <c r="D1704" t="s">
        <v>35</v>
      </c>
      <c r="E1704" t="s">
        <v>6355</v>
      </c>
      <c r="F1704" t="s">
        <v>6396</v>
      </c>
      <c r="G1704" t="s">
        <v>6395</v>
      </c>
      <c r="H1704" t="s">
        <v>6381</v>
      </c>
      <c r="J1704">
        <f>AVERAGE(ai_job_market[[#This Row],[min_salary]],ai_job_market[[#This Row],[max_salary]])</f>
        <v>143228.5</v>
      </c>
      <c r="K1704"/>
      <c r="L1704" t="s">
        <v>22</v>
      </c>
      <c r="M1704" t="s">
        <v>51</v>
      </c>
      <c r="N1704" t="s">
        <v>6070</v>
      </c>
      <c r="O1704" t="s">
        <v>4437</v>
      </c>
      <c r="P1704">
        <v>103453</v>
      </c>
      <c r="Q1704">
        <v>183004</v>
      </c>
      <c r="R1704" s="2">
        <v>45622</v>
      </c>
      <c r="S1704" t="s">
        <v>16</v>
      </c>
      <c r="T1704" t="s">
        <v>101</v>
      </c>
      <c r="W1704" t="s">
        <v>6355</v>
      </c>
      <c r="X1704">
        <v>90</v>
      </c>
      <c r="Y1704" t="s">
        <v>101</v>
      </c>
      <c r="Z1704">
        <v>255</v>
      </c>
    </row>
    <row r="1705" spans="1:26" x14ac:dyDescent="0.3">
      <c r="A1705">
        <v>1704</v>
      </c>
      <c r="B1705" t="s">
        <v>3692</v>
      </c>
      <c r="C1705" t="s">
        <v>34</v>
      </c>
      <c r="D1705" t="s">
        <v>30</v>
      </c>
      <c r="E1705" t="s">
        <v>128</v>
      </c>
      <c r="F1705" t="s">
        <v>6384</v>
      </c>
      <c r="G1705" t="s">
        <v>6381</v>
      </c>
      <c r="H1705" t="s">
        <v>6379</v>
      </c>
      <c r="I1705" t="s">
        <v>6380</v>
      </c>
      <c r="J1705">
        <f>AVERAGE(ai_job_market[[#This Row],[min_salary]],ai_job_market[[#This Row],[max_salary]])</f>
        <v>99750</v>
      </c>
      <c r="K1705"/>
      <c r="L1705" t="s">
        <v>14</v>
      </c>
      <c r="M1705" t="s">
        <v>42</v>
      </c>
      <c r="N1705" t="s">
        <v>6071</v>
      </c>
      <c r="O1705" t="s">
        <v>4349</v>
      </c>
      <c r="P1705">
        <v>72972</v>
      </c>
      <c r="Q1705">
        <v>126528</v>
      </c>
      <c r="R1705" s="2">
        <v>45695</v>
      </c>
      <c r="S1705" t="s">
        <v>16</v>
      </c>
      <c r="T1705" t="s">
        <v>77</v>
      </c>
      <c r="U1705" t="s">
        <v>6376</v>
      </c>
      <c r="W1705" t="s">
        <v>128</v>
      </c>
      <c r="X1705">
        <v>92</v>
      </c>
      <c r="Y1705" t="s">
        <v>77</v>
      </c>
      <c r="Z1705">
        <v>251</v>
      </c>
    </row>
    <row r="1706" spans="1:26" x14ac:dyDescent="0.3">
      <c r="A1706">
        <v>1705</v>
      </c>
      <c r="B1706" t="s">
        <v>3694</v>
      </c>
      <c r="C1706" t="s">
        <v>40</v>
      </c>
      <c r="D1706" t="s">
        <v>67</v>
      </c>
      <c r="E1706" t="s">
        <v>6356</v>
      </c>
      <c r="F1706" t="s">
        <v>6391</v>
      </c>
      <c r="G1706" t="s">
        <v>6387</v>
      </c>
      <c r="J1706">
        <f>AVERAGE(ai_job_market[[#This Row],[min_salary]],ai_job_market[[#This Row],[max_salary]])</f>
        <v>128315</v>
      </c>
      <c r="K1706"/>
      <c r="L1706" t="s">
        <v>22</v>
      </c>
      <c r="M1706" t="s">
        <v>15</v>
      </c>
      <c r="N1706" t="s">
        <v>6072</v>
      </c>
      <c r="O1706" t="s">
        <v>4660</v>
      </c>
      <c r="P1706">
        <v>82976</v>
      </c>
      <c r="Q1706">
        <v>173654</v>
      </c>
      <c r="R1706" s="2">
        <v>45221</v>
      </c>
      <c r="S1706" t="s">
        <v>16</v>
      </c>
      <c r="T1706" t="s">
        <v>128</v>
      </c>
      <c r="W1706" t="s">
        <v>6356</v>
      </c>
      <c r="X1706">
        <v>86</v>
      </c>
      <c r="Y1706" t="s">
        <v>128</v>
      </c>
      <c r="Z1706">
        <v>233</v>
      </c>
    </row>
    <row r="1707" spans="1:26" x14ac:dyDescent="0.3">
      <c r="A1707">
        <v>1706</v>
      </c>
      <c r="B1707" t="s">
        <v>3696</v>
      </c>
      <c r="C1707" t="s">
        <v>40</v>
      </c>
      <c r="D1707" t="s">
        <v>12</v>
      </c>
      <c r="E1707" t="s">
        <v>6358</v>
      </c>
      <c r="F1707" t="s">
        <v>6377</v>
      </c>
      <c r="G1707" t="s">
        <v>6393</v>
      </c>
      <c r="J1707">
        <f>AVERAGE(ai_job_market[[#This Row],[min_salary]],ai_job_market[[#This Row],[max_salary]])</f>
        <v>152812.5</v>
      </c>
      <c r="K1707"/>
      <c r="L1707" t="s">
        <v>27</v>
      </c>
      <c r="M1707" t="s">
        <v>42</v>
      </c>
      <c r="N1707" t="s">
        <v>6073</v>
      </c>
      <c r="O1707" t="s">
        <v>4482</v>
      </c>
      <c r="P1707">
        <v>131943</v>
      </c>
      <c r="Q1707">
        <v>173682</v>
      </c>
      <c r="R1707" s="2">
        <v>45201</v>
      </c>
      <c r="S1707" t="s">
        <v>69</v>
      </c>
      <c r="T1707" t="s">
        <v>101</v>
      </c>
      <c r="U1707" t="s">
        <v>6388</v>
      </c>
      <c r="W1707" t="s">
        <v>6358</v>
      </c>
      <c r="X1707">
        <v>96</v>
      </c>
      <c r="Y1707" t="s">
        <v>101</v>
      </c>
      <c r="Z1707">
        <v>255</v>
      </c>
    </row>
    <row r="1708" spans="1:26" x14ac:dyDescent="0.3">
      <c r="A1708">
        <v>1707</v>
      </c>
      <c r="B1708" t="s">
        <v>3698</v>
      </c>
      <c r="C1708" t="s">
        <v>19</v>
      </c>
      <c r="D1708" t="s">
        <v>30</v>
      </c>
      <c r="E1708" t="s">
        <v>6345</v>
      </c>
      <c r="F1708" t="s">
        <v>6393</v>
      </c>
      <c r="G1708" t="s">
        <v>6387</v>
      </c>
      <c r="J1708">
        <f>AVERAGE(ai_job_market[[#This Row],[min_salary]],ai_job_market[[#This Row],[max_salary]])</f>
        <v>92244.5</v>
      </c>
      <c r="K1708"/>
      <c r="L1708" t="s">
        <v>27</v>
      </c>
      <c r="M1708" t="s">
        <v>37</v>
      </c>
      <c r="N1708" t="s">
        <v>6074</v>
      </c>
      <c r="O1708" t="s">
        <v>4422</v>
      </c>
      <c r="P1708">
        <v>82505</v>
      </c>
      <c r="Q1708">
        <v>101984</v>
      </c>
      <c r="R1708" s="2">
        <v>45874</v>
      </c>
      <c r="S1708" t="s">
        <v>14</v>
      </c>
      <c r="T1708" t="s">
        <v>77</v>
      </c>
      <c r="U1708" t="s">
        <v>6376</v>
      </c>
      <c r="V1708" t="s">
        <v>6389</v>
      </c>
      <c r="W1708" t="s">
        <v>6345</v>
      </c>
      <c r="X1708">
        <v>101</v>
      </c>
      <c r="Y1708" t="s">
        <v>77</v>
      </c>
      <c r="Z1708">
        <v>251</v>
      </c>
    </row>
    <row r="1709" spans="1:26" x14ac:dyDescent="0.3">
      <c r="A1709">
        <v>1708</v>
      </c>
      <c r="B1709" t="s">
        <v>3700</v>
      </c>
      <c r="C1709" t="s">
        <v>49</v>
      </c>
      <c r="D1709" t="s">
        <v>25</v>
      </c>
      <c r="E1709" t="s">
        <v>6344</v>
      </c>
      <c r="F1709" t="s">
        <v>6395</v>
      </c>
      <c r="G1709" t="s">
        <v>6379</v>
      </c>
      <c r="H1709" t="s">
        <v>6385</v>
      </c>
      <c r="I1709" t="s">
        <v>6390</v>
      </c>
      <c r="J1709">
        <f>AVERAGE(ai_job_market[[#This Row],[min_salary]],ai_job_market[[#This Row],[max_salary]])</f>
        <v>75049</v>
      </c>
      <c r="K1709" t="s">
        <v>6381</v>
      </c>
      <c r="L1709" t="s">
        <v>14</v>
      </c>
      <c r="M1709" t="s">
        <v>37</v>
      </c>
      <c r="N1709" t="s">
        <v>6075</v>
      </c>
      <c r="O1709" t="s">
        <v>4297</v>
      </c>
      <c r="P1709">
        <v>68140</v>
      </c>
      <c r="Q1709">
        <v>81958</v>
      </c>
      <c r="R1709" s="2">
        <v>45375</v>
      </c>
      <c r="S1709" t="s">
        <v>14</v>
      </c>
      <c r="T1709" t="s">
        <v>157</v>
      </c>
      <c r="W1709" t="s">
        <v>6344</v>
      </c>
      <c r="X1709">
        <v>104</v>
      </c>
      <c r="Y1709" t="s">
        <v>157</v>
      </c>
      <c r="Z1709">
        <v>247</v>
      </c>
    </row>
    <row r="1710" spans="1:26" x14ac:dyDescent="0.3">
      <c r="A1710">
        <v>1709</v>
      </c>
      <c r="B1710" t="s">
        <v>584</v>
      </c>
      <c r="C1710" t="s">
        <v>72</v>
      </c>
      <c r="D1710" t="s">
        <v>30</v>
      </c>
      <c r="E1710" t="s">
        <v>6357</v>
      </c>
      <c r="F1710" t="s">
        <v>6379</v>
      </c>
      <c r="G1710" t="s">
        <v>6386</v>
      </c>
      <c r="H1710" t="s">
        <v>6394</v>
      </c>
      <c r="I1710" t="s">
        <v>6391</v>
      </c>
      <c r="J1710">
        <f>AVERAGE(ai_job_market[[#This Row],[min_salary]],ai_job_market[[#This Row],[max_salary]])</f>
        <v>102117.5</v>
      </c>
      <c r="K1710"/>
      <c r="L1710" t="s">
        <v>22</v>
      </c>
      <c r="M1710" t="s">
        <v>51</v>
      </c>
      <c r="N1710" t="s">
        <v>6076</v>
      </c>
      <c r="O1710" t="s">
        <v>4538</v>
      </c>
      <c r="P1710">
        <v>96190</v>
      </c>
      <c r="Q1710">
        <v>108045</v>
      </c>
      <c r="R1710" s="2">
        <v>45519</v>
      </c>
      <c r="S1710" t="s">
        <v>69</v>
      </c>
      <c r="T1710" t="s">
        <v>101</v>
      </c>
      <c r="U1710" t="s">
        <v>6388</v>
      </c>
      <c r="V1710" t="s">
        <v>6389</v>
      </c>
      <c r="W1710" t="s">
        <v>6357</v>
      </c>
      <c r="X1710">
        <v>88</v>
      </c>
      <c r="Y1710" t="s">
        <v>101</v>
      </c>
      <c r="Z1710">
        <v>255</v>
      </c>
    </row>
    <row r="1711" spans="1:26" x14ac:dyDescent="0.3">
      <c r="A1711">
        <v>1710</v>
      </c>
      <c r="B1711" t="s">
        <v>3703</v>
      </c>
      <c r="C1711" t="s">
        <v>11</v>
      </c>
      <c r="D1711" t="s">
        <v>20</v>
      </c>
      <c r="E1711" t="s">
        <v>6347</v>
      </c>
      <c r="F1711" t="s">
        <v>6385</v>
      </c>
      <c r="G1711" t="s">
        <v>6394</v>
      </c>
      <c r="H1711" t="s">
        <v>6374</v>
      </c>
      <c r="I1711" t="s">
        <v>6377</v>
      </c>
      <c r="J1711">
        <f>AVERAGE(ai_job_market[[#This Row],[min_salary]],ai_job_market[[#This Row],[max_salary]])</f>
        <v>128032</v>
      </c>
      <c r="K1711"/>
      <c r="L1711" t="s">
        <v>14</v>
      </c>
      <c r="M1711" t="s">
        <v>51</v>
      </c>
      <c r="N1711" t="s">
        <v>6077</v>
      </c>
      <c r="O1711" t="s">
        <v>4526</v>
      </c>
      <c r="P1711">
        <v>99962</v>
      </c>
      <c r="Q1711">
        <v>156102</v>
      </c>
      <c r="R1711" s="2">
        <v>45195</v>
      </c>
      <c r="S1711" t="s">
        <v>16</v>
      </c>
      <c r="T1711" t="s">
        <v>90</v>
      </c>
      <c r="U1711" t="s">
        <v>6384</v>
      </c>
      <c r="W1711" t="s">
        <v>6347</v>
      </c>
      <c r="X1711">
        <v>94</v>
      </c>
      <c r="Y1711" t="s">
        <v>90</v>
      </c>
      <c r="Z1711">
        <v>259</v>
      </c>
    </row>
    <row r="1712" spans="1:26" x14ac:dyDescent="0.3">
      <c r="A1712">
        <v>1711</v>
      </c>
      <c r="B1712" t="s">
        <v>3705</v>
      </c>
      <c r="C1712" t="s">
        <v>19</v>
      </c>
      <c r="D1712" t="s">
        <v>12</v>
      </c>
      <c r="E1712" t="s">
        <v>6347</v>
      </c>
      <c r="F1712" t="s">
        <v>6374</v>
      </c>
      <c r="G1712" t="s">
        <v>6380</v>
      </c>
      <c r="J1712">
        <f>AVERAGE(ai_job_market[[#This Row],[min_salary]],ai_job_market[[#This Row],[max_salary]])</f>
        <v>96137</v>
      </c>
      <c r="K1712"/>
      <c r="L1712" t="s">
        <v>22</v>
      </c>
      <c r="M1712" t="s">
        <v>51</v>
      </c>
      <c r="N1712" t="s">
        <v>6078</v>
      </c>
      <c r="O1712" t="s">
        <v>4704</v>
      </c>
      <c r="P1712">
        <v>83481</v>
      </c>
      <c r="Q1712">
        <v>108793</v>
      </c>
      <c r="R1712" s="2">
        <v>45281</v>
      </c>
      <c r="S1712" t="s">
        <v>14</v>
      </c>
      <c r="T1712" t="s">
        <v>101</v>
      </c>
      <c r="U1712" t="s">
        <v>6384</v>
      </c>
      <c r="W1712" t="s">
        <v>6347</v>
      </c>
      <c r="X1712">
        <v>94</v>
      </c>
      <c r="Y1712" t="s">
        <v>101</v>
      </c>
      <c r="Z1712">
        <v>255</v>
      </c>
    </row>
    <row r="1713" spans="1:26" x14ac:dyDescent="0.3">
      <c r="A1713">
        <v>1712</v>
      </c>
      <c r="B1713" t="s">
        <v>3707</v>
      </c>
      <c r="C1713" t="s">
        <v>40</v>
      </c>
      <c r="D1713" t="s">
        <v>54</v>
      </c>
      <c r="E1713" t="s">
        <v>80</v>
      </c>
      <c r="F1713" t="s">
        <v>6391</v>
      </c>
      <c r="G1713" t="s">
        <v>6379</v>
      </c>
      <c r="H1713" t="s">
        <v>6392</v>
      </c>
      <c r="I1713" t="s">
        <v>6396</v>
      </c>
      <c r="J1713">
        <f>AVERAGE(ai_job_market[[#This Row],[min_salary]],ai_job_market[[#This Row],[max_salary]])</f>
        <v>105038.5</v>
      </c>
      <c r="K1713"/>
      <c r="L1713" t="s">
        <v>14</v>
      </c>
      <c r="M1713" t="s">
        <v>37</v>
      </c>
      <c r="N1713" t="s">
        <v>6079</v>
      </c>
      <c r="O1713" t="s">
        <v>4422</v>
      </c>
      <c r="P1713">
        <v>64006</v>
      </c>
      <c r="Q1713">
        <v>146071</v>
      </c>
      <c r="R1713" s="2">
        <v>45312</v>
      </c>
      <c r="S1713" t="s">
        <v>69</v>
      </c>
      <c r="T1713" t="s">
        <v>101</v>
      </c>
      <c r="W1713" t="s">
        <v>80</v>
      </c>
      <c r="X1713">
        <v>95</v>
      </c>
      <c r="Y1713" t="s">
        <v>101</v>
      </c>
      <c r="Z1713">
        <v>255</v>
      </c>
    </row>
    <row r="1714" spans="1:26" x14ac:dyDescent="0.3">
      <c r="A1714">
        <v>1713</v>
      </c>
      <c r="B1714" t="s">
        <v>3709</v>
      </c>
      <c r="C1714" t="s">
        <v>34</v>
      </c>
      <c r="D1714" t="s">
        <v>54</v>
      </c>
      <c r="E1714" t="s">
        <v>6355</v>
      </c>
      <c r="F1714" t="s">
        <v>6381</v>
      </c>
      <c r="G1714" t="s">
        <v>6374</v>
      </c>
      <c r="H1714" t="s">
        <v>6375</v>
      </c>
      <c r="I1714" t="s">
        <v>6393</v>
      </c>
      <c r="J1714">
        <f>AVERAGE(ai_job_market[[#This Row],[min_salary]],ai_job_market[[#This Row],[max_salary]])</f>
        <v>164294.5</v>
      </c>
      <c r="K1714"/>
      <c r="L1714" t="s">
        <v>14</v>
      </c>
      <c r="M1714" t="s">
        <v>15</v>
      </c>
      <c r="N1714" t="s">
        <v>6080</v>
      </c>
      <c r="O1714" t="s">
        <v>4503</v>
      </c>
      <c r="P1714">
        <v>139090</v>
      </c>
      <c r="Q1714">
        <v>189499</v>
      </c>
      <c r="R1714" s="2">
        <v>45673</v>
      </c>
      <c r="S1714" t="s">
        <v>69</v>
      </c>
      <c r="T1714" t="s">
        <v>70</v>
      </c>
      <c r="U1714" t="s">
        <v>6375</v>
      </c>
      <c r="W1714" t="s">
        <v>6355</v>
      </c>
      <c r="X1714">
        <v>90</v>
      </c>
      <c r="Y1714" t="s">
        <v>70</v>
      </c>
      <c r="Z1714">
        <v>268</v>
      </c>
    </row>
    <row r="1715" spans="1:26" x14ac:dyDescent="0.3">
      <c r="A1715">
        <v>1714</v>
      </c>
      <c r="B1715" t="s">
        <v>3711</v>
      </c>
      <c r="C1715" t="s">
        <v>49</v>
      </c>
      <c r="D1715" t="s">
        <v>67</v>
      </c>
      <c r="E1715" t="s">
        <v>6356</v>
      </c>
      <c r="F1715" t="s">
        <v>6380</v>
      </c>
      <c r="G1715" t="s">
        <v>6378</v>
      </c>
      <c r="H1715" t="s">
        <v>6382</v>
      </c>
      <c r="I1715" t="s">
        <v>6396</v>
      </c>
      <c r="J1715">
        <f>AVERAGE(ai_job_market[[#This Row],[min_salary]],ai_job_market[[#This Row],[max_salary]])</f>
        <v>177816.5</v>
      </c>
      <c r="K1715"/>
      <c r="L1715" t="s">
        <v>14</v>
      </c>
      <c r="M1715" t="s">
        <v>15</v>
      </c>
      <c r="N1715" t="s">
        <v>6081</v>
      </c>
      <c r="O1715" t="s">
        <v>4482</v>
      </c>
      <c r="P1715">
        <v>128590</v>
      </c>
      <c r="Q1715">
        <v>227043</v>
      </c>
      <c r="R1715" s="2">
        <v>45759</v>
      </c>
      <c r="S1715" t="s">
        <v>14</v>
      </c>
      <c r="T1715" t="s">
        <v>80</v>
      </c>
      <c r="U1715" t="s">
        <v>6388</v>
      </c>
      <c r="W1715" t="s">
        <v>6356</v>
      </c>
      <c r="X1715">
        <v>86</v>
      </c>
      <c r="Y1715" t="s">
        <v>80</v>
      </c>
      <c r="Z1715">
        <v>249</v>
      </c>
    </row>
    <row r="1716" spans="1:26" x14ac:dyDescent="0.3">
      <c r="A1716">
        <v>1715</v>
      </c>
      <c r="B1716" t="s">
        <v>3713</v>
      </c>
      <c r="C1716" t="s">
        <v>34</v>
      </c>
      <c r="D1716" t="s">
        <v>25</v>
      </c>
      <c r="E1716" t="s">
        <v>6350</v>
      </c>
      <c r="F1716" t="s">
        <v>6377</v>
      </c>
      <c r="G1716" t="s">
        <v>6379</v>
      </c>
      <c r="H1716" t="s">
        <v>6375</v>
      </c>
      <c r="I1716" t="s">
        <v>6378</v>
      </c>
      <c r="J1716">
        <f>AVERAGE(ai_job_market[[#This Row],[min_salary]],ai_job_market[[#This Row],[max_salary]])</f>
        <v>178010.5</v>
      </c>
      <c r="K1716"/>
      <c r="L1716" t="s">
        <v>22</v>
      </c>
      <c r="M1716" t="s">
        <v>42</v>
      </c>
      <c r="N1716" t="s">
        <v>6082</v>
      </c>
      <c r="O1716" t="s">
        <v>5170</v>
      </c>
      <c r="P1716">
        <v>134084</v>
      </c>
      <c r="Q1716">
        <v>221937</v>
      </c>
      <c r="R1716" s="2">
        <v>45367</v>
      </c>
      <c r="S1716" t="s">
        <v>16</v>
      </c>
      <c r="T1716" t="s">
        <v>101</v>
      </c>
      <c r="U1716" t="s">
        <v>6384</v>
      </c>
      <c r="V1716" t="s">
        <v>6383</v>
      </c>
      <c r="W1716" t="s">
        <v>6350</v>
      </c>
      <c r="X1716">
        <v>84</v>
      </c>
      <c r="Y1716" t="s">
        <v>101</v>
      </c>
      <c r="Z1716">
        <v>255</v>
      </c>
    </row>
    <row r="1717" spans="1:26" x14ac:dyDescent="0.3">
      <c r="A1717">
        <v>1716</v>
      </c>
      <c r="B1717" t="s">
        <v>3715</v>
      </c>
      <c r="C1717" t="s">
        <v>19</v>
      </c>
      <c r="D1717" t="s">
        <v>135</v>
      </c>
      <c r="E1717" t="s">
        <v>6350</v>
      </c>
      <c r="F1717" t="s">
        <v>6375</v>
      </c>
      <c r="G1717" t="s">
        <v>6395</v>
      </c>
      <c r="J1717">
        <f>AVERAGE(ai_job_market[[#This Row],[min_salary]],ai_job_market[[#This Row],[max_salary]])</f>
        <v>127517</v>
      </c>
      <c r="K1717"/>
      <c r="L1717" t="s">
        <v>27</v>
      </c>
      <c r="M1717" t="s">
        <v>15</v>
      </c>
      <c r="N1717" t="s">
        <v>6083</v>
      </c>
      <c r="O1717" t="s">
        <v>4988</v>
      </c>
      <c r="P1717">
        <v>115909</v>
      </c>
      <c r="Q1717">
        <v>139125</v>
      </c>
      <c r="R1717" s="2">
        <v>45663</v>
      </c>
      <c r="S1717" t="s">
        <v>14</v>
      </c>
      <c r="T1717" t="s">
        <v>90</v>
      </c>
      <c r="W1717" t="s">
        <v>6350</v>
      </c>
      <c r="X1717">
        <v>84</v>
      </c>
      <c r="Y1717" t="s">
        <v>90</v>
      </c>
      <c r="Z1717">
        <v>259</v>
      </c>
    </row>
    <row r="1718" spans="1:26" x14ac:dyDescent="0.3">
      <c r="A1718">
        <v>1717</v>
      </c>
      <c r="B1718" t="s">
        <v>3717</v>
      </c>
      <c r="C1718" t="s">
        <v>11</v>
      </c>
      <c r="D1718" t="s">
        <v>135</v>
      </c>
      <c r="E1718" t="s">
        <v>6347</v>
      </c>
      <c r="F1718" t="s">
        <v>6374</v>
      </c>
      <c r="G1718" t="s">
        <v>6380</v>
      </c>
      <c r="H1718" t="s">
        <v>6392</v>
      </c>
      <c r="I1718" t="s">
        <v>6396</v>
      </c>
      <c r="J1718">
        <f>AVERAGE(ai_job_market[[#This Row],[min_salary]],ai_job_market[[#This Row],[max_salary]])</f>
        <v>172099.5</v>
      </c>
      <c r="K1718"/>
      <c r="L1718" t="s">
        <v>22</v>
      </c>
      <c r="M1718" t="s">
        <v>51</v>
      </c>
      <c r="N1718" t="s">
        <v>6084</v>
      </c>
      <c r="O1718" t="s">
        <v>4630</v>
      </c>
      <c r="P1718">
        <v>149070</v>
      </c>
      <c r="Q1718">
        <v>195129</v>
      </c>
      <c r="R1718" s="2">
        <v>45854</v>
      </c>
      <c r="S1718" t="s">
        <v>69</v>
      </c>
      <c r="T1718" t="s">
        <v>52</v>
      </c>
      <c r="W1718" t="s">
        <v>6347</v>
      </c>
      <c r="X1718">
        <v>94</v>
      </c>
      <c r="Y1718" t="s">
        <v>52</v>
      </c>
      <c r="Z1718">
        <v>238</v>
      </c>
    </row>
    <row r="1719" spans="1:26" x14ac:dyDescent="0.3">
      <c r="A1719">
        <v>1718</v>
      </c>
      <c r="B1719" t="s">
        <v>3719</v>
      </c>
      <c r="C1719" t="s">
        <v>19</v>
      </c>
      <c r="D1719" t="s">
        <v>25</v>
      </c>
      <c r="E1719" t="s">
        <v>6353</v>
      </c>
      <c r="F1719" t="s">
        <v>6385</v>
      </c>
      <c r="G1719" t="s">
        <v>6393</v>
      </c>
      <c r="H1719" t="s">
        <v>6376</v>
      </c>
      <c r="I1719" t="s">
        <v>6397</v>
      </c>
      <c r="J1719">
        <f>AVERAGE(ai_job_market[[#This Row],[min_salary]],ai_job_market[[#This Row],[max_salary]])</f>
        <v>117758</v>
      </c>
      <c r="K1719" t="s">
        <v>6379</v>
      </c>
      <c r="L1719" t="s">
        <v>22</v>
      </c>
      <c r="M1719" t="s">
        <v>15</v>
      </c>
      <c r="N1719" t="s">
        <v>6085</v>
      </c>
      <c r="O1719" t="s">
        <v>4439</v>
      </c>
      <c r="P1719">
        <v>97778</v>
      </c>
      <c r="Q1719">
        <v>137738</v>
      </c>
      <c r="R1719" s="2">
        <v>45538</v>
      </c>
      <c r="S1719" t="s">
        <v>16</v>
      </c>
      <c r="T1719" t="s">
        <v>90</v>
      </c>
      <c r="W1719" t="s">
        <v>6353</v>
      </c>
      <c r="X1719">
        <v>86</v>
      </c>
      <c r="Y1719" t="s">
        <v>90</v>
      </c>
      <c r="Z1719">
        <v>259</v>
      </c>
    </row>
    <row r="1720" spans="1:26" x14ac:dyDescent="0.3">
      <c r="A1720">
        <v>1719</v>
      </c>
      <c r="B1720" t="s">
        <v>3721</v>
      </c>
      <c r="C1720" t="s">
        <v>40</v>
      </c>
      <c r="D1720" t="s">
        <v>67</v>
      </c>
      <c r="E1720" t="s">
        <v>77</v>
      </c>
      <c r="F1720" t="s">
        <v>6394</v>
      </c>
      <c r="G1720" t="s">
        <v>6379</v>
      </c>
      <c r="H1720" t="s">
        <v>6376</v>
      </c>
      <c r="I1720" t="s">
        <v>6395</v>
      </c>
      <c r="J1720">
        <f>AVERAGE(ai_job_market[[#This Row],[min_salary]],ai_job_market[[#This Row],[max_salary]])</f>
        <v>154057</v>
      </c>
      <c r="K1720"/>
      <c r="L1720" t="s">
        <v>22</v>
      </c>
      <c r="M1720" t="s">
        <v>51</v>
      </c>
      <c r="N1720" t="s">
        <v>6086</v>
      </c>
      <c r="O1720" t="s">
        <v>4556</v>
      </c>
      <c r="P1720">
        <v>110485</v>
      </c>
      <c r="Q1720">
        <v>197629</v>
      </c>
      <c r="R1720" s="2">
        <v>45206</v>
      </c>
      <c r="S1720" t="s">
        <v>14</v>
      </c>
      <c r="T1720" t="s">
        <v>90</v>
      </c>
      <c r="U1720" t="s">
        <v>6375</v>
      </c>
      <c r="W1720" t="s">
        <v>77</v>
      </c>
      <c r="X1720">
        <v>111</v>
      </c>
      <c r="Y1720" t="s">
        <v>90</v>
      </c>
      <c r="Z1720">
        <v>259</v>
      </c>
    </row>
    <row r="1721" spans="1:26" x14ac:dyDescent="0.3">
      <c r="A1721">
        <v>1720</v>
      </c>
      <c r="B1721" t="s">
        <v>3723</v>
      </c>
      <c r="C1721" t="s">
        <v>11</v>
      </c>
      <c r="D1721" t="s">
        <v>12</v>
      </c>
      <c r="E1721" t="s">
        <v>101</v>
      </c>
      <c r="F1721" t="s">
        <v>6393</v>
      </c>
      <c r="G1721" t="s">
        <v>6379</v>
      </c>
      <c r="J1721">
        <f>AVERAGE(ai_job_market[[#This Row],[min_salary]],ai_job_market[[#This Row],[max_salary]])</f>
        <v>183918.5</v>
      </c>
      <c r="K1721"/>
      <c r="L1721" t="s">
        <v>27</v>
      </c>
      <c r="M1721" t="s">
        <v>37</v>
      </c>
      <c r="N1721" t="s">
        <v>6087</v>
      </c>
      <c r="O1721" t="s">
        <v>4664</v>
      </c>
      <c r="P1721">
        <v>145486</v>
      </c>
      <c r="Q1721">
        <v>222351</v>
      </c>
      <c r="R1721" s="2">
        <v>45568</v>
      </c>
      <c r="S1721" t="s">
        <v>16</v>
      </c>
      <c r="T1721" t="s">
        <v>128</v>
      </c>
      <c r="U1721" t="s">
        <v>6383</v>
      </c>
      <c r="V1721" t="s">
        <v>6379</v>
      </c>
      <c r="W1721" t="s">
        <v>101</v>
      </c>
      <c r="X1721">
        <v>76</v>
      </c>
      <c r="Y1721" t="s">
        <v>128</v>
      </c>
      <c r="Z1721">
        <v>233</v>
      </c>
    </row>
    <row r="1722" spans="1:26" x14ac:dyDescent="0.3">
      <c r="A1722">
        <v>1721</v>
      </c>
      <c r="B1722" t="s">
        <v>3725</v>
      </c>
      <c r="C1722" t="s">
        <v>45</v>
      </c>
      <c r="D1722" t="s">
        <v>12</v>
      </c>
      <c r="E1722" t="s">
        <v>6352</v>
      </c>
      <c r="F1722" t="s">
        <v>6375</v>
      </c>
      <c r="G1722" t="s">
        <v>6385</v>
      </c>
      <c r="H1722" t="s">
        <v>6378</v>
      </c>
      <c r="J1722">
        <f>AVERAGE(ai_job_market[[#This Row],[min_salary]],ai_job_market[[#This Row],[max_salary]])</f>
        <v>117426.5</v>
      </c>
      <c r="K1722"/>
      <c r="L1722" t="s">
        <v>22</v>
      </c>
      <c r="M1722" t="s">
        <v>15</v>
      </c>
      <c r="N1722" t="s">
        <v>6088</v>
      </c>
      <c r="O1722" t="s">
        <v>4617</v>
      </c>
      <c r="P1722">
        <v>73608</v>
      </c>
      <c r="Q1722">
        <v>161245</v>
      </c>
      <c r="R1722" s="2">
        <v>45602</v>
      </c>
      <c r="S1722" t="s">
        <v>16</v>
      </c>
      <c r="T1722" t="s">
        <v>77</v>
      </c>
      <c r="U1722" t="s">
        <v>6379</v>
      </c>
      <c r="V1722" t="s">
        <v>6389</v>
      </c>
      <c r="W1722" t="s">
        <v>6352</v>
      </c>
      <c r="X1722">
        <v>97</v>
      </c>
      <c r="Y1722" t="s">
        <v>77</v>
      </c>
      <c r="Z1722">
        <v>251</v>
      </c>
    </row>
    <row r="1723" spans="1:26" x14ac:dyDescent="0.3">
      <c r="A1723">
        <v>1722</v>
      </c>
      <c r="B1723" t="s">
        <v>3727</v>
      </c>
      <c r="C1723" t="s">
        <v>34</v>
      </c>
      <c r="D1723" t="s">
        <v>135</v>
      </c>
      <c r="E1723" t="s">
        <v>6347</v>
      </c>
      <c r="F1723" t="s">
        <v>6376</v>
      </c>
      <c r="G1723" t="s">
        <v>6382</v>
      </c>
      <c r="J1723">
        <f>AVERAGE(ai_job_market[[#This Row],[min_salary]],ai_job_market[[#This Row],[max_salary]])</f>
        <v>138980.5</v>
      </c>
      <c r="K1723"/>
      <c r="L1723" t="s">
        <v>14</v>
      </c>
      <c r="M1723" t="s">
        <v>15</v>
      </c>
      <c r="N1723" t="s">
        <v>6089</v>
      </c>
      <c r="O1723" t="s">
        <v>4299</v>
      </c>
      <c r="P1723">
        <v>126809</v>
      </c>
      <c r="Q1723">
        <v>151152</v>
      </c>
      <c r="R1723" s="2">
        <v>45712</v>
      </c>
      <c r="S1723" t="s">
        <v>14</v>
      </c>
      <c r="T1723" t="s">
        <v>80</v>
      </c>
      <c r="W1723" t="s">
        <v>6347</v>
      </c>
      <c r="X1723">
        <v>94</v>
      </c>
      <c r="Y1723" t="s">
        <v>80</v>
      </c>
      <c r="Z1723">
        <v>249</v>
      </c>
    </row>
    <row r="1724" spans="1:26" x14ac:dyDescent="0.3">
      <c r="A1724">
        <v>1723</v>
      </c>
      <c r="B1724" t="s">
        <v>2170</v>
      </c>
      <c r="C1724" t="s">
        <v>45</v>
      </c>
      <c r="D1724" t="s">
        <v>20</v>
      </c>
      <c r="E1724" t="s">
        <v>6350</v>
      </c>
      <c r="F1724" t="s">
        <v>6382</v>
      </c>
      <c r="G1724" t="s">
        <v>6394</v>
      </c>
      <c r="H1724" t="s">
        <v>6387</v>
      </c>
      <c r="J1724" s="6">
        <f>AVERAGE(ai_job_market[[#This Row],[min_salary]],ai_job_market[[#This Row],[max_salary]])</f>
        <v>91853</v>
      </c>
      <c r="K1724"/>
      <c r="L1724" t="s">
        <v>27</v>
      </c>
      <c r="M1724" t="s">
        <v>15</v>
      </c>
      <c r="N1724" t="s">
        <v>6090</v>
      </c>
      <c r="O1724" t="s">
        <v>4497</v>
      </c>
      <c r="P1724" s="5">
        <v>64760</v>
      </c>
      <c r="Q1724" s="5">
        <v>118946</v>
      </c>
      <c r="R1724" s="2">
        <v>45502</v>
      </c>
      <c r="S1724" t="s">
        <v>14</v>
      </c>
      <c r="T1724" t="s">
        <v>52</v>
      </c>
      <c r="U1724" t="s">
        <v>6379</v>
      </c>
      <c r="W1724" t="s">
        <v>6350</v>
      </c>
      <c r="X1724">
        <v>84</v>
      </c>
      <c r="Y1724" t="s">
        <v>52</v>
      </c>
      <c r="Z1724">
        <v>238</v>
      </c>
    </row>
    <row r="1725" spans="1:26" x14ac:dyDescent="0.3">
      <c r="A1725">
        <v>1724</v>
      </c>
      <c r="B1725" t="s">
        <v>3730</v>
      </c>
      <c r="C1725" t="s">
        <v>72</v>
      </c>
      <c r="D1725" t="s">
        <v>35</v>
      </c>
      <c r="E1725" t="s">
        <v>77</v>
      </c>
      <c r="F1725" t="s">
        <v>6376</v>
      </c>
      <c r="G1725" t="s">
        <v>6380</v>
      </c>
      <c r="J1725">
        <f>AVERAGE(ai_job_market[[#This Row],[min_salary]],ai_job_market[[#This Row],[max_salary]])</f>
        <v>87753.5</v>
      </c>
      <c r="K1725"/>
      <c r="L1725" t="s">
        <v>27</v>
      </c>
      <c r="M1725" t="s">
        <v>15</v>
      </c>
      <c r="N1725" t="s">
        <v>6091</v>
      </c>
      <c r="O1725" t="s">
        <v>4518</v>
      </c>
      <c r="P1725">
        <v>52280</v>
      </c>
      <c r="Q1725">
        <v>123227</v>
      </c>
      <c r="R1725" s="2">
        <v>45827</v>
      </c>
      <c r="S1725" t="s">
        <v>14</v>
      </c>
      <c r="T1725" t="s">
        <v>70</v>
      </c>
      <c r="U1725" t="s">
        <v>6383</v>
      </c>
      <c r="V1725" t="s">
        <v>6388</v>
      </c>
      <c r="W1725" t="s">
        <v>77</v>
      </c>
      <c r="X1725">
        <v>111</v>
      </c>
      <c r="Y1725" t="s">
        <v>70</v>
      </c>
      <c r="Z1725">
        <v>268</v>
      </c>
    </row>
    <row r="1726" spans="1:26" x14ac:dyDescent="0.3">
      <c r="A1726">
        <v>1725</v>
      </c>
      <c r="B1726" t="s">
        <v>3732</v>
      </c>
      <c r="C1726" t="s">
        <v>11</v>
      </c>
      <c r="D1726" t="s">
        <v>12</v>
      </c>
      <c r="E1726" t="s">
        <v>6359</v>
      </c>
      <c r="F1726" t="s">
        <v>6385</v>
      </c>
      <c r="G1726" t="s">
        <v>6377</v>
      </c>
      <c r="H1726" t="s">
        <v>6386</v>
      </c>
      <c r="I1726" t="s">
        <v>6378</v>
      </c>
      <c r="J1726">
        <f>AVERAGE(ai_job_market[[#This Row],[min_salary]],ai_job_market[[#This Row],[max_salary]])</f>
        <v>117623.5</v>
      </c>
      <c r="K1726"/>
      <c r="L1726" t="s">
        <v>22</v>
      </c>
      <c r="M1726" t="s">
        <v>51</v>
      </c>
      <c r="N1726" t="s">
        <v>6092</v>
      </c>
      <c r="O1726" t="s">
        <v>4377</v>
      </c>
      <c r="P1726">
        <v>68612</v>
      </c>
      <c r="Q1726">
        <v>166635</v>
      </c>
      <c r="R1726" s="2">
        <v>45816</v>
      </c>
      <c r="S1726" t="s">
        <v>69</v>
      </c>
      <c r="T1726" t="s">
        <v>101</v>
      </c>
      <c r="U1726" t="s">
        <v>6378</v>
      </c>
      <c r="W1726" t="s">
        <v>6359</v>
      </c>
      <c r="X1726">
        <v>104</v>
      </c>
      <c r="Y1726" t="s">
        <v>101</v>
      </c>
      <c r="Z1726">
        <v>255</v>
      </c>
    </row>
    <row r="1727" spans="1:26" x14ac:dyDescent="0.3">
      <c r="A1727">
        <v>1726</v>
      </c>
      <c r="B1727" t="s">
        <v>2906</v>
      </c>
      <c r="C1727" t="s">
        <v>72</v>
      </c>
      <c r="D1727" t="s">
        <v>30</v>
      </c>
      <c r="E1727" t="s">
        <v>6353</v>
      </c>
      <c r="F1727" t="s">
        <v>6393</v>
      </c>
      <c r="G1727" t="s">
        <v>6392</v>
      </c>
      <c r="H1727" t="s">
        <v>6394</v>
      </c>
      <c r="I1727" t="s">
        <v>6390</v>
      </c>
      <c r="J1727">
        <f>AVERAGE(ai_job_market[[#This Row],[min_salary]],ai_job_market[[#This Row],[max_salary]])</f>
        <v>167929</v>
      </c>
      <c r="K1727" t="s">
        <v>6385</v>
      </c>
      <c r="L1727" t="s">
        <v>27</v>
      </c>
      <c r="M1727" t="s">
        <v>51</v>
      </c>
      <c r="N1727" t="s">
        <v>6093</v>
      </c>
      <c r="O1727" t="s">
        <v>4540</v>
      </c>
      <c r="P1727">
        <v>138615</v>
      </c>
      <c r="Q1727">
        <v>197243</v>
      </c>
      <c r="R1727" s="2">
        <v>45216</v>
      </c>
      <c r="S1727" t="s">
        <v>14</v>
      </c>
      <c r="T1727" t="s">
        <v>157</v>
      </c>
      <c r="W1727" t="s">
        <v>6353</v>
      </c>
      <c r="X1727">
        <v>86</v>
      </c>
      <c r="Y1727" t="s">
        <v>157</v>
      </c>
      <c r="Z1727">
        <v>247</v>
      </c>
    </row>
    <row r="1728" spans="1:26" x14ac:dyDescent="0.3">
      <c r="A1728">
        <v>1727</v>
      </c>
      <c r="B1728" t="s">
        <v>3735</v>
      </c>
      <c r="C1728" t="s">
        <v>40</v>
      </c>
      <c r="D1728" t="s">
        <v>30</v>
      </c>
      <c r="E1728" t="s">
        <v>90</v>
      </c>
      <c r="F1728" t="s">
        <v>6384</v>
      </c>
      <c r="G1728" t="s">
        <v>6395</v>
      </c>
      <c r="H1728" t="s">
        <v>6380</v>
      </c>
      <c r="I1728" t="s">
        <v>6394</v>
      </c>
      <c r="J1728">
        <f>AVERAGE(ai_job_market[[#This Row],[min_salary]],ai_job_market[[#This Row],[max_salary]])</f>
        <v>161903.5</v>
      </c>
      <c r="K1728" t="s">
        <v>6375</v>
      </c>
      <c r="L1728" t="s">
        <v>27</v>
      </c>
      <c r="M1728" t="s">
        <v>51</v>
      </c>
      <c r="N1728" t="s">
        <v>6094</v>
      </c>
      <c r="O1728" t="s">
        <v>4488</v>
      </c>
      <c r="P1728">
        <v>121197</v>
      </c>
      <c r="Q1728">
        <v>202610</v>
      </c>
      <c r="R1728" s="2">
        <v>45198</v>
      </c>
      <c r="S1728" t="s">
        <v>69</v>
      </c>
      <c r="T1728" t="s">
        <v>52</v>
      </c>
      <c r="W1728" t="s">
        <v>90</v>
      </c>
      <c r="X1728">
        <v>80</v>
      </c>
      <c r="Y1728" t="s">
        <v>52</v>
      </c>
      <c r="Z1728">
        <v>238</v>
      </c>
    </row>
    <row r="1729" spans="1:26" x14ac:dyDescent="0.3">
      <c r="A1729">
        <v>1728</v>
      </c>
      <c r="B1729" t="s">
        <v>3737</v>
      </c>
      <c r="C1729" t="s">
        <v>19</v>
      </c>
      <c r="D1729" t="s">
        <v>30</v>
      </c>
      <c r="E1729" t="s">
        <v>128</v>
      </c>
      <c r="F1729" t="s">
        <v>6376</v>
      </c>
      <c r="G1729" t="s">
        <v>6385</v>
      </c>
      <c r="J1729" s="6">
        <f>AVERAGE(ai_job_market[[#This Row],[min_salary]],ai_job_market[[#This Row],[max_salary]])</f>
        <v>155929</v>
      </c>
      <c r="K1729"/>
      <c r="L1729" t="s">
        <v>14</v>
      </c>
      <c r="M1729" t="s">
        <v>51</v>
      </c>
      <c r="N1729" t="s">
        <v>6095</v>
      </c>
      <c r="O1729" t="s">
        <v>5813</v>
      </c>
      <c r="P1729" s="5">
        <v>134410</v>
      </c>
      <c r="Q1729" s="5">
        <v>177448</v>
      </c>
      <c r="R1729" s="2">
        <v>45196</v>
      </c>
      <c r="S1729" t="s">
        <v>16</v>
      </c>
      <c r="T1729" t="s">
        <v>90</v>
      </c>
      <c r="W1729" t="s">
        <v>128</v>
      </c>
      <c r="X1729">
        <v>92</v>
      </c>
      <c r="Y1729" t="s">
        <v>90</v>
      </c>
      <c r="Z1729">
        <v>259</v>
      </c>
    </row>
    <row r="1730" spans="1:26" x14ac:dyDescent="0.3">
      <c r="A1730">
        <v>1729</v>
      </c>
      <c r="B1730" t="s">
        <v>3739</v>
      </c>
      <c r="C1730" t="s">
        <v>11</v>
      </c>
      <c r="D1730" t="s">
        <v>25</v>
      </c>
      <c r="E1730" t="s">
        <v>6358</v>
      </c>
      <c r="F1730" t="s">
        <v>6393</v>
      </c>
      <c r="G1730" t="s">
        <v>6394</v>
      </c>
      <c r="H1730" t="s">
        <v>6387</v>
      </c>
      <c r="I1730" t="s">
        <v>6375</v>
      </c>
      <c r="J1730">
        <f>AVERAGE(ai_job_market[[#This Row],[min_salary]],ai_job_market[[#This Row],[max_salary]])</f>
        <v>109527</v>
      </c>
      <c r="K1730" t="s">
        <v>6390</v>
      </c>
      <c r="L1730" t="s">
        <v>27</v>
      </c>
      <c r="M1730" t="s">
        <v>51</v>
      </c>
      <c r="N1730" t="s">
        <v>5096</v>
      </c>
      <c r="O1730" t="s">
        <v>4927</v>
      </c>
      <c r="P1730">
        <v>80993</v>
      </c>
      <c r="Q1730">
        <v>138061</v>
      </c>
      <c r="R1730" s="2">
        <v>45258</v>
      </c>
      <c r="S1730" t="s">
        <v>14</v>
      </c>
      <c r="T1730" t="s">
        <v>157</v>
      </c>
      <c r="W1730" t="s">
        <v>6358</v>
      </c>
      <c r="X1730">
        <v>96</v>
      </c>
      <c r="Y1730" t="s">
        <v>157</v>
      </c>
      <c r="Z1730">
        <v>247</v>
      </c>
    </row>
    <row r="1731" spans="1:26" x14ac:dyDescent="0.3">
      <c r="A1731">
        <v>1730</v>
      </c>
      <c r="B1731" t="s">
        <v>3741</v>
      </c>
      <c r="C1731" t="s">
        <v>49</v>
      </c>
      <c r="D1731" t="s">
        <v>67</v>
      </c>
      <c r="E1731" t="s">
        <v>6358</v>
      </c>
      <c r="F1731" t="s">
        <v>6393</v>
      </c>
      <c r="G1731" t="s">
        <v>6390</v>
      </c>
      <c r="J1731">
        <f>AVERAGE(ai_job_market[[#This Row],[min_salary]],ai_job_market[[#This Row],[max_salary]])</f>
        <v>110280.5</v>
      </c>
      <c r="K1731"/>
      <c r="L1731" t="s">
        <v>14</v>
      </c>
      <c r="M1731" t="s">
        <v>51</v>
      </c>
      <c r="N1731" t="s">
        <v>6096</v>
      </c>
      <c r="O1731" t="s">
        <v>4608</v>
      </c>
      <c r="P1731">
        <v>77685</v>
      </c>
      <c r="Q1731">
        <v>142876</v>
      </c>
      <c r="R1731" s="2">
        <v>45564</v>
      </c>
      <c r="S1731" t="s">
        <v>16</v>
      </c>
      <c r="T1731" t="s">
        <v>70</v>
      </c>
      <c r="U1731" t="s">
        <v>6384</v>
      </c>
      <c r="V1731" t="s">
        <v>6389</v>
      </c>
      <c r="W1731" t="s">
        <v>6358</v>
      </c>
      <c r="X1731">
        <v>96</v>
      </c>
      <c r="Y1731" t="s">
        <v>70</v>
      </c>
      <c r="Z1731">
        <v>268</v>
      </c>
    </row>
    <row r="1732" spans="1:26" x14ac:dyDescent="0.3">
      <c r="A1732">
        <v>1731</v>
      </c>
      <c r="B1732" t="s">
        <v>1924</v>
      </c>
      <c r="C1732" t="s">
        <v>72</v>
      </c>
      <c r="D1732" t="s">
        <v>30</v>
      </c>
      <c r="E1732" t="s">
        <v>6356</v>
      </c>
      <c r="F1732" t="s">
        <v>6377</v>
      </c>
      <c r="G1732" t="s">
        <v>6389</v>
      </c>
      <c r="H1732" t="s">
        <v>6382</v>
      </c>
      <c r="J1732">
        <f>AVERAGE(ai_job_market[[#This Row],[min_salary]],ai_job_market[[#This Row],[max_salary]])</f>
        <v>136015.5</v>
      </c>
      <c r="K1732"/>
      <c r="L1732" t="s">
        <v>14</v>
      </c>
      <c r="M1732" t="s">
        <v>15</v>
      </c>
      <c r="N1732" t="s">
        <v>6097</v>
      </c>
      <c r="O1732" t="s">
        <v>4395</v>
      </c>
      <c r="P1732">
        <v>125294</v>
      </c>
      <c r="Q1732">
        <v>146737</v>
      </c>
      <c r="R1732" s="2">
        <v>45533</v>
      </c>
      <c r="S1732" t="s">
        <v>69</v>
      </c>
      <c r="T1732" t="s">
        <v>52</v>
      </c>
      <c r="U1732" t="s">
        <v>6375</v>
      </c>
      <c r="W1732" t="s">
        <v>6356</v>
      </c>
      <c r="X1732">
        <v>86</v>
      </c>
      <c r="Y1732" t="s">
        <v>52</v>
      </c>
      <c r="Z1732">
        <v>238</v>
      </c>
    </row>
    <row r="1733" spans="1:26" x14ac:dyDescent="0.3">
      <c r="A1733">
        <v>1732</v>
      </c>
      <c r="B1733" t="s">
        <v>3744</v>
      </c>
      <c r="C1733" t="s">
        <v>11</v>
      </c>
      <c r="D1733" t="s">
        <v>12</v>
      </c>
      <c r="E1733" t="s">
        <v>6348</v>
      </c>
      <c r="F1733" t="s">
        <v>6395</v>
      </c>
      <c r="G1733" t="s">
        <v>6389</v>
      </c>
      <c r="H1733" t="s">
        <v>6397</v>
      </c>
      <c r="I1733" t="s">
        <v>6386</v>
      </c>
      <c r="J1733">
        <f>AVERAGE(ai_job_market[[#This Row],[min_salary]],ai_job_market[[#This Row],[max_salary]])</f>
        <v>137313.5</v>
      </c>
      <c r="K1733"/>
      <c r="L1733" t="s">
        <v>22</v>
      </c>
      <c r="M1733" t="s">
        <v>51</v>
      </c>
      <c r="N1733" t="s">
        <v>6098</v>
      </c>
      <c r="O1733" t="s">
        <v>4420</v>
      </c>
      <c r="P1733">
        <v>127211</v>
      </c>
      <c r="Q1733">
        <v>147416</v>
      </c>
      <c r="R1733" s="2">
        <v>45736</v>
      </c>
      <c r="S1733" t="s">
        <v>69</v>
      </c>
      <c r="T1733" t="s">
        <v>90</v>
      </c>
      <c r="U1733" t="s">
        <v>6383</v>
      </c>
      <c r="W1733" t="s">
        <v>6348</v>
      </c>
      <c r="X1733">
        <v>78</v>
      </c>
      <c r="Y1733" t="s">
        <v>90</v>
      </c>
      <c r="Z1733">
        <v>259</v>
      </c>
    </row>
    <row r="1734" spans="1:26" x14ac:dyDescent="0.3">
      <c r="A1734">
        <v>1733</v>
      </c>
      <c r="B1734" t="s">
        <v>3746</v>
      </c>
      <c r="C1734" t="s">
        <v>11</v>
      </c>
      <c r="D1734" t="s">
        <v>54</v>
      </c>
      <c r="E1734" t="s">
        <v>80</v>
      </c>
      <c r="F1734" t="s">
        <v>6379</v>
      </c>
      <c r="G1734" t="s">
        <v>6386</v>
      </c>
      <c r="J1734">
        <f>AVERAGE(ai_job_market[[#This Row],[min_salary]],ai_job_market[[#This Row],[max_salary]])</f>
        <v>157524.5</v>
      </c>
      <c r="K1734"/>
      <c r="L1734" t="s">
        <v>22</v>
      </c>
      <c r="M1734" t="s">
        <v>15</v>
      </c>
      <c r="N1734" t="s">
        <v>6099</v>
      </c>
      <c r="O1734" t="s">
        <v>4363</v>
      </c>
      <c r="P1734">
        <v>122827</v>
      </c>
      <c r="Q1734">
        <v>192222</v>
      </c>
      <c r="R1734" s="2">
        <v>45439</v>
      </c>
      <c r="S1734" t="s">
        <v>69</v>
      </c>
      <c r="T1734" t="s">
        <v>80</v>
      </c>
      <c r="U1734" t="s">
        <v>6383</v>
      </c>
      <c r="V1734" t="s">
        <v>6378</v>
      </c>
      <c r="W1734" t="s">
        <v>80</v>
      </c>
      <c r="X1734">
        <v>95</v>
      </c>
      <c r="Y1734" t="s">
        <v>80</v>
      </c>
      <c r="Z1734">
        <v>249</v>
      </c>
    </row>
    <row r="1735" spans="1:26" x14ac:dyDescent="0.3">
      <c r="A1735">
        <v>1734</v>
      </c>
      <c r="B1735" t="s">
        <v>3748</v>
      </c>
      <c r="C1735" t="s">
        <v>11</v>
      </c>
      <c r="D1735" t="s">
        <v>35</v>
      </c>
      <c r="E1735" t="s">
        <v>6354</v>
      </c>
      <c r="F1735" t="s">
        <v>6393</v>
      </c>
      <c r="G1735" t="s">
        <v>6397</v>
      </c>
      <c r="J1735">
        <f>AVERAGE(ai_job_market[[#This Row],[min_salary]],ai_job_market[[#This Row],[max_salary]])</f>
        <v>94879</v>
      </c>
      <c r="K1735"/>
      <c r="L1735" t="s">
        <v>27</v>
      </c>
      <c r="M1735" t="s">
        <v>42</v>
      </c>
      <c r="N1735" t="s">
        <v>4896</v>
      </c>
      <c r="O1735" t="s">
        <v>4637</v>
      </c>
      <c r="P1735">
        <v>76718</v>
      </c>
      <c r="Q1735">
        <v>113040</v>
      </c>
      <c r="R1735" s="2">
        <v>45237</v>
      </c>
      <c r="S1735" t="s">
        <v>14</v>
      </c>
      <c r="T1735" t="s">
        <v>77</v>
      </c>
      <c r="U1735" t="s">
        <v>6375</v>
      </c>
      <c r="V1735" t="s">
        <v>6384</v>
      </c>
      <c r="W1735" t="s">
        <v>6354</v>
      </c>
      <c r="X1735">
        <v>75</v>
      </c>
      <c r="Y1735" t="s">
        <v>77</v>
      </c>
      <c r="Z1735">
        <v>251</v>
      </c>
    </row>
    <row r="1736" spans="1:26" x14ac:dyDescent="0.3">
      <c r="A1736">
        <v>1735</v>
      </c>
      <c r="B1736" t="s">
        <v>3750</v>
      </c>
      <c r="C1736" t="s">
        <v>40</v>
      </c>
      <c r="D1736" t="s">
        <v>35</v>
      </c>
      <c r="E1736" t="s">
        <v>6353</v>
      </c>
      <c r="F1736" t="s">
        <v>6397</v>
      </c>
      <c r="G1736" t="s">
        <v>6379</v>
      </c>
      <c r="H1736" t="s">
        <v>6378</v>
      </c>
      <c r="J1736">
        <f>AVERAGE(ai_job_market[[#This Row],[min_salary]],ai_job_market[[#This Row],[max_salary]])</f>
        <v>115304.5</v>
      </c>
      <c r="K1736"/>
      <c r="L1736" t="s">
        <v>27</v>
      </c>
      <c r="M1736" t="s">
        <v>15</v>
      </c>
      <c r="N1736" t="s">
        <v>6100</v>
      </c>
      <c r="O1736" t="s">
        <v>4549</v>
      </c>
      <c r="P1736">
        <v>69019</v>
      </c>
      <c r="Q1736">
        <v>161590</v>
      </c>
      <c r="R1736" s="2">
        <v>45792</v>
      </c>
      <c r="S1736" t="s">
        <v>16</v>
      </c>
      <c r="T1736" t="s">
        <v>52</v>
      </c>
      <c r="U1736" t="s">
        <v>6378</v>
      </c>
      <c r="V1736" t="s">
        <v>6375</v>
      </c>
      <c r="W1736" t="s">
        <v>6353</v>
      </c>
      <c r="X1736">
        <v>86</v>
      </c>
      <c r="Y1736" t="s">
        <v>52</v>
      </c>
      <c r="Z1736">
        <v>238</v>
      </c>
    </row>
    <row r="1737" spans="1:26" x14ac:dyDescent="0.3">
      <c r="A1737">
        <v>1736</v>
      </c>
      <c r="B1737" t="s">
        <v>3752</v>
      </c>
      <c r="C1737" t="s">
        <v>45</v>
      </c>
      <c r="D1737" t="s">
        <v>30</v>
      </c>
      <c r="E1737" t="s">
        <v>6349</v>
      </c>
      <c r="F1737" t="s">
        <v>6396</v>
      </c>
      <c r="G1737" t="s">
        <v>6377</v>
      </c>
      <c r="J1737">
        <f>AVERAGE(ai_job_market[[#This Row],[min_salary]],ai_job_market[[#This Row],[max_salary]])</f>
        <v>137174.5</v>
      </c>
      <c r="K1737"/>
      <c r="L1737" t="s">
        <v>27</v>
      </c>
      <c r="M1737" t="s">
        <v>42</v>
      </c>
      <c r="N1737" t="s">
        <v>6101</v>
      </c>
      <c r="O1737" t="s">
        <v>4387</v>
      </c>
      <c r="P1737">
        <v>118645</v>
      </c>
      <c r="Q1737">
        <v>155704</v>
      </c>
      <c r="R1737" s="2">
        <v>45719</v>
      </c>
      <c r="S1737" t="s">
        <v>69</v>
      </c>
      <c r="T1737" t="s">
        <v>157</v>
      </c>
      <c r="U1737" t="s">
        <v>6378</v>
      </c>
      <c r="V1737" t="s">
        <v>6389</v>
      </c>
      <c r="W1737" t="s">
        <v>6349</v>
      </c>
      <c r="X1737">
        <v>96</v>
      </c>
      <c r="Y1737" t="s">
        <v>157</v>
      </c>
      <c r="Z1737">
        <v>247</v>
      </c>
    </row>
    <row r="1738" spans="1:26" x14ac:dyDescent="0.3">
      <c r="A1738">
        <v>1737</v>
      </c>
      <c r="B1738" t="s">
        <v>3754</v>
      </c>
      <c r="C1738" t="s">
        <v>45</v>
      </c>
      <c r="D1738" t="s">
        <v>25</v>
      </c>
      <c r="E1738" t="s">
        <v>6359</v>
      </c>
      <c r="F1738" t="s">
        <v>6396</v>
      </c>
      <c r="G1738" t="s">
        <v>6394</v>
      </c>
      <c r="H1738" t="s">
        <v>6375</v>
      </c>
      <c r="I1738" t="s">
        <v>6382</v>
      </c>
      <c r="J1738">
        <f>AVERAGE(ai_job_market[[#This Row],[min_salary]],ai_job_market[[#This Row],[max_salary]])</f>
        <v>116678</v>
      </c>
      <c r="K1738" t="s">
        <v>6381</v>
      </c>
      <c r="L1738" t="s">
        <v>27</v>
      </c>
      <c r="M1738" t="s">
        <v>51</v>
      </c>
      <c r="N1738" t="s">
        <v>4560</v>
      </c>
      <c r="O1738" t="s">
        <v>5170</v>
      </c>
      <c r="P1738">
        <v>92698</v>
      </c>
      <c r="Q1738">
        <v>140658</v>
      </c>
      <c r="R1738" s="2">
        <v>45372</v>
      </c>
      <c r="S1738" t="s">
        <v>16</v>
      </c>
      <c r="T1738" t="s">
        <v>77</v>
      </c>
      <c r="U1738" t="s">
        <v>6379</v>
      </c>
      <c r="W1738" t="s">
        <v>6359</v>
      </c>
      <c r="X1738">
        <v>104</v>
      </c>
      <c r="Y1738" t="s">
        <v>77</v>
      </c>
      <c r="Z1738">
        <v>251</v>
      </c>
    </row>
    <row r="1739" spans="1:26" x14ac:dyDescent="0.3">
      <c r="A1739">
        <v>1738</v>
      </c>
      <c r="B1739" t="s">
        <v>3756</v>
      </c>
      <c r="C1739" t="s">
        <v>11</v>
      </c>
      <c r="D1739" t="s">
        <v>12</v>
      </c>
      <c r="E1739" t="s">
        <v>6348</v>
      </c>
      <c r="F1739" t="s">
        <v>6395</v>
      </c>
      <c r="G1739" t="s">
        <v>6381</v>
      </c>
      <c r="J1739">
        <f>AVERAGE(ai_job_market[[#This Row],[min_salary]],ai_job_market[[#This Row],[max_salary]])</f>
        <v>159548.5</v>
      </c>
      <c r="K1739"/>
      <c r="L1739" t="s">
        <v>22</v>
      </c>
      <c r="M1739" t="s">
        <v>42</v>
      </c>
      <c r="N1739" t="s">
        <v>5893</v>
      </c>
      <c r="O1739" t="s">
        <v>4538</v>
      </c>
      <c r="P1739">
        <v>136382</v>
      </c>
      <c r="Q1739">
        <v>182715</v>
      </c>
      <c r="R1739" s="2">
        <v>45702</v>
      </c>
      <c r="S1739" t="s">
        <v>69</v>
      </c>
      <c r="T1739" t="s">
        <v>157</v>
      </c>
      <c r="U1739" t="s">
        <v>6379</v>
      </c>
      <c r="W1739" t="s">
        <v>6348</v>
      </c>
      <c r="X1739">
        <v>78</v>
      </c>
      <c r="Y1739" t="s">
        <v>157</v>
      </c>
      <c r="Z1739">
        <v>247</v>
      </c>
    </row>
    <row r="1740" spans="1:26" x14ac:dyDescent="0.3">
      <c r="A1740">
        <v>1739</v>
      </c>
      <c r="B1740" t="s">
        <v>3758</v>
      </c>
      <c r="C1740" t="s">
        <v>72</v>
      </c>
      <c r="D1740" t="s">
        <v>20</v>
      </c>
      <c r="E1740" t="s">
        <v>6353</v>
      </c>
      <c r="F1740" t="s">
        <v>6393</v>
      </c>
      <c r="G1740" t="s">
        <v>6392</v>
      </c>
      <c r="J1740">
        <f>AVERAGE(ai_job_market[[#This Row],[min_salary]],ai_job_market[[#This Row],[max_salary]])</f>
        <v>188355</v>
      </c>
      <c r="K1740"/>
      <c r="L1740" t="s">
        <v>14</v>
      </c>
      <c r="M1740" t="s">
        <v>15</v>
      </c>
      <c r="N1740" t="s">
        <v>6102</v>
      </c>
      <c r="O1740" t="s">
        <v>4335</v>
      </c>
      <c r="P1740">
        <v>149696</v>
      </c>
      <c r="Q1740">
        <v>227014</v>
      </c>
      <c r="R1740" s="2">
        <v>45526</v>
      </c>
      <c r="S1740" t="s">
        <v>16</v>
      </c>
      <c r="T1740" t="s">
        <v>70</v>
      </c>
      <c r="U1740" t="s">
        <v>6378</v>
      </c>
      <c r="V1740" t="s">
        <v>6384</v>
      </c>
      <c r="W1740" t="s">
        <v>6353</v>
      </c>
      <c r="X1740">
        <v>86</v>
      </c>
      <c r="Y1740" t="s">
        <v>70</v>
      </c>
      <c r="Z1740">
        <v>268</v>
      </c>
    </row>
    <row r="1741" spans="1:26" x14ac:dyDescent="0.3">
      <c r="A1741">
        <v>1740</v>
      </c>
      <c r="B1741" t="s">
        <v>3759</v>
      </c>
      <c r="C1741" t="s">
        <v>49</v>
      </c>
      <c r="D1741" t="s">
        <v>54</v>
      </c>
      <c r="E1741" t="s">
        <v>6358</v>
      </c>
      <c r="F1741" t="s">
        <v>6380</v>
      </c>
      <c r="G1741" t="s">
        <v>6386</v>
      </c>
      <c r="J1741">
        <f>AVERAGE(ai_job_market[[#This Row],[min_salary]],ai_job_market[[#This Row],[max_salary]])</f>
        <v>92758</v>
      </c>
      <c r="K1741"/>
      <c r="L1741" t="s">
        <v>27</v>
      </c>
      <c r="M1741" t="s">
        <v>42</v>
      </c>
      <c r="N1741" t="s">
        <v>4348</v>
      </c>
      <c r="O1741" t="s">
        <v>4528</v>
      </c>
      <c r="P1741">
        <v>71669</v>
      </c>
      <c r="Q1741">
        <v>113847</v>
      </c>
      <c r="R1741" s="2">
        <v>45281</v>
      </c>
      <c r="S1741" t="s">
        <v>14</v>
      </c>
      <c r="T1741" t="s">
        <v>101</v>
      </c>
      <c r="U1741" t="s">
        <v>6388</v>
      </c>
      <c r="V1741" t="s">
        <v>6383</v>
      </c>
      <c r="W1741" t="s">
        <v>6358</v>
      </c>
      <c r="X1741">
        <v>96</v>
      </c>
      <c r="Y1741" t="s">
        <v>101</v>
      </c>
      <c r="Z1741">
        <v>255</v>
      </c>
    </row>
    <row r="1742" spans="1:26" x14ac:dyDescent="0.3">
      <c r="A1742">
        <v>1741</v>
      </c>
      <c r="B1742" t="s">
        <v>2486</v>
      </c>
      <c r="C1742" t="s">
        <v>11</v>
      </c>
      <c r="D1742" t="s">
        <v>12</v>
      </c>
      <c r="E1742" t="s">
        <v>6356</v>
      </c>
      <c r="F1742" t="s">
        <v>6384</v>
      </c>
      <c r="G1742" t="s">
        <v>6385</v>
      </c>
      <c r="J1742">
        <f>AVERAGE(ai_job_market[[#This Row],[min_salary]],ai_job_market[[#This Row],[max_salary]])</f>
        <v>132436.5</v>
      </c>
      <c r="K1742"/>
      <c r="L1742" t="s">
        <v>22</v>
      </c>
      <c r="M1742" t="s">
        <v>51</v>
      </c>
      <c r="N1742" t="s">
        <v>6103</v>
      </c>
      <c r="O1742" t="s">
        <v>4762</v>
      </c>
      <c r="P1742">
        <v>119078</v>
      </c>
      <c r="Q1742">
        <v>145795</v>
      </c>
      <c r="R1742" s="2">
        <v>45366</v>
      </c>
      <c r="S1742" t="s">
        <v>16</v>
      </c>
      <c r="T1742" t="s">
        <v>157</v>
      </c>
      <c r="U1742" t="s">
        <v>6378</v>
      </c>
      <c r="V1742" t="s">
        <v>6375</v>
      </c>
      <c r="W1742" t="s">
        <v>6356</v>
      </c>
      <c r="X1742">
        <v>86</v>
      </c>
      <c r="Y1742" t="s">
        <v>157</v>
      </c>
      <c r="Z1742">
        <v>247</v>
      </c>
    </row>
    <row r="1743" spans="1:26" x14ac:dyDescent="0.3">
      <c r="A1743">
        <v>1742</v>
      </c>
      <c r="B1743" t="s">
        <v>3762</v>
      </c>
      <c r="C1743" t="s">
        <v>11</v>
      </c>
      <c r="D1743" t="s">
        <v>35</v>
      </c>
      <c r="E1743" t="s">
        <v>101</v>
      </c>
      <c r="F1743" t="s">
        <v>6397</v>
      </c>
      <c r="G1743" t="s">
        <v>6393</v>
      </c>
      <c r="H1743" t="s">
        <v>6382</v>
      </c>
      <c r="I1743" t="s">
        <v>6390</v>
      </c>
      <c r="J1743" s="6">
        <f>AVERAGE(ai_job_market[[#This Row],[min_salary]],ai_job_market[[#This Row],[max_salary]])</f>
        <v>139252.5</v>
      </c>
      <c r="K1743" t="s">
        <v>6389</v>
      </c>
      <c r="L1743" t="s">
        <v>22</v>
      </c>
      <c r="M1743" t="s">
        <v>15</v>
      </c>
      <c r="N1743" t="s">
        <v>5396</v>
      </c>
      <c r="O1743" t="s">
        <v>4593</v>
      </c>
      <c r="P1743" s="5">
        <v>126591</v>
      </c>
      <c r="Q1743" s="5">
        <v>151914</v>
      </c>
      <c r="R1743" s="2">
        <v>45274</v>
      </c>
      <c r="S1743" t="s">
        <v>14</v>
      </c>
      <c r="T1743" t="s">
        <v>52</v>
      </c>
      <c r="U1743" t="s">
        <v>6389</v>
      </c>
      <c r="W1743" t="s">
        <v>101</v>
      </c>
      <c r="X1743">
        <v>76</v>
      </c>
      <c r="Y1743" t="s">
        <v>52</v>
      </c>
      <c r="Z1743">
        <v>238</v>
      </c>
    </row>
    <row r="1744" spans="1:26" x14ac:dyDescent="0.3">
      <c r="A1744">
        <v>1743</v>
      </c>
      <c r="B1744" t="s">
        <v>1706</v>
      </c>
      <c r="C1744" t="s">
        <v>19</v>
      </c>
      <c r="D1744" t="s">
        <v>25</v>
      </c>
      <c r="E1744" t="s">
        <v>70</v>
      </c>
      <c r="F1744" t="s">
        <v>6381</v>
      </c>
      <c r="G1744" t="s">
        <v>6375</v>
      </c>
      <c r="H1744" t="s">
        <v>6396</v>
      </c>
      <c r="J1744">
        <f>AVERAGE(ai_job_market[[#This Row],[min_salary]],ai_job_market[[#This Row],[max_salary]])</f>
        <v>153106.5</v>
      </c>
      <c r="K1744"/>
      <c r="L1744" t="s">
        <v>14</v>
      </c>
      <c r="M1744" t="s">
        <v>51</v>
      </c>
      <c r="N1744" t="s">
        <v>6104</v>
      </c>
      <c r="O1744" t="s">
        <v>4831</v>
      </c>
      <c r="P1744">
        <v>121727</v>
      </c>
      <c r="Q1744">
        <v>184486</v>
      </c>
      <c r="R1744" s="2">
        <v>45556</v>
      </c>
      <c r="S1744" t="s">
        <v>14</v>
      </c>
      <c r="T1744" t="s">
        <v>157</v>
      </c>
      <c r="W1744" t="s">
        <v>70</v>
      </c>
      <c r="X1744">
        <v>100</v>
      </c>
      <c r="Y1744" t="s">
        <v>157</v>
      </c>
      <c r="Z1744">
        <v>247</v>
      </c>
    </row>
    <row r="1745" spans="1:26" x14ac:dyDescent="0.3">
      <c r="A1745">
        <v>1744</v>
      </c>
      <c r="B1745" t="s">
        <v>3765</v>
      </c>
      <c r="C1745" t="s">
        <v>34</v>
      </c>
      <c r="D1745" t="s">
        <v>67</v>
      </c>
      <c r="E1745" t="s">
        <v>6347</v>
      </c>
      <c r="F1745" t="s">
        <v>6389</v>
      </c>
      <c r="G1745" t="s">
        <v>6375</v>
      </c>
      <c r="H1745" t="s">
        <v>6378</v>
      </c>
      <c r="J1745">
        <f>AVERAGE(ai_job_market[[#This Row],[min_salary]],ai_job_market[[#This Row],[max_salary]])</f>
        <v>104649.5</v>
      </c>
      <c r="K1745"/>
      <c r="L1745" t="s">
        <v>22</v>
      </c>
      <c r="M1745" t="s">
        <v>15</v>
      </c>
      <c r="N1745" t="s">
        <v>6105</v>
      </c>
      <c r="O1745" t="s">
        <v>4773</v>
      </c>
      <c r="P1745">
        <v>90376</v>
      </c>
      <c r="Q1745">
        <v>118923</v>
      </c>
      <c r="R1745" s="2">
        <v>45701</v>
      </c>
      <c r="S1745" t="s">
        <v>69</v>
      </c>
      <c r="T1745" t="s">
        <v>80</v>
      </c>
      <c r="U1745" t="s">
        <v>6378</v>
      </c>
      <c r="V1745" t="s">
        <v>6383</v>
      </c>
      <c r="W1745" t="s">
        <v>6347</v>
      </c>
      <c r="X1745">
        <v>94</v>
      </c>
      <c r="Y1745" t="s">
        <v>80</v>
      </c>
      <c r="Z1745">
        <v>249</v>
      </c>
    </row>
    <row r="1746" spans="1:26" x14ac:dyDescent="0.3">
      <c r="A1746">
        <v>1745</v>
      </c>
      <c r="B1746" t="s">
        <v>3767</v>
      </c>
      <c r="C1746" t="s">
        <v>72</v>
      </c>
      <c r="D1746" t="s">
        <v>20</v>
      </c>
      <c r="E1746" t="s">
        <v>101</v>
      </c>
      <c r="F1746" t="s">
        <v>6392</v>
      </c>
      <c r="G1746" t="s">
        <v>6375</v>
      </c>
      <c r="H1746" t="s">
        <v>6381</v>
      </c>
      <c r="J1746">
        <f>AVERAGE(ai_job_market[[#This Row],[min_salary]],ai_job_market[[#This Row],[max_salary]])</f>
        <v>144971.5</v>
      </c>
      <c r="K1746"/>
      <c r="L1746" t="s">
        <v>22</v>
      </c>
      <c r="M1746" t="s">
        <v>42</v>
      </c>
      <c r="N1746" t="s">
        <v>6106</v>
      </c>
      <c r="O1746" t="s">
        <v>4687</v>
      </c>
      <c r="P1746">
        <v>132851</v>
      </c>
      <c r="Q1746">
        <v>157092</v>
      </c>
      <c r="R1746" s="2">
        <v>45195</v>
      </c>
      <c r="S1746" t="s">
        <v>16</v>
      </c>
      <c r="T1746" t="s">
        <v>52</v>
      </c>
      <c r="U1746" t="s">
        <v>6384</v>
      </c>
      <c r="W1746" t="s">
        <v>101</v>
      </c>
      <c r="X1746">
        <v>76</v>
      </c>
      <c r="Y1746" t="s">
        <v>52</v>
      </c>
      <c r="Z1746">
        <v>238</v>
      </c>
    </row>
    <row r="1747" spans="1:26" x14ac:dyDescent="0.3">
      <c r="A1747">
        <v>1746</v>
      </c>
      <c r="B1747" t="s">
        <v>3769</v>
      </c>
      <c r="C1747" t="s">
        <v>19</v>
      </c>
      <c r="D1747" t="s">
        <v>135</v>
      </c>
      <c r="E1747" t="s">
        <v>6349</v>
      </c>
      <c r="F1747" t="s">
        <v>6382</v>
      </c>
      <c r="G1747" t="s">
        <v>6386</v>
      </c>
      <c r="H1747" t="s">
        <v>6381</v>
      </c>
      <c r="J1747">
        <f>AVERAGE(ai_job_market[[#This Row],[min_salary]],ai_job_market[[#This Row],[max_salary]])</f>
        <v>173483</v>
      </c>
      <c r="K1747"/>
      <c r="L1747" t="s">
        <v>14</v>
      </c>
      <c r="M1747" t="s">
        <v>15</v>
      </c>
      <c r="N1747" t="s">
        <v>6107</v>
      </c>
      <c r="O1747" t="s">
        <v>4643</v>
      </c>
      <c r="P1747">
        <v>134738</v>
      </c>
      <c r="Q1747">
        <v>212228</v>
      </c>
      <c r="R1747" s="2">
        <v>45860</v>
      </c>
      <c r="S1747" t="s">
        <v>14</v>
      </c>
      <c r="T1747" t="s">
        <v>52</v>
      </c>
      <c r="W1747" t="s">
        <v>6349</v>
      </c>
      <c r="X1747">
        <v>96</v>
      </c>
      <c r="Y1747" t="s">
        <v>52</v>
      </c>
      <c r="Z1747">
        <v>238</v>
      </c>
    </row>
    <row r="1748" spans="1:26" x14ac:dyDescent="0.3">
      <c r="A1748">
        <v>1747</v>
      </c>
      <c r="B1748" t="s">
        <v>3771</v>
      </c>
      <c r="C1748" t="s">
        <v>11</v>
      </c>
      <c r="D1748" t="s">
        <v>135</v>
      </c>
      <c r="E1748" t="s">
        <v>6344</v>
      </c>
      <c r="F1748" t="s">
        <v>6376</v>
      </c>
      <c r="G1748" t="s">
        <v>6381</v>
      </c>
      <c r="H1748" t="s">
        <v>6379</v>
      </c>
      <c r="I1748" t="s">
        <v>6385</v>
      </c>
      <c r="J1748">
        <f>AVERAGE(ai_job_market[[#This Row],[min_salary]],ai_job_market[[#This Row],[max_salary]])</f>
        <v>113999.5</v>
      </c>
      <c r="K1748"/>
      <c r="L1748" t="s">
        <v>22</v>
      </c>
      <c r="M1748" t="s">
        <v>51</v>
      </c>
      <c r="N1748" t="s">
        <v>6108</v>
      </c>
      <c r="O1748" t="s">
        <v>4540</v>
      </c>
      <c r="P1748">
        <v>107785</v>
      </c>
      <c r="Q1748">
        <v>120214</v>
      </c>
      <c r="R1748" s="2">
        <v>45385</v>
      </c>
      <c r="S1748" t="s">
        <v>69</v>
      </c>
      <c r="T1748" t="s">
        <v>101</v>
      </c>
      <c r="U1748" t="s">
        <v>6379</v>
      </c>
      <c r="W1748" t="s">
        <v>6344</v>
      </c>
      <c r="X1748">
        <v>104</v>
      </c>
      <c r="Y1748" t="s">
        <v>101</v>
      </c>
      <c r="Z1748">
        <v>255</v>
      </c>
    </row>
    <row r="1749" spans="1:26" x14ac:dyDescent="0.3">
      <c r="A1749">
        <v>1748</v>
      </c>
      <c r="B1749" t="s">
        <v>3773</v>
      </c>
      <c r="C1749" t="s">
        <v>19</v>
      </c>
      <c r="D1749" t="s">
        <v>12</v>
      </c>
      <c r="E1749" t="s">
        <v>90</v>
      </c>
      <c r="F1749" t="s">
        <v>6390</v>
      </c>
      <c r="G1749" t="s">
        <v>6380</v>
      </c>
      <c r="H1749" t="s">
        <v>6378</v>
      </c>
      <c r="I1749" t="s">
        <v>6392</v>
      </c>
      <c r="J1749">
        <f>AVERAGE(ai_job_market[[#This Row],[min_salary]],ai_job_market[[#This Row],[max_salary]])</f>
        <v>155205</v>
      </c>
      <c r="K1749"/>
      <c r="L1749" t="s">
        <v>14</v>
      </c>
      <c r="M1749" t="s">
        <v>42</v>
      </c>
      <c r="N1749" t="s">
        <v>6109</v>
      </c>
      <c r="O1749" t="s">
        <v>4722</v>
      </c>
      <c r="P1749">
        <v>125072</v>
      </c>
      <c r="Q1749">
        <v>185338</v>
      </c>
      <c r="R1749" s="2">
        <v>45267</v>
      </c>
      <c r="S1749" t="s">
        <v>16</v>
      </c>
      <c r="T1749" t="s">
        <v>80</v>
      </c>
      <c r="W1749" t="s">
        <v>90</v>
      </c>
      <c r="X1749">
        <v>80</v>
      </c>
      <c r="Y1749" t="s">
        <v>80</v>
      </c>
      <c r="Z1749">
        <v>249</v>
      </c>
    </row>
    <row r="1750" spans="1:26" x14ac:dyDescent="0.3">
      <c r="A1750">
        <v>1749</v>
      </c>
      <c r="B1750" t="s">
        <v>3775</v>
      </c>
      <c r="C1750" t="s">
        <v>40</v>
      </c>
      <c r="D1750" t="s">
        <v>12</v>
      </c>
      <c r="E1750" t="s">
        <v>6348</v>
      </c>
      <c r="F1750" t="s">
        <v>6387</v>
      </c>
      <c r="G1750" t="s">
        <v>6386</v>
      </c>
      <c r="H1750" t="s">
        <v>6384</v>
      </c>
      <c r="I1750" t="s">
        <v>6394</v>
      </c>
      <c r="J1750">
        <f>AVERAGE(ai_job_market[[#This Row],[min_salary]],ai_job_market[[#This Row],[max_salary]])</f>
        <v>151403.5</v>
      </c>
      <c r="K1750" t="s">
        <v>6374</v>
      </c>
      <c r="L1750" t="s">
        <v>14</v>
      </c>
      <c r="M1750" t="s">
        <v>51</v>
      </c>
      <c r="N1750" t="s">
        <v>6110</v>
      </c>
      <c r="O1750" t="s">
        <v>4281</v>
      </c>
      <c r="P1750">
        <v>117423</v>
      </c>
      <c r="Q1750">
        <v>185384</v>
      </c>
      <c r="R1750" s="2">
        <v>45557</v>
      </c>
      <c r="S1750" t="s">
        <v>69</v>
      </c>
      <c r="T1750" t="s">
        <v>77</v>
      </c>
      <c r="U1750" t="s">
        <v>6384</v>
      </c>
      <c r="W1750" t="s">
        <v>6348</v>
      </c>
      <c r="X1750">
        <v>78</v>
      </c>
      <c r="Y1750" t="s">
        <v>77</v>
      </c>
      <c r="Z1750">
        <v>251</v>
      </c>
    </row>
    <row r="1751" spans="1:26" x14ac:dyDescent="0.3">
      <c r="A1751">
        <v>1750</v>
      </c>
      <c r="B1751" t="s">
        <v>3777</v>
      </c>
      <c r="C1751" t="s">
        <v>11</v>
      </c>
      <c r="D1751" t="s">
        <v>35</v>
      </c>
      <c r="E1751" t="s">
        <v>70</v>
      </c>
      <c r="F1751" t="s">
        <v>6395</v>
      </c>
      <c r="G1751" t="s">
        <v>6391</v>
      </c>
      <c r="H1751" t="s">
        <v>6385</v>
      </c>
      <c r="I1751" t="s">
        <v>6376</v>
      </c>
      <c r="J1751">
        <f>AVERAGE(ai_job_market[[#This Row],[min_salary]],ai_job_market[[#This Row],[max_salary]])</f>
        <v>118643.5</v>
      </c>
      <c r="K1751" t="s">
        <v>6384</v>
      </c>
      <c r="L1751" t="s">
        <v>27</v>
      </c>
      <c r="M1751" t="s">
        <v>37</v>
      </c>
      <c r="N1751" t="s">
        <v>5377</v>
      </c>
      <c r="O1751" t="s">
        <v>4927</v>
      </c>
      <c r="P1751">
        <v>82983</v>
      </c>
      <c r="Q1751">
        <v>154304</v>
      </c>
      <c r="R1751" s="2">
        <v>45692</v>
      </c>
      <c r="S1751" t="s">
        <v>69</v>
      </c>
      <c r="T1751" t="s">
        <v>101</v>
      </c>
      <c r="U1751" t="s">
        <v>6388</v>
      </c>
      <c r="W1751" t="s">
        <v>70</v>
      </c>
      <c r="X1751">
        <v>100</v>
      </c>
      <c r="Y1751" t="s">
        <v>101</v>
      </c>
      <c r="Z1751">
        <v>255</v>
      </c>
    </row>
    <row r="1752" spans="1:26" x14ac:dyDescent="0.3">
      <c r="A1752">
        <v>1751</v>
      </c>
      <c r="B1752" t="s">
        <v>3779</v>
      </c>
      <c r="C1752" t="s">
        <v>49</v>
      </c>
      <c r="D1752" t="s">
        <v>54</v>
      </c>
      <c r="E1752" t="s">
        <v>6358</v>
      </c>
      <c r="F1752" t="s">
        <v>6379</v>
      </c>
      <c r="G1752" t="s">
        <v>6397</v>
      </c>
      <c r="H1752" t="s">
        <v>6374</v>
      </c>
      <c r="I1752" t="s">
        <v>6384</v>
      </c>
      <c r="J1752" s="6">
        <f>AVERAGE(ai_job_market[[#This Row],[min_salary]],ai_job_market[[#This Row],[max_salary]])</f>
        <v>86092</v>
      </c>
      <c r="K1752" t="s">
        <v>6375</v>
      </c>
      <c r="L1752" t="s">
        <v>22</v>
      </c>
      <c r="M1752" t="s">
        <v>51</v>
      </c>
      <c r="N1752" t="s">
        <v>6111</v>
      </c>
      <c r="O1752" t="s">
        <v>4476</v>
      </c>
      <c r="P1752" s="5">
        <v>44946</v>
      </c>
      <c r="Q1752" s="5">
        <v>127238</v>
      </c>
      <c r="R1752" s="2">
        <v>45447</v>
      </c>
      <c r="S1752" t="s">
        <v>16</v>
      </c>
      <c r="T1752" t="s">
        <v>101</v>
      </c>
      <c r="U1752" t="s">
        <v>6389</v>
      </c>
      <c r="W1752" t="s">
        <v>6358</v>
      </c>
      <c r="X1752">
        <v>96</v>
      </c>
      <c r="Y1752" t="s">
        <v>101</v>
      </c>
      <c r="Z1752">
        <v>255</v>
      </c>
    </row>
    <row r="1753" spans="1:26" x14ac:dyDescent="0.3">
      <c r="A1753">
        <v>1752</v>
      </c>
      <c r="B1753" t="s">
        <v>3781</v>
      </c>
      <c r="C1753" t="s">
        <v>19</v>
      </c>
      <c r="D1753" t="s">
        <v>12</v>
      </c>
      <c r="E1753" t="s">
        <v>6346</v>
      </c>
      <c r="F1753" t="s">
        <v>6390</v>
      </c>
      <c r="G1753" t="s">
        <v>6392</v>
      </c>
      <c r="J1753" s="6">
        <f>AVERAGE(ai_job_market[[#This Row],[min_salary]],ai_job_market[[#This Row],[max_salary]])</f>
        <v>167462.5</v>
      </c>
      <c r="K1753"/>
      <c r="L1753" t="s">
        <v>22</v>
      </c>
      <c r="M1753" t="s">
        <v>42</v>
      </c>
      <c r="N1753" t="s">
        <v>6112</v>
      </c>
      <c r="O1753" t="s">
        <v>5813</v>
      </c>
      <c r="P1753" s="5">
        <v>138174</v>
      </c>
      <c r="Q1753" s="5">
        <v>196751</v>
      </c>
      <c r="R1753" s="2">
        <v>45741</v>
      </c>
      <c r="S1753" t="s">
        <v>16</v>
      </c>
      <c r="T1753" t="s">
        <v>157</v>
      </c>
      <c r="W1753" t="s">
        <v>6346</v>
      </c>
      <c r="X1753">
        <v>78</v>
      </c>
      <c r="Y1753" t="s">
        <v>157</v>
      </c>
      <c r="Z1753">
        <v>247</v>
      </c>
    </row>
    <row r="1754" spans="1:26" x14ac:dyDescent="0.3">
      <c r="A1754">
        <v>1753</v>
      </c>
      <c r="B1754" t="s">
        <v>3783</v>
      </c>
      <c r="C1754" t="s">
        <v>19</v>
      </c>
      <c r="D1754" t="s">
        <v>67</v>
      </c>
      <c r="E1754" t="s">
        <v>6357</v>
      </c>
      <c r="F1754" t="s">
        <v>6392</v>
      </c>
      <c r="G1754" t="s">
        <v>6391</v>
      </c>
      <c r="H1754" t="s">
        <v>6379</v>
      </c>
      <c r="J1754">
        <f>AVERAGE(ai_job_market[[#This Row],[min_salary]],ai_job_market[[#This Row],[max_salary]])</f>
        <v>157780.5</v>
      </c>
      <c r="K1754"/>
      <c r="L1754" t="s">
        <v>27</v>
      </c>
      <c r="M1754" t="s">
        <v>51</v>
      </c>
      <c r="N1754" t="s">
        <v>6113</v>
      </c>
      <c r="O1754" t="s">
        <v>4554</v>
      </c>
      <c r="P1754">
        <v>141056</v>
      </c>
      <c r="Q1754">
        <v>174505</v>
      </c>
      <c r="R1754" s="2">
        <v>45638</v>
      </c>
      <c r="S1754" t="s">
        <v>14</v>
      </c>
      <c r="T1754" t="s">
        <v>101</v>
      </c>
      <c r="W1754" t="s">
        <v>6357</v>
      </c>
      <c r="X1754">
        <v>88</v>
      </c>
      <c r="Y1754" t="s">
        <v>101</v>
      </c>
      <c r="Z1754">
        <v>255</v>
      </c>
    </row>
    <row r="1755" spans="1:26" x14ac:dyDescent="0.3">
      <c r="A1755">
        <v>1754</v>
      </c>
      <c r="B1755" t="s">
        <v>3785</v>
      </c>
      <c r="C1755" t="s">
        <v>72</v>
      </c>
      <c r="D1755" t="s">
        <v>67</v>
      </c>
      <c r="E1755" t="s">
        <v>6357</v>
      </c>
      <c r="F1755" t="s">
        <v>6397</v>
      </c>
      <c r="G1755" t="s">
        <v>6385</v>
      </c>
      <c r="H1755" t="s">
        <v>6389</v>
      </c>
      <c r="I1755" t="s">
        <v>6380</v>
      </c>
      <c r="J1755" s="6">
        <f>AVERAGE(ai_job_market[[#This Row],[min_salary]],ai_job_market[[#This Row],[max_salary]])</f>
        <v>92728</v>
      </c>
      <c r="K1755"/>
      <c r="L1755" t="s">
        <v>14</v>
      </c>
      <c r="M1755" t="s">
        <v>15</v>
      </c>
      <c r="N1755" t="s">
        <v>6114</v>
      </c>
      <c r="O1755" t="s">
        <v>4439</v>
      </c>
      <c r="P1755" s="5">
        <v>56727</v>
      </c>
      <c r="Q1755" s="5">
        <v>128729</v>
      </c>
      <c r="R1755" s="2">
        <v>45274</v>
      </c>
      <c r="S1755" t="s">
        <v>69</v>
      </c>
      <c r="T1755" t="s">
        <v>128</v>
      </c>
      <c r="W1755" t="s">
        <v>6357</v>
      </c>
      <c r="X1755">
        <v>88</v>
      </c>
      <c r="Y1755" t="s">
        <v>128</v>
      </c>
      <c r="Z1755">
        <v>233</v>
      </c>
    </row>
    <row r="1756" spans="1:26" x14ac:dyDescent="0.3">
      <c r="A1756">
        <v>1755</v>
      </c>
      <c r="B1756" t="s">
        <v>1316</v>
      </c>
      <c r="C1756" t="s">
        <v>40</v>
      </c>
      <c r="D1756" t="s">
        <v>135</v>
      </c>
      <c r="E1756" t="s">
        <v>80</v>
      </c>
      <c r="F1756" t="s">
        <v>6375</v>
      </c>
      <c r="G1756" t="s">
        <v>6379</v>
      </c>
      <c r="J1756">
        <f>AVERAGE(ai_job_market[[#This Row],[min_salary]],ai_job_market[[#This Row],[max_salary]])</f>
        <v>153126</v>
      </c>
      <c r="K1756"/>
      <c r="L1756" t="s">
        <v>14</v>
      </c>
      <c r="M1756" t="s">
        <v>51</v>
      </c>
      <c r="N1756" t="s">
        <v>6115</v>
      </c>
      <c r="O1756" t="s">
        <v>4648</v>
      </c>
      <c r="P1756">
        <v>118148</v>
      </c>
      <c r="Q1756">
        <v>188104</v>
      </c>
      <c r="R1756" s="2">
        <v>45770</v>
      </c>
      <c r="S1756" t="s">
        <v>69</v>
      </c>
      <c r="T1756" t="s">
        <v>157</v>
      </c>
      <c r="W1756" t="s">
        <v>80</v>
      </c>
      <c r="X1756">
        <v>95</v>
      </c>
      <c r="Y1756" t="s">
        <v>157</v>
      </c>
      <c r="Z1756">
        <v>247</v>
      </c>
    </row>
    <row r="1757" spans="1:26" x14ac:dyDescent="0.3">
      <c r="A1757">
        <v>1756</v>
      </c>
      <c r="B1757" t="s">
        <v>3787</v>
      </c>
      <c r="C1757" t="s">
        <v>49</v>
      </c>
      <c r="D1757" t="s">
        <v>135</v>
      </c>
      <c r="E1757" t="s">
        <v>6350</v>
      </c>
      <c r="F1757" t="s">
        <v>6384</v>
      </c>
      <c r="G1757" t="s">
        <v>6386</v>
      </c>
      <c r="J1757" s="6">
        <f>AVERAGE(ai_job_market[[#This Row],[min_salary]],ai_job_market[[#This Row],[max_salary]])</f>
        <v>152568</v>
      </c>
      <c r="K1757"/>
      <c r="L1757" t="s">
        <v>27</v>
      </c>
      <c r="M1757" t="s">
        <v>37</v>
      </c>
      <c r="N1757" t="s">
        <v>6116</v>
      </c>
      <c r="O1757" t="s">
        <v>4929</v>
      </c>
      <c r="P1757" s="5">
        <v>139066</v>
      </c>
      <c r="Q1757" s="5">
        <v>166070</v>
      </c>
      <c r="R1757" s="2">
        <v>45408</v>
      </c>
      <c r="S1757" t="s">
        <v>16</v>
      </c>
      <c r="T1757" t="s">
        <v>128</v>
      </c>
      <c r="U1757" t="s">
        <v>6389</v>
      </c>
      <c r="W1757" t="s">
        <v>6350</v>
      </c>
      <c r="X1757">
        <v>84</v>
      </c>
      <c r="Y1757" t="s">
        <v>128</v>
      </c>
      <c r="Z1757">
        <v>233</v>
      </c>
    </row>
    <row r="1758" spans="1:26" x14ac:dyDescent="0.3">
      <c r="A1758">
        <v>1757</v>
      </c>
      <c r="B1758" t="s">
        <v>3789</v>
      </c>
      <c r="C1758" t="s">
        <v>45</v>
      </c>
      <c r="D1758" t="s">
        <v>35</v>
      </c>
      <c r="E1758" t="s">
        <v>77</v>
      </c>
      <c r="F1758" t="s">
        <v>6396</v>
      </c>
      <c r="G1758" t="s">
        <v>6382</v>
      </c>
      <c r="J1758">
        <f>AVERAGE(ai_job_market[[#This Row],[min_salary]],ai_job_market[[#This Row],[max_salary]])</f>
        <v>146813</v>
      </c>
      <c r="K1758"/>
      <c r="L1758" t="s">
        <v>14</v>
      </c>
      <c r="M1758" t="s">
        <v>15</v>
      </c>
      <c r="N1758" t="s">
        <v>6117</v>
      </c>
      <c r="O1758" t="s">
        <v>4536</v>
      </c>
      <c r="P1758">
        <v>108653</v>
      </c>
      <c r="Q1758">
        <v>184973</v>
      </c>
      <c r="R1758" s="2">
        <v>45589</v>
      </c>
      <c r="S1758" t="s">
        <v>16</v>
      </c>
      <c r="T1758" t="s">
        <v>101</v>
      </c>
      <c r="U1758" t="s">
        <v>6384</v>
      </c>
      <c r="W1758" t="s">
        <v>77</v>
      </c>
      <c r="X1758">
        <v>111</v>
      </c>
      <c r="Y1758" t="s">
        <v>101</v>
      </c>
      <c r="Z1758">
        <v>255</v>
      </c>
    </row>
    <row r="1759" spans="1:26" x14ac:dyDescent="0.3">
      <c r="A1759">
        <v>1758</v>
      </c>
      <c r="B1759" t="s">
        <v>3790</v>
      </c>
      <c r="C1759" t="s">
        <v>11</v>
      </c>
      <c r="D1759" t="s">
        <v>20</v>
      </c>
      <c r="E1759" t="s">
        <v>77</v>
      </c>
      <c r="F1759" t="s">
        <v>6375</v>
      </c>
      <c r="G1759" t="s">
        <v>6396</v>
      </c>
      <c r="H1759" t="s">
        <v>6381</v>
      </c>
      <c r="J1759">
        <f>AVERAGE(ai_job_market[[#This Row],[min_salary]],ai_job_market[[#This Row],[max_salary]])</f>
        <v>115711</v>
      </c>
      <c r="K1759"/>
      <c r="L1759" t="s">
        <v>27</v>
      </c>
      <c r="M1759" t="s">
        <v>51</v>
      </c>
      <c r="N1759" t="s">
        <v>6118</v>
      </c>
      <c r="O1759" t="s">
        <v>4305</v>
      </c>
      <c r="P1759">
        <v>89361</v>
      </c>
      <c r="Q1759">
        <v>142061</v>
      </c>
      <c r="R1759" s="2">
        <v>45361</v>
      </c>
      <c r="S1759" t="s">
        <v>14</v>
      </c>
      <c r="T1759" t="s">
        <v>128</v>
      </c>
      <c r="W1759" t="s">
        <v>77</v>
      </c>
      <c r="X1759">
        <v>111</v>
      </c>
      <c r="Y1759" t="s">
        <v>128</v>
      </c>
      <c r="Z1759">
        <v>233</v>
      </c>
    </row>
    <row r="1760" spans="1:26" x14ac:dyDescent="0.3">
      <c r="A1760">
        <v>1759</v>
      </c>
      <c r="B1760" t="s">
        <v>3792</v>
      </c>
      <c r="C1760" t="s">
        <v>11</v>
      </c>
      <c r="D1760" t="s">
        <v>54</v>
      </c>
      <c r="E1760" t="s">
        <v>6346</v>
      </c>
      <c r="F1760" t="s">
        <v>6375</v>
      </c>
      <c r="G1760" t="s">
        <v>6395</v>
      </c>
      <c r="H1760" t="s">
        <v>6384</v>
      </c>
      <c r="J1760">
        <f>AVERAGE(ai_job_market[[#This Row],[min_salary]],ai_job_market[[#This Row],[max_salary]])</f>
        <v>109268.5</v>
      </c>
      <c r="K1760"/>
      <c r="L1760" t="s">
        <v>27</v>
      </c>
      <c r="M1760" t="s">
        <v>37</v>
      </c>
      <c r="N1760" t="s">
        <v>6119</v>
      </c>
      <c r="O1760" t="s">
        <v>4318</v>
      </c>
      <c r="P1760">
        <v>63877</v>
      </c>
      <c r="Q1760">
        <v>154660</v>
      </c>
      <c r="R1760" s="2">
        <v>45862</v>
      </c>
      <c r="S1760" t="s">
        <v>16</v>
      </c>
      <c r="T1760" t="s">
        <v>80</v>
      </c>
      <c r="U1760" t="s">
        <v>6389</v>
      </c>
      <c r="W1760" t="s">
        <v>6346</v>
      </c>
      <c r="X1760">
        <v>78</v>
      </c>
      <c r="Y1760" t="s">
        <v>80</v>
      </c>
      <c r="Z1760">
        <v>249</v>
      </c>
    </row>
    <row r="1761" spans="1:26" x14ac:dyDescent="0.3">
      <c r="A1761">
        <v>1760</v>
      </c>
      <c r="B1761" t="s">
        <v>3794</v>
      </c>
      <c r="C1761" t="s">
        <v>11</v>
      </c>
      <c r="D1761" t="s">
        <v>35</v>
      </c>
      <c r="E1761" t="s">
        <v>128</v>
      </c>
      <c r="F1761" t="s">
        <v>6377</v>
      </c>
      <c r="G1761" t="s">
        <v>6374</v>
      </c>
      <c r="H1761" t="s">
        <v>6396</v>
      </c>
      <c r="I1761" t="s">
        <v>6385</v>
      </c>
      <c r="J1761">
        <f>AVERAGE(ai_job_market[[#This Row],[min_salary]],ai_job_market[[#This Row],[max_salary]])</f>
        <v>174160.5</v>
      </c>
      <c r="K1761"/>
      <c r="L1761" t="s">
        <v>22</v>
      </c>
      <c r="M1761" t="s">
        <v>37</v>
      </c>
      <c r="N1761" t="s">
        <v>6120</v>
      </c>
      <c r="O1761" t="s">
        <v>4547</v>
      </c>
      <c r="P1761">
        <v>126539</v>
      </c>
      <c r="Q1761">
        <v>221782</v>
      </c>
      <c r="R1761" s="2">
        <v>45657</v>
      </c>
      <c r="S1761" t="s">
        <v>69</v>
      </c>
      <c r="T1761" t="s">
        <v>90</v>
      </c>
      <c r="U1761" t="s">
        <v>6384</v>
      </c>
      <c r="V1761" t="s">
        <v>6388</v>
      </c>
      <c r="W1761" t="s">
        <v>128</v>
      </c>
      <c r="X1761">
        <v>92</v>
      </c>
      <c r="Y1761" t="s">
        <v>90</v>
      </c>
      <c r="Z1761">
        <v>259</v>
      </c>
    </row>
    <row r="1762" spans="1:26" x14ac:dyDescent="0.3">
      <c r="A1762">
        <v>1761</v>
      </c>
      <c r="B1762" t="s">
        <v>3797</v>
      </c>
      <c r="C1762" t="s">
        <v>34</v>
      </c>
      <c r="D1762" t="s">
        <v>35</v>
      </c>
      <c r="E1762" t="s">
        <v>77</v>
      </c>
      <c r="F1762" t="s">
        <v>6381</v>
      </c>
      <c r="G1762" t="s">
        <v>6377</v>
      </c>
      <c r="H1762" t="s">
        <v>6386</v>
      </c>
      <c r="J1762">
        <f>AVERAGE(ai_job_market[[#This Row],[min_salary]],ai_job_market[[#This Row],[max_salary]])</f>
        <v>174468</v>
      </c>
      <c r="K1762"/>
      <c r="L1762" t="s">
        <v>22</v>
      </c>
      <c r="M1762" t="s">
        <v>51</v>
      </c>
      <c r="N1762" t="s">
        <v>6121</v>
      </c>
      <c r="O1762" t="s">
        <v>4490</v>
      </c>
      <c r="P1762">
        <v>148786</v>
      </c>
      <c r="Q1762">
        <v>200150</v>
      </c>
      <c r="R1762" s="2">
        <v>45632</v>
      </c>
      <c r="S1762" t="s">
        <v>69</v>
      </c>
      <c r="T1762" t="s">
        <v>52</v>
      </c>
      <c r="U1762" t="s">
        <v>6383</v>
      </c>
      <c r="V1762" t="s">
        <v>6375</v>
      </c>
      <c r="W1762" t="s">
        <v>77</v>
      </c>
      <c r="X1762">
        <v>111</v>
      </c>
      <c r="Y1762" t="s">
        <v>52</v>
      </c>
      <c r="Z1762">
        <v>238</v>
      </c>
    </row>
    <row r="1763" spans="1:26" x14ac:dyDescent="0.3">
      <c r="A1763">
        <v>1762</v>
      </c>
      <c r="B1763" t="s">
        <v>3800</v>
      </c>
      <c r="C1763" t="s">
        <v>34</v>
      </c>
      <c r="D1763" t="s">
        <v>54</v>
      </c>
      <c r="E1763" t="s">
        <v>80</v>
      </c>
      <c r="F1763" t="s">
        <v>6376</v>
      </c>
      <c r="G1763" t="s">
        <v>6392</v>
      </c>
      <c r="H1763" t="s">
        <v>6394</v>
      </c>
      <c r="I1763" t="s">
        <v>6381</v>
      </c>
      <c r="J1763">
        <f>AVERAGE(ai_job_market[[#This Row],[min_salary]],ai_job_market[[#This Row],[max_salary]])</f>
        <v>156236.5</v>
      </c>
      <c r="K1763" t="s">
        <v>6379</v>
      </c>
      <c r="L1763" t="s">
        <v>27</v>
      </c>
      <c r="M1763" t="s">
        <v>42</v>
      </c>
      <c r="N1763" t="s">
        <v>6122</v>
      </c>
      <c r="O1763" t="s">
        <v>4281</v>
      </c>
      <c r="P1763">
        <v>119811</v>
      </c>
      <c r="Q1763">
        <v>192662</v>
      </c>
      <c r="R1763" s="2">
        <v>45517</v>
      </c>
      <c r="S1763" t="s">
        <v>16</v>
      </c>
      <c r="T1763" t="s">
        <v>101</v>
      </c>
      <c r="U1763" t="s">
        <v>6375</v>
      </c>
      <c r="W1763" t="s">
        <v>80</v>
      </c>
      <c r="X1763">
        <v>95</v>
      </c>
      <c r="Y1763" t="s">
        <v>101</v>
      </c>
      <c r="Z1763">
        <v>255</v>
      </c>
    </row>
    <row r="1764" spans="1:26" x14ac:dyDescent="0.3">
      <c r="A1764">
        <v>1763</v>
      </c>
      <c r="B1764" t="s">
        <v>3802</v>
      </c>
      <c r="C1764" t="s">
        <v>72</v>
      </c>
      <c r="D1764" t="s">
        <v>25</v>
      </c>
      <c r="E1764" t="s">
        <v>6344</v>
      </c>
      <c r="F1764" t="s">
        <v>6377</v>
      </c>
      <c r="G1764" t="s">
        <v>6392</v>
      </c>
      <c r="H1764" t="s">
        <v>6384</v>
      </c>
      <c r="J1764">
        <f>AVERAGE(ai_job_market[[#This Row],[min_salary]],ai_job_market[[#This Row],[max_salary]])</f>
        <v>90035</v>
      </c>
      <c r="K1764"/>
      <c r="L1764" t="s">
        <v>27</v>
      </c>
      <c r="M1764" t="s">
        <v>37</v>
      </c>
      <c r="N1764" t="s">
        <v>6123</v>
      </c>
      <c r="O1764" t="s">
        <v>4643</v>
      </c>
      <c r="P1764">
        <v>81526</v>
      </c>
      <c r="Q1764">
        <v>98544</v>
      </c>
      <c r="R1764" s="2">
        <v>45294</v>
      </c>
      <c r="S1764" t="s">
        <v>16</v>
      </c>
      <c r="T1764" t="s">
        <v>70</v>
      </c>
      <c r="W1764" t="s">
        <v>6344</v>
      </c>
      <c r="X1764">
        <v>104</v>
      </c>
      <c r="Y1764" t="s">
        <v>70</v>
      </c>
      <c r="Z1764">
        <v>268</v>
      </c>
    </row>
    <row r="1765" spans="1:26" x14ac:dyDescent="0.3">
      <c r="A1765">
        <v>1764</v>
      </c>
      <c r="B1765" t="s">
        <v>3804</v>
      </c>
      <c r="C1765" t="s">
        <v>11</v>
      </c>
      <c r="D1765" t="s">
        <v>30</v>
      </c>
      <c r="E1765" t="s">
        <v>80</v>
      </c>
      <c r="F1765" t="s">
        <v>6375</v>
      </c>
      <c r="G1765" t="s">
        <v>6382</v>
      </c>
      <c r="H1765" t="s">
        <v>6396</v>
      </c>
      <c r="I1765" t="s">
        <v>6376</v>
      </c>
      <c r="J1765">
        <f>AVERAGE(ai_job_market[[#This Row],[min_salary]],ai_job_market[[#This Row],[max_salary]])</f>
        <v>129986.5</v>
      </c>
      <c r="K1765" t="s">
        <v>6389</v>
      </c>
      <c r="L1765" t="s">
        <v>22</v>
      </c>
      <c r="M1765" t="s">
        <v>37</v>
      </c>
      <c r="N1765" t="s">
        <v>6124</v>
      </c>
      <c r="O1765" t="s">
        <v>4309</v>
      </c>
      <c r="P1765">
        <v>121033</v>
      </c>
      <c r="Q1765">
        <v>138940</v>
      </c>
      <c r="R1765" s="2">
        <v>45785</v>
      </c>
      <c r="S1765" t="s">
        <v>69</v>
      </c>
      <c r="T1765" t="s">
        <v>90</v>
      </c>
      <c r="U1765" t="s">
        <v>6383</v>
      </c>
      <c r="W1765" t="s">
        <v>80</v>
      </c>
      <c r="X1765">
        <v>95</v>
      </c>
      <c r="Y1765" t="s">
        <v>90</v>
      </c>
      <c r="Z1765">
        <v>259</v>
      </c>
    </row>
    <row r="1766" spans="1:26" x14ac:dyDescent="0.3">
      <c r="A1766">
        <v>1765</v>
      </c>
      <c r="B1766" t="s">
        <v>3806</v>
      </c>
      <c r="C1766" t="s">
        <v>49</v>
      </c>
      <c r="D1766" t="s">
        <v>12</v>
      </c>
      <c r="E1766" t="s">
        <v>6356</v>
      </c>
      <c r="F1766" t="s">
        <v>6390</v>
      </c>
      <c r="G1766" t="s">
        <v>6377</v>
      </c>
      <c r="H1766" t="s">
        <v>6397</v>
      </c>
      <c r="I1766" t="s">
        <v>6387</v>
      </c>
      <c r="J1766">
        <f>AVERAGE(ai_job_market[[#This Row],[min_salary]],ai_job_market[[#This Row],[max_salary]])</f>
        <v>84063</v>
      </c>
      <c r="K1766" t="s">
        <v>6385</v>
      </c>
      <c r="L1766" t="s">
        <v>14</v>
      </c>
      <c r="M1766" t="s">
        <v>51</v>
      </c>
      <c r="N1766" t="s">
        <v>6125</v>
      </c>
      <c r="O1766" t="s">
        <v>4437</v>
      </c>
      <c r="P1766">
        <v>72934</v>
      </c>
      <c r="Q1766">
        <v>95192</v>
      </c>
      <c r="R1766" s="2">
        <v>45502</v>
      </c>
      <c r="S1766" t="s">
        <v>69</v>
      </c>
      <c r="T1766" t="s">
        <v>128</v>
      </c>
      <c r="W1766" t="s">
        <v>6356</v>
      </c>
      <c r="X1766">
        <v>86</v>
      </c>
      <c r="Y1766" t="s">
        <v>128</v>
      </c>
      <c r="Z1766">
        <v>233</v>
      </c>
    </row>
    <row r="1767" spans="1:26" x14ac:dyDescent="0.3">
      <c r="A1767">
        <v>1766</v>
      </c>
      <c r="B1767" t="s">
        <v>3808</v>
      </c>
      <c r="C1767" t="s">
        <v>19</v>
      </c>
      <c r="D1767" t="s">
        <v>25</v>
      </c>
      <c r="E1767" t="s">
        <v>6348</v>
      </c>
      <c r="F1767" t="s">
        <v>6378</v>
      </c>
      <c r="G1767" t="s">
        <v>6375</v>
      </c>
      <c r="H1767" t="s">
        <v>6380</v>
      </c>
      <c r="I1767" t="s">
        <v>6391</v>
      </c>
      <c r="J1767">
        <f>AVERAGE(ai_job_market[[#This Row],[min_salary]],ai_job_market[[#This Row],[max_salary]])</f>
        <v>53651</v>
      </c>
      <c r="K1767"/>
      <c r="L1767" t="s">
        <v>14</v>
      </c>
      <c r="M1767" t="s">
        <v>15</v>
      </c>
      <c r="N1767" t="s">
        <v>6126</v>
      </c>
      <c r="O1767" t="s">
        <v>4727</v>
      </c>
      <c r="P1767">
        <v>44039</v>
      </c>
      <c r="Q1767">
        <v>63263</v>
      </c>
      <c r="R1767" s="2">
        <v>45323</v>
      </c>
      <c r="S1767" t="s">
        <v>69</v>
      </c>
      <c r="T1767" t="s">
        <v>77</v>
      </c>
      <c r="U1767" t="s">
        <v>6384</v>
      </c>
      <c r="V1767" t="s">
        <v>6383</v>
      </c>
      <c r="W1767" t="s">
        <v>6348</v>
      </c>
      <c r="X1767">
        <v>78</v>
      </c>
      <c r="Y1767" t="s">
        <v>77</v>
      </c>
      <c r="Z1767">
        <v>251</v>
      </c>
    </row>
    <row r="1768" spans="1:26" x14ac:dyDescent="0.3">
      <c r="A1768">
        <v>1767</v>
      </c>
      <c r="B1768" t="s">
        <v>3811</v>
      </c>
      <c r="C1768" t="s">
        <v>11</v>
      </c>
      <c r="D1768" t="s">
        <v>30</v>
      </c>
      <c r="E1768" t="s">
        <v>6349</v>
      </c>
      <c r="F1768" t="s">
        <v>6391</v>
      </c>
      <c r="G1768" t="s">
        <v>6396</v>
      </c>
      <c r="H1768" t="s">
        <v>6389</v>
      </c>
      <c r="I1768" t="s">
        <v>6378</v>
      </c>
      <c r="J1768">
        <f>AVERAGE(ai_job_market[[#This Row],[min_salary]],ai_job_market[[#This Row],[max_salary]])</f>
        <v>86111</v>
      </c>
      <c r="K1768" t="s">
        <v>6393</v>
      </c>
      <c r="L1768" t="s">
        <v>27</v>
      </c>
      <c r="M1768" t="s">
        <v>42</v>
      </c>
      <c r="N1768" t="s">
        <v>6127</v>
      </c>
      <c r="O1768" t="s">
        <v>4416</v>
      </c>
      <c r="P1768">
        <v>46970</v>
      </c>
      <c r="Q1768">
        <v>125252</v>
      </c>
      <c r="R1768" s="2">
        <v>45730</v>
      </c>
      <c r="S1768" t="s">
        <v>14</v>
      </c>
      <c r="T1768" t="s">
        <v>101</v>
      </c>
      <c r="U1768" t="s">
        <v>6388</v>
      </c>
      <c r="V1768" t="s">
        <v>6378</v>
      </c>
      <c r="W1768" t="s">
        <v>6349</v>
      </c>
      <c r="X1768">
        <v>96</v>
      </c>
      <c r="Y1768" t="s">
        <v>101</v>
      </c>
      <c r="Z1768">
        <v>255</v>
      </c>
    </row>
    <row r="1769" spans="1:26" x14ac:dyDescent="0.3">
      <c r="A1769">
        <v>1768</v>
      </c>
      <c r="B1769" t="s">
        <v>3813</v>
      </c>
      <c r="C1769" t="s">
        <v>19</v>
      </c>
      <c r="D1769" t="s">
        <v>20</v>
      </c>
      <c r="E1769" t="s">
        <v>80</v>
      </c>
      <c r="F1769" t="s">
        <v>6381</v>
      </c>
      <c r="G1769" t="s">
        <v>6394</v>
      </c>
      <c r="H1769" t="s">
        <v>6392</v>
      </c>
      <c r="I1769" t="s">
        <v>6376</v>
      </c>
      <c r="J1769">
        <f>AVERAGE(ai_job_market[[#This Row],[min_salary]],ai_job_market[[#This Row],[max_salary]])</f>
        <v>158957.5</v>
      </c>
      <c r="K1769" t="s">
        <v>6393</v>
      </c>
      <c r="L1769" t="s">
        <v>27</v>
      </c>
      <c r="M1769" t="s">
        <v>37</v>
      </c>
      <c r="N1769" t="s">
        <v>6128</v>
      </c>
      <c r="O1769" t="s">
        <v>4701</v>
      </c>
      <c r="P1769">
        <v>118416</v>
      </c>
      <c r="Q1769">
        <v>199499</v>
      </c>
      <c r="R1769" s="2">
        <v>45562</v>
      </c>
      <c r="S1769" t="s">
        <v>14</v>
      </c>
      <c r="T1769" t="s">
        <v>52</v>
      </c>
      <c r="U1769" t="s">
        <v>6376</v>
      </c>
      <c r="V1769" t="s">
        <v>6375</v>
      </c>
      <c r="W1769" t="s">
        <v>80</v>
      </c>
      <c r="X1769">
        <v>95</v>
      </c>
      <c r="Y1769" t="s">
        <v>52</v>
      </c>
      <c r="Z1769">
        <v>238</v>
      </c>
    </row>
    <row r="1770" spans="1:26" x14ac:dyDescent="0.3">
      <c r="A1770">
        <v>1769</v>
      </c>
      <c r="B1770" t="s">
        <v>3815</v>
      </c>
      <c r="C1770" t="s">
        <v>40</v>
      </c>
      <c r="D1770" t="s">
        <v>30</v>
      </c>
      <c r="E1770" t="s">
        <v>6359</v>
      </c>
      <c r="F1770" t="s">
        <v>6382</v>
      </c>
      <c r="G1770" t="s">
        <v>6386</v>
      </c>
      <c r="H1770" t="s">
        <v>6375</v>
      </c>
      <c r="I1770" t="s">
        <v>6391</v>
      </c>
      <c r="J1770">
        <f>AVERAGE(ai_job_market[[#This Row],[min_salary]],ai_job_market[[#This Row],[max_salary]])</f>
        <v>74666.5</v>
      </c>
      <c r="K1770" t="s">
        <v>6385</v>
      </c>
      <c r="L1770" t="s">
        <v>27</v>
      </c>
      <c r="M1770" t="s">
        <v>42</v>
      </c>
      <c r="N1770" t="s">
        <v>6129</v>
      </c>
      <c r="O1770" t="s">
        <v>4624</v>
      </c>
      <c r="P1770">
        <v>65640</v>
      </c>
      <c r="Q1770">
        <v>83693</v>
      </c>
      <c r="R1770" s="2">
        <v>45484</v>
      </c>
      <c r="S1770" t="s">
        <v>69</v>
      </c>
      <c r="T1770" t="s">
        <v>70</v>
      </c>
      <c r="U1770" t="s">
        <v>6388</v>
      </c>
      <c r="V1770" t="s">
        <v>6383</v>
      </c>
      <c r="W1770" t="s">
        <v>6359</v>
      </c>
      <c r="X1770">
        <v>104</v>
      </c>
      <c r="Y1770" t="s">
        <v>70</v>
      </c>
      <c r="Z1770">
        <v>268</v>
      </c>
    </row>
    <row r="1771" spans="1:26" x14ac:dyDescent="0.3">
      <c r="A1771">
        <v>1770</v>
      </c>
      <c r="B1771" t="s">
        <v>3817</v>
      </c>
      <c r="C1771" t="s">
        <v>49</v>
      </c>
      <c r="D1771" t="s">
        <v>20</v>
      </c>
      <c r="E1771" t="s">
        <v>6351</v>
      </c>
      <c r="F1771" t="s">
        <v>6378</v>
      </c>
      <c r="G1771" t="s">
        <v>6377</v>
      </c>
      <c r="H1771" t="s">
        <v>6382</v>
      </c>
      <c r="I1771" t="s">
        <v>6381</v>
      </c>
      <c r="J1771">
        <f>AVERAGE(ai_job_market[[#This Row],[min_salary]],ai_job_market[[#This Row],[max_salary]])</f>
        <v>88081.5</v>
      </c>
      <c r="K1771"/>
      <c r="L1771" t="s">
        <v>14</v>
      </c>
      <c r="M1771" t="s">
        <v>37</v>
      </c>
      <c r="N1771" t="s">
        <v>6130</v>
      </c>
      <c r="O1771" t="s">
        <v>4399</v>
      </c>
      <c r="P1771">
        <v>81177</v>
      </c>
      <c r="Q1771">
        <v>94986</v>
      </c>
      <c r="R1771" s="2">
        <v>45443</v>
      </c>
      <c r="S1771" t="s">
        <v>16</v>
      </c>
      <c r="T1771" t="s">
        <v>101</v>
      </c>
      <c r="U1771" t="s">
        <v>6379</v>
      </c>
      <c r="W1771" t="s">
        <v>6351</v>
      </c>
      <c r="X1771">
        <v>89</v>
      </c>
      <c r="Y1771" t="s">
        <v>101</v>
      </c>
      <c r="Z1771">
        <v>255</v>
      </c>
    </row>
    <row r="1772" spans="1:26" x14ac:dyDescent="0.3">
      <c r="A1772">
        <v>1771</v>
      </c>
      <c r="B1772" t="s">
        <v>3819</v>
      </c>
      <c r="C1772" t="s">
        <v>19</v>
      </c>
      <c r="D1772" t="s">
        <v>20</v>
      </c>
      <c r="E1772" t="s">
        <v>6344</v>
      </c>
      <c r="F1772" t="s">
        <v>6397</v>
      </c>
      <c r="G1772" t="s">
        <v>6396</v>
      </c>
      <c r="J1772">
        <f>AVERAGE(ai_job_market[[#This Row],[min_salary]],ai_job_market[[#This Row],[max_salary]])</f>
        <v>149789.5</v>
      </c>
      <c r="K1772"/>
      <c r="L1772" t="s">
        <v>14</v>
      </c>
      <c r="M1772" t="s">
        <v>51</v>
      </c>
      <c r="N1772" t="s">
        <v>6131</v>
      </c>
      <c r="O1772" t="s">
        <v>4637</v>
      </c>
      <c r="P1772">
        <v>103151</v>
      </c>
      <c r="Q1772">
        <v>196428</v>
      </c>
      <c r="R1772" s="2">
        <v>45642</v>
      </c>
      <c r="S1772" t="s">
        <v>69</v>
      </c>
      <c r="T1772" t="s">
        <v>52</v>
      </c>
      <c r="U1772" t="s">
        <v>6389</v>
      </c>
      <c r="V1772" t="s">
        <v>6379</v>
      </c>
      <c r="W1772" t="s">
        <v>6344</v>
      </c>
      <c r="X1772">
        <v>104</v>
      </c>
      <c r="Y1772" t="s">
        <v>52</v>
      </c>
      <c r="Z1772">
        <v>238</v>
      </c>
    </row>
    <row r="1773" spans="1:26" x14ac:dyDescent="0.3">
      <c r="A1773">
        <v>1772</v>
      </c>
      <c r="B1773" t="s">
        <v>3821</v>
      </c>
      <c r="C1773" t="s">
        <v>45</v>
      </c>
      <c r="D1773" t="s">
        <v>20</v>
      </c>
      <c r="E1773" t="s">
        <v>6351</v>
      </c>
      <c r="F1773" t="s">
        <v>6379</v>
      </c>
      <c r="G1773" t="s">
        <v>6391</v>
      </c>
      <c r="H1773" t="s">
        <v>6385</v>
      </c>
      <c r="J1773">
        <f>AVERAGE(ai_job_market[[#This Row],[min_salary]],ai_job_market[[#This Row],[max_salary]])</f>
        <v>147926.5</v>
      </c>
      <c r="K1773"/>
      <c r="L1773" t="s">
        <v>27</v>
      </c>
      <c r="M1773" t="s">
        <v>51</v>
      </c>
      <c r="N1773" t="s">
        <v>6132</v>
      </c>
      <c r="O1773" t="s">
        <v>4329</v>
      </c>
      <c r="P1773">
        <v>117069</v>
      </c>
      <c r="Q1773">
        <v>178784</v>
      </c>
      <c r="R1773" s="2">
        <v>45268</v>
      </c>
      <c r="S1773" t="s">
        <v>69</v>
      </c>
      <c r="T1773" t="s">
        <v>80</v>
      </c>
      <c r="U1773" t="s">
        <v>6378</v>
      </c>
      <c r="V1773" t="s">
        <v>6375</v>
      </c>
      <c r="W1773" t="s">
        <v>6351</v>
      </c>
      <c r="X1773">
        <v>89</v>
      </c>
      <c r="Y1773" t="s">
        <v>80</v>
      </c>
      <c r="Z1773">
        <v>249</v>
      </c>
    </row>
    <row r="1774" spans="1:26" x14ac:dyDescent="0.3">
      <c r="A1774">
        <v>1773</v>
      </c>
      <c r="B1774" t="s">
        <v>3823</v>
      </c>
      <c r="C1774" t="s">
        <v>49</v>
      </c>
      <c r="D1774" t="s">
        <v>12</v>
      </c>
      <c r="E1774" t="s">
        <v>6354</v>
      </c>
      <c r="F1774" t="s">
        <v>6393</v>
      </c>
      <c r="G1774" t="s">
        <v>6377</v>
      </c>
      <c r="H1774" t="s">
        <v>6378</v>
      </c>
      <c r="J1774">
        <f>AVERAGE(ai_job_market[[#This Row],[min_salary]],ai_job_market[[#This Row],[max_salary]])</f>
        <v>134407.5</v>
      </c>
      <c r="K1774"/>
      <c r="L1774" t="s">
        <v>27</v>
      </c>
      <c r="M1774" t="s">
        <v>15</v>
      </c>
      <c r="N1774" t="s">
        <v>6133</v>
      </c>
      <c r="O1774" t="s">
        <v>4815</v>
      </c>
      <c r="P1774">
        <v>113673</v>
      </c>
      <c r="Q1774">
        <v>155142</v>
      </c>
      <c r="R1774" s="2">
        <v>45441</v>
      </c>
      <c r="S1774" t="s">
        <v>16</v>
      </c>
      <c r="T1774" t="s">
        <v>52</v>
      </c>
      <c r="U1774" t="s">
        <v>6384</v>
      </c>
      <c r="V1774" t="s">
        <v>6378</v>
      </c>
      <c r="W1774" t="s">
        <v>6354</v>
      </c>
      <c r="X1774">
        <v>75</v>
      </c>
      <c r="Y1774" t="s">
        <v>52</v>
      </c>
      <c r="Z1774">
        <v>238</v>
      </c>
    </row>
    <row r="1775" spans="1:26" x14ac:dyDescent="0.3">
      <c r="A1775">
        <v>1774</v>
      </c>
      <c r="B1775" t="s">
        <v>3825</v>
      </c>
      <c r="C1775" t="s">
        <v>40</v>
      </c>
      <c r="D1775" t="s">
        <v>67</v>
      </c>
      <c r="E1775" t="s">
        <v>90</v>
      </c>
      <c r="F1775" t="s">
        <v>6397</v>
      </c>
      <c r="G1775" t="s">
        <v>6396</v>
      </c>
      <c r="H1775" t="s">
        <v>6394</v>
      </c>
      <c r="I1775" t="s">
        <v>6379</v>
      </c>
      <c r="J1775" s="6">
        <f>AVERAGE(ai_job_market[[#This Row],[min_salary]],ai_job_market[[#This Row],[max_salary]])</f>
        <v>152291</v>
      </c>
      <c r="K1775" t="s">
        <v>6395</v>
      </c>
      <c r="L1775" t="s">
        <v>22</v>
      </c>
      <c r="M1775" t="s">
        <v>15</v>
      </c>
      <c r="N1775" t="s">
        <v>4389</v>
      </c>
      <c r="O1775" t="s">
        <v>4678</v>
      </c>
      <c r="P1775" s="5">
        <v>138749</v>
      </c>
      <c r="Q1775" s="5">
        <v>165833</v>
      </c>
      <c r="R1775" s="2">
        <v>45678</v>
      </c>
      <c r="S1775" t="s">
        <v>69</v>
      </c>
      <c r="T1775" t="s">
        <v>90</v>
      </c>
      <c r="U1775" t="s">
        <v>6379</v>
      </c>
      <c r="V1775" t="s">
        <v>6375</v>
      </c>
      <c r="W1775" t="s">
        <v>90</v>
      </c>
      <c r="X1775">
        <v>80</v>
      </c>
      <c r="Y1775" t="s">
        <v>90</v>
      </c>
      <c r="Z1775">
        <v>259</v>
      </c>
    </row>
    <row r="1776" spans="1:26" x14ac:dyDescent="0.3">
      <c r="A1776">
        <v>1775</v>
      </c>
      <c r="B1776" t="s">
        <v>3827</v>
      </c>
      <c r="C1776" t="s">
        <v>34</v>
      </c>
      <c r="D1776" t="s">
        <v>25</v>
      </c>
      <c r="E1776" t="s">
        <v>6347</v>
      </c>
      <c r="F1776" t="s">
        <v>6377</v>
      </c>
      <c r="G1776" t="s">
        <v>6395</v>
      </c>
      <c r="H1776" t="s">
        <v>6389</v>
      </c>
      <c r="J1776">
        <f>AVERAGE(ai_job_market[[#This Row],[min_salary]],ai_job_market[[#This Row],[max_salary]])</f>
        <v>132937.5</v>
      </c>
      <c r="K1776"/>
      <c r="L1776" t="s">
        <v>27</v>
      </c>
      <c r="M1776" t="s">
        <v>42</v>
      </c>
      <c r="N1776" t="s">
        <v>6134</v>
      </c>
      <c r="O1776" t="s">
        <v>4307</v>
      </c>
      <c r="P1776">
        <v>100978</v>
      </c>
      <c r="Q1776">
        <v>164897</v>
      </c>
      <c r="R1776" s="2">
        <v>45666</v>
      </c>
      <c r="S1776" t="s">
        <v>16</v>
      </c>
      <c r="T1776" t="s">
        <v>52</v>
      </c>
      <c r="U1776" t="s">
        <v>6384</v>
      </c>
      <c r="V1776" t="s">
        <v>6375</v>
      </c>
      <c r="W1776" t="s">
        <v>6347</v>
      </c>
      <c r="X1776">
        <v>94</v>
      </c>
      <c r="Y1776" t="s">
        <v>52</v>
      </c>
      <c r="Z1776">
        <v>238</v>
      </c>
    </row>
    <row r="1777" spans="1:26" x14ac:dyDescent="0.3">
      <c r="A1777">
        <v>1776</v>
      </c>
      <c r="B1777" t="s">
        <v>3829</v>
      </c>
      <c r="C1777" t="s">
        <v>45</v>
      </c>
      <c r="D1777" t="s">
        <v>35</v>
      </c>
      <c r="E1777" t="s">
        <v>6346</v>
      </c>
      <c r="F1777" t="s">
        <v>6386</v>
      </c>
      <c r="G1777" t="s">
        <v>6390</v>
      </c>
      <c r="H1777" t="s">
        <v>6391</v>
      </c>
      <c r="J1777">
        <f>AVERAGE(ai_job_market[[#This Row],[min_salary]],ai_job_market[[#This Row],[max_salary]])</f>
        <v>146936.5</v>
      </c>
      <c r="K1777"/>
      <c r="L1777" t="s">
        <v>22</v>
      </c>
      <c r="M1777" t="s">
        <v>15</v>
      </c>
      <c r="N1777" t="s">
        <v>6135</v>
      </c>
      <c r="O1777" t="s">
        <v>4478</v>
      </c>
      <c r="P1777">
        <v>108286</v>
      </c>
      <c r="Q1777">
        <v>185587</v>
      </c>
      <c r="R1777" s="2">
        <v>45855</v>
      </c>
      <c r="S1777" t="s">
        <v>14</v>
      </c>
      <c r="T1777" t="s">
        <v>157</v>
      </c>
      <c r="W1777" t="s">
        <v>6346</v>
      </c>
      <c r="X1777">
        <v>78</v>
      </c>
      <c r="Y1777" t="s">
        <v>157</v>
      </c>
      <c r="Z1777">
        <v>247</v>
      </c>
    </row>
    <row r="1778" spans="1:26" x14ac:dyDescent="0.3">
      <c r="A1778">
        <v>1777</v>
      </c>
      <c r="B1778" t="s">
        <v>3831</v>
      </c>
      <c r="C1778" t="s">
        <v>34</v>
      </c>
      <c r="D1778" t="s">
        <v>135</v>
      </c>
      <c r="E1778" t="s">
        <v>6346</v>
      </c>
      <c r="F1778" t="s">
        <v>6396</v>
      </c>
      <c r="G1778" t="s">
        <v>6375</v>
      </c>
      <c r="J1778">
        <f>AVERAGE(ai_job_market[[#This Row],[min_salary]],ai_job_market[[#This Row],[max_salary]])</f>
        <v>91028.5</v>
      </c>
      <c r="K1778"/>
      <c r="L1778" t="s">
        <v>27</v>
      </c>
      <c r="M1778" t="s">
        <v>51</v>
      </c>
      <c r="N1778" t="s">
        <v>6136</v>
      </c>
      <c r="O1778" t="s">
        <v>4385</v>
      </c>
      <c r="P1778">
        <v>56159</v>
      </c>
      <c r="Q1778">
        <v>125898</v>
      </c>
      <c r="R1778" s="2">
        <v>45371</v>
      </c>
      <c r="S1778" t="s">
        <v>69</v>
      </c>
      <c r="T1778" t="s">
        <v>101</v>
      </c>
      <c r="U1778" t="s">
        <v>6375</v>
      </c>
      <c r="W1778" t="s">
        <v>6346</v>
      </c>
      <c r="X1778">
        <v>78</v>
      </c>
      <c r="Y1778" t="s">
        <v>101</v>
      </c>
      <c r="Z1778">
        <v>255</v>
      </c>
    </row>
    <row r="1779" spans="1:26" x14ac:dyDescent="0.3">
      <c r="A1779">
        <v>1778</v>
      </c>
      <c r="B1779" t="s">
        <v>1299</v>
      </c>
      <c r="C1779" t="s">
        <v>72</v>
      </c>
      <c r="D1779" t="s">
        <v>35</v>
      </c>
      <c r="E1779" t="s">
        <v>6344</v>
      </c>
      <c r="F1779" t="s">
        <v>6379</v>
      </c>
      <c r="G1779" t="s">
        <v>6378</v>
      </c>
      <c r="J1779">
        <f>AVERAGE(ai_job_market[[#This Row],[min_salary]],ai_job_market[[#This Row],[max_salary]])</f>
        <v>104207</v>
      </c>
      <c r="K1779"/>
      <c r="L1779" t="s">
        <v>27</v>
      </c>
      <c r="M1779" t="s">
        <v>37</v>
      </c>
      <c r="N1779" t="s">
        <v>6137</v>
      </c>
      <c r="O1779" t="s">
        <v>4626</v>
      </c>
      <c r="P1779">
        <v>77346</v>
      </c>
      <c r="Q1779">
        <v>131068</v>
      </c>
      <c r="R1779" s="2">
        <v>45571</v>
      </c>
      <c r="S1779" t="s">
        <v>69</v>
      </c>
      <c r="T1779" t="s">
        <v>70</v>
      </c>
      <c r="U1779" t="s">
        <v>6378</v>
      </c>
      <c r="W1779" t="s">
        <v>6344</v>
      </c>
      <c r="X1779">
        <v>104</v>
      </c>
      <c r="Y1779" t="s">
        <v>70</v>
      </c>
      <c r="Z1779">
        <v>268</v>
      </c>
    </row>
    <row r="1780" spans="1:26" x14ac:dyDescent="0.3">
      <c r="A1780">
        <v>1779</v>
      </c>
      <c r="B1780" t="s">
        <v>3834</v>
      </c>
      <c r="C1780" t="s">
        <v>34</v>
      </c>
      <c r="D1780" t="s">
        <v>20</v>
      </c>
      <c r="E1780" t="s">
        <v>6354</v>
      </c>
      <c r="F1780" t="s">
        <v>6391</v>
      </c>
      <c r="G1780" t="s">
        <v>6389</v>
      </c>
      <c r="H1780" t="s">
        <v>6394</v>
      </c>
      <c r="J1780">
        <f>AVERAGE(ai_job_market[[#This Row],[min_salary]],ai_job_market[[#This Row],[max_salary]])</f>
        <v>81514</v>
      </c>
      <c r="K1780"/>
      <c r="L1780" t="s">
        <v>14</v>
      </c>
      <c r="M1780" t="s">
        <v>42</v>
      </c>
      <c r="N1780" t="s">
        <v>5023</v>
      </c>
      <c r="O1780" t="s">
        <v>4973</v>
      </c>
      <c r="P1780">
        <v>50711</v>
      </c>
      <c r="Q1780">
        <v>112317</v>
      </c>
      <c r="R1780" s="2">
        <v>45347</v>
      </c>
      <c r="S1780" t="s">
        <v>14</v>
      </c>
      <c r="T1780" t="s">
        <v>77</v>
      </c>
      <c r="U1780" t="s">
        <v>6376</v>
      </c>
      <c r="W1780" t="s">
        <v>6354</v>
      </c>
      <c r="X1780">
        <v>75</v>
      </c>
      <c r="Y1780" t="s">
        <v>77</v>
      </c>
      <c r="Z1780">
        <v>251</v>
      </c>
    </row>
    <row r="1781" spans="1:26" x14ac:dyDescent="0.3">
      <c r="A1781">
        <v>1780</v>
      </c>
      <c r="B1781" t="s">
        <v>3836</v>
      </c>
      <c r="C1781" t="s">
        <v>40</v>
      </c>
      <c r="D1781" t="s">
        <v>30</v>
      </c>
      <c r="E1781" t="s">
        <v>128</v>
      </c>
      <c r="F1781" t="s">
        <v>6374</v>
      </c>
      <c r="G1781" t="s">
        <v>6396</v>
      </c>
      <c r="J1781">
        <f>AVERAGE(ai_job_market[[#This Row],[min_salary]],ai_job_market[[#This Row],[max_salary]])</f>
        <v>114216.5</v>
      </c>
      <c r="K1781"/>
      <c r="L1781" t="s">
        <v>27</v>
      </c>
      <c r="M1781" t="s">
        <v>42</v>
      </c>
      <c r="N1781" t="s">
        <v>6138</v>
      </c>
      <c r="O1781" t="s">
        <v>4907</v>
      </c>
      <c r="P1781">
        <v>105715</v>
      </c>
      <c r="Q1781">
        <v>122718</v>
      </c>
      <c r="R1781" s="2">
        <v>45314</v>
      </c>
      <c r="S1781" t="s">
        <v>16</v>
      </c>
      <c r="T1781" t="s">
        <v>90</v>
      </c>
      <c r="U1781" t="s">
        <v>6376</v>
      </c>
      <c r="W1781" t="s">
        <v>128</v>
      </c>
      <c r="X1781">
        <v>92</v>
      </c>
      <c r="Y1781" t="s">
        <v>90</v>
      </c>
      <c r="Z1781">
        <v>259</v>
      </c>
    </row>
    <row r="1782" spans="1:26" x14ac:dyDescent="0.3">
      <c r="A1782">
        <v>1781</v>
      </c>
      <c r="B1782" t="s">
        <v>3838</v>
      </c>
      <c r="C1782" t="s">
        <v>72</v>
      </c>
      <c r="D1782" t="s">
        <v>35</v>
      </c>
      <c r="E1782" t="s">
        <v>6346</v>
      </c>
      <c r="F1782" t="s">
        <v>6396</v>
      </c>
      <c r="G1782" t="s">
        <v>6376</v>
      </c>
      <c r="H1782" t="s">
        <v>6391</v>
      </c>
      <c r="J1782">
        <f>AVERAGE(ai_job_market[[#This Row],[min_salary]],ai_job_market[[#This Row],[max_salary]])</f>
        <v>90210</v>
      </c>
      <c r="K1782"/>
      <c r="L1782" t="s">
        <v>14</v>
      </c>
      <c r="M1782" t="s">
        <v>15</v>
      </c>
      <c r="N1782" t="s">
        <v>6139</v>
      </c>
      <c r="O1782" t="s">
        <v>5098</v>
      </c>
      <c r="P1782">
        <v>65347</v>
      </c>
      <c r="Q1782">
        <v>115073</v>
      </c>
      <c r="R1782" s="2">
        <v>45420</v>
      </c>
      <c r="S1782" t="s">
        <v>69</v>
      </c>
      <c r="T1782" t="s">
        <v>101</v>
      </c>
      <c r="U1782" t="s">
        <v>6379</v>
      </c>
      <c r="V1782" t="s">
        <v>6389</v>
      </c>
      <c r="W1782" t="s">
        <v>6346</v>
      </c>
      <c r="X1782">
        <v>78</v>
      </c>
      <c r="Y1782" t="s">
        <v>101</v>
      </c>
      <c r="Z1782">
        <v>255</v>
      </c>
    </row>
    <row r="1783" spans="1:26" x14ac:dyDescent="0.3">
      <c r="A1783">
        <v>1782</v>
      </c>
      <c r="B1783" t="s">
        <v>3841</v>
      </c>
      <c r="C1783" t="s">
        <v>49</v>
      </c>
      <c r="D1783" t="s">
        <v>67</v>
      </c>
      <c r="E1783" t="s">
        <v>6346</v>
      </c>
      <c r="F1783" t="s">
        <v>6375</v>
      </c>
      <c r="G1783" t="s">
        <v>6394</v>
      </c>
      <c r="H1783" t="s">
        <v>6378</v>
      </c>
      <c r="I1783" t="s">
        <v>6396</v>
      </c>
      <c r="J1783">
        <f>AVERAGE(ai_job_market[[#This Row],[min_salary]],ai_job_market[[#This Row],[max_salary]])</f>
        <v>158657.5</v>
      </c>
      <c r="K1783" t="s">
        <v>6382</v>
      </c>
      <c r="L1783" t="s">
        <v>22</v>
      </c>
      <c r="M1783" t="s">
        <v>51</v>
      </c>
      <c r="N1783" t="s">
        <v>6140</v>
      </c>
      <c r="O1783" t="s">
        <v>4714</v>
      </c>
      <c r="P1783">
        <v>119430</v>
      </c>
      <c r="Q1783">
        <v>197885</v>
      </c>
      <c r="R1783" s="2">
        <v>45779</v>
      </c>
      <c r="S1783" t="s">
        <v>14</v>
      </c>
      <c r="T1783" t="s">
        <v>90</v>
      </c>
      <c r="U1783" t="s">
        <v>6384</v>
      </c>
      <c r="W1783" t="s">
        <v>6346</v>
      </c>
      <c r="X1783">
        <v>78</v>
      </c>
      <c r="Y1783" t="s">
        <v>90</v>
      </c>
      <c r="Z1783">
        <v>259</v>
      </c>
    </row>
    <row r="1784" spans="1:26" x14ac:dyDescent="0.3">
      <c r="A1784">
        <v>1783</v>
      </c>
      <c r="B1784" t="s">
        <v>3843</v>
      </c>
      <c r="C1784" t="s">
        <v>11</v>
      </c>
      <c r="D1784" t="s">
        <v>35</v>
      </c>
      <c r="E1784" t="s">
        <v>6347</v>
      </c>
      <c r="F1784" t="s">
        <v>6374</v>
      </c>
      <c r="G1784" t="s">
        <v>6393</v>
      </c>
      <c r="J1784" s="6">
        <f>AVERAGE(ai_job_market[[#This Row],[min_salary]],ai_job_market[[#This Row],[max_salary]])</f>
        <v>185408</v>
      </c>
      <c r="K1784"/>
      <c r="L1784" t="s">
        <v>14</v>
      </c>
      <c r="M1784" t="s">
        <v>42</v>
      </c>
      <c r="N1784" t="s">
        <v>6141</v>
      </c>
      <c r="O1784" t="s">
        <v>4490</v>
      </c>
      <c r="P1784" s="5">
        <v>148872</v>
      </c>
      <c r="Q1784" s="5">
        <v>221944</v>
      </c>
      <c r="R1784" s="2">
        <v>45266</v>
      </c>
      <c r="S1784" t="s">
        <v>14</v>
      </c>
      <c r="T1784" t="s">
        <v>128</v>
      </c>
      <c r="W1784" t="s">
        <v>6347</v>
      </c>
      <c r="X1784">
        <v>94</v>
      </c>
      <c r="Y1784" t="s">
        <v>128</v>
      </c>
      <c r="Z1784">
        <v>233</v>
      </c>
    </row>
    <row r="1785" spans="1:26" x14ac:dyDescent="0.3">
      <c r="A1785">
        <v>1784</v>
      </c>
      <c r="B1785" t="s">
        <v>3845</v>
      </c>
      <c r="C1785" t="s">
        <v>40</v>
      </c>
      <c r="D1785" t="s">
        <v>25</v>
      </c>
      <c r="E1785" t="s">
        <v>6355</v>
      </c>
      <c r="F1785" t="s">
        <v>6392</v>
      </c>
      <c r="G1785" t="s">
        <v>6384</v>
      </c>
      <c r="J1785" s="6">
        <f>AVERAGE(ai_job_market[[#This Row],[min_salary]],ai_job_market[[#This Row],[max_salary]])</f>
        <v>87962.5</v>
      </c>
      <c r="K1785"/>
      <c r="L1785" t="s">
        <v>14</v>
      </c>
      <c r="M1785" t="s">
        <v>42</v>
      </c>
      <c r="N1785" t="s">
        <v>6142</v>
      </c>
      <c r="O1785" t="s">
        <v>4391</v>
      </c>
      <c r="P1785" s="5">
        <v>59784</v>
      </c>
      <c r="Q1785" s="5">
        <v>116141</v>
      </c>
      <c r="R1785" s="2">
        <v>45567</v>
      </c>
      <c r="S1785" t="s">
        <v>14</v>
      </c>
      <c r="T1785" t="s">
        <v>77</v>
      </c>
      <c r="W1785" t="s">
        <v>6355</v>
      </c>
      <c r="X1785">
        <v>90</v>
      </c>
      <c r="Y1785" t="s">
        <v>77</v>
      </c>
      <c r="Z1785">
        <v>251</v>
      </c>
    </row>
    <row r="1786" spans="1:26" x14ac:dyDescent="0.3">
      <c r="A1786">
        <v>1785</v>
      </c>
      <c r="B1786" t="s">
        <v>3847</v>
      </c>
      <c r="C1786" t="s">
        <v>11</v>
      </c>
      <c r="D1786" t="s">
        <v>30</v>
      </c>
      <c r="E1786" t="s">
        <v>70</v>
      </c>
      <c r="F1786" t="s">
        <v>6380</v>
      </c>
      <c r="G1786" t="s">
        <v>6384</v>
      </c>
      <c r="H1786" t="s">
        <v>6374</v>
      </c>
      <c r="I1786" t="s">
        <v>6396</v>
      </c>
      <c r="J1786">
        <f>AVERAGE(ai_job_market[[#This Row],[min_salary]],ai_job_market[[#This Row],[max_salary]])</f>
        <v>126044.5</v>
      </c>
      <c r="K1786" t="s">
        <v>6376</v>
      </c>
      <c r="L1786" t="s">
        <v>22</v>
      </c>
      <c r="M1786" t="s">
        <v>15</v>
      </c>
      <c r="N1786" t="s">
        <v>6143</v>
      </c>
      <c r="O1786" t="s">
        <v>4490</v>
      </c>
      <c r="P1786">
        <v>100903</v>
      </c>
      <c r="Q1786">
        <v>151186</v>
      </c>
      <c r="R1786" s="2">
        <v>45654</v>
      </c>
      <c r="S1786" t="s">
        <v>69</v>
      </c>
      <c r="T1786" t="s">
        <v>90</v>
      </c>
      <c r="W1786" t="s">
        <v>70</v>
      </c>
      <c r="X1786">
        <v>100</v>
      </c>
      <c r="Y1786" t="s">
        <v>90</v>
      </c>
      <c r="Z1786">
        <v>259</v>
      </c>
    </row>
    <row r="1787" spans="1:26" x14ac:dyDescent="0.3">
      <c r="A1787">
        <v>1786</v>
      </c>
      <c r="B1787" t="s">
        <v>3849</v>
      </c>
      <c r="C1787" t="s">
        <v>49</v>
      </c>
      <c r="D1787" t="s">
        <v>20</v>
      </c>
      <c r="E1787" t="s">
        <v>6355</v>
      </c>
      <c r="F1787" t="s">
        <v>6395</v>
      </c>
      <c r="G1787" t="s">
        <v>6392</v>
      </c>
      <c r="J1787">
        <f>AVERAGE(ai_job_market[[#This Row],[min_salary]],ai_job_market[[#This Row],[max_salary]])</f>
        <v>106946</v>
      </c>
      <c r="K1787"/>
      <c r="L1787" t="s">
        <v>14</v>
      </c>
      <c r="M1787" t="s">
        <v>15</v>
      </c>
      <c r="N1787" t="s">
        <v>6144</v>
      </c>
      <c r="O1787" t="s">
        <v>4743</v>
      </c>
      <c r="P1787">
        <v>101903</v>
      </c>
      <c r="Q1787">
        <v>111989</v>
      </c>
      <c r="R1787" s="2">
        <v>45290</v>
      </c>
      <c r="S1787" t="s">
        <v>16</v>
      </c>
      <c r="T1787" t="s">
        <v>52</v>
      </c>
      <c r="U1787" t="s">
        <v>6389</v>
      </c>
      <c r="V1787" t="s">
        <v>6384</v>
      </c>
      <c r="W1787" t="s">
        <v>6355</v>
      </c>
      <c r="X1787">
        <v>90</v>
      </c>
      <c r="Y1787" t="s">
        <v>52</v>
      </c>
      <c r="Z1787">
        <v>238</v>
      </c>
    </row>
    <row r="1788" spans="1:26" x14ac:dyDescent="0.3">
      <c r="A1788">
        <v>1787</v>
      </c>
      <c r="B1788" t="s">
        <v>3851</v>
      </c>
      <c r="C1788" t="s">
        <v>72</v>
      </c>
      <c r="D1788" t="s">
        <v>54</v>
      </c>
      <c r="E1788" t="s">
        <v>6355</v>
      </c>
      <c r="F1788" t="s">
        <v>6374</v>
      </c>
      <c r="G1788" t="s">
        <v>6392</v>
      </c>
      <c r="H1788" t="s">
        <v>6376</v>
      </c>
      <c r="J1788" s="6">
        <f>AVERAGE(ai_job_market[[#This Row],[min_salary]],ai_job_market[[#This Row],[max_salary]])</f>
        <v>187984.5</v>
      </c>
      <c r="K1788"/>
      <c r="L1788" t="s">
        <v>27</v>
      </c>
      <c r="M1788" t="s">
        <v>37</v>
      </c>
      <c r="N1788" t="s">
        <v>6145</v>
      </c>
      <c r="O1788" t="s">
        <v>4547</v>
      </c>
      <c r="P1788" s="5">
        <v>147468</v>
      </c>
      <c r="Q1788" s="5">
        <v>228501</v>
      </c>
      <c r="R1788" s="2">
        <v>45242</v>
      </c>
      <c r="S1788" t="s">
        <v>14</v>
      </c>
      <c r="T1788" t="s">
        <v>52</v>
      </c>
      <c r="U1788" t="s">
        <v>6389</v>
      </c>
      <c r="V1788" t="s">
        <v>6378</v>
      </c>
      <c r="W1788" t="s">
        <v>6355</v>
      </c>
      <c r="X1788">
        <v>90</v>
      </c>
      <c r="Y1788" t="s">
        <v>52</v>
      </c>
      <c r="Z1788">
        <v>238</v>
      </c>
    </row>
    <row r="1789" spans="1:26" x14ac:dyDescent="0.3">
      <c r="A1789">
        <v>1788</v>
      </c>
      <c r="B1789" t="s">
        <v>3853</v>
      </c>
      <c r="C1789" t="s">
        <v>34</v>
      </c>
      <c r="D1789" t="s">
        <v>20</v>
      </c>
      <c r="E1789" t="s">
        <v>6345</v>
      </c>
      <c r="F1789" t="s">
        <v>6395</v>
      </c>
      <c r="G1789" t="s">
        <v>6377</v>
      </c>
      <c r="H1789" t="s">
        <v>6386</v>
      </c>
      <c r="I1789" t="s">
        <v>6380</v>
      </c>
      <c r="J1789">
        <f>AVERAGE(ai_job_market[[#This Row],[min_salary]],ai_job_market[[#This Row],[max_salary]])</f>
        <v>170937</v>
      </c>
      <c r="K1789" t="s">
        <v>6385</v>
      </c>
      <c r="L1789" t="s">
        <v>22</v>
      </c>
      <c r="M1789" t="s">
        <v>15</v>
      </c>
      <c r="N1789" t="s">
        <v>6146</v>
      </c>
      <c r="O1789" t="s">
        <v>4578</v>
      </c>
      <c r="P1789">
        <v>127777</v>
      </c>
      <c r="Q1789">
        <v>214097</v>
      </c>
      <c r="R1789" s="2">
        <v>45406</v>
      </c>
      <c r="S1789" t="s">
        <v>14</v>
      </c>
      <c r="T1789" t="s">
        <v>101</v>
      </c>
      <c r="U1789" t="s">
        <v>6384</v>
      </c>
      <c r="W1789" t="s">
        <v>6345</v>
      </c>
      <c r="X1789">
        <v>101</v>
      </c>
      <c r="Y1789" t="s">
        <v>101</v>
      </c>
      <c r="Z1789">
        <v>255</v>
      </c>
    </row>
    <row r="1790" spans="1:26" x14ac:dyDescent="0.3">
      <c r="A1790">
        <v>1789</v>
      </c>
      <c r="B1790" t="s">
        <v>3855</v>
      </c>
      <c r="C1790" t="s">
        <v>34</v>
      </c>
      <c r="D1790" t="s">
        <v>135</v>
      </c>
      <c r="E1790" t="s">
        <v>70</v>
      </c>
      <c r="F1790" t="s">
        <v>6395</v>
      </c>
      <c r="G1790" t="s">
        <v>6391</v>
      </c>
      <c r="J1790">
        <f>AVERAGE(ai_job_market[[#This Row],[min_salary]],ai_job_market[[#This Row],[max_salary]])</f>
        <v>85968</v>
      </c>
      <c r="K1790"/>
      <c r="L1790" t="s">
        <v>22</v>
      </c>
      <c r="M1790" t="s">
        <v>42</v>
      </c>
      <c r="N1790" t="s">
        <v>6147</v>
      </c>
      <c r="O1790" t="s">
        <v>4701</v>
      </c>
      <c r="P1790">
        <v>75757</v>
      </c>
      <c r="Q1790">
        <v>96179</v>
      </c>
      <c r="R1790" s="2">
        <v>45507</v>
      </c>
      <c r="S1790" t="s">
        <v>69</v>
      </c>
      <c r="T1790" t="s">
        <v>101</v>
      </c>
      <c r="U1790" t="s">
        <v>6379</v>
      </c>
      <c r="W1790" t="s">
        <v>70</v>
      </c>
      <c r="X1790">
        <v>100</v>
      </c>
      <c r="Y1790" t="s">
        <v>101</v>
      </c>
      <c r="Z1790">
        <v>255</v>
      </c>
    </row>
    <row r="1791" spans="1:26" x14ac:dyDescent="0.3">
      <c r="A1791">
        <v>1790</v>
      </c>
      <c r="B1791" t="s">
        <v>3857</v>
      </c>
      <c r="C1791" t="s">
        <v>19</v>
      </c>
      <c r="D1791" t="s">
        <v>135</v>
      </c>
      <c r="E1791" t="s">
        <v>6356</v>
      </c>
      <c r="F1791" t="s">
        <v>6376</v>
      </c>
      <c r="G1791" t="s">
        <v>6378</v>
      </c>
      <c r="H1791" t="s">
        <v>6380</v>
      </c>
      <c r="I1791" t="s">
        <v>6391</v>
      </c>
      <c r="J1791">
        <f>AVERAGE(ai_job_market[[#This Row],[min_salary]],ai_job_market[[#This Row],[max_salary]])</f>
        <v>152660</v>
      </c>
      <c r="K1791"/>
      <c r="L1791" t="s">
        <v>14</v>
      </c>
      <c r="M1791" t="s">
        <v>51</v>
      </c>
      <c r="N1791" t="s">
        <v>6148</v>
      </c>
      <c r="O1791" t="s">
        <v>4382</v>
      </c>
      <c r="P1791">
        <v>114948</v>
      </c>
      <c r="Q1791">
        <v>190372</v>
      </c>
      <c r="R1791" s="2">
        <v>45573</v>
      </c>
      <c r="S1791" t="s">
        <v>16</v>
      </c>
      <c r="T1791" t="s">
        <v>52</v>
      </c>
      <c r="U1791" t="s">
        <v>6379</v>
      </c>
      <c r="W1791" t="s">
        <v>6356</v>
      </c>
      <c r="X1791">
        <v>86</v>
      </c>
      <c r="Y1791" t="s">
        <v>52</v>
      </c>
      <c r="Z1791">
        <v>238</v>
      </c>
    </row>
    <row r="1792" spans="1:26" x14ac:dyDescent="0.3">
      <c r="A1792">
        <v>1791</v>
      </c>
      <c r="B1792" t="s">
        <v>3859</v>
      </c>
      <c r="C1792" t="s">
        <v>11</v>
      </c>
      <c r="D1792" t="s">
        <v>12</v>
      </c>
      <c r="E1792" t="s">
        <v>6356</v>
      </c>
      <c r="F1792" t="s">
        <v>6381</v>
      </c>
      <c r="G1792" t="s">
        <v>6391</v>
      </c>
      <c r="J1792">
        <f>AVERAGE(ai_job_market[[#This Row],[min_salary]],ai_job_market[[#This Row],[max_salary]])</f>
        <v>86950</v>
      </c>
      <c r="K1792"/>
      <c r="L1792" t="s">
        <v>27</v>
      </c>
      <c r="M1792" t="s">
        <v>42</v>
      </c>
      <c r="N1792" t="s">
        <v>6149</v>
      </c>
      <c r="O1792" t="s">
        <v>4488</v>
      </c>
      <c r="P1792">
        <v>77386</v>
      </c>
      <c r="Q1792">
        <v>96514</v>
      </c>
      <c r="R1792" s="2">
        <v>45726</v>
      </c>
      <c r="S1792" t="s">
        <v>14</v>
      </c>
      <c r="T1792" t="s">
        <v>90</v>
      </c>
      <c r="W1792" t="s">
        <v>6356</v>
      </c>
      <c r="X1792">
        <v>86</v>
      </c>
      <c r="Y1792" t="s">
        <v>90</v>
      </c>
      <c r="Z1792">
        <v>259</v>
      </c>
    </row>
    <row r="1793" spans="1:26" x14ac:dyDescent="0.3">
      <c r="A1793">
        <v>1792</v>
      </c>
      <c r="B1793" t="s">
        <v>3861</v>
      </c>
      <c r="C1793" t="s">
        <v>34</v>
      </c>
      <c r="D1793" t="s">
        <v>12</v>
      </c>
      <c r="E1793" t="s">
        <v>6359</v>
      </c>
      <c r="F1793" t="s">
        <v>6396</v>
      </c>
      <c r="G1793" t="s">
        <v>6391</v>
      </c>
      <c r="H1793" t="s">
        <v>6382</v>
      </c>
      <c r="I1793" t="s">
        <v>6377</v>
      </c>
      <c r="J1793">
        <f>AVERAGE(ai_job_market[[#This Row],[min_salary]],ai_job_market[[#This Row],[max_salary]])</f>
        <v>94447.5</v>
      </c>
      <c r="K1793" t="s">
        <v>6389</v>
      </c>
      <c r="L1793" t="s">
        <v>22</v>
      </c>
      <c r="M1793" t="s">
        <v>37</v>
      </c>
      <c r="N1793" t="s">
        <v>6150</v>
      </c>
      <c r="O1793" t="s">
        <v>4526</v>
      </c>
      <c r="P1793">
        <v>69451</v>
      </c>
      <c r="Q1793">
        <v>119444</v>
      </c>
      <c r="R1793" s="2">
        <v>45253</v>
      </c>
      <c r="S1793" t="s">
        <v>14</v>
      </c>
      <c r="T1793" t="s">
        <v>70</v>
      </c>
      <c r="U1793" t="s">
        <v>6383</v>
      </c>
      <c r="V1793" t="s">
        <v>6376</v>
      </c>
      <c r="W1793" t="s">
        <v>6359</v>
      </c>
      <c r="X1793">
        <v>104</v>
      </c>
      <c r="Y1793" t="s">
        <v>70</v>
      </c>
      <c r="Z1793">
        <v>268</v>
      </c>
    </row>
    <row r="1794" spans="1:26" x14ac:dyDescent="0.3">
      <c r="A1794">
        <v>1793</v>
      </c>
      <c r="B1794" t="s">
        <v>3863</v>
      </c>
      <c r="C1794" t="s">
        <v>72</v>
      </c>
      <c r="D1794" t="s">
        <v>35</v>
      </c>
      <c r="E1794" t="s">
        <v>6353</v>
      </c>
      <c r="F1794" t="s">
        <v>6375</v>
      </c>
      <c r="G1794" t="s">
        <v>6378</v>
      </c>
      <c r="H1794" t="s">
        <v>6382</v>
      </c>
      <c r="I1794" t="s">
        <v>6374</v>
      </c>
      <c r="J1794">
        <f>AVERAGE(ai_job_market[[#This Row],[min_salary]],ai_job_market[[#This Row],[max_salary]])</f>
        <v>110923</v>
      </c>
      <c r="K1794" t="s">
        <v>6376</v>
      </c>
      <c r="L1794" t="s">
        <v>22</v>
      </c>
      <c r="M1794" t="s">
        <v>37</v>
      </c>
      <c r="N1794" t="s">
        <v>6151</v>
      </c>
      <c r="O1794" t="s">
        <v>4599</v>
      </c>
      <c r="P1794">
        <v>104456</v>
      </c>
      <c r="Q1794">
        <v>117390</v>
      </c>
      <c r="R1794" s="2">
        <v>45350</v>
      </c>
      <c r="S1794" t="s">
        <v>14</v>
      </c>
      <c r="T1794" t="s">
        <v>101</v>
      </c>
      <c r="W1794" t="s">
        <v>6353</v>
      </c>
      <c r="X1794">
        <v>86</v>
      </c>
      <c r="Y1794" t="s">
        <v>101</v>
      </c>
      <c r="Z1794">
        <v>255</v>
      </c>
    </row>
    <row r="1795" spans="1:26" x14ac:dyDescent="0.3">
      <c r="A1795">
        <v>1794</v>
      </c>
      <c r="B1795" t="s">
        <v>3865</v>
      </c>
      <c r="C1795" t="s">
        <v>72</v>
      </c>
      <c r="D1795" t="s">
        <v>135</v>
      </c>
      <c r="E1795" t="s">
        <v>77</v>
      </c>
      <c r="F1795" t="s">
        <v>6394</v>
      </c>
      <c r="G1795" t="s">
        <v>6375</v>
      </c>
      <c r="H1795" t="s">
        <v>6393</v>
      </c>
      <c r="I1795" t="s">
        <v>6392</v>
      </c>
      <c r="J1795">
        <f>AVERAGE(ai_job_market[[#This Row],[min_salary]],ai_job_market[[#This Row],[max_salary]])</f>
        <v>173363</v>
      </c>
      <c r="K1795"/>
      <c r="L1795" t="s">
        <v>22</v>
      </c>
      <c r="M1795" t="s">
        <v>42</v>
      </c>
      <c r="N1795" t="s">
        <v>6152</v>
      </c>
      <c r="O1795" t="s">
        <v>4797</v>
      </c>
      <c r="P1795">
        <v>148709</v>
      </c>
      <c r="Q1795">
        <v>198017</v>
      </c>
      <c r="R1795" s="2">
        <v>45899</v>
      </c>
      <c r="S1795" t="s">
        <v>14</v>
      </c>
      <c r="T1795" t="s">
        <v>70</v>
      </c>
      <c r="U1795" t="s">
        <v>6389</v>
      </c>
      <c r="W1795" t="s">
        <v>77</v>
      </c>
      <c r="X1795">
        <v>111</v>
      </c>
      <c r="Y1795" t="s">
        <v>70</v>
      </c>
      <c r="Z1795">
        <v>268</v>
      </c>
    </row>
    <row r="1796" spans="1:26" x14ac:dyDescent="0.3">
      <c r="A1796">
        <v>1795</v>
      </c>
      <c r="B1796" t="s">
        <v>3867</v>
      </c>
      <c r="C1796" t="s">
        <v>19</v>
      </c>
      <c r="D1796" t="s">
        <v>30</v>
      </c>
      <c r="E1796" t="s">
        <v>6351</v>
      </c>
      <c r="F1796" t="s">
        <v>6394</v>
      </c>
      <c r="G1796" t="s">
        <v>6392</v>
      </c>
      <c r="J1796">
        <f>AVERAGE(ai_job_market[[#This Row],[min_salary]],ai_job_market[[#This Row],[max_salary]])</f>
        <v>111300.5</v>
      </c>
      <c r="K1796"/>
      <c r="L1796" t="s">
        <v>14</v>
      </c>
      <c r="M1796" t="s">
        <v>51</v>
      </c>
      <c r="N1796" t="s">
        <v>6153</v>
      </c>
      <c r="O1796" t="s">
        <v>4476</v>
      </c>
      <c r="P1796">
        <v>103079</v>
      </c>
      <c r="Q1796">
        <v>119522</v>
      </c>
      <c r="R1796" s="2">
        <v>45785</v>
      </c>
      <c r="S1796" t="s">
        <v>16</v>
      </c>
      <c r="T1796" t="s">
        <v>101</v>
      </c>
      <c r="U1796" t="s">
        <v>6378</v>
      </c>
      <c r="W1796" t="s">
        <v>6351</v>
      </c>
      <c r="X1796">
        <v>89</v>
      </c>
      <c r="Y1796" t="s">
        <v>101</v>
      </c>
      <c r="Z1796">
        <v>255</v>
      </c>
    </row>
    <row r="1797" spans="1:26" x14ac:dyDescent="0.3">
      <c r="A1797">
        <v>1796</v>
      </c>
      <c r="B1797" t="s">
        <v>3869</v>
      </c>
      <c r="C1797" t="s">
        <v>34</v>
      </c>
      <c r="D1797" t="s">
        <v>35</v>
      </c>
      <c r="E1797" t="s">
        <v>6356</v>
      </c>
      <c r="F1797" t="s">
        <v>6378</v>
      </c>
      <c r="G1797" t="s">
        <v>6376</v>
      </c>
      <c r="H1797" t="s">
        <v>6386</v>
      </c>
      <c r="I1797" t="s">
        <v>6374</v>
      </c>
      <c r="J1797">
        <f>AVERAGE(ai_job_market[[#This Row],[min_salary]],ai_job_market[[#This Row],[max_salary]])</f>
        <v>132820.5</v>
      </c>
      <c r="K1797" t="s">
        <v>6389</v>
      </c>
      <c r="L1797" t="s">
        <v>27</v>
      </c>
      <c r="M1797" t="s">
        <v>15</v>
      </c>
      <c r="N1797" t="s">
        <v>4636</v>
      </c>
      <c r="O1797" t="s">
        <v>4514</v>
      </c>
      <c r="P1797">
        <v>113860</v>
      </c>
      <c r="Q1797">
        <v>151781</v>
      </c>
      <c r="R1797" s="2">
        <v>45499</v>
      </c>
      <c r="S1797" t="s">
        <v>16</v>
      </c>
      <c r="T1797" t="s">
        <v>128</v>
      </c>
      <c r="U1797" t="s">
        <v>6376</v>
      </c>
      <c r="W1797" t="s">
        <v>6356</v>
      </c>
      <c r="X1797">
        <v>86</v>
      </c>
      <c r="Y1797" t="s">
        <v>128</v>
      </c>
      <c r="Z1797">
        <v>233</v>
      </c>
    </row>
    <row r="1798" spans="1:26" x14ac:dyDescent="0.3">
      <c r="A1798">
        <v>1797</v>
      </c>
      <c r="B1798" t="s">
        <v>3871</v>
      </c>
      <c r="C1798" t="s">
        <v>40</v>
      </c>
      <c r="D1798" t="s">
        <v>12</v>
      </c>
      <c r="E1798" t="s">
        <v>6353</v>
      </c>
      <c r="F1798" t="s">
        <v>6374</v>
      </c>
      <c r="G1798" t="s">
        <v>6389</v>
      </c>
      <c r="H1798" t="s">
        <v>6385</v>
      </c>
      <c r="I1798" t="s">
        <v>6376</v>
      </c>
      <c r="J1798">
        <f>AVERAGE(ai_job_market[[#This Row],[min_salary]],ai_job_market[[#This Row],[max_salary]])</f>
        <v>89036.5</v>
      </c>
      <c r="K1798"/>
      <c r="L1798" t="s">
        <v>22</v>
      </c>
      <c r="M1798" t="s">
        <v>15</v>
      </c>
      <c r="N1798" t="s">
        <v>6154</v>
      </c>
      <c r="O1798" t="s">
        <v>4648</v>
      </c>
      <c r="P1798">
        <v>74945</v>
      </c>
      <c r="Q1798">
        <v>103128</v>
      </c>
      <c r="R1798" s="2">
        <v>45640</v>
      </c>
      <c r="S1798" t="s">
        <v>69</v>
      </c>
      <c r="T1798" t="s">
        <v>128</v>
      </c>
      <c r="U1798" t="s">
        <v>6378</v>
      </c>
      <c r="W1798" t="s">
        <v>6353</v>
      </c>
      <c r="X1798">
        <v>86</v>
      </c>
      <c r="Y1798" t="s">
        <v>128</v>
      </c>
      <c r="Z1798">
        <v>233</v>
      </c>
    </row>
    <row r="1799" spans="1:26" x14ac:dyDescent="0.3">
      <c r="A1799">
        <v>1798</v>
      </c>
      <c r="B1799" t="s">
        <v>3873</v>
      </c>
      <c r="C1799" t="s">
        <v>11</v>
      </c>
      <c r="D1799" t="s">
        <v>54</v>
      </c>
      <c r="E1799" t="s">
        <v>6350</v>
      </c>
      <c r="F1799" t="s">
        <v>6392</v>
      </c>
      <c r="G1799" t="s">
        <v>6394</v>
      </c>
      <c r="H1799" t="s">
        <v>6379</v>
      </c>
      <c r="I1799" t="s">
        <v>6381</v>
      </c>
      <c r="J1799">
        <f>AVERAGE(ai_job_market[[#This Row],[min_salary]],ai_job_market[[#This Row],[max_salary]])</f>
        <v>136210.5</v>
      </c>
      <c r="K1799"/>
      <c r="L1799" t="s">
        <v>22</v>
      </c>
      <c r="M1799" t="s">
        <v>15</v>
      </c>
      <c r="N1799" t="s">
        <v>6155</v>
      </c>
      <c r="O1799" t="s">
        <v>4414</v>
      </c>
      <c r="P1799">
        <v>92486</v>
      </c>
      <c r="Q1799">
        <v>179935</v>
      </c>
      <c r="R1799" s="2">
        <v>45273</v>
      </c>
      <c r="S1799" t="s">
        <v>16</v>
      </c>
      <c r="T1799" t="s">
        <v>90</v>
      </c>
      <c r="U1799" t="s">
        <v>6376</v>
      </c>
      <c r="V1799" t="s">
        <v>6383</v>
      </c>
      <c r="W1799" t="s">
        <v>6350</v>
      </c>
      <c r="X1799">
        <v>84</v>
      </c>
      <c r="Y1799" t="s">
        <v>90</v>
      </c>
      <c r="Z1799">
        <v>259</v>
      </c>
    </row>
    <row r="1800" spans="1:26" x14ac:dyDescent="0.3">
      <c r="A1800">
        <v>1799</v>
      </c>
      <c r="B1800" t="s">
        <v>3876</v>
      </c>
      <c r="C1800" t="s">
        <v>11</v>
      </c>
      <c r="D1800" t="s">
        <v>35</v>
      </c>
      <c r="E1800" t="s">
        <v>6358</v>
      </c>
      <c r="F1800" t="s">
        <v>6397</v>
      </c>
      <c r="G1800" t="s">
        <v>6377</v>
      </c>
      <c r="H1800" t="s">
        <v>6389</v>
      </c>
      <c r="J1800">
        <f>AVERAGE(ai_job_market[[#This Row],[min_salary]],ai_job_market[[#This Row],[max_salary]])</f>
        <v>145244</v>
      </c>
      <c r="K1800"/>
      <c r="L1800" t="s">
        <v>27</v>
      </c>
      <c r="M1800" t="s">
        <v>42</v>
      </c>
      <c r="N1800" t="s">
        <v>6156</v>
      </c>
      <c r="O1800" t="s">
        <v>4564</v>
      </c>
      <c r="P1800">
        <v>106180</v>
      </c>
      <c r="Q1800">
        <v>184308</v>
      </c>
      <c r="R1800" s="2">
        <v>45558</v>
      </c>
      <c r="S1800" t="s">
        <v>16</v>
      </c>
      <c r="T1800" t="s">
        <v>52</v>
      </c>
      <c r="U1800" t="s">
        <v>6383</v>
      </c>
      <c r="V1800" t="s">
        <v>6389</v>
      </c>
      <c r="W1800" t="s">
        <v>6358</v>
      </c>
      <c r="X1800">
        <v>96</v>
      </c>
      <c r="Y1800" t="s">
        <v>52</v>
      </c>
      <c r="Z1800">
        <v>238</v>
      </c>
    </row>
    <row r="1801" spans="1:26" x14ac:dyDescent="0.3">
      <c r="A1801">
        <v>1800</v>
      </c>
      <c r="B1801" t="s">
        <v>3878</v>
      </c>
      <c r="C1801" t="s">
        <v>45</v>
      </c>
      <c r="D1801" t="s">
        <v>135</v>
      </c>
      <c r="E1801" t="s">
        <v>6356</v>
      </c>
      <c r="F1801" t="s">
        <v>6395</v>
      </c>
      <c r="G1801" t="s">
        <v>6386</v>
      </c>
      <c r="H1801" t="s">
        <v>6394</v>
      </c>
      <c r="I1801" t="s">
        <v>6380</v>
      </c>
      <c r="J1801">
        <f>AVERAGE(ai_job_market[[#This Row],[min_salary]],ai_job_market[[#This Row],[max_salary]])</f>
        <v>146527</v>
      </c>
      <c r="K1801" t="s">
        <v>6391</v>
      </c>
      <c r="L1801" t="s">
        <v>14</v>
      </c>
      <c r="M1801" t="s">
        <v>42</v>
      </c>
      <c r="N1801" t="s">
        <v>6157</v>
      </c>
      <c r="O1801" t="s">
        <v>4418</v>
      </c>
      <c r="P1801">
        <v>132233</v>
      </c>
      <c r="Q1801">
        <v>160821</v>
      </c>
      <c r="R1801" s="2">
        <v>45452</v>
      </c>
      <c r="S1801" t="s">
        <v>14</v>
      </c>
      <c r="T1801" t="s">
        <v>128</v>
      </c>
      <c r="U1801" t="s">
        <v>6376</v>
      </c>
      <c r="W1801" t="s">
        <v>6356</v>
      </c>
      <c r="X1801">
        <v>86</v>
      </c>
      <c r="Y1801" t="s">
        <v>128</v>
      </c>
      <c r="Z1801">
        <v>233</v>
      </c>
    </row>
    <row r="1802" spans="1:26" x14ac:dyDescent="0.3">
      <c r="A1802">
        <v>1801</v>
      </c>
      <c r="B1802" t="s">
        <v>3880</v>
      </c>
      <c r="C1802" t="s">
        <v>49</v>
      </c>
      <c r="D1802" t="s">
        <v>54</v>
      </c>
      <c r="E1802" t="s">
        <v>6358</v>
      </c>
      <c r="F1802" t="s">
        <v>6380</v>
      </c>
      <c r="G1802" t="s">
        <v>6375</v>
      </c>
      <c r="H1802" t="s">
        <v>6381</v>
      </c>
      <c r="I1802" t="s">
        <v>6396</v>
      </c>
      <c r="J1802" s="6">
        <f>AVERAGE(ai_job_market[[#This Row],[min_salary]],ai_job_market[[#This Row],[max_salary]])</f>
        <v>108522.5</v>
      </c>
      <c r="K1802" t="s">
        <v>6377</v>
      </c>
      <c r="L1802" t="s">
        <v>22</v>
      </c>
      <c r="M1802" t="s">
        <v>51</v>
      </c>
      <c r="N1802" t="s">
        <v>6158</v>
      </c>
      <c r="O1802" t="s">
        <v>4596</v>
      </c>
      <c r="P1802" s="5">
        <v>91241</v>
      </c>
      <c r="Q1802" s="5">
        <v>125804</v>
      </c>
      <c r="R1802" s="2">
        <v>45499</v>
      </c>
      <c r="S1802" t="s">
        <v>69</v>
      </c>
      <c r="T1802" t="s">
        <v>80</v>
      </c>
      <c r="U1802" t="s">
        <v>6389</v>
      </c>
      <c r="W1802" t="s">
        <v>6358</v>
      </c>
      <c r="X1802">
        <v>96</v>
      </c>
      <c r="Y1802" t="s">
        <v>80</v>
      </c>
      <c r="Z1802">
        <v>249</v>
      </c>
    </row>
    <row r="1803" spans="1:26" x14ac:dyDescent="0.3">
      <c r="A1803">
        <v>1802</v>
      </c>
      <c r="B1803" t="s">
        <v>3882</v>
      </c>
      <c r="C1803" t="s">
        <v>34</v>
      </c>
      <c r="D1803" t="s">
        <v>20</v>
      </c>
      <c r="E1803" t="s">
        <v>6350</v>
      </c>
      <c r="F1803" t="s">
        <v>6393</v>
      </c>
      <c r="G1803" t="s">
        <v>6384</v>
      </c>
      <c r="J1803">
        <f>AVERAGE(ai_job_market[[#This Row],[min_salary]],ai_job_market[[#This Row],[max_salary]])</f>
        <v>147768.5</v>
      </c>
      <c r="K1803"/>
      <c r="L1803" t="s">
        <v>22</v>
      </c>
      <c r="M1803" t="s">
        <v>15</v>
      </c>
      <c r="N1803" t="s">
        <v>5204</v>
      </c>
      <c r="O1803" t="s">
        <v>4490</v>
      </c>
      <c r="P1803">
        <v>110000</v>
      </c>
      <c r="Q1803">
        <v>185537</v>
      </c>
      <c r="R1803" s="2">
        <v>45409</v>
      </c>
      <c r="S1803" t="s">
        <v>69</v>
      </c>
      <c r="T1803" t="s">
        <v>128</v>
      </c>
      <c r="U1803" t="s">
        <v>6389</v>
      </c>
      <c r="W1803" t="s">
        <v>6350</v>
      </c>
      <c r="X1803">
        <v>84</v>
      </c>
      <c r="Y1803" t="s">
        <v>128</v>
      </c>
      <c r="Z1803">
        <v>233</v>
      </c>
    </row>
    <row r="1804" spans="1:26" x14ac:dyDescent="0.3">
      <c r="A1804">
        <v>1803</v>
      </c>
      <c r="B1804" t="s">
        <v>3884</v>
      </c>
      <c r="C1804" t="s">
        <v>49</v>
      </c>
      <c r="D1804" t="s">
        <v>54</v>
      </c>
      <c r="E1804" t="s">
        <v>6347</v>
      </c>
      <c r="F1804" t="s">
        <v>6396</v>
      </c>
      <c r="G1804" t="s">
        <v>6378</v>
      </c>
      <c r="H1804" t="s">
        <v>6375</v>
      </c>
      <c r="I1804" t="s">
        <v>6379</v>
      </c>
      <c r="J1804">
        <f>AVERAGE(ai_job_market[[#This Row],[min_salary]],ai_job_market[[#This Row],[max_salary]])</f>
        <v>72866</v>
      </c>
      <c r="K1804" t="s">
        <v>6377</v>
      </c>
      <c r="L1804" t="s">
        <v>14</v>
      </c>
      <c r="M1804" t="s">
        <v>51</v>
      </c>
      <c r="N1804" t="s">
        <v>5248</v>
      </c>
      <c r="O1804" t="s">
        <v>4526</v>
      </c>
      <c r="P1804">
        <v>52748</v>
      </c>
      <c r="Q1804">
        <v>92984</v>
      </c>
      <c r="R1804" s="2">
        <v>45586</v>
      </c>
      <c r="S1804" t="s">
        <v>14</v>
      </c>
      <c r="T1804" t="s">
        <v>52</v>
      </c>
      <c r="U1804" t="s">
        <v>6389</v>
      </c>
      <c r="V1804" t="s">
        <v>6376</v>
      </c>
      <c r="W1804" t="s">
        <v>6347</v>
      </c>
      <c r="X1804">
        <v>94</v>
      </c>
      <c r="Y1804" t="s">
        <v>52</v>
      </c>
      <c r="Z1804">
        <v>238</v>
      </c>
    </row>
    <row r="1805" spans="1:26" x14ac:dyDescent="0.3">
      <c r="A1805">
        <v>1804</v>
      </c>
      <c r="B1805" t="s">
        <v>3886</v>
      </c>
      <c r="C1805" t="s">
        <v>19</v>
      </c>
      <c r="D1805" t="s">
        <v>54</v>
      </c>
      <c r="E1805" t="s">
        <v>6353</v>
      </c>
      <c r="F1805" t="s">
        <v>6379</v>
      </c>
      <c r="G1805" t="s">
        <v>6393</v>
      </c>
      <c r="J1805">
        <f>AVERAGE(ai_job_market[[#This Row],[min_salary]],ai_job_market[[#This Row],[max_salary]])</f>
        <v>115746</v>
      </c>
      <c r="K1805"/>
      <c r="L1805" t="s">
        <v>27</v>
      </c>
      <c r="M1805" t="s">
        <v>42</v>
      </c>
      <c r="N1805" t="s">
        <v>6159</v>
      </c>
      <c r="O1805" t="s">
        <v>4469</v>
      </c>
      <c r="P1805">
        <v>96779</v>
      </c>
      <c r="Q1805">
        <v>134713</v>
      </c>
      <c r="R1805" s="2">
        <v>45526</v>
      </c>
      <c r="S1805" t="s">
        <v>14</v>
      </c>
      <c r="T1805" t="s">
        <v>70</v>
      </c>
      <c r="W1805" t="s">
        <v>6353</v>
      </c>
      <c r="X1805">
        <v>86</v>
      </c>
      <c r="Y1805" t="s">
        <v>70</v>
      </c>
      <c r="Z1805">
        <v>268</v>
      </c>
    </row>
    <row r="1806" spans="1:26" x14ac:dyDescent="0.3">
      <c r="A1806">
        <v>1805</v>
      </c>
      <c r="B1806" t="s">
        <v>3888</v>
      </c>
      <c r="C1806" t="s">
        <v>45</v>
      </c>
      <c r="D1806" t="s">
        <v>30</v>
      </c>
      <c r="E1806" t="s">
        <v>90</v>
      </c>
      <c r="F1806" t="s">
        <v>6396</v>
      </c>
      <c r="G1806" t="s">
        <v>6376</v>
      </c>
      <c r="H1806" t="s">
        <v>6374</v>
      </c>
      <c r="I1806" t="s">
        <v>6397</v>
      </c>
      <c r="J1806">
        <f>AVERAGE(ai_job_market[[#This Row],[min_salary]],ai_job_market[[#This Row],[max_salary]])</f>
        <v>148009.5</v>
      </c>
      <c r="K1806"/>
      <c r="L1806" t="s">
        <v>14</v>
      </c>
      <c r="M1806" t="s">
        <v>42</v>
      </c>
      <c r="N1806" t="s">
        <v>6160</v>
      </c>
      <c r="O1806" t="s">
        <v>4528</v>
      </c>
      <c r="P1806">
        <v>104125</v>
      </c>
      <c r="Q1806">
        <v>191894</v>
      </c>
      <c r="R1806" s="2">
        <v>45490</v>
      </c>
      <c r="S1806" t="s">
        <v>69</v>
      </c>
      <c r="T1806" t="s">
        <v>128</v>
      </c>
      <c r="W1806" t="s">
        <v>90</v>
      </c>
      <c r="X1806">
        <v>80</v>
      </c>
      <c r="Y1806" t="s">
        <v>128</v>
      </c>
      <c r="Z1806">
        <v>233</v>
      </c>
    </row>
    <row r="1807" spans="1:26" x14ac:dyDescent="0.3">
      <c r="A1807">
        <v>1806</v>
      </c>
      <c r="B1807" t="s">
        <v>3890</v>
      </c>
      <c r="C1807" t="s">
        <v>40</v>
      </c>
      <c r="D1807" t="s">
        <v>35</v>
      </c>
      <c r="E1807" t="s">
        <v>6346</v>
      </c>
      <c r="F1807" t="s">
        <v>6386</v>
      </c>
      <c r="G1807" t="s">
        <v>6382</v>
      </c>
      <c r="H1807" t="s">
        <v>6392</v>
      </c>
      <c r="I1807" t="s">
        <v>6397</v>
      </c>
      <c r="J1807">
        <f>AVERAGE(ai_job_market[[#This Row],[min_salary]],ai_job_market[[#This Row],[max_salary]])</f>
        <v>89316</v>
      </c>
      <c r="K1807"/>
      <c r="L1807" t="s">
        <v>22</v>
      </c>
      <c r="M1807" t="s">
        <v>37</v>
      </c>
      <c r="N1807" t="s">
        <v>6161</v>
      </c>
      <c r="O1807" t="s">
        <v>4578</v>
      </c>
      <c r="P1807">
        <v>69252</v>
      </c>
      <c r="Q1807">
        <v>109380</v>
      </c>
      <c r="R1807" s="2">
        <v>45258</v>
      </c>
      <c r="S1807" t="s">
        <v>14</v>
      </c>
      <c r="T1807" t="s">
        <v>77</v>
      </c>
      <c r="U1807" t="s">
        <v>6383</v>
      </c>
      <c r="V1807" t="s">
        <v>6389</v>
      </c>
      <c r="W1807" t="s">
        <v>6346</v>
      </c>
      <c r="X1807">
        <v>78</v>
      </c>
      <c r="Y1807" t="s">
        <v>77</v>
      </c>
      <c r="Z1807">
        <v>251</v>
      </c>
    </row>
    <row r="1808" spans="1:26" x14ac:dyDescent="0.3">
      <c r="A1808">
        <v>1807</v>
      </c>
      <c r="B1808" t="s">
        <v>3892</v>
      </c>
      <c r="C1808" t="s">
        <v>49</v>
      </c>
      <c r="D1808" t="s">
        <v>25</v>
      </c>
      <c r="E1808" t="s">
        <v>6344</v>
      </c>
      <c r="F1808" t="s">
        <v>6385</v>
      </c>
      <c r="G1808" t="s">
        <v>6381</v>
      </c>
      <c r="J1808">
        <f>AVERAGE(ai_job_market[[#This Row],[min_salary]],ai_job_market[[#This Row],[max_salary]])</f>
        <v>159897.5</v>
      </c>
      <c r="K1808"/>
      <c r="L1808" t="s">
        <v>27</v>
      </c>
      <c r="M1808" t="s">
        <v>15</v>
      </c>
      <c r="N1808" t="s">
        <v>6162</v>
      </c>
      <c r="O1808" t="s">
        <v>4506</v>
      </c>
      <c r="P1808">
        <v>111030</v>
      </c>
      <c r="Q1808">
        <v>208765</v>
      </c>
      <c r="R1808" s="2">
        <v>45433</v>
      </c>
      <c r="S1808" t="s">
        <v>14</v>
      </c>
      <c r="T1808" t="s">
        <v>52</v>
      </c>
      <c r="W1808" t="s">
        <v>6344</v>
      </c>
      <c r="X1808">
        <v>104</v>
      </c>
      <c r="Y1808" t="s">
        <v>52</v>
      </c>
      <c r="Z1808">
        <v>238</v>
      </c>
    </row>
    <row r="1809" spans="1:26" x14ac:dyDescent="0.3">
      <c r="A1809">
        <v>1808</v>
      </c>
      <c r="B1809" t="s">
        <v>3894</v>
      </c>
      <c r="C1809" t="s">
        <v>49</v>
      </c>
      <c r="D1809" t="s">
        <v>30</v>
      </c>
      <c r="E1809" t="s">
        <v>6344</v>
      </c>
      <c r="F1809" t="s">
        <v>6385</v>
      </c>
      <c r="G1809" t="s">
        <v>6389</v>
      </c>
      <c r="J1809">
        <f>AVERAGE(ai_job_market[[#This Row],[min_salary]],ai_job_market[[#This Row],[max_salary]])</f>
        <v>50712.5</v>
      </c>
      <c r="K1809"/>
      <c r="L1809" t="s">
        <v>22</v>
      </c>
      <c r="M1809" t="s">
        <v>42</v>
      </c>
      <c r="N1809" t="s">
        <v>4443</v>
      </c>
      <c r="O1809" t="s">
        <v>4377</v>
      </c>
      <c r="P1809">
        <v>41699</v>
      </c>
      <c r="Q1809">
        <v>59726</v>
      </c>
      <c r="R1809" s="2">
        <v>45669</v>
      </c>
      <c r="S1809" t="s">
        <v>69</v>
      </c>
      <c r="T1809" t="s">
        <v>128</v>
      </c>
      <c r="W1809" t="s">
        <v>6344</v>
      </c>
      <c r="X1809">
        <v>104</v>
      </c>
      <c r="Y1809" t="s">
        <v>128</v>
      </c>
      <c r="Z1809">
        <v>233</v>
      </c>
    </row>
    <row r="1810" spans="1:26" x14ac:dyDescent="0.3">
      <c r="A1810">
        <v>1809</v>
      </c>
      <c r="B1810" t="s">
        <v>3896</v>
      </c>
      <c r="C1810" t="s">
        <v>40</v>
      </c>
      <c r="D1810" t="s">
        <v>35</v>
      </c>
      <c r="E1810" t="s">
        <v>6347</v>
      </c>
      <c r="F1810" t="s">
        <v>6396</v>
      </c>
      <c r="G1810" t="s">
        <v>6393</v>
      </c>
      <c r="H1810" t="s">
        <v>6380</v>
      </c>
      <c r="I1810" t="s">
        <v>6392</v>
      </c>
      <c r="J1810">
        <f>AVERAGE(ai_job_market[[#This Row],[min_salary]],ai_job_market[[#This Row],[max_salary]])</f>
        <v>115405</v>
      </c>
      <c r="K1810"/>
      <c r="L1810" t="s">
        <v>27</v>
      </c>
      <c r="M1810" t="s">
        <v>37</v>
      </c>
      <c r="N1810" t="s">
        <v>6163</v>
      </c>
      <c r="O1810" t="s">
        <v>4794</v>
      </c>
      <c r="P1810">
        <v>106640</v>
      </c>
      <c r="Q1810">
        <v>124170</v>
      </c>
      <c r="R1810" s="2">
        <v>45518</v>
      </c>
      <c r="S1810" t="s">
        <v>16</v>
      </c>
      <c r="T1810" t="s">
        <v>90</v>
      </c>
      <c r="W1810" t="s">
        <v>6347</v>
      </c>
      <c r="X1810">
        <v>94</v>
      </c>
      <c r="Y1810" t="s">
        <v>90</v>
      </c>
      <c r="Z1810">
        <v>259</v>
      </c>
    </row>
    <row r="1811" spans="1:26" x14ac:dyDescent="0.3">
      <c r="A1811">
        <v>1810</v>
      </c>
      <c r="B1811" t="s">
        <v>1690</v>
      </c>
      <c r="C1811" t="s">
        <v>45</v>
      </c>
      <c r="D1811" t="s">
        <v>20</v>
      </c>
      <c r="E1811" t="s">
        <v>101</v>
      </c>
      <c r="F1811" t="s">
        <v>6385</v>
      </c>
      <c r="G1811" t="s">
        <v>6395</v>
      </c>
      <c r="J1811">
        <f>AVERAGE(ai_job_market[[#This Row],[min_salary]],ai_job_market[[#This Row],[max_salary]])</f>
        <v>148614.5</v>
      </c>
      <c r="K1811"/>
      <c r="L1811" t="s">
        <v>27</v>
      </c>
      <c r="M1811" t="s">
        <v>37</v>
      </c>
      <c r="N1811" t="s">
        <v>6164</v>
      </c>
      <c r="O1811" t="s">
        <v>4439</v>
      </c>
      <c r="P1811">
        <v>100995</v>
      </c>
      <c r="Q1811">
        <v>196234</v>
      </c>
      <c r="R1811" s="2">
        <v>45810</v>
      </c>
      <c r="S1811" t="s">
        <v>16</v>
      </c>
      <c r="T1811" t="s">
        <v>90</v>
      </c>
      <c r="W1811" t="s">
        <v>101</v>
      </c>
      <c r="X1811">
        <v>76</v>
      </c>
      <c r="Y1811" t="s">
        <v>90</v>
      </c>
      <c r="Z1811">
        <v>259</v>
      </c>
    </row>
    <row r="1812" spans="1:26" x14ac:dyDescent="0.3">
      <c r="A1812">
        <v>1811</v>
      </c>
      <c r="B1812" t="s">
        <v>145</v>
      </c>
      <c r="C1812" t="s">
        <v>72</v>
      </c>
      <c r="D1812" t="s">
        <v>12</v>
      </c>
      <c r="E1812" t="s">
        <v>6345</v>
      </c>
      <c r="F1812" t="s">
        <v>6392</v>
      </c>
      <c r="G1812" t="s">
        <v>6385</v>
      </c>
      <c r="H1812" t="s">
        <v>6376</v>
      </c>
      <c r="J1812">
        <f>AVERAGE(ai_job_market[[#This Row],[min_salary]],ai_job_market[[#This Row],[max_salary]])</f>
        <v>84443</v>
      </c>
      <c r="K1812"/>
      <c r="L1812" t="s">
        <v>14</v>
      </c>
      <c r="M1812" t="s">
        <v>42</v>
      </c>
      <c r="N1812" t="s">
        <v>6165</v>
      </c>
      <c r="O1812" t="s">
        <v>4655</v>
      </c>
      <c r="P1812">
        <v>45889</v>
      </c>
      <c r="Q1812">
        <v>122997</v>
      </c>
      <c r="R1812" s="2">
        <v>45371</v>
      </c>
      <c r="S1812" t="s">
        <v>69</v>
      </c>
      <c r="T1812" t="s">
        <v>70</v>
      </c>
      <c r="W1812" t="s">
        <v>6345</v>
      </c>
      <c r="X1812">
        <v>101</v>
      </c>
      <c r="Y1812" t="s">
        <v>70</v>
      </c>
      <c r="Z1812">
        <v>268</v>
      </c>
    </row>
    <row r="1813" spans="1:26" x14ac:dyDescent="0.3">
      <c r="A1813">
        <v>1812</v>
      </c>
      <c r="B1813" t="s">
        <v>3900</v>
      </c>
      <c r="C1813" t="s">
        <v>34</v>
      </c>
      <c r="D1813" t="s">
        <v>12</v>
      </c>
      <c r="E1813" t="s">
        <v>6344</v>
      </c>
      <c r="F1813" t="s">
        <v>6389</v>
      </c>
      <c r="G1813" t="s">
        <v>6375</v>
      </c>
      <c r="H1813" t="s">
        <v>6395</v>
      </c>
      <c r="I1813" t="s">
        <v>6376</v>
      </c>
      <c r="J1813">
        <f>AVERAGE(ai_job_market[[#This Row],[min_salary]],ai_job_market[[#This Row],[max_salary]])</f>
        <v>156825.5</v>
      </c>
      <c r="K1813" t="s">
        <v>6385</v>
      </c>
      <c r="L1813" t="s">
        <v>27</v>
      </c>
      <c r="M1813" t="s">
        <v>42</v>
      </c>
      <c r="N1813" t="s">
        <v>4677</v>
      </c>
      <c r="O1813" t="s">
        <v>4456</v>
      </c>
      <c r="P1813">
        <v>143526</v>
      </c>
      <c r="Q1813">
        <v>170125</v>
      </c>
      <c r="R1813" s="2">
        <v>45380</v>
      </c>
      <c r="S1813" t="s">
        <v>16</v>
      </c>
      <c r="T1813" t="s">
        <v>90</v>
      </c>
      <c r="U1813" t="s">
        <v>6379</v>
      </c>
      <c r="W1813" t="s">
        <v>6344</v>
      </c>
      <c r="X1813">
        <v>104</v>
      </c>
      <c r="Y1813" t="s">
        <v>90</v>
      </c>
      <c r="Z1813">
        <v>259</v>
      </c>
    </row>
    <row r="1814" spans="1:26" x14ac:dyDescent="0.3">
      <c r="A1814">
        <v>1813</v>
      </c>
      <c r="B1814" t="s">
        <v>3902</v>
      </c>
      <c r="C1814" t="s">
        <v>72</v>
      </c>
      <c r="D1814" t="s">
        <v>67</v>
      </c>
      <c r="E1814" t="s">
        <v>6359</v>
      </c>
      <c r="F1814" t="s">
        <v>6389</v>
      </c>
      <c r="G1814" t="s">
        <v>6381</v>
      </c>
      <c r="H1814" t="s">
        <v>6394</v>
      </c>
      <c r="J1814">
        <f>AVERAGE(ai_job_market[[#This Row],[min_salary]],ai_job_market[[#This Row],[max_salary]])</f>
        <v>82758.5</v>
      </c>
      <c r="K1814"/>
      <c r="L1814" t="s">
        <v>14</v>
      </c>
      <c r="M1814" t="s">
        <v>15</v>
      </c>
      <c r="N1814" t="s">
        <v>6166</v>
      </c>
      <c r="O1814" t="s">
        <v>4316</v>
      </c>
      <c r="P1814">
        <v>50742</v>
      </c>
      <c r="Q1814">
        <v>114775</v>
      </c>
      <c r="R1814" s="2">
        <v>45784</v>
      </c>
      <c r="S1814" t="s">
        <v>16</v>
      </c>
      <c r="T1814" t="s">
        <v>80</v>
      </c>
      <c r="W1814" t="s">
        <v>6359</v>
      </c>
      <c r="X1814">
        <v>104</v>
      </c>
      <c r="Y1814" t="s">
        <v>80</v>
      </c>
      <c r="Z1814">
        <v>249</v>
      </c>
    </row>
    <row r="1815" spans="1:26" x14ac:dyDescent="0.3">
      <c r="A1815">
        <v>1814</v>
      </c>
      <c r="B1815" t="s">
        <v>3904</v>
      </c>
      <c r="C1815" t="s">
        <v>49</v>
      </c>
      <c r="D1815" t="s">
        <v>67</v>
      </c>
      <c r="E1815" t="s">
        <v>6354</v>
      </c>
      <c r="F1815" t="s">
        <v>6390</v>
      </c>
      <c r="G1815" t="s">
        <v>6393</v>
      </c>
      <c r="H1815" t="s">
        <v>6374</v>
      </c>
      <c r="J1815">
        <f>AVERAGE(ai_job_market[[#This Row],[min_salary]],ai_job_market[[#This Row],[max_salary]])</f>
        <v>98025</v>
      </c>
      <c r="K1815"/>
      <c r="L1815" t="s">
        <v>22</v>
      </c>
      <c r="M1815" t="s">
        <v>51</v>
      </c>
      <c r="N1815" t="s">
        <v>6167</v>
      </c>
      <c r="O1815" t="s">
        <v>4335</v>
      </c>
      <c r="P1815">
        <v>92504</v>
      </c>
      <c r="Q1815">
        <v>103546</v>
      </c>
      <c r="R1815" s="2">
        <v>45409</v>
      </c>
      <c r="S1815" t="s">
        <v>14</v>
      </c>
      <c r="T1815" t="s">
        <v>90</v>
      </c>
      <c r="W1815" t="s">
        <v>6354</v>
      </c>
      <c r="X1815">
        <v>75</v>
      </c>
      <c r="Y1815" t="s">
        <v>90</v>
      </c>
      <c r="Z1815">
        <v>259</v>
      </c>
    </row>
    <row r="1816" spans="1:26" x14ac:dyDescent="0.3">
      <c r="A1816">
        <v>1815</v>
      </c>
      <c r="B1816" t="s">
        <v>3177</v>
      </c>
      <c r="C1816" t="s">
        <v>19</v>
      </c>
      <c r="D1816" t="s">
        <v>67</v>
      </c>
      <c r="E1816" t="s">
        <v>6358</v>
      </c>
      <c r="F1816" t="s">
        <v>6379</v>
      </c>
      <c r="G1816" t="s">
        <v>6386</v>
      </c>
      <c r="H1816" t="s">
        <v>6393</v>
      </c>
      <c r="I1816" t="s">
        <v>6392</v>
      </c>
      <c r="J1816">
        <f>AVERAGE(ai_job_market[[#This Row],[min_salary]],ai_job_market[[#This Row],[max_salary]])</f>
        <v>156797</v>
      </c>
      <c r="K1816"/>
      <c r="L1816" t="s">
        <v>22</v>
      </c>
      <c r="M1816" t="s">
        <v>15</v>
      </c>
      <c r="N1816" t="s">
        <v>6168</v>
      </c>
      <c r="O1816" t="s">
        <v>4554</v>
      </c>
      <c r="P1816">
        <v>140645</v>
      </c>
      <c r="Q1816">
        <v>172949</v>
      </c>
      <c r="R1816" s="2">
        <v>45280</v>
      </c>
      <c r="S1816" t="s">
        <v>14</v>
      </c>
      <c r="T1816" t="s">
        <v>157</v>
      </c>
      <c r="U1816" t="s">
        <v>6379</v>
      </c>
      <c r="V1816" t="s">
        <v>6389</v>
      </c>
      <c r="W1816" t="s">
        <v>6358</v>
      </c>
      <c r="X1816">
        <v>96</v>
      </c>
      <c r="Y1816" t="s">
        <v>157</v>
      </c>
      <c r="Z1816">
        <v>247</v>
      </c>
    </row>
    <row r="1817" spans="1:26" x14ac:dyDescent="0.3">
      <c r="A1817">
        <v>1816</v>
      </c>
      <c r="B1817" t="s">
        <v>3907</v>
      </c>
      <c r="C1817" t="s">
        <v>19</v>
      </c>
      <c r="D1817" t="s">
        <v>20</v>
      </c>
      <c r="E1817" t="s">
        <v>6354</v>
      </c>
      <c r="F1817" t="s">
        <v>6385</v>
      </c>
      <c r="G1817" t="s">
        <v>6395</v>
      </c>
      <c r="H1817" t="s">
        <v>6378</v>
      </c>
      <c r="J1817">
        <f>AVERAGE(ai_job_market[[#This Row],[min_salary]],ai_job_market[[#This Row],[max_salary]])</f>
        <v>77765</v>
      </c>
      <c r="K1817"/>
      <c r="L1817" t="s">
        <v>22</v>
      </c>
      <c r="M1817" t="s">
        <v>15</v>
      </c>
      <c r="N1817" t="s">
        <v>6169</v>
      </c>
      <c r="O1817" t="s">
        <v>4439</v>
      </c>
      <c r="P1817">
        <v>67314</v>
      </c>
      <c r="Q1817">
        <v>88216</v>
      </c>
      <c r="R1817" s="2">
        <v>45203</v>
      </c>
      <c r="S1817" t="s">
        <v>14</v>
      </c>
      <c r="T1817" t="s">
        <v>77</v>
      </c>
      <c r="U1817" t="s">
        <v>6383</v>
      </c>
      <c r="W1817" t="s">
        <v>6354</v>
      </c>
      <c r="X1817">
        <v>75</v>
      </c>
      <c r="Y1817" t="s">
        <v>77</v>
      </c>
      <c r="Z1817">
        <v>251</v>
      </c>
    </row>
    <row r="1818" spans="1:26" x14ac:dyDescent="0.3">
      <c r="A1818">
        <v>1817</v>
      </c>
      <c r="B1818" t="s">
        <v>3909</v>
      </c>
      <c r="C1818" t="s">
        <v>49</v>
      </c>
      <c r="D1818" t="s">
        <v>35</v>
      </c>
      <c r="E1818" t="s">
        <v>6358</v>
      </c>
      <c r="F1818" t="s">
        <v>6374</v>
      </c>
      <c r="G1818" t="s">
        <v>6387</v>
      </c>
      <c r="H1818" t="s">
        <v>6384</v>
      </c>
      <c r="I1818" t="s">
        <v>6377</v>
      </c>
      <c r="J1818">
        <f>AVERAGE(ai_job_market[[#This Row],[min_salary]],ai_job_market[[#This Row],[max_salary]])</f>
        <v>153218.5</v>
      </c>
      <c r="K1818" t="s">
        <v>6397</v>
      </c>
      <c r="L1818" t="s">
        <v>14</v>
      </c>
      <c r="M1818" t="s">
        <v>51</v>
      </c>
      <c r="N1818" t="s">
        <v>6170</v>
      </c>
      <c r="O1818" t="s">
        <v>4437</v>
      </c>
      <c r="P1818">
        <v>116027</v>
      </c>
      <c r="Q1818">
        <v>190410</v>
      </c>
      <c r="R1818" s="2">
        <v>45707</v>
      </c>
      <c r="S1818" t="s">
        <v>69</v>
      </c>
      <c r="T1818" t="s">
        <v>90</v>
      </c>
      <c r="U1818" t="s">
        <v>6383</v>
      </c>
      <c r="V1818" t="s">
        <v>6375</v>
      </c>
      <c r="W1818" t="s">
        <v>6358</v>
      </c>
      <c r="X1818">
        <v>96</v>
      </c>
      <c r="Y1818" t="s">
        <v>90</v>
      </c>
      <c r="Z1818">
        <v>259</v>
      </c>
    </row>
    <row r="1819" spans="1:26" x14ac:dyDescent="0.3">
      <c r="A1819">
        <v>1818</v>
      </c>
      <c r="B1819" t="s">
        <v>3911</v>
      </c>
      <c r="C1819" t="s">
        <v>49</v>
      </c>
      <c r="D1819" t="s">
        <v>54</v>
      </c>
      <c r="E1819" t="s">
        <v>80</v>
      </c>
      <c r="F1819" t="s">
        <v>6393</v>
      </c>
      <c r="G1819" t="s">
        <v>6379</v>
      </c>
      <c r="J1819">
        <f>AVERAGE(ai_job_market[[#This Row],[min_salary]],ai_job_market[[#This Row],[max_salary]])</f>
        <v>96864.5</v>
      </c>
      <c r="K1819"/>
      <c r="L1819" t="s">
        <v>14</v>
      </c>
      <c r="M1819" t="s">
        <v>51</v>
      </c>
      <c r="N1819" t="s">
        <v>6171</v>
      </c>
      <c r="O1819" t="s">
        <v>4722</v>
      </c>
      <c r="P1819">
        <v>55995</v>
      </c>
      <c r="Q1819">
        <v>137734</v>
      </c>
      <c r="R1819" s="2">
        <v>45734</v>
      </c>
      <c r="S1819" t="s">
        <v>16</v>
      </c>
      <c r="T1819" t="s">
        <v>128</v>
      </c>
      <c r="U1819" t="s">
        <v>6379</v>
      </c>
      <c r="V1819" t="s">
        <v>6384</v>
      </c>
      <c r="W1819" t="s">
        <v>80</v>
      </c>
      <c r="X1819">
        <v>95</v>
      </c>
      <c r="Y1819" t="s">
        <v>128</v>
      </c>
      <c r="Z1819">
        <v>233</v>
      </c>
    </row>
    <row r="1820" spans="1:26" x14ac:dyDescent="0.3">
      <c r="A1820">
        <v>1819</v>
      </c>
      <c r="B1820" t="s">
        <v>3913</v>
      </c>
      <c r="C1820" t="s">
        <v>34</v>
      </c>
      <c r="D1820" t="s">
        <v>54</v>
      </c>
      <c r="E1820" t="s">
        <v>101</v>
      </c>
      <c r="F1820" t="s">
        <v>6389</v>
      </c>
      <c r="G1820" t="s">
        <v>6378</v>
      </c>
      <c r="J1820" s="6">
        <f>AVERAGE(ai_job_market[[#This Row],[min_salary]],ai_job_market[[#This Row],[max_salary]])</f>
        <v>114658</v>
      </c>
      <c r="K1820"/>
      <c r="L1820" t="s">
        <v>27</v>
      </c>
      <c r="M1820" t="s">
        <v>37</v>
      </c>
      <c r="N1820" t="s">
        <v>6172</v>
      </c>
      <c r="O1820" t="s">
        <v>4655</v>
      </c>
      <c r="P1820" s="5">
        <v>79142</v>
      </c>
      <c r="Q1820" s="5">
        <v>150174</v>
      </c>
      <c r="R1820" s="2">
        <v>45901</v>
      </c>
      <c r="S1820" t="s">
        <v>69</v>
      </c>
      <c r="T1820" t="s">
        <v>77</v>
      </c>
      <c r="U1820" t="s">
        <v>6383</v>
      </c>
      <c r="V1820" t="s">
        <v>6376</v>
      </c>
      <c r="W1820" t="s">
        <v>101</v>
      </c>
      <c r="X1820">
        <v>76</v>
      </c>
      <c r="Y1820" t="s">
        <v>77</v>
      </c>
      <c r="Z1820">
        <v>251</v>
      </c>
    </row>
    <row r="1821" spans="1:26" x14ac:dyDescent="0.3">
      <c r="A1821">
        <v>1820</v>
      </c>
      <c r="B1821" t="s">
        <v>3914</v>
      </c>
      <c r="C1821" t="s">
        <v>40</v>
      </c>
      <c r="D1821" t="s">
        <v>12</v>
      </c>
      <c r="E1821" t="s">
        <v>6358</v>
      </c>
      <c r="F1821" t="s">
        <v>6380</v>
      </c>
      <c r="G1821" t="s">
        <v>6382</v>
      </c>
      <c r="J1821">
        <f>AVERAGE(ai_job_market[[#This Row],[min_salary]],ai_job_market[[#This Row],[max_salary]])</f>
        <v>71421</v>
      </c>
      <c r="K1821"/>
      <c r="L1821" t="s">
        <v>27</v>
      </c>
      <c r="M1821" t="s">
        <v>51</v>
      </c>
      <c r="N1821" t="s">
        <v>6173</v>
      </c>
      <c r="O1821" t="s">
        <v>4380</v>
      </c>
      <c r="P1821">
        <v>49729</v>
      </c>
      <c r="Q1821">
        <v>93113</v>
      </c>
      <c r="R1821" s="2">
        <v>45318</v>
      </c>
      <c r="S1821" t="s">
        <v>14</v>
      </c>
      <c r="T1821" t="s">
        <v>70</v>
      </c>
      <c r="U1821" t="s">
        <v>6388</v>
      </c>
      <c r="V1821" t="s">
        <v>6384</v>
      </c>
      <c r="W1821" t="s">
        <v>6358</v>
      </c>
      <c r="X1821">
        <v>96</v>
      </c>
      <c r="Y1821" t="s">
        <v>70</v>
      </c>
      <c r="Z1821">
        <v>268</v>
      </c>
    </row>
    <row r="1822" spans="1:26" x14ac:dyDescent="0.3">
      <c r="A1822">
        <v>1821</v>
      </c>
      <c r="B1822" t="s">
        <v>3916</v>
      </c>
      <c r="C1822" t="s">
        <v>49</v>
      </c>
      <c r="D1822" t="s">
        <v>54</v>
      </c>
      <c r="E1822" t="s">
        <v>6359</v>
      </c>
      <c r="F1822" t="s">
        <v>6375</v>
      </c>
      <c r="G1822" t="s">
        <v>6376</v>
      </c>
      <c r="J1822" s="6">
        <f>AVERAGE(ai_job_market[[#This Row],[min_salary]],ai_job_market[[#This Row],[max_salary]])</f>
        <v>140248</v>
      </c>
      <c r="K1822"/>
      <c r="L1822" t="s">
        <v>14</v>
      </c>
      <c r="M1822" t="s">
        <v>42</v>
      </c>
      <c r="N1822" t="s">
        <v>6174</v>
      </c>
      <c r="O1822" t="s">
        <v>4528</v>
      </c>
      <c r="P1822" s="5">
        <v>133127</v>
      </c>
      <c r="Q1822" s="5">
        <v>147369</v>
      </c>
      <c r="R1822" s="2">
        <v>45525</v>
      </c>
      <c r="S1822" t="s">
        <v>16</v>
      </c>
      <c r="T1822" t="s">
        <v>77</v>
      </c>
      <c r="U1822" t="s">
        <v>6379</v>
      </c>
      <c r="V1822" t="s">
        <v>6389</v>
      </c>
      <c r="W1822" t="s">
        <v>6359</v>
      </c>
      <c r="X1822">
        <v>104</v>
      </c>
      <c r="Y1822" t="s">
        <v>77</v>
      </c>
      <c r="Z1822">
        <v>251</v>
      </c>
    </row>
    <row r="1823" spans="1:26" x14ac:dyDescent="0.3">
      <c r="A1823">
        <v>1822</v>
      </c>
      <c r="B1823" t="s">
        <v>3918</v>
      </c>
      <c r="C1823" t="s">
        <v>11</v>
      </c>
      <c r="D1823" t="s">
        <v>135</v>
      </c>
      <c r="E1823" t="s">
        <v>6352</v>
      </c>
      <c r="F1823" t="s">
        <v>6376</v>
      </c>
      <c r="G1823" t="s">
        <v>6390</v>
      </c>
      <c r="H1823" t="s">
        <v>6375</v>
      </c>
      <c r="I1823" t="s">
        <v>6379</v>
      </c>
      <c r="J1823">
        <f>AVERAGE(ai_job_market[[#This Row],[min_salary]],ai_job_market[[#This Row],[max_salary]])</f>
        <v>96217.5</v>
      </c>
      <c r="K1823"/>
      <c r="L1823" t="s">
        <v>27</v>
      </c>
      <c r="M1823" t="s">
        <v>37</v>
      </c>
      <c r="N1823" t="s">
        <v>6175</v>
      </c>
      <c r="O1823" t="s">
        <v>4628</v>
      </c>
      <c r="P1823">
        <v>64534</v>
      </c>
      <c r="Q1823">
        <v>127901</v>
      </c>
      <c r="R1823" s="2">
        <v>45755</v>
      </c>
      <c r="S1823" t="s">
        <v>16</v>
      </c>
      <c r="T1823" t="s">
        <v>157</v>
      </c>
      <c r="U1823" t="s">
        <v>6378</v>
      </c>
      <c r="W1823" t="s">
        <v>6352</v>
      </c>
      <c r="X1823">
        <v>97</v>
      </c>
      <c r="Y1823" t="s">
        <v>157</v>
      </c>
      <c r="Z1823">
        <v>247</v>
      </c>
    </row>
    <row r="1824" spans="1:26" x14ac:dyDescent="0.3">
      <c r="A1824">
        <v>1823</v>
      </c>
      <c r="B1824" t="s">
        <v>3920</v>
      </c>
      <c r="C1824" t="s">
        <v>11</v>
      </c>
      <c r="D1824" t="s">
        <v>12</v>
      </c>
      <c r="E1824" t="s">
        <v>101</v>
      </c>
      <c r="F1824" t="s">
        <v>6375</v>
      </c>
      <c r="G1824" t="s">
        <v>6380</v>
      </c>
      <c r="J1824">
        <f>AVERAGE(ai_job_market[[#This Row],[min_salary]],ai_job_market[[#This Row],[max_salary]])</f>
        <v>122171.5</v>
      </c>
      <c r="K1824"/>
      <c r="L1824" t="s">
        <v>14</v>
      </c>
      <c r="M1824" t="s">
        <v>15</v>
      </c>
      <c r="N1824" t="s">
        <v>4730</v>
      </c>
      <c r="O1824" t="s">
        <v>4601</v>
      </c>
      <c r="P1824">
        <v>100195</v>
      </c>
      <c r="Q1824">
        <v>144148</v>
      </c>
      <c r="R1824" s="2">
        <v>45285</v>
      </c>
      <c r="S1824" t="s">
        <v>69</v>
      </c>
      <c r="T1824" t="s">
        <v>157</v>
      </c>
      <c r="U1824" t="s">
        <v>6384</v>
      </c>
      <c r="V1824" t="s">
        <v>6379</v>
      </c>
      <c r="W1824" t="s">
        <v>101</v>
      </c>
      <c r="X1824">
        <v>76</v>
      </c>
      <c r="Y1824" t="s">
        <v>157</v>
      </c>
      <c r="Z1824">
        <v>247</v>
      </c>
    </row>
    <row r="1825" spans="1:26" x14ac:dyDescent="0.3">
      <c r="A1825">
        <v>1824</v>
      </c>
      <c r="B1825" t="s">
        <v>3922</v>
      </c>
      <c r="C1825" t="s">
        <v>34</v>
      </c>
      <c r="D1825" t="s">
        <v>12</v>
      </c>
      <c r="E1825" t="s">
        <v>6356</v>
      </c>
      <c r="F1825" t="s">
        <v>6378</v>
      </c>
      <c r="G1825" t="s">
        <v>6380</v>
      </c>
      <c r="H1825" t="s">
        <v>6386</v>
      </c>
      <c r="J1825">
        <f>AVERAGE(ai_job_market[[#This Row],[min_salary]],ai_job_market[[#This Row],[max_salary]])</f>
        <v>90235</v>
      </c>
      <c r="K1825"/>
      <c r="L1825" t="s">
        <v>27</v>
      </c>
      <c r="M1825" t="s">
        <v>15</v>
      </c>
      <c r="N1825" t="s">
        <v>6176</v>
      </c>
      <c r="O1825" t="s">
        <v>4399</v>
      </c>
      <c r="P1825">
        <v>65884</v>
      </c>
      <c r="Q1825">
        <v>114586</v>
      </c>
      <c r="R1825" s="2">
        <v>45191</v>
      </c>
      <c r="S1825" t="s">
        <v>69</v>
      </c>
      <c r="T1825" t="s">
        <v>70</v>
      </c>
      <c r="W1825" t="s">
        <v>6356</v>
      </c>
      <c r="X1825">
        <v>86</v>
      </c>
      <c r="Y1825" t="s">
        <v>70</v>
      </c>
      <c r="Z1825">
        <v>268</v>
      </c>
    </row>
    <row r="1826" spans="1:26" x14ac:dyDescent="0.3">
      <c r="A1826">
        <v>1825</v>
      </c>
      <c r="B1826" t="s">
        <v>3924</v>
      </c>
      <c r="C1826" t="s">
        <v>49</v>
      </c>
      <c r="D1826" t="s">
        <v>35</v>
      </c>
      <c r="E1826" t="s">
        <v>6353</v>
      </c>
      <c r="F1826" t="s">
        <v>6375</v>
      </c>
      <c r="G1826" t="s">
        <v>6381</v>
      </c>
      <c r="H1826" t="s">
        <v>6394</v>
      </c>
      <c r="I1826" t="s">
        <v>6380</v>
      </c>
      <c r="J1826">
        <f>AVERAGE(ai_job_market[[#This Row],[min_salary]],ai_job_market[[#This Row],[max_salary]])</f>
        <v>158832</v>
      </c>
      <c r="K1826"/>
      <c r="L1826" t="s">
        <v>14</v>
      </c>
      <c r="M1826" t="s">
        <v>37</v>
      </c>
      <c r="N1826" t="s">
        <v>6177</v>
      </c>
      <c r="O1826" t="s">
        <v>4439</v>
      </c>
      <c r="P1826">
        <v>110008</v>
      </c>
      <c r="Q1826">
        <v>207656</v>
      </c>
      <c r="R1826" s="2">
        <v>45254</v>
      </c>
      <c r="S1826" t="s">
        <v>16</v>
      </c>
      <c r="T1826" t="s">
        <v>157</v>
      </c>
      <c r="W1826" t="s">
        <v>6353</v>
      </c>
      <c r="X1826">
        <v>86</v>
      </c>
      <c r="Y1826" t="s">
        <v>157</v>
      </c>
      <c r="Z1826">
        <v>247</v>
      </c>
    </row>
    <row r="1827" spans="1:26" x14ac:dyDescent="0.3">
      <c r="A1827">
        <v>1826</v>
      </c>
      <c r="B1827" t="s">
        <v>3926</v>
      </c>
      <c r="C1827" t="s">
        <v>72</v>
      </c>
      <c r="D1827" t="s">
        <v>30</v>
      </c>
      <c r="E1827" t="s">
        <v>6348</v>
      </c>
      <c r="F1827" t="s">
        <v>6395</v>
      </c>
      <c r="G1827" t="s">
        <v>6381</v>
      </c>
      <c r="H1827" t="s">
        <v>6374</v>
      </c>
      <c r="I1827" t="s">
        <v>6379</v>
      </c>
      <c r="J1827">
        <f>AVERAGE(ai_job_market[[#This Row],[min_salary]],ai_job_market[[#This Row],[max_salary]])</f>
        <v>158674</v>
      </c>
      <c r="K1827"/>
      <c r="L1827" t="s">
        <v>27</v>
      </c>
      <c r="M1827" t="s">
        <v>51</v>
      </c>
      <c r="N1827" t="s">
        <v>4993</v>
      </c>
      <c r="O1827" t="s">
        <v>4503</v>
      </c>
      <c r="P1827">
        <v>141080</v>
      </c>
      <c r="Q1827">
        <v>176268</v>
      </c>
      <c r="R1827" s="2">
        <v>45545</v>
      </c>
      <c r="S1827" t="s">
        <v>69</v>
      </c>
      <c r="T1827" t="s">
        <v>90</v>
      </c>
      <c r="U1827" t="s">
        <v>6379</v>
      </c>
      <c r="V1827" t="s">
        <v>6383</v>
      </c>
      <c r="W1827" t="s">
        <v>6348</v>
      </c>
      <c r="X1827">
        <v>78</v>
      </c>
      <c r="Y1827" t="s">
        <v>90</v>
      </c>
      <c r="Z1827">
        <v>259</v>
      </c>
    </row>
    <row r="1828" spans="1:26" x14ac:dyDescent="0.3">
      <c r="A1828">
        <v>1827</v>
      </c>
      <c r="B1828" t="s">
        <v>3928</v>
      </c>
      <c r="C1828" t="s">
        <v>11</v>
      </c>
      <c r="D1828" t="s">
        <v>67</v>
      </c>
      <c r="E1828" t="s">
        <v>6355</v>
      </c>
      <c r="F1828" t="s">
        <v>6386</v>
      </c>
      <c r="G1828" t="s">
        <v>6390</v>
      </c>
      <c r="H1828" t="s">
        <v>6392</v>
      </c>
      <c r="I1828" t="s">
        <v>6381</v>
      </c>
      <c r="J1828">
        <f>AVERAGE(ai_job_market[[#This Row],[min_salary]],ai_job_market[[#This Row],[max_salary]])</f>
        <v>107349</v>
      </c>
      <c r="K1828"/>
      <c r="L1828" t="s">
        <v>14</v>
      </c>
      <c r="M1828" t="s">
        <v>15</v>
      </c>
      <c r="N1828" t="s">
        <v>6178</v>
      </c>
      <c r="O1828" t="s">
        <v>4576</v>
      </c>
      <c r="P1828">
        <v>98451</v>
      </c>
      <c r="Q1828">
        <v>116247</v>
      </c>
      <c r="R1828" s="2">
        <v>45531</v>
      </c>
      <c r="S1828" t="s">
        <v>14</v>
      </c>
      <c r="T1828" t="s">
        <v>90</v>
      </c>
      <c r="W1828" t="s">
        <v>6355</v>
      </c>
      <c r="X1828">
        <v>90</v>
      </c>
      <c r="Y1828" t="s">
        <v>90</v>
      </c>
      <c r="Z1828">
        <v>259</v>
      </c>
    </row>
    <row r="1829" spans="1:26" x14ac:dyDescent="0.3">
      <c r="A1829">
        <v>1828</v>
      </c>
      <c r="B1829" t="s">
        <v>3930</v>
      </c>
      <c r="C1829" t="s">
        <v>40</v>
      </c>
      <c r="D1829" t="s">
        <v>30</v>
      </c>
      <c r="E1829" t="s">
        <v>6353</v>
      </c>
      <c r="F1829" t="s">
        <v>6385</v>
      </c>
      <c r="G1829" t="s">
        <v>6390</v>
      </c>
      <c r="H1829" t="s">
        <v>6393</v>
      </c>
      <c r="J1829">
        <f>AVERAGE(ai_job_market[[#This Row],[min_salary]],ai_job_market[[#This Row],[max_salary]])</f>
        <v>141440</v>
      </c>
      <c r="K1829"/>
      <c r="L1829" t="s">
        <v>27</v>
      </c>
      <c r="M1829" t="s">
        <v>42</v>
      </c>
      <c r="N1829" t="s">
        <v>6179</v>
      </c>
      <c r="O1829" t="s">
        <v>4346</v>
      </c>
      <c r="P1829">
        <v>92936</v>
      </c>
      <c r="Q1829">
        <v>189944</v>
      </c>
      <c r="R1829" s="2">
        <v>45358</v>
      </c>
      <c r="S1829" t="s">
        <v>69</v>
      </c>
      <c r="T1829" t="s">
        <v>101</v>
      </c>
      <c r="U1829" t="s">
        <v>6378</v>
      </c>
      <c r="W1829" t="s">
        <v>6353</v>
      </c>
      <c r="X1829">
        <v>86</v>
      </c>
      <c r="Y1829" t="s">
        <v>101</v>
      </c>
      <c r="Z1829">
        <v>255</v>
      </c>
    </row>
    <row r="1830" spans="1:26" x14ac:dyDescent="0.3">
      <c r="A1830">
        <v>1829</v>
      </c>
      <c r="B1830" t="s">
        <v>3932</v>
      </c>
      <c r="C1830" t="s">
        <v>45</v>
      </c>
      <c r="D1830" t="s">
        <v>30</v>
      </c>
      <c r="E1830" t="s">
        <v>6354</v>
      </c>
      <c r="F1830" t="s">
        <v>6391</v>
      </c>
      <c r="G1830" t="s">
        <v>6395</v>
      </c>
      <c r="H1830" t="s">
        <v>6379</v>
      </c>
      <c r="J1830" s="6">
        <f>AVERAGE(ai_job_market[[#This Row],[min_salary]],ai_job_market[[#This Row],[max_salary]])</f>
        <v>109303.5</v>
      </c>
      <c r="K1830"/>
      <c r="L1830" t="s">
        <v>22</v>
      </c>
      <c r="M1830" t="s">
        <v>51</v>
      </c>
      <c r="N1830" t="s">
        <v>6180</v>
      </c>
      <c r="O1830" t="s">
        <v>4482</v>
      </c>
      <c r="P1830" s="5">
        <v>95352</v>
      </c>
      <c r="Q1830" s="5">
        <v>123255</v>
      </c>
      <c r="R1830" s="2">
        <v>45888</v>
      </c>
      <c r="S1830" t="s">
        <v>14</v>
      </c>
      <c r="T1830" t="s">
        <v>128</v>
      </c>
      <c r="W1830" t="s">
        <v>6354</v>
      </c>
      <c r="X1830">
        <v>75</v>
      </c>
      <c r="Y1830" t="s">
        <v>128</v>
      </c>
      <c r="Z1830">
        <v>233</v>
      </c>
    </row>
    <row r="1831" spans="1:26" x14ac:dyDescent="0.3">
      <c r="A1831">
        <v>1830</v>
      </c>
      <c r="B1831" t="s">
        <v>3934</v>
      </c>
      <c r="C1831" t="s">
        <v>40</v>
      </c>
      <c r="D1831" t="s">
        <v>25</v>
      </c>
      <c r="E1831" t="s">
        <v>6346</v>
      </c>
      <c r="F1831" t="s">
        <v>6380</v>
      </c>
      <c r="G1831" t="s">
        <v>6375</v>
      </c>
      <c r="H1831" t="s">
        <v>6378</v>
      </c>
      <c r="I1831" t="s">
        <v>6384</v>
      </c>
      <c r="J1831">
        <f>AVERAGE(ai_job_market[[#This Row],[min_salary]],ai_job_market[[#This Row],[max_salary]])</f>
        <v>79038</v>
      </c>
      <c r="K1831" t="s">
        <v>6396</v>
      </c>
      <c r="L1831" t="s">
        <v>14</v>
      </c>
      <c r="M1831" t="s">
        <v>37</v>
      </c>
      <c r="N1831" t="s">
        <v>6181</v>
      </c>
      <c r="O1831" t="s">
        <v>4518</v>
      </c>
      <c r="P1831">
        <v>58077</v>
      </c>
      <c r="Q1831">
        <v>99999</v>
      </c>
      <c r="R1831" s="2">
        <v>45748</v>
      </c>
      <c r="S1831" t="s">
        <v>69</v>
      </c>
      <c r="T1831" t="s">
        <v>157</v>
      </c>
      <c r="W1831" t="s">
        <v>6346</v>
      </c>
      <c r="X1831">
        <v>78</v>
      </c>
      <c r="Y1831" t="s">
        <v>157</v>
      </c>
      <c r="Z1831">
        <v>247</v>
      </c>
    </row>
    <row r="1832" spans="1:26" x14ac:dyDescent="0.3">
      <c r="A1832">
        <v>1831</v>
      </c>
      <c r="B1832" t="s">
        <v>3936</v>
      </c>
      <c r="C1832" t="s">
        <v>34</v>
      </c>
      <c r="D1832" t="s">
        <v>12</v>
      </c>
      <c r="E1832" t="s">
        <v>6346</v>
      </c>
      <c r="F1832" t="s">
        <v>6382</v>
      </c>
      <c r="G1832" t="s">
        <v>6387</v>
      </c>
      <c r="J1832" s="6">
        <f>AVERAGE(ai_job_market[[#This Row],[min_salary]],ai_job_market[[#This Row],[max_salary]])</f>
        <v>137865</v>
      </c>
      <c r="K1832"/>
      <c r="L1832" t="s">
        <v>14</v>
      </c>
      <c r="M1832" t="s">
        <v>42</v>
      </c>
      <c r="N1832" t="s">
        <v>6182</v>
      </c>
      <c r="O1832" t="s">
        <v>4701</v>
      </c>
      <c r="P1832" s="5">
        <v>124312</v>
      </c>
      <c r="Q1832" s="5">
        <v>151418</v>
      </c>
      <c r="R1832" s="2">
        <v>45494</v>
      </c>
      <c r="S1832" t="s">
        <v>16</v>
      </c>
      <c r="T1832" t="s">
        <v>157</v>
      </c>
      <c r="W1832" t="s">
        <v>6346</v>
      </c>
      <c r="X1832">
        <v>78</v>
      </c>
      <c r="Y1832" t="s">
        <v>157</v>
      </c>
      <c r="Z1832">
        <v>247</v>
      </c>
    </row>
    <row r="1833" spans="1:26" x14ac:dyDescent="0.3">
      <c r="A1833">
        <v>1832</v>
      </c>
      <c r="B1833" t="s">
        <v>3938</v>
      </c>
      <c r="C1833" t="s">
        <v>11</v>
      </c>
      <c r="D1833" t="s">
        <v>67</v>
      </c>
      <c r="E1833" t="s">
        <v>6358</v>
      </c>
      <c r="F1833" t="s">
        <v>6382</v>
      </c>
      <c r="G1833" t="s">
        <v>6392</v>
      </c>
      <c r="J1833">
        <f>AVERAGE(ai_job_market[[#This Row],[min_salary]],ai_job_market[[#This Row],[max_salary]])</f>
        <v>111782.5</v>
      </c>
      <c r="K1833"/>
      <c r="L1833" t="s">
        <v>22</v>
      </c>
      <c r="M1833" t="s">
        <v>42</v>
      </c>
      <c r="N1833" t="s">
        <v>6183</v>
      </c>
      <c r="O1833" t="s">
        <v>4377</v>
      </c>
      <c r="P1833">
        <v>93786</v>
      </c>
      <c r="Q1833">
        <v>129779</v>
      </c>
      <c r="R1833" s="2">
        <v>45492</v>
      </c>
      <c r="S1833" t="s">
        <v>16</v>
      </c>
      <c r="T1833" t="s">
        <v>101</v>
      </c>
      <c r="U1833" t="s">
        <v>6383</v>
      </c>
      <c r="V1833" t="s">
        <v>6378</v>
      </c>
      <c r="W1833" t="s">
        <v>6358</v>
      </c>
      <c r="X1833">
        <v>96</v>
      </c>
      <c r="Y1833" t="s">
        <v>101</v>
      </c>
      <c r="Z1833">
        <v>255</v>
      </c>
    </row>
    <row r="1834" spans="1:26" x14ac:dyDescent="0.3">
      <c r="A1834">
        <v>1833</v>
      </c>
      <c r="B1834" t="s">
        <v>3940</v>
      </c>
      <c r="C1834" t="s">
        <v>19</v>
      </c>
      <c r="D1834" t="s">
        <v>20</v>
      </c>
      <c r="E1834" t="s">
        <v>80</v>
      </c>
      <c r="F1834" t="s">
        <v>6393</v>
      </c>
      <c r="G1834" t="s">
        <v>6382</v>
      </c>
      <c r="H1834" t="s">
        <v>6392</v>
      </c>
      <c r="I1834" t="s">
        <v>6374</v>
      </c>
      <c r="J1834" s="6">
        <f>AVERAGE(ai_job_market[[#This Row],[min_salary]],ai_job_market[[#This Row],[max_salary]])</f>
        <v>117540.5</v>
      </c>
      <c r="K1834" t="s">
        <v>6390</v>
      </c>
      <c r="L1834" t="s">
        <v>14</v>
      </c>
      <c r="M1834" t="s">
        <v>51</v>
      </c>
      <c r="N1834" t="s">
        <v>6184</v>
      </c>
      <c r="O1834" t="s">
        <v>4762</v>
      </c>
      <c r="P1834" s="5">
        <v>110572</v>
      </c>
      <c r="Q1834" s="5">
        <v>124509</v>
      </c>
      <c r="R1834" s="2">
        <v>45305</v>
      </c>
      <c r="S1834" t="s">
        <v>16</v>
      </c>
      <c r="T1834" t="s">
        <v>77</v>
      </c>
      <c r="W1834" t="s">
        <v>80</v>
      </c>
      <c r="X1834">
        <v>95</v>
      </c>
      <c r="Y1834" t="s">
        <v>77</v>
      </c>
      <c r="Z1834">
        <v>251</v>
      </c>
    </row>
    <row r="1835" spans="1:26" x14ac:dyDescent="0.3">
      <c r="A1835">
        <v>1834</v>
      </c>
      <c r="B1835" t="s">
        <v>3942</v>
      </c>
      <c r="C1835" t="s">
        <v>34</v>
      </c>
      <c r="D1835" t="s">
        <v>12</v>
      </c>
      <c r="E1835" t="s">
        <v>6358</v>
      </c>
      <c r="F1835" t="s">
        <v>6394</v>
      </c>
      <c r="G1835" t="s">
        <v>6387</v>
      </c>
      <c r="H1835" t="s">
        <v>6378</v>
      </c>
      <c r="I1835" t="s">
        <v>6390</v>
      </c>
      <c r="J1835">
        <f>AVERAGE(ai_job_market[[#This Row],[min_salary]],ai_job_market[[#This Row],[max_salary]])</f>
        <v>72767.5</v>
      </c>
      <c r="K1835"/>
      <c r="L1835" t="s">
        <v>27</v>
      </c>
      <c r="M1835" t="s">
        <v>15</v>
      </c>
      <c r="N1835" t="s">
        <v>4855</v>
      </c>
      <c r="O1835" t="s">
        <v>4316</v>
      </c>
      <c r="P1835">
        <v>51641</v>
      </c>
      <c r="Q1835">
        <v>93894</v>
      </c>
      <c r="R1835" s="2">
        <v>45626</v>
      </c>
      <c r="S1835" t="s">
        <v>16</v>
      </c>
      <c r="T1835" t="s">
        <v>80</v>
      </c>
      <c r="U1835" t="s">
        <v>6379</v>
      </c>
      <c r="W1835" t="s">
        <v>6358</v>
      </c>
      <c r="X1835">
        <v>96</v>
      </c>
      <c r="Y1835" t="s">
        <v>80</v>
      </c>
      <c r="Z1835">
        <v>249</v>
      </c>
    </row>
    <row r="1836" spans="1:26" x14ac:dyDescent="0.3">
      <c r="A1836">
        <v>1835</v>
      </c>
      <c r="B1836" t="s">
        <v>3944</v>
      </c>
      <c r="C1836" t="s">
        <v>19</v>
      </c>
      <c r="D1836" t="s">
        <v>67</v>
      </c>
      <c r="E1836" t="s">
        <v>6352</v>
      </c>
      <c r="F1836" t="s">
        <v>6396</v>
      </c>
      <c r="G1836" t="s">
        <v>6390</v>
      </c>
      <c r="H1836" t="s">
        <v>6393</v>
      </c>
      <c r="I1836" t="s">
        <v>6391</v>
      </c>
      <c r="J1836" s="6">
        <f>AVERAGE(ai_job_market[[#This Row],[min_salary]],ai_job_market[[#This Row],[max_salary]])</f>
        <v>70060</v>
      </c>
      <c r="K1836" t="s">
        <v>6374</v>
      </c>
      <c r="L1836" t="s">
        <v>22</v>
      </c>
      <c r="M1836" t="s">
        <v>15</v>
      </c>
      <c r="N1836" t="s">
        <v>6185</v>
      </c>
      <c r="O1836" t="s">
        <v>4476</v>
      </c>
      <c r="P1836" s="5">
        <v>51700</v>
      </c>
      <c r="Q1836" s="5">
        <v>88420</v>
      </c>
      <c r="R1836" s="2">
        <v>45359</v>
      </c>
      <c r="S1836" t="s">
        <v>16</v>
      </c>
      <c r="T1836" t="s">
        <v>52</v>
      </c>
      <c r="U1836" t="s">
        <v>6375</v>
      </c>
      <c r="W1836" t="s">
        <v>6352</v>
      </c>
      <c r="X1836">
        <v>97</v>
      </c>
      <c r="Y1836" t="s">
        <v>52</v>
      </c>
      <c r="Z1836">
        <v>238</v>
      </c>
    </row>
    <row r="1837" spans="1:26" x14ac:dyDescent="0.3">
      <c r="A1837">
        <v>1836</v>
      </c>
      <c r="B1837" t="s">
        <v>3946</v>
      </c>
      <c r="C1837" t="s">
        <v>45</v>
      </c>
      <c r="D1837" t="s">
        <v>54</v>
      </c>
      <c r="E1837" t="s">
        <v>6347</v>
      </c>
      <c r="F1837" t="s">
        <v>6393</v>
      </c>
      <c r="G1837" t="s">
        <v>6390</v>
      </c>
      <c r="H1837" t="s">
        <v>6379</v>
      </c>
      <c r="J1837">
        <f>AVERAGE(ai_job_market[[#This Row],[min_salary]],ai_job_market[[#This Row],[max_salary]])</f>
        <v>133893.5</v>
      </c>
      <c r="K1837"/>
      <c r="L1837" t="s">
        <v>27</v>
      </c>
      <c r="M1837" t="s">
        <v>51</v>
      </c>
      <c r="N1837" t="s">
        <v>6186</v>
      </c>
      <c r="O1837" t="s">
        <v>4349</v>
      </c>
      <c r="P1837">
        <v>116899</v>
      </c>
      <c r="Q1837">
        <v>150888</v>
      </c>
      <c r="R1837" s="2">
        <v>45263</v>
      </c>
      <c r="S1837" t="s">
        <v>69</v>
      </c>
      <c r="T1837" t="s">
        <v>157</v>
      </c>
      <c r="W1837" t="s">
        <v>6347</v>
      </c>
      <c r="X1837">
        <v>94</v>
      </c>
      <c r="Y1837" t="s">
        <v>157</v>
      </c>
      <c r="Z1837">
        <v>247</v>
      </c>
    </row>
    <row r="1838" spans="1:26" x14ac:dyDescent="0.3">
      <c r="A1838">
        <v>1837</v>
      </c>
      <c r="B1838" t="s">
        <v>3948</v>
      </c>
      <c r="C1838" t="s">
        <v>45</v>
      </c>
      <c r="D1838" t="s">
        <v>12</v>
      </c>
      <c r="E1838" t="s">
        <v>6345</v>
      </c>
      <c r="F1838" t="s">
        <v>6393</v>
      </c>
      <c r="G1838" t="s">
        <v>6377</v>
      </c>
      <c r="J1838">
        <f>AVERAGE(ai_job_market[[#This Row],[min_salary]],ai_job_market[[#This Row],[max_salary]])</f>
        <v>120372.5</v>
      </c>
      <c r="K1838"/>
      <c r="L1838" t="s">
        <v>14</v>
      </c>
      <c r="M1838" t="s">
        <v>42</v>
      </c>
      <c r="N1838" t="s">
        <v>6187</v>
      </c>
      <c r="O1838" t="s">
        <v>4687</v>
      </c>
      <c r="P1838">
        <v>81196</v>
      </c>
      <c r="Q1838">
        <v>159549</v>
      </c>
      <c r="R1838" s="2">
        <v>45877</v>
      </c>
      <c r="S1838" t="s">
        <v>16</v>
      </c>
      <c r="T1838" t="s">
        <v>101</v>
      </c>
      <c r="U1838" t="s">
        <v>6388</v>
      </c>
      <c r="V1838" t="s">
        <v>6375</v>
      </c>
      <c r="W1838" t="s">
        <v>6345</v>
      </c>
      <c r="X1838">
        <v>101</v>
      </c>
      <c r="Y1838" t="s">
        <v>101</v>
      </c>
      <c r="Z1838">
        <v>255</v>
      </c>
    </row>
    <row r="1839" spans="1:26" x14ac:dyDescent="0.3">
      <c r="A1839">
        <v>1838</v>
      </c>
      <c r="B1839" t="s">
        <v>3950</v>
      </c>
      <c r="C1839" t="s">
        <v>11</v>
      </c>
      <c r="D1839" t="s">
        <v>25</v>
      </c>
      <c r="E1839" t="s">
        <v>6344</v>
      </c>
      <c r="F1839" t="s">
        <v>6374</v>
      </c>
      <c r="G1839" t="s">
        <v>6397</v>
      </c>
      <c r="H1839" t="s">
        <v>6393</v>
      </c>
      <c r="I1839" t="s">
        <v>6375</v>
      </c>
      <c r="J1839">
        <f>AVERAGE(ai_job_market[[#This Row],[min_salary]],ai_job_market[[#This Row],[max_salary]])</f>
        <v>69606</v>
      </c>
      <c r="K1839" t="s">
        <v>6377</v>
      </c>
      <c r="L1839" t="s">
        <v>27</v>
      </c>
      <c r="M1839" t="s">
        <v>51</v>
      </c>
      <c r="N1839" t="s">
        <v>6188</v>
      </c>
      <c r="O1839" t="s">
        <v>4297</v>
      </c>
      <c r="P1839">
        <v>59030</v>
      </c>
      <c r="Q1839">
        <v>80182</v>
      </c>
      <c r="R1839" s="2">
        <v>45451</v>
      </c>
      <c r="S1839" t="s">
        <v>16</v>
      </c>
      <c r="T1839" t="s">
        <v>80</v>
      </c>
      <c r="W1839" t="s">
        <v>6344</v>
      </c>
      <c r="X1839">
        <v>104</v>
      </c>
      <c r="Y1839" t="s">
        <v>80</v>
      </c>
      <c r="Z1839">
        <v>249</v>
      </c>
    </row>
    <row r="1840" spans="1:26" x14ac:dyDescent="0.3">
      <c r="A1840">
        <v>1839</v>
      </c>
      <c r="B1840" t="s">
        <v>3952</v>
      </c>
      <c r="C1840" t="s">
        <v>49</v>
      </c>
      <c r="D1840" t="s">
        <v>25</v>
      </c>
      <c r="E1840" t="s">
        <v>6344</v>
      </c>
      <c r="F1840" t="s">
        <v>6397</v>
      </c>
      <c r="G1840" t="s">
        <v>6389</v>
      </c>
      <c r="H1840" t="s">
        <v>6392</v>
      </c>
      <c r="I1840" t="s">
        <v>6377</v>
      </c>
      <c r="J1840">
        <f>AVERAGE(ai_job_market[[#This Row],[min_salary]],ai_job_market[[#This Row],[max_salary]])</f>
        <v>109146</v>
      </c>
      <c r="K1840"/>
      <c r="L1840" t="s">
        <v>27</v>
      </c>
      <c r="M1840" t="s">
        <v>37</v>
      </c>
      <c r="N1840" t="s">
        <v>6189</v>
      </c>
      <c r="O1840" t="s">
        <v>4484</v>
      </c>
      <c r="P1840">
        <v>64001</v>
      </c>
      <c r="Q1840">
        <v>154291</v>
      </c>
      <c r="R1840" s="2">
        <v>45503</v>
      </c>
      <c r="S1840" t="s">
        <v>14</v>
      </c>
      <c r="T1840" t="s">
        <v>77</v>
      </c>
      <c r="U1840" t="s">
        <v>6375</v>
      </c>
      <c r="W1840" t="s">
        <v>6344</v>
      </c>
      <c r="X1840">
        <v>104</v>
      </c>
      <c r="Y1840" t="s">
        <v>77</v>
      </c>
      <c r="Z1840">
        <v>251</v>
      </c>
    </row>
    <row r="1841" spans="1:26" x14ac:dyDescent="0.3">
      <c r="A1841">
        <v>1840</v>
      </c>
      <c r="B1841" t="s">
        <v>3954</v>
      </c>
      <c r="C1841" t="s">
        <v>11</v>
      </c>
      <c r="D1841" t="s">
        <v>25</v>
      </c>
      <c r="E1841" t="s">
        <v>6345</v>
      </c>
      <c r="F1841" t="s">
        <v>6390</v>
      </c>
      <c r="G1841" t="s">
        <v>6377</v>
      </c>
      <c r="H1841" t="s">
        <v>6376</v>
      </c>
      <c r="I1841" t="s">
        <v>6393</v>
      </c>
      <c r="J1841">
        <f>AVERAGE(ai_job_market[[#This Row],[min_salary]],ai_job_market[[#This Row],[max_salary]])</f>
        <v>121156.5</v>
      </c>
      <c r="K1841" t="s">
        <v>6382</v>
      </c>
      <c r="L1841" t="s">
        <v>14</v>
      </c>
      <c r="M1841" t="s">
        <v>15</v>
      </c>
      <c r="N1841" t="s">
        <v>6190</v>
      </c>
      <c r="O1841" t="s">
        <v>4603</v>
      </c>
      <c r="P1841">
        <v>107796</v>
      </c>
      <c r="Q1841">
        <v>134517</v>
      </c>
      <c r="R1841" s="2">
        <v>45375</v>
      </c>
      <c r="S1841" t="s">
        <v>69</v>
      </c>
      <c r="T1841" t="s">
        <v>157</v>
      </c>
      <c r="U1841" t="s">
        <v>6379</v>
      </c>
      <c r="V1841" t="s">
        <v>6384</v>
      </c>
      <c r="W1841" t="s">
        <v>6345</v>
      </c>
      <c r="X1841">
        <v>101</v>
      </c>
      <c r="Y1841" t="s">
        <v>157</v>
      </c>
      <c r="Z1841">
        <v>247</v>
      </c>
    </row>
    <row r="1842" spans="1:26" x14ac:dyDescent="0.3">
      <c r="A1842">
        <v>1841</v>
      </c>
      <c r="B1842" t="s">
        <v>3957</v>
      </c>
      <c r="C1842" t="s">
        <v>19</v>
      </c>
      <c r="D1842" t="s">
        <v>35</v>
      </c>
      <c r="E1842" t="s">
        <v>128</v>
      </c>
      <c r="F1842" t="s">
        <v>6393</v>
      </c>
      <c r="G1842" t="s">
        <v>6396</v>
      </c>
      <c r="J1842">
        <f>AVERAGE(ai_job_market[[#This Row],[min_salary]],ai_job_market[[#This Row],[max_salary]])</f>
        <v>88598.5</v>
      </c>
      <c r="K1842"/>
      <c r="L1842" t="s">
        <v>27</v>
      </c>
      <c r="M1842" t="s">
        <v>42</v>
      </c>
      <c r="N1842" t="s">
        <v>6191</v>
      </c>
      <c r="O1842" t="s">
        <v>4484</v>
      </c>
      <c r="P1842">
        <v>71884</v>
      </c>
      <c r="Q1842">
        <v>105313</v>
      </c>
      <c r="R1842" s="2">
        <v>45505</v>
      </c>
      <c r="S1842" t="s">
        <v>16</v>
      </c>
      <c r="T1842" t="s">
        <v>90</v>
      </c>
      <c r="W1842" t="s">
        <v>128</v>
      </c>
      <c r="X1842">
        <v>92</v>
      </c>
      <c r="Y1842" t="s">
        <v>90</v>
      </c>
      <c r="Z1842">
        <v>259</v>
      </c>
    </row>
    <row r="1843" spans="1:26" x14ac:dyDescent="0.3">
      <c r="A1843">
        <v>1842</v>
      </c>
      <c r="B1843" t="s">
        <v>3959</v>
      </c>
      <c r="C1843" t="s">
        <v>19</v>
      </c>
      <c r="D1843" t="s">
        <v>35</v>
      </c>
      <c r="E1843" t="s">
        <v>6359</v>
      </c>
      <c r="F1843" t="s">
        <v>6379</v>
      </c>
      <c r="G1843" t="s">
        <v>6382</v>
      </c>
      <c r="H1843" t="s">
        <v>6384</v>
      </c>
      <c r="I1843" t="s">
        <v>6389</v>
      </c>
      <c r="J1843">
        <f>AVERAGE(ai_job_market[[#This Row],[min_salary]],ai_job_market[[#This Row],[max_salary]])</f>
        <v>160922.5</v>
      </c>
      <c r="K1843" t="s">
        <v>6378</v>
      </c>
      <c r="L1843" t="s">
        <v>22</v>
      </c>
      <c r="M1843" t="s">
        <v>15</v>
      </c>
      <c r="N1843" t="s">
        <v>6192</v>
      </c>
      <c r="O1843" t="s">
        <v>4452</v>
      </c>
      <c r="P1843">
        <v>147074</v>
      </c>
      <c r="Q1843">
        <v>174771</v>
      </c>
      <c r="R1843" s="2">
        <v>45662</v>
      </c>
      <c r="S1843" t="s">
        <v>16</v>
      </c>
      <c r="T1843" t="s">
        <v>70</v>
      </c>
      <c r="U1843" t="s">
        <v>6376</v>
      </c>
      <c r="W1843" t="s">
        <v>6359</v>
      </c>
      <c r="X1843">
        <v>104</v>
      </c>
      <c r="Y1843" t="s">
        <v>70</v>
      </c>
      <c r="Z1843">
        <v>268</v>
      </c>
    </row>
    <row r="1844" spans="1:26" x14ac:dyDescent="0.3">
      <c r="A1844">
        <v>1843</v>
      </c>
      <c r="B1844" t="s">
        <v>3961</v>
      </c>
      <c r="C1844" t="s">
        <v>19</v>
      </c>
      <c r="D1844" t="s">
        <v>30</v>
      </c>
      <c r="E1844" t="s">
        <v>6354</v>
      </c>
      <c r="F1844" t="s">
        <v>6381</v>
      </c>
      <c r="G1844" t="s">
        <v>6391</v>
      </c>
      <c r="H1844" t="s">
        <v>6396</v>
      </c>
      <c r="I1844" t="s">
        <v>6382</v>
      </c>
      <c r="J1844">
        <f>AVERAGE(ai_job_market[[#This Row],[min_salary]],ai_job_market[[#This Row],[max_salary]])</f>
        <v>103471.5</v>
      </c>
      <c r="K1844"/>
      <c r="L1844" t="s">
        <v>14</v>
      </c>
      <c r="M1844" t="s">
        <v>15</v>
      </c>
      <c r="N1844" t="s">
        <v>6193</v>
      </c>
      <c r="O1844" t="s">
        <v>4327</v>
      </c>
      <c r="P1844">
        <v>92572</v>
      </c>
      <c r="Q1844">
        <v>114371</v>
      </c>
      <c r="R1844" s="2">
        <v>45882</v>
      </c>
      <c r="S1844" t="s">
        <v>16</v>
      </c>
      <c r="T1844" t="s">
        <v>70</v>
      </c>
      <c r="U1844" t="s">
        <v>6378</v>
      </c>
      <c r="V1844" t="s">
        <v>6376</v>
      </c>
      <c r="W1844" t="s">
        <v>6354</v>
      </c>
      <c r="X1844">
        <v>75</v>
      </c>
      <c r="Y1844" t="s">
        <v>70</v>
      </c>
      <c r="Z1844">
        <v>268</v>
      </c>
    </row>
    <row r="1845" spans="1:26" x14ac:dyDescent="0.3">
      <c r="A1845">
        <v>1844</v>
      </c>
      <c r="B1845" t="s">
        <v>3963</v>
      </c>
      <c r="C1845" t="s">
        <v>49</v>
      </c>
      <c r="D1845" t="s">
        <v>30</v>
      </c>
      <c r="E1845" t="s">
        <v>6353</v>
      </c>
      <c r="F1845" t="s">
        <v>6391</v>
      </c>
      <c r="G1845" t="s">
        <v>6384</v>
      </c>
      <c r="J1845" s="6">
        <f>AVERAGE(ai_job_market[[#This Row],[min_salary]],ai_job_market[[#This Row],[max_salary]])</f>
        <v>108013</v>
      </c>
      <c r="K1845"/>
      <c r="L1845" t="s">
        <v>14</v>
      </c>
      <c r="M1845" t="s">
        <v>42</v>
      </c>
      <c r="N1845" t="s">
        <v>6194</v>
      </c>
      <c r="O1845" t="s">
        <v>4427</v>
      </c>
      <c r="P1845" s="5">
        <v>102870</v>
      </c>
      <c r="Q1845" s="5">
        <v>113156</v>
      </c>
      <c r="R1845" s="2">
        <v>45739</v>
      </c>
      <c r="S1845" t="s">
        <v>14</v>
      </c>
      <c r="T1845" t="s">
        <v>52</v>
      </c>
      <c r="W1845" t="s">
        <v>6353</v>
      </c>
      <c r="X1845">
        <v>86</v>
      </c>
      <c r="Y1845" t="s">
        <v>52</v>
      </c>
      <c r="Z1845">
        <v>238</v>
      </c>
    </row>
    <row r="1846" spans="1:26" x14ac:dyDescent="0.3">
      <c r="A1846">
        <v>1845</v>
      </c>
      <c r="B1846" t="s">
        <v>3965</v>
      </c>
      <c r="C1846" t="s">
        <v>19</v>
      </c>
      <c r="D1846" t="s">
        <v>67</v>
      </c>
      <c r="E1846" t="s">
        <v>6352</v>
      </c>
      <c r="F1846" t="s">
        <v>6387</v>
      </c>
      <c r="G1846" t="s">
        <v>6382</v>
      </c>
      <c r="H1846" t="s">
        <v>6395</v>
      </c>
      <c r="I1846" t="s">
        <v>6381</v>
      </c>
      <c r="J1846">
        <f>AVERAGE(ai_job_market[[#This Row],[min_salary]],ai_job_market[[#This Row],[max_salary]])</f>
        <v>131979.5</v>
      </c>
      <c r="K1846" t="s">
        <v>6376</v>
      </c>
      <c r="L1846" t="s">
        <v>14</v>
      </c>
      <c r="M1846" t="s">
        <v>51</v>
      </c>
      <c r="N1846" t="s">
        <v>6195</v>
      </c>
      <c r="O1846" t="s">
        <v>4314</v>
      </c>
      <c r="P1846">
        <v>120347</v>
      </c>
      <c r="Q1846">
        <v>143612</v>
      </c>
      <c r="R1846" s="2">
        <v>45399</v>
      </c>
      <c r="S1846" t="s">
        <v>14</v>
      </c>
      <c r="T1846" t="s">
        <v>157</v>
      </c>
      <c r="U1846" t="s">
        <v>6379</v>
      </c>
      <c r="W1846" t="s">
        <v>6352</v>
      </c>
      <c r="X1846">
        <v>97</v>
      </c>
      <c r="Y1846" t="s">
        <v>157</v>
      </c>
      <c r="Z1846">
        <v>247</v>
      </c>
    </row>
    <row r="1847" spans="1:26" x14ac:dyDescent="0.3">
      <c r="A1847">
        <v>1846</v>
      </c>
      <c r="B1847" t="s">
        <v>3967</v>
      </c>
      <c r="C1847" t="s">
        <v>40</v>
      </c>
      <c r="D1847" t="s">
        <v>35</v>
      </c>
      <c r="E1847" t="s">
        <v>6351</v>
      </c>
      <c r="F1847" t="s">
        <v>6387</v>
      </c>
      <c r="G1847" t="s">
        <v>6384</v>
      </c>
      <c r="H1847" t="s">
        <v>6389</v>
      </c>
      <c r="I1847" t="s">
        <v>6394</v>
      </c>
      <c r="J1847">
        <f>AVERAGE(ai_job_market[[#This Row],[min_salary]],ai_job_market[[#This Row],[max_salary]])</f>
        <v>110466.5</v>
      </c>
      <c r="K1847"/>
      <c r="L1847" t="s">
        <v>22</v>
      </c>
      <c r="M1847" t="s">
        <v>51</v>
      </c>
      <c r="N1847" t="s">
        <v>6196</v>
      </c>
      <c r="O1847" t="s">
        <v>4780</v>
      </c>
      <c r="P1847">
        <v>75231</v>
      </c>
      <c r="Q1847">
        <v>145702</v>
      </c>
      <c r="R1847" s="2">
        <v>45287</v>
      </c>
      <c r="S1847" t="s">
        <v>69</v>
      </c>
      <c r="T1847" t="s">
        <v>52</v>
      </c>
      <c r="U1847" t="s">
        <v>6384</v>
      </c>
      <c r="V1847" t="s">
        <v>6379</v>
      </c>
      <c r="W1847" t="s">
        <v>6351</v>
      </c>
      <c r="X1847">
        <v>89</v>
      </c>
      <c r="Y1847" t="s">
        <v>52</v>
      </c>
      <c r="Z1847">
        <v>238</v>
      </c>
    </row>
    <row r="1848" spans="1:26" x14ac:dyDescent="0.3">
      <c r="A1848">
        <v>1847</v>
      </c>
      <c r="B1848" t="s">
        <v>3970</v>
      </c>
      <c r="C1848" t="s">
        <v>11</v>
      </c>
      <c r="D1848" t="s">
        <v>35</v>
      </c>
      <c r="E1848" t="s">
        <v>6358</v>
      </c>
      <c r="F1848" t="s">
        <v>6376</v>
      </c>
      <c r="G1848" t="s">
        <v>6396</v>
      </c>
      <c r="J1848">
        <f>AVERAGE(ai_job_market[[#This Row],[min_salary]],ai_job_market[[#This Row],[max_salary]])</f>
        <v>90220</v>
      </c>
      <c r="K1848"/>
      <c r="L1848" t="s">
        <v>22</v>
      </c>
      <c r="M1848" t="s">
        <v>51</v>
      </c>
      <c r="N1848" t="s">
        <v>6197</v>
      </c>
      <c r="O1848" t="s">
        <v>5170</v>
      </c>
      <c r="P1848">
        <v>58470</v>
      </c>
      <c r="Q1848">
        <v>121970</v>
      </c>
      <c r="R1848" s="2">
        <v>45711</v>
      </c>
      <c r="S1848" t="s">
        <v>16</v>
      </c>
      <c r="T1848" t="s">
        <v>52</v>
      </c>
      <c r="U1848" t="s">
        <v>6384</v>
      </c>
      <c r="W1848" t="s">
        <v>6358</v>
      </c>
      <c r="X1848">
        <v>96</v>
      </c>
      <c r="Y1848" t="s">
        <v>52</v>
      </c>
      <c r="Z1848">
        <v>238</v>
      </c>
    </row>
    <row r="1849" spans="1:26" x14ac:dyDescent="0.3">
      <c r="A1849">
        <v>1848</v>
      </c>
      <c r="B1849" t="s">
        <v>3972</v>
      </c>
      <c r="C1849" t="s">
        <v>45</v>
      </c>
      <c r="D1849" t="s">
        <v>67</v>
      </c>
      <c r="E1849" t="s">
        <v>6351</v>
      </c>
      <c r="F1849" t="s">
        <v>6391</v>
      </c>
      <c r="G1849" t="s">
        <v>6390</v>
      </c>
      <c r="J1849">
        <f>AVERAGE(ai_job_market[[#This Row],[min_salary]],ai_job_market[[#This Row],[max_salary]])</f>
        <v>120778</v>
      </c>
      <c r="K1849"/>
      <c r="L1849" t="s">
        <v>27</v>
      </c>
      <c r="M1849" t="s">
        <v>15</v>
      </c>
      <c r="N1849" t="s">
        <v>6198</v>
      </c>
      <c r="O1849" t="s">
        <v>4380</v>
      </c>
      <c r="P1849">
        <v>106459</v>
      </c>
      <c r="Q1849">
        <v>135097</v>
      </c>
      <c r="R1849" s="2">
        <v>45897</v>
      </c>
      <c r="S1849" t="s">
        <v>14</v>
      </c>
      <c r="T1849" t="s">
        <v>90</v>
      </c>
      <c r="U1849" t="s">
        <v>6375</v>
      </c>
      <c r="W1849" t="s">
        <v>6351</v>
      </c>
      <c r="X1849">
        <v>89</v>
      </c>
      <c r="Y1849" t="s">
        <v>90</v>
      </c>
      <c r="Z1849">
        <v>259</v>
      </c>
    </row>
    <row r="1850" spans="1:26" x14ac:dyDescent="0.3">
      <c r="A1850">
        <v>1849</v>
      </c>
      <c r="B1850" t="s">
        <v>3974</v>
      </c>
      <c r="C1850" t="s">
        <v>19</v>
      </c>
      <c r="D1850" t="s">
        <v>54</v>
      </c>
      <c r="E1850" t="s">
        <v>70</v>
      </c>
      <c r="F1850" t="s">
        <v>6375</v>
      </c>
      <c r="G1850" t="s">
        <v>6395</v>
      </c>
      <c r="H1850" t="s">
        <v>6382</v>
      </c>
      <c r="I1850" t="s">
        <v>6376</v>
      </c>
      <c r="J1850" s="6">
        <f>AVERAGE(ai_job_market[[#This Row],[min_salary]],ai_job_market[[#This Row],[max_salary]])</f>
        <v>163236</v>
      </c>
      <c r="K1850" t="s">
        <v>6387</v>
      </c>
      <c r="L1850" t="s">
        <v>14</v>
      </c>
      <c r="M1850" t="s">
        <v>42</v>
      </c>
      <c r="N1850" t="s">
        <v>6199</v>
      </c>
      <c r="O1850" t="s">
        <v>4701</v>
      </c>
      <c r="P1850" s="5">
        <v>122945</v>
      </c>
      <c r="Q1850" s="5">
        <v>203527</v>
      </c>
      <c r="R1850" s="2">
        <v>45808</v>
      </c>
      <c r="S1850" t="s">
        <v>16</v>
      </c>
      <c r="T1850" t="s">
        <v>70</v>
      </c>
      <c r="U1850" t="s">
        <v>6384</v>
      </c>
      <c r="V1850" t="s">
        <v>6375</v>
      </c>
      <c r="W1850" t="s">
        <v>70</v>
      </c>
      <c r="X1850">
        <v>100</v>
      </c>
      <c r="Y1850" t="s">
        <v>70</v>
      </c>
      <c r="Z1850">
        <v>268</v>
      </c>
    </row>
    <row r="1851" spans="1:26" x14ac:dyDescent="0.3">
      <c r="A1851">
        <v>1850</v>
      </c>
      <c r="B1851" t="s">
        <v>2446</v>
      </c>
      <c r="C1851" t="s">
        <v>49</v>
      </c>
      <c r="D1851" t="s">
        <v>12</v>
      </c>
      <c r="E1851" t="s">
        <v>6351</v>
      </c>
      <c r="F1851" t="s">
        <v>6396</v>
      </c>
      <c r="G1851" t="s">
        <v>6382</v>
      </c>
      <c r="H1851" t="s">
        <v>6390</v>
      </c>
      <c r="I1851" t="s">
        <v>6374</v>
      </c>
      <c r="J1851">
        <f>AVERAGE(ai_job_market[[#This Row],[min_salary]],ai_job_market[[#This Row],[max_salary]])</f>
        <v>157887.5</v>
      </c>
      <c r="K1851" t="s">
        <v>6386</v>
      </c>
      <c r="L1851" t="s">
        <v>14</v>
      </c>
      <c r="M1851" t="s">
        <v>51</v>
      </c>
      <c r="N1851" t="s">
        <v>4332</v>
      </c>
      <c r="O1851" t="s">
        <v>4699</v>
      </c>
      <c r="P1851">
        <v>124091</v>
      </c>
      <c r="Q1851">
        <v>191684</v>
      </c>
      <c r="R1851" s="2">
        <v>45360</v>
      </c>
      <c r="S1851" t="s">
        <v>69</v>
      </c>
      <c r="T1851" t="s">
        <v>157</v>
      </c>
      <c r="U1851" t="s">
        <v>6378</v>
      </c>
      <c r="W1851" t="s">
        <v>6351</v>
      </c>
      <c r="X1851">
        <v>89</v>
      </c>
      <c r="Y1851" t="s">
        <v>157</v>
      </c>
      <c r="Z1851">
        <v>247</v>
      </c>
    </row>
    <row r="1852" spans="1:26" x14ac:dyDescent="0.3">
      <c r="A1852">
        <v>1851</v>
      </c>
      <c r="B1852" t="s">
        <v>3978</v>
      </c>
      <c r="C1852" t="s">
        <v>45</v>
      </c>
      <c r="D1852" t="s">
        <v>20</v>
      </c>
      <c r="E1852" t="s">
        <v>128</v>
      </c>
      <c r="F1852" t="s">
        <v>6396</v>
      </c>
      <c r="G1852" t="s">
        <v>6382</v>
      </c>
      <c r="H1852" t="s">
        <v>6389</v>
      </c>
      <c r="I1852" t="s">
        <v>6393</v>
      </c>
      <c r="J1852">
        <f>AVERAGE(ai_job_market[[#This Row],[min_salary]],ai_job_market[[#This Row],[max_salary]])</f>
        <v>167177</v>
      </c>
      <c r="K1852"/>
      <c r="L1852" t="s">
        <v>22</v>
      </c>
      <c r="M1852" t="s">
        <v>15</v>
      </c>
      <c r="N1852" t="s">
        <v>6200</v>
      </c>
      <c r="O1852" t="s">
        <v>4418</v>
      </c>
      <c r="P1852">
        <v>137315</v>
      </c>
      <c r="Q1852">
        <v>197039</v>
      </c>
      <c r="R1852" s="2">
        <v>45370</v>
      </c>
      <c r="S1852" t="s">
        <v>69</v>
      </c>
      <c r="T1852" t="s">
        <v>70</v>
      </c>
      <c r="U1852" t="s">
        <v>6388</v>
      </c>
      <c r="V1852" t="s">
        <v>6389</v>
      </c>
      <c r="W1852" t="s">
        <v>128</v>
      </c>
      <c r="X1852">
        <v>92</v>
      </c>
      <c r="Y1852" t="s">
        <v>70</v>
      </c>
      <c r="Z1852">
        <v>268</v>
      </c>
    </row>
    <row r="1853" spans="1:26" x14ac:dyDescent="0.3">
      <c r="A1853">
        <v>1852</v>
      </c>
      <c r="B1853" t="s">
        <v>3980</v>
      </c>
      <c r="C1853" t="s">
        <v>11</v>
      </c>
      <c r="D1853" t="s">
        <v>135</v>
      </c>
      <c r="E1853" t="s">
        <v>70</v>
      </c>
      <c r="F1853" t="s">
        <v>6381</v>
      </c>
      <c r="G1853" t="s">
        <v>6382</v>
      </c>
      <c r="H1853" t="s">
        <v>6387</v>
      </c>
      <c r="I1853" t="s">
        <v>6374</v>
      </c>
      <c r="J1853" s="6">
        <f>AVERAGE(ai_job_market[[#This Row],[min_salary]],ai_job_market[[#This Row],[max_salary]])</f>
        <v>125016.5</v>
      </c>
      <c r="K1853" t="s">
        <v>6397</v>
      </c>
      <c r="L1853" t="s">
        <v>27</v>
      </c>
      <c r="M1853" t="s">
        <v>42</v>
      </c>
      <c r="N1853" t="s">
        <v>6201</v>
      </c>
      <c r="O1853" t="s">
        <v>4576</v>
      </c>
      <c r="P1853" s="5">
        <v>106512</v>
      </c>
      <c r="Q1853" s="5">
        <v>143521</v>
      </c>
      <c r="R1853" s="2">
        <v>45680</v>
      </c>
      <c r="S1853" t="s">
        <v>16</v>
      </c>
      <c r="T1853" t="s">
        <v>80</v>
      </c>
      <c r="U1853" t="s">
        <v>6383</v>
      </c>
      <c r="W1853" t="s">
        <v>70</v>
      </c>
      <c r="X1853">
        <v>100</v>
      </c>
      <c r="Y1853" t="s">
        <v>80</v>
      </c>
      <c r="Z1853">
        <v>249</v>
      </c>
    </row>
    <row r="1854" spans="1:26" x14ac:dyDescent="0.3">
      <c r="A1854">
        <v>1853</v>
      </c>
      <c r="B1854" t="s">
        <v>3982</v>
      </c>
      <c r="C1854" t="s">
        <v>72</v>
      </c>
      <c r="D1854" t="s">
        <v>67</v>
      </c>
      <c r="E1854" t="s">
        <v>6359</v>
      </c>
      <c r="F1854" t="s">
        <v>6384</v>
      </c>
      <c r="G1854" t="s">
        <v>6394</v>
      </c>
      <c r="J1854">
        <f>AVERAGE(ai_job_market[[#This Row],[min_salary]],ai_job_market[[#This Row],[max_salary]])</f>
        <v>135968</v>
      </c>
      <c r="K1854"/>
      <c r="L1854" t="s">
        <v>14</v>
      </c>
      <c r="M1854" t="s">
        <v>37</v>
      </c>
      <c r="N1854" t="s">
        <v>5373</v>
      </c>
      <c r="O1854" t="s">
        <v>4377</v>
      </c>
      <c r="P1854">
        <v>98138</v>
      </c>
      <c r="Q1854">
        <v>173798</v>
      </c>
      <c r="R1854" s="2">
        <v>45820</v>
      </c>
      <c r="S1854" t="s">
        <v>14</v>
      </c>
      <c r="T1854" t="s">
        <v>80</v>
      </c>
      <c r="W1854" t="s">
        <v>6359</v>
      </c>
      <c r="X1854">
        <v>104</v>
      </c>
      <c r="Y1854" t="s">
        <v>80</v>
      </c>
      <c r="Z1854">
        <v>249</v>
      </c>
    </row>
    <row r="1855" spans="1:26" x14ac:dyDescent="0.3">
      <c r="A1855">
        <v>1854</v>
      </c>
      <c r="B1855" t="s">
        <v>3984</v>
      </c>
      <c r="C1855" t="s">
        <v>34</v>
      </c>
      <c r="D1855" t="s">
        <v>20</v>
      </c>
      <c r="E1855" t="s">
        <v>6356</v>
      </c>
      <c r="F1855" t="s">
        <v>6379</v>
      </c>
      <c r="G1855" t="s">
        <v>6375</v>
      </c>
      <c r="H1855" t="s">
        <v>6389</v>
      </c>
      <c r="I1855" t="s">
        <v>6381</v>
      </c>
      <c r="J1855">
        <f>AVERAGE(ai_job_market[[#This Row],[min_salary]],ai_job_market[[#This Row],[max_salary]])</f>
        <v>146829.5</v>
      </c>
      <c r="K1855"/>
      <c r="L1855" t="s">
        <v>27</v>
      </c>
      <c r="M1855" t="s">
        <v>51</v>
      </c>
      <c r="N1855" t="s">
        <v>6202</v>
      </c>
      <c r="O1855" t="s">
        <v>4301</v>
      </c>
      <c r="P1855">
        <v>135742</v>
      </c>
      <c r="Q1855">
        <v>157917</v>
      </c>
      <c r="R1855" s="2">
        <v>45620</v>
      </c>
      <c r="S1855" t="s">
        <v>16</v>
      </c>
      <c r="T1855" t="s">
        <v>70</v>
      </c>
      <c r="U1855" t="s">
        <v>6376</v>
      </c>
      <c r="V1855" t="s">
        <v>6388</v>
      </c>
      <c r="W1855" t="s">
        <v>6356</v>
      </c>
      <c r="X1855">
        <v>86</v>
      </c>
      <c r="Y1855" t="s">
        <v>70</v>
      </c>
      <c r="Z1855">
        <v>268</v>
      </c>
    </row>
    <row r="1856" spans="1:26" x14ac:dyDescent="0.3">
      <c r="A1856">
        <v>1855</v>
      </c>
      <c r="B1856" t="s">
        <v>3987</v>
      </c>
      <c r="C1856" t="s">
        <v>40</v>
      </c>
      <c r="D1856" t="s">
        <v>54</v>
      </c>
      <c r="E1856" t="s">
        <v>77</v>
      </c>
      <c r="F1856" t="s">
        <v>6394</v>
      </c>
      <c r="G1856" t="s">
        <v>6385</v>
      </c>
      <c r="J1856">
        <f>AVERAGE(ai_job_market[[#This Row],[min_salary]],ai_job_market[[#This Row],[max_salary]])</f>
        <v>92519</v>
      </c>
      <c r="K1856"/>
      <c r="L1856" t="s">
        <v>22</v>
      </c>
      <c r="M1856" t="s">
        <v>51</v>
      </c>
      <c r="N1856" t="s">
        <v>6203</v>
      </c>
      <c r="O1856" t="s">
        <v>4369</v>
      </c>
      <c r="P1856">
        <v>83533</v>
      </c>
      <c r="Q1856">
        <v>101505</v>
      </c>
      <c r="R1856" s="2">
        <v>45496</v>
      </c>
      <c r="S1856" t="s">
        <v>14</v>
      </c>
      <c r="T1856" t="s">
        <v>52</v>
      </c>
      <c r="W1856" t="s">
        <v>77</v>
      </c>
      <c r="X1856">
        <v>111</v>
      </c>
      <c r="Y1856" t="s">
        <v>52</v>
      </c>
      <c r="Z1856">
        <v>238</v>
      </c>
    </row>
    <row r="1857" spans="1:26" x14ac:dyDescent="0.3">
      <c r="A1857">
        <v>1856</v>
      </c>
      <c r="B1857" t="s">
        <v>3989</v>
      </c>
      <c r="C1857" t="s">
        <v>11</v>
      </c>
      <c r="D1857" t="s">
        <v>20</v>
      </c>
      <c r="E1857" t="s">
        <v>6359</v>
      </c>
      <c r="F1857" t="s">
        <v>6379</v>
      </c>
      <c r="G1857" t="s">
        <v>6380</v>
      </c>
      <c r="H1857" t="s">
        <v>6393</v>
      </c>
      <c r="J1857">
        <f>AVERAGE(ai_job_market[[#This Row],[min_salary]],ai_job_market[[#This Row],[max_salary]])</f>
        <v>162770</v>
      </c>
      <c r="K1857"/>
      <c r="L1857" t="s">
        <v>27</v>
      </c>
      <c r="M1857" t="s">
        <v>42</v>
      </c>
      <c r="N1857" t="s">
        <v>6204</v>
      </c>
      <c r="O1857" t="s">
        <v>4566</v>
      </c>
      <c r="P1857">
        <v>121547</v>
      </c>
      <c r="Q1857">
        <v>203993</v>
      </c>
      <c r="R1857" s="2">
        <v>45222</v>
      </c>
      <c r="S1857" t="s">
        <v>14</v>
      </c>
      <c r="T1857" t="s">
        <v>70</v>
      </c>
      <c r="U1857" t="s">
        <v>6389</v>
      </c>
      <c r="W1857" t="s">
        <v>6359</v>
      </c>
      <c r="X1857">
        <v>104</v>
      </c>
      <c r="Y1857" t="s">
        <v>70</v>
      </c>
      <c r="Z1857">
        <v>268</v>
      </c>
    </row>
    <row r="1858" spans="1:26" x14ac:dyDescent="0.3">
      <c r="A1858">
        <v>1857</v>
      </c>
      <c r="B1858" t="s">
        <v>3991</v>
      </c>
      <c r="C1858" t="s">
        <v>72</v>
      </c>
      <c r="D1858" t="s">
        <v>12</v>
      </c>
      <c r="E1858" t="s">
        <v>80</v>
      </c>
      <c r="F1858" t="s">
        <v>6397</v>
      </c>
      <c r="G1858" t="s">
        <v>6381</v>
      </c>
      <c r="J1858">
        <f>AVERAGE(ai_job_market[[#This Row],[min_salary]],ai_job_market[[#This Row],[max_salary]])</f>
        <v>142798</v>
      </c>
      <c r="K1858"/>
      <c r="L1858" t="s">
        <v>27</v>
      </c>
      <c r="M1858" t="s">
        <v>37</v>
      </c>
      <c r="N1858" t="s">
        <v>6205</v>
      </c>
      <c r="O1858" t="s">
        <v>4416</v>
      </c>
      <c r="P1858">
        <v>120806</v>
      </c>
      <c r="Q1858">
        <v>164790</v>
      </c>
      <c r="R1858" s="2">
        <v>45874</v>
      </c>
      <c r="S1858" t="s">
        <v>16</v>
      </c>
      <c r="T1858" t="s">
        <v>157</v>
      </c>
      <c r="W1858" t="s">
        <v>80</v>
      </c>
      <c r="X1858">
        <v>95</v>
      </c>
      <c r="Y1858" t="s">
        <v>157</v>
      </c>
      <c r="Z1858">
        <v>247</v>
      </c>
    </row>
    <row r="1859" spans="1:26" x14ac:dyDescent="0.3">
      <c r="A1859">
        <v>1858</v>
      </c>
      <c r="B1859" t="s">
        <v>3993</v>
      </c>
      <c r="C1859" t="s">
        <v>19</v>
      </c>
      <c r="D1859" t="s">
        <v>20</v>
      </c>
      <c r="E1859" t="s">
        <v>6352</v>
      </c>
      <c r="F1859" t="s">
        <v>6390</v>
      </c>
      <c r="G1859" t="s">
        <v>6377</v>
      </c>
      <c r="H1859" t="s">
        <v>6381</v>
      </c>
      <c r="J1859">
        <f>AVERAGE(ai_job_market[[#This Row],[min_salary]],ai_job_market[[#This Row],[max_salary]])</f>
        <v>143040</v>
      </c>
      <c r="K1859"/>
      <c r="L1859" t="s">
        <v>14</v>
      </c>
      <c r="M1859" t="s">
        <v>51</v>
      </c>
      <c r="N1859" t="s">
        <v>6206</v>
      </c>
      <c r="O1859" t="s">
        <v>4556</v>
      </c>
      <c r="P1859">
        <v>98170</v>
      </c>
      <c r="Q1859">
        <v>187910</v>
      </c>
      <c r="R1859" s="2">
        <v>45484</v>
      </c>
      <c r="S1859" t="s">
        <v>69</v>
      </c>
      <c r="T1859" t="s">
        <v>70</v>
      </c>
      <c r="W1859" t="s">
        <v>6352</v>
      </c>
      <c r="X1859">
        <v>97</v>
      </c>
      <c r="Y1859" t="s">
        <v>70</v>
      </c>
      <c r="Z1859">
        <v>268</v>
      </c>
    </row>
    <row r="1860" spans="1:26" x14ac:dyDescent="0.3">
      <c r="A1860">
        <v>1859</v>
      </c>
      <c r="B1860" t="s">
        <v>3995</v>
      </c>
      <c r="C1860" t="s">
        <v>49</v>
      </c>
      <c r="D1860" t="s">
        <v>12</v>
      </c>
      <c r="E1860" t="s">
        <v>6347</v>
      </c>
      <c r="F1860" t="s">
        <v>6381</v>
      </c>
      <c r="G1860" t="s">
        <v>6375</v>
      </c>
      <c r="J1860">
        <f>AVERAGE(ai_job_market[[#This Row],[min_salary]],ai_job_market[[#This Row],[max_salary]])</f>
        <v>95503.5</v>
      </c>
      <c r="K1860"/>
      <c r="L1860" t="s">
        <v>22</v>
      </c>
      <c r="M1860" t="s">
        <v>51</v>
      </c>
      <c r="N1860" t="s">
        <v>6207</v>
      </c>
      <c r="O1860" t="s">
        <v>4506</v>
      </c>
      <c r="P1860">
        <v>69719</v>
      </c>
      <c r="Q1860">
        <v>121288</v>
      </c>
      <c r="R1860" s="2">
        <v>45588</v>
      </c>
      <c r="S1860" t="s">
        <v>69</v>
      </c>
      <c r="T1860" t="s">
        <v>101</v>
      </c>
      <c r="U1860" t="s">
        <v>6389</v>
      </c>
      <c r="W1860" t="s">
        <v>6347</v>
      </c>
      <c r="X1860">
        <v>94</v>
      </c>
      <c r="Y1860" t="s">
        <v>101</v>
      </c>
      <c r="Z1860">
        <v>255</v>
      </c>
    </row>
    <row r="1861" spans="1:26" x14ac:dyDescent="0.3">
      <c r="A1861">
        <v>1860</v>
      </c>
      <c r="B1861" t="s">
        <v>164</v>
      </c>
      <c r="C1861" t="s">
        <v>49</v>
      </c>
      <c r="D1861" t="s">
        <v>25</v>
      </c>
      <c r="E1861" t="s">
        <v>6351</v>
      </c>
      <c r="F1861" t="s">
        <v>6392</v>
      </c>
      <c r="G1861" t="s">
        <v>6376</v>
      </c>
      <c r="H1861" t="s">
        <v>6377</v>
      </c>
      <c r="J1861">
        <f>AVERAGE(ai_job_market[[#This Row],[min_salary]],ai_job_market[[#This Row],[max_salary]])</f>
        <v>184652.5</v>
      </c>
      <c r="K1861"/>
      <c r="L1861" t="s">
        <v>14</v>
      </c>
      <c r="M1861" t="s">
        <v>51</v>
      </c>
      <c r="N1861" t="s">
        <v>6208</v>
      </c>
      <c r="O1861" t="s">
        <v>4664</v>
      </c>
      <c r="P1861">
        <v>149745</v>
      </c>
      <c r="Q1861">
        <v>219560</v>
      </c>
      <c r="R1861" s="2">
        <v>45190</v>
      </c>
      <c r="S1861" t="s">
        <v>16</v>
      </c>
      <c r="T1861" t="s">
        <v>90</v>
      </c>
      <c r="U1861" t="s">
        <v>6378</v>
      </c>
      <c r="W1861" t="s">
        <v>6351</v>
      </c>
      <c r="X1861">
        <v>89</v>
      </c>
      <c r="Y1861" t="s">
        <v>90</v>
      </c>
      <c r="Z1861">
        <v>259</v>
      </c>
    </row>
    <row r="1862" spans="1:26" x14ac:dyDescent="0.3">
      <c r="A1862">
        <v>1861</v>
      </c>
      <c r="B1862" t="s">
        <v>3998</v>
      </c>
      <c r="C1862" t="s">
        <v>11</v>
      </c>
      <c r="D1862" t="s">
        <v>30</v>
      </c>
      <c r="E1862" t="s">
        <v>77</v>
      </c>
      <c r="F1862" t="s">
        <v>6384</v>
      </c>
      <c r="G1862" t="s">
        <v>6397</v>
      </c>
      <c r="H1862" t="s">
        <v>6377</v>
      </c>
      <c r="J1862" s="6">
        <f>AVERAGE(ai_job_market[[#This Row],[min_salary]],ai_job_market[[#This Row],[max_salary]])</f>
        <v>144411</v>
      </c>
      <c r="K1862"/>
      <c r="L1862" t="s">
        <v>27</v>
      </c>
      <c r="M1862" t="s">
        <v>51</v>
      </c>
      <c r="N1862" t="s">
        <v>6209</v>
      </c>
      <c r="O1862" t="s">
        <v>4387</v>
      </c>
      <c r="P1862" s="5">
        <v>121766</v>
      </c>
      <c r="Q1862" s="5">
        <v>167056</v>
      </c>
      <c r="R1862" s="2">
        <v>45450</v>
      </c>
      <c r="S1862" t="s">
        <v>14</v>
      </c>
      <c r="T1862" t="s">
        <v>77</v>
      </c>
      <c r="U1862" t="s">
        <v>6388</v>
      </c>
      <c r="V1862" t="s">
        <v>6375</v>
      </c>
      <c r="W1862" t="s">
        <v>77</v>
      </c>
      <c r="X1862">
        <v>111</v>
      </c>
      <c r="Y1862" t="s">
        <v>77</v>
      </c>
      <c r="Z1862">
        <v>251</v>
      </c>
    </row>
    <row r="1863" spans="1:26" x14ac:dyDescent="0.3">
      <c r="A1863">
        <v>1862</v>
      </c>
      <c r="B1863" t="s">
        <v>4000</v>
      </c>
      <c r="C1863" t="s">
        <v>45</v>
      </c>
      <c r="D1863" t="s">
        <v>25</v>
      </c>
      <c r="E1863" t="s">
        <v>6351</v>
      </c>
      <c r="F1863" t="s">
        <v>6385</v>
      </c>
      <c r="G1863" t="s">
        <v>6394</v>
      </c>
      <c r="H1863" t="s">
        <v>6387</v>
      </c>
      <c r="J1863">
        <f>AVERAGE(ai_job_market[[#This Row],[min_salary]],ai_job_market[[#This Row],[max_salary]])</f>
        <v>142923</v>
      </c>
      <c r="K1863"/>
      <c r="L1863" t="s">
        <v>22</v>
      </c>
      <c r="M1863" t="s">
        <v>42</v>
      </c>
      <c r="N1863" t="s">
        <v>4344</v>
      </c>
      <c r="O1863" t="s">
        <v>4624</v>
      </c>
      <c r="P1863">
        <v>134147</v>
      </c>
      <c r="Q1863">
        <v>151699</v>
      </c>
      <c r="R1863" s="2">
        <v>45917</v>
      </c>
      <c r="S1863" t="s">
        <v>14</v>
      </c>
      <c r="T1863" t="s">
        <v>128</v>
      </c>
      <c r="U1863" t="s">
        <v>6388</v>
      </c>
      <c r="W1863" t="s">
        <v>6351</v>
      </c>
      <c r="X1863">
        <v>89</v>
      </c>
      <c r="Y1863" t="s">
        <v>128</v>
      </c>
      <c r="Z1863">
        <v>233</v>
      </c>
    </row>
    <row r="1864" spans="1:26" x14ac:dyDescent="0.3">
      <c r="A1864">
        <v>1863</v>
      </c>
      <c r="B1864" t="s">
        <v>4002</v>
      </c>
      <c r="C1864" t="s">
        <v>34</v>
      </c>
      <c r="D1864" t="s">
        <v>135</v>
      </c>
      <c r="E1864" t="s">
        <v>70</v>
      </c>
      <c r="F1864" t="s">
        <v>6397</v>
      </c>
      <c r="G1864" t="s">
        <v>6396</v>
      </c>
      <c r="H1864" t="s">
        <v>6386</v>
      </c>
      <c r="I1864" t="s">
        <v>6395</v>
      </c>
      <c r="J1864">
        <f>AVERAGE(ai_job_market[[#This Row],[min_salary]],ai_job_market[[#This Row],[max_salary]])</f>
        <v>153684</v>
      </c>
      <c r="K1864" t="s">
        <v>6393</v>
      </c>
      <c r="L1864" t="s">
        <v>14</v>
      </c>
      <c r="M1864" t="s">
        <v>42</v>
      </c>
      <c r="N1864" t="s">
        <v>5211</v>
      </c>
      <c r="O1864" t="s">
        <v>4783</v>
      </c>
      <c r="P1864">
        <v>120540</v>
      </c>
      <c r="Q1864">
        <v>186828</v>
      </c>
      <c r="R1864" s="2">
        <v>45265</v>
      </c>
      <c r="S1864" t="s">
        <v>14</v>
      </c>
      <c r="T1864" t="s">
        <v>157</v>
      </c>
      <c r="U1864" t="s">
        <v>6389</v>
      </c>
      <c r="W1864" t="s">
        <v>70</v>
      </c>
      <c r="X1864">
        <v>100</v>
      </c>
      <c r="Y1864" t="s">
        <v>157</v>
      </c>
      <c r="Z1864">
        <v>247</v>
      </c>
    </row>
    <row r="1865" spans="1:26" x14ac:dyDescent="0.3">
      <c r="A1865">
        <v>1864</v>
      </c>
      <c r="B1865" t="s">
        <v>613</v>
      </c>
      <c r="C1865" t="s">
        <v>34</v>
      </c>
      <c r="D1865" t="s">
        <v>135</v>
      </c>
      <c r="E1865" t="s">
        <v>6358</v>
      </c>
      <c r="F1865" t="s">
        <v>6396</v>
      </c>
      <c r="G1865" t="s">
        <v>6391</v>
      </c>
      <c r="H1865" t="s">
        <v>6390</v>
      </c>
      <c r="I1865" t="s">
        <v>6385</v>
      </c>
      <c r="J1865">
        <f>AVERAGE(ai_job_market[[#This Row],[min_salary]],ai_job_market[[#This Row],[max_salary]])</f>
        <v>149314</v>
      </c>
      <c r="K1865"/>
      <c r="L1865" t="s">
        <v>27</v>
      </c>
      <c r="M1865" t="s">
        <v>37</v>
      </c>
      <c r="N1865" t="s">
        <v>4837</v>
      </c>
      <c r="O1865" t="s">
        <v>4503</v>
      </c>
      <c r="P1865">
        <v>109782</v>
      </c>
      <c r="Q1865">
        <v>188846</v>
      </c>
      <c r="R1865" s="2">
        <v>45230</v>
      </c>
      <c r="S1865" t="s">
        <v>16</v>
      </c>
      <c r="T1865" t="s">
        <v>80</v>
      </c>
      <c r="U1865" t="s">
        <v>6379</v>
      </c>
      <c r="W1865" t="s">
        <v>6358</v>
      </c>
      <c r="X1865">
        <v>96</v>
      </c>
      <c r="Y1865" t="s">
        <v>80</v>
      </c>
      <c r="Z1865">
        <v>249</v>
      </c>
    </row>
    <row r="1866" spans="1:26" x14ac:dyDescent="0.3">
      <c r="A1866">
        <v>1865</v>
      </c>
      <c r="B1866" t="s">
        <v>4005</v>
      </c>
      <c r="C1866" t="s">
        <v>34</v>
      </c>
      <c r="D1866" t="s">
        <v>67</v>
      </c>
      <c r="E1866" t="s">
        <v>6347</v>
      </c>
      <c r="F1866" t="s">
        <v>6389</v>
      </c>
      <c r="G1866" t="s">
        <v>6375</v>
      </c>
      <c r="H1866" t="s">
        <v>6385</v>
      </c>
      <c r="I1866" t="s">
        <v>6377</v>
      </c>
      <c r="J1866" s="6">
        <f>AVERAGE(ai_job_market[[#This Row],[min_salary]],ai_job_market[[#This Row],[max_salary]])</f>
        <v>164228</v>
      </c>
      <c r="K1866" t="s">
        <v>6393</v>
      </c>
      <c r="L1866" t="s">
        <v>22</v>
      </c>
      <c r="M1866" t="s">
        <v>15</v>
      </c>
      <c r="N1866" t="s">
        <v>6210</v>
      </c>
      <c r="O1866" t="s">
        <v>4634</v>
      </c>
      <c r="P1866" s="5">
        <v>122408</v>
      </c>
      <c r="Q1866" s="5">
        <v>206048</v>
      </c>
      <c r="R1866" s="2">
        <v>45895</v>
      </c>
      <c r="S1866" t="s">
        <v>14</v>
      </c>
      <c r="T1866" t="s">
        <v>90</v>
      </c>
      <c r="U1866" t="s">
        <v>6384</v>
      </c>
      <c r="V1866" t="s">
        <v>6375</v>
      </c>
      <c r="W1866" t="s">
        <v>6347</v>
      </c>
      <c r="X1866">
        <v>94</v>
      </c>
      <c r="Y1866" t="s">
        <v>90</v>
      </c>
      <c r="Z1866">
        <v>259</v>
      </c>
    </row>
    <row r="1867" spans="1:26" x14ac:dyDescent="0.3">
      <c r="A1867">
        <v>1866</v>
      </c>
      <c r="B1867" t="s">
        <v>4007</v>
      </c>
      <c r="C1867" t="s">
        <v>11</v>
      </c>
      <c r="D1867" t="s">
        <v>25</v>
      </c>
      <c r="E1867" t="s">
        <v>101</v>
      </c>
      <c r="F1867" t="s">
        <v>6386</v>
      </c>
      <c r="G1867" t="s">
        <v>6397</v>
      </c>
      <c r="H1867" t="s">
        <v>6380</v>
      </c>
      <c r="J1867">
        <f>AVERAGE(ai_job_market[[#This Row],[min_salary]],ai_job_market[[#This Row],[max_salary]])</f>
        <v>91590.5</v>
      </c>
      <c r="K1867"/>
      <c r="L1867" t="s">
        <v>14</v>
      </c>
      <c r="M1867" t="s">
        <v>51</v>
      </c>
      <c r="N1867" t="s">
        <v>6211</v>
      </c>
      <c r="O1867" t="s">
        <v>4556</v>
      </c>
      <c r="P1867">
        <v>58854</v>
      </c>
      <c r="Q1867">
        <v>124327</v>
      </c>
      <c r="R1867" s="2">
        <v>45842</v>
      </c>
      <c r="S1867" t="s">
        <v>16</v>
      </c>
      <c r="T1867" t="s">
        <v>157</v>
      </c>
      <c r="U1867" t="s">
        <v>6378</v>
      </c>
      <c r="W1867" t="s">
        <v>101</v>
      </c>
      <c r="X1867">
        <v>76</v>
      </c>
      <c r="Y1867" t="s">
        <v>157</v>
      </c>
      <c r="Z1867">
        <v>247</v>
      </c>
    </row>
    <row r="1868" spans="1:26" x14ac:dyDescent="0.3">
      <c r="A1868">
        <v>1867</v>
      </c>
      <c r="B1868" t="s">
        <v>4009</v>
      </c>
      <c r="C1868" t="s">
        <v>45</v>
      </c>
      <c r="D1868" t="s">
        <v>25</v>
      </c>
      <c r="E1868" t="s">
        <v>6356</v>
      </c>
      <c r="F1868" t="s">
        <v>6379</v>
      </c>
      <c r="G1868" t="s">
        <v>6386</v>
      </c>
      <c r="H1868" t="s">
        <v>6374</v>
      </c>
      <c r="J1868">
        <f>AVERAGE(ai_job_market[[#This Row],[min_salary]],ai_job_market[[#This Row],[max_salary]])</f>
        <v>114223</v>
      </c>
      <c r="K1868"/>
      <c r="L1868" t="s">
        <v>27</v>
      </c>
      <c r="M1868" t="s">
        <v>51</v>
      </c>
      <c r="N1868" t="s">
        <v>6212</v>
      </c>
      <c r="O1868" t="s">
        <v>4780</v>
      </c>
      <c r="P1868">
        <v>88941</v>
      </c>
      <c r="Q1868">
        <v>139505</v>
      </c>
      <c r="R1868" s="2">
        <v>45605</v>
      </c>
      <c r="S1868" t="s">
        <v>69</v>
      </c>
      <c r="T1868" t="s">
        <v>101</v>
      </c>
      <c r="U1868" t="s">
        <v>6388</v>
      </c>
      <c r="V1868" t="s">
        <v>6375</v>
      </c>
      <c r="W1868" t="s">
        <v>6356</v>
      </c>
      <c r="X1868">
        <v>86</v>
      </c>
      <c r="Y1868" t="s">
        <v>101</v>
      </c>
      <c r="Z1868">
        <v>255</v>
      </c>
    </row>
    <row r="1869" spans="1:26" x14ac:dyDescent="0.3">
      <c r="A1869">
        <v>1868</v>
      </c>
      <c r="B1869" t="s">
        <v>4011</v>
      </c>
      <c r="C1869" t="s">
        <v>72</v>
      </c>
      <c r="D1869" t="s">
        <v>12</v>
      </c>
      <c r="E1869" t="s">
        <v>6355</v>
      </c>
      <c r="F1869" t="s">
        <v>6382</v>
      </c>
      <c r="G1869" t="s">
        <v>6396</v>
      </c>
      <c r="H1869" t="s">
        <v>6374</v>
      </c>
      <c r="I1869" t="s">
        <v>6379</v>
      </c>
      <c r="J1869">
        <f>AVERAGE(ai_job_market[[#This Row],[min_salary]],ai_job_market[[#This Row],[max_salary]])</f>
        <v>109084</v>
      </c>
      <c r="K1869"/>
      <c r="L1869" t="s">
        <v>27</v>
      </c>
      <c r="M1869" t="s">
        <v>51</v>
      </c>
      <c r="N1869" t="s">
        <v>6213</v>
      </c>
      <c r="O1869" t="s">
        <v>4794</v>
      </c>
      <c r="P1869">
        <v>72495</v>
      </c>
      <c r="Q1869">
        <v>145673</v>
      </c>
      <c r="R1869" s="2">
        <v>45616</v>
      </c>
      <c r="S1869" t="s">
        <v>14</v>
      </c>
      <c r="T1869" t="s">
        <v>90</v>
      </c>
      <c r="W1869" t="s">
        <v>6355</v>
      </c>
      <c r="X1869">
        <v>90</v>
      </c>
      <c r="Y1869" t="s">
        <v>90</v>
      </c>
      <c r="Z1869">
        <v>259</v>
      </c>
    </row>
    <row r="1870" spans="1:26" x14ac:dyDescent="0.3">
      <c r="A1870">
        <v>1869</v>
      </c>
      <c r="B1870" t="s">
        <v>4013</v>
      </c>
      <c r="C1870" t="s">
        <v>72</v>
      </c>
      <c r="D1870" t="s">
        <v>20</v>
      </c>
      <c r="E1870" t="s">
        <v>6346</v>
      </c>
      <c r="F1870" t="s">
        <v>6385</v>
      </c>
      <c r="G1870" t="s">
        <v>6391</v>
      </c>
      <c r="H1870" t="s">
        <v>6384</v>
      </c>
      <c r="I1870" t="s">
        <v>6380</v>
      </c>
      <c r="J1870">
        <f>AVERAGE(ai_job_market[[#This Row],[min_salary]],ai_job_market[[#This Row],[max_salary]])</f>
        <v>131080.5</v>
      </c>
      <c r="K1870" t="s">
        <v>6387</v>
      </c>
      <c r="L1870" t="s">
        <v>22</v>
      </c>
      <c r="M1870" t="s">
        <v>51</v>
      </c>
      <c r="N1870" t="s">
        <v>6214</v>
      </c>
      <c r="O1870" t="s">
        <v>4973</v>
      </c>
      <c r="P1870">
        <v>82814</v>
      </c>
      <c r="Q1870">
        <v>179347</v>
      </c>
      <c r="R1870" s="2">
        <v>45803</v>
      </c>
      <c r="S1870" t="s">
        <v>69</v>
      </c>
      <c r="T1870" t="s">
        <v>128</v>
      </c>
      <c r="U1870" t="s">
        <v>6383</v>
      </c>
      <c r="W1870" t="s">
        <v>6346</v>
      </c>
      <c r="X1870">
        <v>78</v>
      </c>
      <c r="Y1870" t="s">
        <v>128</v>
      </c>
      <c r="Z1870">
        <v>233</v>
      </c>
    </row>
    <row r="1871" spans="1:26" x14ac:dyDescent="0.3">
      <c r="A1871">
        <v>1870</v>
      </c>
      <c r="B1871" t="s">
        <v>4015</v>
      </c>
      <c r="C1871" t="s">
        <v>34</v>
      </c>
      <c r="D1871" t="s">
        <v>54</v>
      </c>
      <c r="E1871" t="s">
        <v>6354</v>
      </c>
      <c r="F1871" t="s">
        <v>6391</v>
      </c>
      <c r="G1871" t="s">
        <v>6378</v>
      </c>
      <c r="H1871" t="s">
        <v>6392</v>
      </c>
      <c r="J1871">
        <f>AVERAGE(ai_job_market[[#This Row],[min_salary]],ai_job_market[[#This Row],[max_salary]])</f>
        <v>125685.5</v>
      </c>
      <c r="K1871"/>
      <c r="L1871" t="s">
        <v>14</v>
      </c>
      <c r="M1871" t="s">
        <v>51</v>
      </c>
      <c r="N1871" t="s">
        <v>6215</v>
      </c>
      <c r="O1871" t="s">
        <v>4794</v>
      </c>
      <c r="P1871">
        <v>116933</v>
      </c>
      <c r="Q1871">
        <v>134438</v>
      </c>
      <c r="R1871" s="2">
        <v>45551</v>
      </c>
      <c r="S1871" t="s">
        <v>14</v>
      </c>
      <c r="T1871" t="s">
        <v>101</v>
      </c>
      <c r="U1871" t="s">
        <v>6388</v>
      </c>
      <c r="W1871" t="s">
        <v>6354</v>
      </c>
      <c r="X1871">
        <v>75</v>
      </c>
      <c r="Y1871" t="s">
        <v>101</v>
      </c>
      <c r="Z1871">
        <v>255</v>
      </c>
    </row>
    <row r="1872" spans="1:26" x14ac:dyDescent="0.3">
      <c r="A1872">
        <v>1871</v>
      </c>
      <c r="B1872" t="s">
        <v>4017</v>
      </c>
      <c r="C1872" t="s">
        <v>34</v>
      </c>
      <c r="D1872" t="s">
        <v>30</v>
      </c>
      <c r="E1872" t="s">
        <v>6348</v>
      </c>
      <c r="F1872" t="s">
        <v>6397</v>
      </c>
      <c r="G1872" t="s">
        <v>6375</v>
      </c>
      <c r="H1872" t="s">
        <v>6387</v>
      </c>
      <c r="I1872" t="s">
        <v>6392</v>
      </c>
      <c r="J1872">
        <f>AVERAGE(ai_job_market[[#This Row],[min_salary]],ai_job_market[[#This Row],[max_salary]])</f>
        <v>143568</v>
      </c>
      <c r="K1872"/>
      <c r="L1872" t="s">
        <v>22</v>
      </c>
      <c r="M1872" t="s">
        <v>51</v>
      </c>
      <c r="N1872" t="s">
        <v>6216</v>
      </c>
      <c r="O1872" t="s">
        <v>5170</v>
      </c>
      <c r="P1872">
        <v>98712</v>
      </c>
      <c r="Q1872">
        <v>188424</v>
      </c>
      <c r="R1872" s="2">
        <v>45490</v>
      </c>
      <c r="S1872" t="s">
        <v>69</v>
      </c>
      <c r="T1872" t="s">
        <v>80</v>
      </c>
      <c r="U1872" t="s">
        <v>6375</v>
      </c>
      <c r="W1872" t="s">
        <v>6348</v>
      </c>
      <c r="X1872">
        <v>78</v>
      </c>
      <c r="Y1872" t="s">
        <v>80</v>
      </c>
      <c r="Z1872">
        <v>249</v>
      </c>
    </row>
    <row r="1873" spans="1:26" x14ac:dyDescent="0.3">
      <c r="A1873">
        <v>1872</v>
      </c>
      <c r="B1873" t="s">
        <v>4019</v>
      </c>
      <c r="C1873" t="s">
        <v>40</v>
      </c>
      <c r="D1873" t="s">
        <v>12</v>
      </c>
      <c r="E1873" t="s">
        <v>6347</v>
      </c>
      <c r="F1873" t="s">
        <v>6395</v>
      </c>
      <c r="G1873" t="s">
        <v>6393</v>
      </c>
      <c r="H1873" t="s">
        <v>6386</v>
      </c>
      <c r="J1873">
        <f>AVERAGE(ai_job_market[[#This Row],[min_salary]],ai_job_market[[#This Row],[max_salary]])</f>
        <v>96104.5</v>
      </c>
      <c r="K1873"/>
      <c r="L1873" t="s">
        <v>14</v>
      </c>
      <c r="M1873" t="s">
        <v>51</v>
      </c>
      <c r="N1873" t="s">
        <v>6217</v>
      </c>
      <c r="O1873" t="s">
        <v>4446</v>
      </c>
      <c r="P1873">
        <v>60237</v>
      </c>
      <c r="Q1873">
        <v>131972</v>
      </c>
      <c r="R1873" s="2">
        <v>45451</v>
      </c>
      <c r="S1873" t="s">
        <v>14</v>
      </c>
      <c r="T1873" t="s">
        <v>70</v>
      </c>
      <c r="U1873" t="s">
        <v>6388</v>
      </c>
      <c r="W1873" t="s">
        <v>6347</v>
      </c>
      <c r="X1873">
        <v>94</v>
      </c>
      <c r="Y1873" t="s">
        <v>70</v>
      </c>
      <c r="Z1873">
        <v>268</v>
      </c>
    </row>
    <row r="1874" spans="1:26" x14ac:dyDescent="0.3">
      <c r="A1874">
        <v>1873</v>
      </c>
      <c r="B1874" t="s">
        <v>4021</v>
      </c>
      <c r="C1874" t="s">
        <v>45</v>
      </c>
      <c r="D1874" t="s">
        <v>35</v>
      </c>
      <c r="E1874" t="s">
        <v>6352</v>
      </c>
      <c r="F1874" t="s">
        <v>6381</v>
      </c>
      <c r="G1874" t="s">
        <v>6380</v>
      </c>
      <c r="H1874" t="s">
        <v>6377</v>
      </c>
      <c r="I1874" t="s">
        <v>6384</v>
      </c>
      <c r="J1874">
        <f>AVERAGE(ai_job_market[[#This Row],[min_salary]],ai_job_market[[#This Row],[max_salary]])</f>
        <v>154216.5</v>
      </c>
      <c r="K1874" t="s">
        <v>6385</v>
      </c>
      <c r="L1874" t="s">
        <v>14</v>
      </c>
      <c r="M1874" t="s">
        <v>37</v>
      </c>
      <c r="N1874" t="s">
        <v>6218</v>
      </c>
      <c r="O1874" t="s">
        <v>4509</v>
      </c>
      <c r="P1874">
        <v>107898</v>
      </c>
      <c r="Q1874">
        <v>200535</v>
      </c>
      <c r="R1874" s="2">
        <v>45392</v>
      </c>
      <c r="S1874" t="s">
        <v>16</v>
      </c>
      <c r="T1874" t="s">
        <v>157</v>
      </c>
      <c r="W1874" t="s">
        <v>6352</v>
      </c>
      <c r="X1874">
        <v>97</v>
      </c>
      <c r="Y1874" t="s">
        <v>157</v>
      </c>
      <c r="Z1874">
        <v>247</v>
      </c>
    </row>
    <row r="1875" spans="1:26" x14ac:dyDescent="0.3">
      <c r="A1875">
        <v>1874</v>
      </c>
      <c r="B1875" t="s">
        <v>4023</v>
      </c>
      <c r="C1875" t="s">
        <v>45</v>
      </c>
      <c r="D1875" t="s">
        <v>20</v>
      </c>
      <c r="E1875" t="s">
        <v>6359</v>
      </c>
      <c r="F1875" t="s">
        <v>6387</v>
      </c>
      <c r="G1875" t="s">
        <v>6391</v>
      </c>
      <c r="H1875" t="s">
        <v>6380</v>
      </c>
      <c r="I1875" t="s">
        <v>6384</v>
      </c>
      <c r="J1875" s="6">
        <f>AVERAGE(ai_job_market[[#This Row],[min_salary]],ai_job_market[[#This Row],[max_salary]])</f>
        <v>146171.5</v>
      </c>
      <c r="K1875"/>
      <c r="L1875" t="s">
        <v>27</v>
      </c>
      <c r="M1875" t="s">
        <v>42</v>
      </c>
      <c r="N1875" t="s">
        <v>6219</v>
      </c>
      <c r="O1875" t="s">
        <v>4285</v>
      </c>
      <c r="P1875" s="5">
        <v>139581</v>
      </c>
      <c r="Q1875" s="5">
        <v>152762</v>
      </c>
      <c r="R1875" s="2">
        <v>45903</v>
      </c>
      <c r="S1875" t="s">
        <v>69</v>
      </c>
      <c r="T1875" t="s">
        <v>101</v>
      </c>
      <c r="U1875" t="s">
        <v>6383</v>
      </c>
      <c r="V1875" t="s">
        <v>6378</v>
      </c>
      <c r="W1875" t="s">
        <v>6359</v>
      </c>
      <c r="X1875">
        <v>104</v>
      </c>
      <c r="Y1875" t="s">
        <v>101</v>
      </c>
      <c r="Z1875">
        <v>255</v>
      </c>
    </row>
    <row r="1876" spans="1:26" x14ac:dyDescent="0.3">
      <c r="A1876">
        <v>1875</v>
      </c>
      <c r="B1876" t="s">
        <v>3032</v>
      </c>
      <c r="C1876" t="s">
        <v>11</v>
      </c>
      <c r="D1876" t="s">
        <v>30</v>
      </c>
      <c r="E1876" t="s">
        <v>6350</v>
      </c>
      <c r="F1876" t="s">
        <v>6390</v>
      </c>
      <c r="G1876" t="s">
        <v>6392</v>
      </c>
      <c r="H1876" t="s">
        <v>6382</v>
      </c>
      <c r="I1876" t="s">
        <v>6375</v>
      </c>
      <c r="J1876">
        <f>AVERAGE(ai_job_market[[#This Row],[min_salary]],ai_job_market[[#This Row],[max_salary]])</f>
        <v>122663</v>
      </c>
      <c r="K1876" t="s">
        <v>6396</v>
      </c>
      <c r="L1876" t="s">
        <v>22</v>
      </c>
      <c r="M1876" t="s">
        <v>37</v>
      </c>
      <c r="N1876" t="s">
        <v>6220</v>
      </c>
      <c r="O1876" t="s">
        <v>4603</v>
      </c>
      <c r="P1876">
        <v>75241</v>
      </c>
      <c r="Q1876">
        <v>170085</v>
      </c>
      <c r="R1876" s="2">
        <v>45692</v>
      </c>
      <c r="S1876" t="s">
        <v>16</v>
      </c>
      <c r="T1876" t="s">
        <v>80</v>
      </c>
      <c r="W1876" t="s">
        <v>6350</v>
      </c>
      <c r="X1876">
        <v>84</v>
      </c>
      <c r="Y1876" t="s">
        <v>80</v>
      </c>
      <c r="Z1876">
        <v>249</v>
      </c>
    </row>
    <row r="1877" spans="1:26" x14ac:dyDescent="0.3">
      <c r="A1877">
        <v>1876</v>
      </c>
      <c r="B1877" t="s">
        <v>4026</v>
      </c>
      <c r="C1877" t="s">
        <v>49</v>
      </c>
      <c r="D1877" t="s">
        <v>25</v>
      </c>
      <c r="E1877" t="s">
        <v>6349</v>
      </c>
      <c r="F1877" t="s">
        <v>6374</v>
      </c>
      <c r="G1877" t="s">
        <v>6376</v>
      </c>
      <c r="J1877">
        <f>AVERAGE(ai_job_market[[#This Row],[min_salary]],ai_job_market[[#This Row],[max_salary]])</f>
        <v>169681.5</v>
      </c>
      <c r="K1877"/>
      <c r="L1877" t="s">
        <v>14</v>
      </c>
      <c r="M1877" t="s">
        <v>37</v>
      </c>
      <c r="N1877" t="s">
        <v>6221</v>
      </c>
      <c r="O1877" t="s">
        <v>4643</v>
      </c>
      <c r="P1877">
        <v>137255</v>
      </c>
      <c r="Q1877">
        <v>202108</v>
      </c>
      <c r="R1877" s="2">
        <v>45543</v>
      </c>
      <c r="S1877" t="s">
        <v>69</v>
      </c>
      <c r="T1877" t="s">
        <v>90</v>
      </c>
      <c r="U1877" t="s">
        <v>6388</v>
      </c>
      <c r="W1877" t="s">
        <v>6349</v>
      </c>
      <c r="X1877">
        <v>96</v>
      </c>
      <c r="Y1877" t="s">
        <v>90</v>
      </c>
      <c r="Z1877">
        <v>259</v>
      </c>
    </row>
    <row r="1878" spans="1:26" x14ac:dyDescent="0.3">
      <c r="A1878">
        <v>1877</v>
      </c>
      <c r="B1878" t="s">
        <v>4028</v>
      </c>
      <c r="C1878" t="s">
        <v>34</v>
      </c>
      <c r="D1878" t="s">
        <v>35</v>
      </c>
      <c r="E1878" t="s">
        <v>6359</v>
      </c>
      <c r="F1878" t="s">
        <v>6396</v>
      </c>
      <c r="G1878" t="s">
        <v>6385</v>
      </c>
      <c r="H1878" t="s">
        <v>6380</v>
      </c>
      <c r="I1878" t="s">
        <v>6390</v>
      </c>
      <c r="J1878">
        <f>AVERAGE(ai_job_market[[#This Row],[min_salary]],ai_job_market[[#This Row],[max_salary]])</f>
        <v>120868.5</v>
      </c>
      <c r="K1878"/>
      <c r="L1878" t="s">
        <v>14</v>
      </c>
      <c r="M1878" t="s">
        <v>15</v>
      </c>
      <c r="N1878" t="s">
        <v>6222</v>
      </c>
      <c r="O1878" t="s">
        <v>4488</v>
      </c>
      <c r="P1878">
        <v>85959</v>
      </c>
      <c r="Q1878">
        <v>155778</v>
      </c>
      <c r="R1878" s="2">
        <v>45763</v>
      </c>
      <c r="S1878" t="s">
        <v>14</v>
      </c>
      <c r="T1878" t="s">
        <v>70</v>
      </c>
      <c r="U1878" t="s">
        <v>6389</v>
      </c>
      <c r="W1878" t="s">
        <v>6359</v>
      </c>
      <c r="X1878">
        <v>104</v>
      </c>
      <c r="Y1878" t="s">
        <v>70</v>
      </c>
      <c r="Z1878">
        <v>268</v>
      </c>
    </row>
    <row r="1879" spans="1:26" x14ac:dyDescent="0.3">
      <c r="A1879">
        <v>1878</v>
      </c>
      <c r="B1879" t="s">
        <v>4030</v>
      </c>
      <c r="C1879" t="s">
        <v>72</v>
      </c>
      <c r="D1879" t="s">
        <v>25</v>
      </c>
      <c r="E1879" t="s">
        <v>101</v>
      </c>
      <c r="F1879" t="s">
        <v>6391</v>
      </c>
      <c r="G1879" t="s">
        <v>6393</v>
      </c>
      <c r="J1879">
        <f>AVERAGE(ai_job_market[[#This Row],[min_salary]],ai_job_market[[#This Row],[max_salary]])</f>
        <v>163848</v>
      </c>
      <c r="K1879"/>
      <c r="L1879" t="s">
        <v>14</v>
      </c>
      <c r="M1879" t="s">
        <v>42</v>
      </c>
      <c r="N1879" t="s">
        <v>6223</v>
      </c>
      <c r="O1879" t="s">
        <v>5109</v>
      </c>
      <c r="P1879">
        <v>127608</v>
      </c>
      <c r="Q1879">
        <v>200088</v>
      </c>
      <c r="R1879" s="2">
        <v>45524</v>
      </c>
      <c r="S1879" t="s">
        <v>16</v>
      </c>
      <c r="T1879" t="s">
        <v>101</v>
      </c>
      <c r="W1879" t="s">
        <v>101</v>
      </c>
      <c r="X1879">
        <v>76</v>
      </c>
      <c r="Y1879" t="s">
        <v>101</v>
      </c>
      <c r="Z1879">
        <v>255</v>
      </c>
    </row>
    <row r="1880" spans="1:26" x14ac:dyDescent="0.3">
      <c r="A1880">
        <v>1879</v>
      </c>
      <c r="B1880" t="s">
        <v>4032</v>
      </c>
      <c r="C1880" t="s">
        <v>49</v>
      </c>
      <c r="D1880" t="s">
        <v>20</v>
      </c>
      <c r="E1880" t="s">
        <v>80</v>
      </c>
      <c r="F1880" t="s">
        <v>6394</v>
      </c>
      <c r="G1880" t="s">
        <v>6380</v>
      </c>
      <c r="H1880" t="s">
        <v>6395</v>
      </c>
      <c r="J1880">
        <f>AVERAGE(ai_job_market[[#This Row],[min_salary]],ai_job_market[[#This Row],[max_salary]])</f>
        <v>145816.5</v>
      </c>
      <c r="K1880"/>
      <c r="L1880" t="s">
        <v>22</v>
      </c>
      <c r="M1880" t="s">
        <v>15</v>
      </c>
      <c r="N1880" t="s">
        <v>6224</v>
      </c>
      <c r="O1880" t="s">
        <v>4664</v>
      </c>
      <c r="P1880">
        <v>108442</v>
      </c>
      <c r="Q1880">
        <v>183191</v>
      </c>
      <c r="R1880" s="2">
        <v>45273</v>
      </c>
      <c r="S1880" t="s">
        <v>16</v>
      </c>
      <c r="T1880" t="s">
        <v>80</v>
      </c>
      <c r="U1880" t="s">
        <v>6376</v>
      </c>
      <c r="V1880" t="s">
        <v>6389</v>
      </c>
      <c r="W1880" t="s">
        <v>80</v>
      </c>
      <c r="X1880">
        <v>95</v>
      </c>
      <c r="Y1880" t="s">
        <v>80</v>
      </c>
      <c r="Z1880">
        <v>249</v>
      </c>
    </row>
    <row r="1881" spans="1:26" x14ac:dyDescent="0.3">
      <c r="A1881">
        <v>1880</v>
      </c>
      <c r="B1881" t="s">
        <v>4034</v>
      </c>
      <c r="C1881" t="s">
        <v>49</v>
      </c>
      <c r="D1881" t="s">
        <v>35</v>
      </c>
      <c r="E1881" t="s">
        <v>128</v>
      </c>
      <c r="F1881" t="s">
        <v>6395</v>
      </c>
      <c r="G1881" t="s">
        <v>6376</v>
      </c>
      <c r="H1881" t="s">
        <v>6392</v>
      </c>
      <c r="I1881" t="s">
        <v>6394</v>
      </c>
      <c r="J1881">
        <f>AVERAGE(ai_job_market[[#This Row],[min_salary]],ai_job_market[[#This Row],[max_salary]])</f>
        <v>168212</v>
      </c>
      <c r="K1881" t="s">
        <v>6390</v>
      </c>
      <c r="L1881" t="s">
        <v>14</v>
      </c>
      <c r="M1881" t="s">
        <v>37</v>
      </c>
      <c r="N1881" t="s">
        <v>6225</v>
      </c>
      <c r="O1881" t="s">
        <v>4648</v>
      </c>
      <c r="P1881">
        <v>130051</v>
      </c>
      <c r="Q1881">
        <v>206373</v>
      </c>
      <c r="R1881" s="2">
        <v>45393</v>
      </c>
      <c r="S1881" t="s">
        <v>16</v>
      </c>
      <c r="T1881" t="s">
        <v>77</v>
      </c>
      <c r="U1881" t="s">
        <v>6389</v>
      </c>
      <c r="W1881" t="s">
        <v>128</v>
      </c>
      <c r="X1881">
        <v>92</v>
      </c>
      <c r="Y1881" t="s">
        <v>77</v>
      </c>
      <c r="Z1881">
        <v>251</v>
      </c>
    </row>
    <row r="1882" spans="1:26" x14ac:dyDescent="0.3">
      <c r="A1882">
        <v>1881</v>
      </c>
      <c r="B1882" t="s">
        <v>4036</v>
      </c>
      <c r="C1882" t="s">
        <v>19</v>
      </c>
      <c r="D1882" t="s">
        <v>12</v>
      </c>
      <c r="E1882" t="s">
        <v>6355</v>
      </c>
      <c r="F1882" t="s">
        <v>6381</v>
      </c>
      <c r="G1882" t="s">
        <v>6394</v>
      </c>
      <c r="J1882">
        <f>AVERAGE(ai_job_market[[#This Row],[min_salary]],ai_job_market[[#This Row],[max_salary]])</f>
        <v>107699.5</v>
      </c>
      <c r="K1882"/>
      <c r="L1882" t="s">
        <v>14</v>
      </c>
      <c r="M1882" t="s">
        <v>51</v>
      </c>
      <c r="N1882" t="s">
        <v>6226</v>
      </c>
      <c r="O1882" t="s">
        <v>4283</v>
      </c>
      <c r="P1882">
        <v>97481</v>
      </c>
      <c r="Q1882">
        <v>117918</v>
      </c>
      <c r="R1882" s="2">
        <v>45879</v>
      </c>
      <c r="S1882" t="s">
        <v>16</v>
      </c>
      <c r="T1882" t="s">
        <v>101</v>
      </c>
      <c r="U1882" t="s">
        <v>6388</v>
      </c>
      <c r="W1882" t="s">
        <v>6355</v>
      </c>
      <c r="X1882">
        <v>90</v>
      </c>
      <c r="Y1882" t="s">
        <v>101</v>
      </c>
      <c r="Z1882">
        <v>255</v>
      </c>
    </row>
    <row r="1883" spans="1:26" x14ac:dyDescent="0.3">
      <c r="A1883">
        <v>1882</v>
      </c>
      <c r="B1883" t="s">
        <v>4038</v>
      </c>
      <c r="C1883" t="s">
        <v>72</v>
      </c>
      <c r="D1883" t="s">
        <v>54</v>
      </c>
      <c r="E1883" t="s">
        <v>6347</v>
      </c>
      <c r="F1883" t="s">
        <v>6379</v>
      </c>
      <c r="G1883" t="s">
        <v>6381</v>
      </c>
      <c r="H1883" t="s">
        <v>6386</v>
      </c>
      <c r="I1883" t="s">
        <v>6377</v>
      </c>
      <c r="J1883">
        <f>AVERAGE(ai_job_market[[#This Row],[min_salary]],ai_job_market[[#This Row],[max_salary]])</f>
        <v>124873.5</v>
      </c>
      <c r="K1883" t="s">
        <v>6395</v>
      </c>
      <c r="L1883" t="s">
        <v>27</v>
      </c>
      <c r="M1883" t="s">
        <v>37</v>
      </c>
      <c r="N1883" t="s">
        <v>6227</v>
      </c>
      <c r="O1883" t="s">
        <v>4327</v>
      </c>
      <c r="P1883">
        <v>94087</v>
      </c>
      <c r="Q1883">
        <v>155660</v>
      </c>
      <c r="R1883" s="2">
        <v>45289</v>
      </c>
      <c r="S1883" t="s">
        <v>14</v>
      </c>
      <c r="T1883" t="s">
        <v>80</v>
      </c>
      <c r="W1883" t="s">
        <v>6347</v>
      </c>
      <c r="X1883">
        <v>94</v>
      </c>
      <c r="Y1883" t="s">
        <v>80</v>
      </c>
      <c r="Z1883">
        <v>249</v>
      </c>
    </row>
    <row r="1884" spans="1:26" x14ac:dyDescent="0.3">
      <c r="A1884">
        <v>1883</v>
      </c>
      <c r="B1884" t="s">
        <v>4040</v>
      </c>
      <c r="C1884" t="s">
        <v>19</v>
      </c>
      <c r="D1884" t="s">
        <v>54</v>
      </c>
      <c r="E1884" t="s">
        <v>6357</v>
      </c>
      <c r="F1884" t="s">
        <v>6389</v>
      </c>
      <c r="G1884" t="s">
        <v>6375</v>
      </c>
      <c r="H1884" t="s">
        <v>6395</v>
      </c>
      <c r="J1884">
        <f>AVERAGE(ai_job_market[[#This Row],[min_salary]],ai_job_market[[#This Row],[max_salary]])</f>
        <v>81089.5</v>
      </c>
      <c r="K1884"/>
      <c r="L1884" t="s">
        <v>27</v>
      </c>
      <c r="M1884" t="s">
        <v>15</v>
      </c>
      <c r="N1884" t="s">
        <v>6228</v>
      </c>
      <c r="O1884" t="s">
        <v>4714</v>
      </c>
      <c r="P1884">
        <v>70792</v>
      </c>
      <c r="Q1884">
        <v>91387</v>
      </c>
      <c r="R1884" s="2">
        <v>45659</v>
      </c>
      <c r="S1884" t="s">
        <v>14</v>
      </c>
      <c r="T1884" t="s">
        <v>70</v>
      </c>
      <c r="W1884" t="s">
        <v>6357</v>
      </c>
      <c r="X1884">
        <v>88</v>
      </c>
      <c r="Y1884" t="s">
        <v>70</v>
      </c>
      <c r="Z1884">
        <v>268</v>
      </c>
    </row>
    <row r="1885" spans="1:26" x14ac:dyDescent="0.3">
      <c r="A1885">
        <v>1884</v>
      </c>
      <c r="B1885" t="s">
        <v>4042</v>
      </c>
      <c r="C1885" t="s">
        <v>19</v>
      </c>
      <c r="D1885" t="s">
        <v>67</v>
      </c>
      <c r="E1885" t="s">
        <v>6359</v>
      </c>
      <c r="F1885" t="s">
        <v>6394</v>
      </c>
      <c r="G1885" t="s">
        <v>6397</v>
      </c>
      <c r="H1885" t="s">
        <v>6382</v>
      </c>
      <c r="J1885">
        <f>AVERAGE(ai_job_market[[#This Row],[min_salary]],ai_job_market[[#This Row],[max_salary]])</f>
        <v>111206</v>
      </c>
      <c r="K1885"/>
      <c r="L1885" t="s">
        <v>14</v>
      </c>
      <c r="M1885" t="s">
        <v>15</v>
      </c>
      <c r="N1885" t="s">
        <v>6229</v>
      </c>
      <c r="O1885" t="s">
        <v>4444</v>
      </c>
      <c r="P1885">
        <v>68291</v>
      </c>
      <c r="Q1885">
        <v>154121</v>
      </c>
      <c r="R1885" s="2">
        <v>45283</v>
      </c>
      <c r="S1885" t="s">
        <v>69</v>
      </c>
      <c r="T1885" t="s">
        <v>77</v>
      </c>
      <c r="U1885" t="s">
        <v>6388</v>
      </c>
      <c r="V1885" t="s">
        <v>6375</v>
      </c>
      <c r="W1885" t="s">
        <v>6359</v>
      </c>
      <c r="X1885">
        <v>104</v>
      </c>
      <c r="Y1885" t="s">
        <v>77</v>
      </c>
      <c r="Z1885">
        <v>251</v>
      </c>
    </row>
    <row r="1886" spans="1:26" x14ac:dyDescent="0.3">
      <c r="A1886">
        <v>1885</v>
      </c>
      <c r="B1886" t="s">
        <v>4044</v>
      </c>
      <c r="C1886" t="s">
        <v>45</v>
      </c>
      <c r="D1886" t="s">
        <v>12</v>
      </c>
      <c r="E1886" t="s">
        <v>128</v>
      </c>
      <c r="F1886" t="s">
        <v>6395</v>
      </c>
      <c r="G1886" t="s">
        <v>6390</v>
      </c>
      <c r="J1886">
        <f>AVERAGE(ai_job_market[[#This Row],[min_salary]],ai_job_market[[#This Row],[max_salary]])</f>
        <v>179578</v>
      </c>
      <c r="K1886"/>
      <c r="L1886" t="s">
        <v>27</v>
      </c>
      <c r="M1886" t="s">
        <v>51</v>
      </c>
      <c r="N1886" t="s">
        <v>6230</v>
      </c>
      <c r="O1886" t="s">
        <v>4988</v>
      </c>
      <c r="P1886">
        <v>137372</v>
      </c>
      <c r="Q1886">
        <v>221784</v>
      </c>
      <c r="R1886" s="2">
        <v>45360</v>
      </c>
      <c r="S1886" t="s">
        <v>16</v>
      </c>
      <c r="T1886" t="s">
        <v>90</v>
      </c>
      <c r="U1886" t="s">
        <v>6375</v>
      </c>
      <c r="V1886" t="s">
        <v>6384</v>
      </c>
      <c r="W1886" t="s">
        <v>128</v>
      </c>
      <c r="X1886">
        <v>92</v>
      </c>
      <c r="Y1886" t="s">
        <v>90</v>
      </c>
      <c r="Z1886">
        <v>259</v>
      </c>
    </row>
    <row r="1887" spans="1:26" x14ac:dyDescent="0.3">
      <c r="A1887">
        <v>1886</v>
      </c>
      <c r="B1887" t="s">
        <v>4046</v>
      </c>
      <c r="C1887" t="s">
        <v>45</v>
      </c>
      <c r="D1887" t="s">
        <v>135</v>
      </c>
      <c r="E1887" t="s">
        <v>6359</v>
      </c>
      <c r="F1887" t="s">
        <v>6386</v>
      </c>
      <c r="G1887" t="s">
        <v>6378</v>
      </c>
      <c r="H1887" t="s">
        <v>6385</v>
      </c>
      <c r="I1887" t="s">
        <v>6391</v>
      </c>
      <c r="J1887">
        <f>AVERAGE(ai_job_market[[#This Row],[min_salary]],ai_job_market[[#This Row],[max_salary]])</f>
        <v>126134</v>
      </c>
      <c r="K1887" t="s">
        <v>6379</v>
      </c>
      <c r="L1887" t="s">
        <v>27</v>
      </c>
      <c r="M1887" t="s">
        <v>42</v>
      </c>
      <c r="N1887" t="s">
        <v>6231</v>
      </c>
      <c r="O1887" t="s">
        <v>4929</v>
      </c>
      <c r="P1887">
        <v>83107</v>
      </c>
      <c r="Q1887">
        <v>169161</v>
      </c>
      <c r="R1887" s="2">
        <v>45673</v>
      </c>
      <c r="S1887" t="s">
        <v>16</v>
      </c>
      <c r="T1887" t="s">
        <v>80</v>
      </c>
      <c r="U1887" t="s">
        <v>6378</v>
      </c>
      <c r="W1887" t="s">
        <v>6359</v>
      </c>
      <c r="X1887">
        <v>104</v>
      </c>
      <c r="Y1887" t="s">
        <v>80</v>
      </c>
      <c r="Z1887">
        <v>249</v>
      </c>
    </row>
    <row r="1888" spans="1:26" x14ac:dyDescent="0.3">
      <c r="A1888">
        <v>1887</v>
      </c>
      <c r="B1888" t="s">
        <v>4048</v>
      </c>
      <c r="C1888" t="s">
        <v>72</v>
      </c>
      <c r="D1888" t="s">
        <v>135</v>
      </c>
      <c r="E1888" t="s">
        <v>77</v>
      </c>
      <c r="F1888" t="s">
        <v>6395</v>
      </c>
      <c r="G1888" t="s">
        <v>6380</v>
      </c>
      <c r="J1888">
        <f>AVERAGE(ai_job_market[[#This Row],[min_salary]],ai_job_market[[#This Row],[max_salary]])</f>
        <v>136694</v>
      </c>
      <c r="K1888"/>
      <c r="L1888" t="s">
        <v>14</v>
      </c>
      <c r="M1888" t="s">
        <v>51</v>
      </c>
      <c r="N1888" t="s">
        <v>6232</v>
      </c>
      <c r="O1888" t="s">
        <v>4401</v>
      </c>
      <c r="P1888">
        <v>88435</v>
      </c>
      <c r="Q1888">
        <v>184953</v>
      </c>
      <c r="R1888" s="2">
        <v>45860</v>
      </c>
      <c r="S1888" t="s">
        <v>16</v>
      </c>
      <c r="T1888" t="s">
        <v>52</v>
      </c>
      <c r="W1888" t="s">
        <v>77</v>
      </c>
      <c r="X1888">
        <v>111</v>
      </c>
      <c r="Y1888" t="s">
        <v>52</v>
      </c>
      <c r="Z1888">
        <v>238</v>
      </c>
    </row>
    <row r="1889" spans="1:26" x14ac:dyDescent="0.3">
      <c r="A1889">
        <v>1888</v>
      </c>
      <c r="B1889" t="s">
        <v>4050</v>
      </c>
      <c r="C1889" t="s">
        <v>19</v>
      </c>
      <c r="D1889" t="s">
        <v>30</v>
      </c>
      <c r="E1889" t="s">
        <v>77</v>
      </c>
      <c r="F1889" t="s">
        <v>6380</v>
      </c>
      <c r="G1889" t="s">
        <v>6385</v>
      </c>
      <c r="H1889" t="s">
        <v>6375</v>
      </c>
      <c r="J1889">
        <f>AVERAGE(ai_job_market[[#This Row],[min_salary]],ai_job_market[[#This Row],[max_salary]])</f>
        <v>162686</v>
      </c>
      <c r="K1889"/>
      <c r="L1889" t="s">
        <v>22</v>
      </c>
      <c r="M1889" t="s">
        <v>15</v>
      </c>
      <c r="N1889" t="s">
        <v>6233</v>
      </c>
      <c r="O1889" t="s">
        <v>4469</v>
      </c>
      <c r="P1889">
        <v>136510</v>
      </c>
      <c r="Q1889">
        <v>188862</v>
      </c>
      <c r="R1889" s="2">
        <v>45201</v>
      </c>
      <c r="S1889" t="s">
        <v>16</v>
      </c>
      <c r="T1889" t="s">
        <v>77</v>
      </c>
      <c r="U1889" t="s">
        <v>6389</v>
      </c>
      <c r="V1889" t="s">
        <v>6384</v>
      </c>
      <c r="W1889" t="s">
        <v>77</v>
      </c>
      <c r="X1889">
        <v>111</v>
      </c>
      <c r="Y1889" t="s">
        <v>77</v>
      </c>
      <c r="Z1889">
        <v>251</v>
      </c>
    </row>
    <row r="1890" spans="1:26" x14ac:dyDescent="0.3">
      <c r="A1890">
        <v>1889</v>
      </c>
      <c r="B1890" t="s">
        <v>4052</v>
      </c>
      <c r="C1890" t="s">
        <v>45</v>
      </c>
      <c r="D1890" t="s">
        <v>12</v>
      </c>
      <c r="E1890" t="s">
        <v>6348</v>
      </c>
      <c r="F1890" t="s">
        <v>6384</v>
      </c>
      <c r="G1890" t="s">
        <v>6386</v>
      </c>
      <c r="J1890">
        <f>AVERAGE(ai_job_market[[#This Row],[min_salary]],ai_job_market[[#This Row],[max_salary]])</f>
        <v>149303</v>
      </c>
      <c r="K1890"/>
      <c r="L1890" t="s">
        <v>22</v>
      </c>
      <c r="M1890" t="s">
        <v>42</v>
      </c>
      <c r="N1890" t="s">
        <v>6234</v>
      </c>
      <c r="O1890" t="s">
        <v>4329</v>
      </c>
      <c r="P1890">
        <v>143200</v>
      </c>
      <c r="Q1890">
        <v>155406</v>
      </c>
      <c r="R1890" s="2">
        <v>45820</v>
      </c>
      <c r="S1890" t="s">
        <v>16</v>
      </c>
      <c r="T1890" t="s">
        <v>52</v>
      </c>
      <c r="U1890" t="s">
        <v>6384</v>
      </c>
      <c r="V1890" t="s">
        <v>6375</v>
      </c>
      <c r="W1890" t="s">
        <v>6348</v>
      </c>
      <c r="X1890">
        <v>78</v>
      </c>
      <c r="Y1890" t="s">
        <v>52</v>
      </c>
      <c r="Z1890">
        <v>238</v>
      </c>
    </row>
    <row r="1891" spans="1:26" x14ac:dyDescent="0.3">
      <c r="A1891">
        <v>1890</v>
      </c>
      <c r="B1891" t="s">
        <v>4054</v>
      </c>
      <c r="C1891" t="s">
        <v>72</v>
      </c>
      <c r="D1891" t="s">
        <v>20</v>
      </c>
      <c r="E1891" t="s">
        <v>6352</v>
      </c>
      <c r="F1891" t="s">
        <v>6396</v>
      </c>
      <c r="G1891" t="s">
        <v>6384</v>
      </c>
      <c r="H1891" t="s">
        <v>6376</v>
      </c>
      <c r="I1891" t="s">
        <v>6393</v>
      </c>
      <c r="J1891">
        <f>AVERAGE(ai_job_market[[#This Row],[min_salary]],ai_job_market[[#This Row],[max_salary]])</f>
        <v>132648</v>
      </c>
      <c r="K1891"/>
      <c r="L1891" t="s">
        <v>27</v>
      </c>
      <c r="M1891" t="s">
        <v>37</v>
      </c>
      <c r="N1891" t="s">
        <v>6235</v>
      </c>
      <c r="O1891" t="s">
        <v>4361</v>
      </c>
      <c r="P1891">
        <v>82823</v>
      </c>
      <c r="Q1891">
        <v>182473</v>
      </c>
      <c r="R1891" s="2">
        <v>45517</v>
      </c>
      <c r="S1891" t="s">
        <v>14</v>
      </c>
      <c r="T1891" t="s">
        <v>70</v>
      </c>
      <c r="U1891" t="s">
        <v>6375</v>
      </c>
      <c r="V1891" t="s">
        <v>6389</v>
      </c>
      <c r="W1891" t="s">
        <v>6352</v>
      </c>
      <c r="X1891">
        <v>97</v>
      </c>
      <c r="Y1891" t="s">
        <v>70</v>
      </c>
      <c r="Z1891">
        <v>268</v>
      </c>
    </row>
    <row r="1892" spans="1:26" x14ac:dyDescent="0.3">
      <c r="A1892">
        <v>1891</v>
      </c>
      <c r="B1892" t="s">
        <v>4056</v>
      </c>
      <c r="C1892" t="s">
        <v>45</v>
      </c>
      <c r="D1892" t="s">
        <v>67</v>
      </c>
      <c r="E1892" t="s">
        <v>6344</v>
      </c>
      <c r="F1892" t="s">
        <v>6375</v>
      </c>
      <c r="G1892" t="s">
        <v>6386</v>
      </c>
      <c r="H1892" t="s">
        <v>6393</v>
      </c>
      <c r="J1892" s="6">
        <f>AVERAGE(ai_job_market[[#This Row],[min_salary]],ai_job_market[[#This Row],[max_salary]])</f>
        <v>114547</v>
      </c>
      <c r="K1892"/>
      <c r="L1892" t="s">
        <v>22</v>
      </c>
      <c r="M1892" t="s">
        <v>42</v>
      </c>
      <c r="N1892" t="s">
        <v>6236</v>
      </c>
      <c r="O1892" t="s">
        <v>4293</v>
      </c>
      <c r="P1892" s="5">
        <v>109348</v>
      </c>
      <c r="Q1892" s="5">
        <v>119746</v>
      </c>
      <c r="R1892" s="2">
        <v>45775</v>
      </c>
      <c r="S1892" t="s">
        <v>14</v>
      </c>
      <c r="T1892" t="s">
        <v>128</v>
      </c>
      <c r="W1892" t="s">
        <v>6344</v>
      </c>
      <c r="X1892">
        <v>104</v>
      </c>
      <c r="Y1892" t="s">
        <v>128</v>
      </c>
      <c r="Z1892">
        <v>233</v>
      </c>
    </row>
    <row r="1893" spans="1:26" x14ac:dyDescent="0.3">
      <c r="A1893">
        <v>1892</v>
      </c>
      <c r="B1893" t="s">
        <v>4058</v>
      </c>
      <c r="C1893" t="s">
        <v>72</v>
      </c>
      <c r="D1893" t="s">
        <v>54</v>
      </c>
      <c r="E1893" t="s">
        <v>6349</v>
      </c>
      <c r="F1893" t="s">
        <v>6387</v>
      </c>
      <c r="G1893" t="s">
        <v>6374</v>
      </c>
      <c r="H1893" t="s">
        <v>6375</v>
      </c>
      <c r="J1893">
        <f>AVERAGE(ai_job_market[[#This Row],[min_salary]],ai_job_market[[#This Row],[max_salary]])</f>
        <v>91096</v>
      </c>
      <c r="K1893"/>
      <c r="L1893" t="s">
        <v>27</v>
      </c>
      <c r="M1893" t="s">
        <v>51</v>
      </c>
      <c r="N1893" t="s">
        <v>6237</v>
      </c>
      <c r="O1893" t="s">
        <v>4576</v>
      </c>
      <c r="P1893">
        <v>65370</v>
      </c>
      <c r="Q1893">
        <v>116822</v>
      </c>
      <c r="R1893" s="2">
        <v>45913</v>
      </c>
      <c r="S1893" t="s">
        <v>16</v>
      </c>
      <c r="T1893" t="s">
        <v>52</v>
      </c>
      <c r="U1893" t="s">
        <v>6376</v>
      </c>
      <c r="W1893" t="s">
        <v>6349</v>
      </c>
      <c r="X1893">
        <v>96</v>
      </c>
      <c r="Y1893" t="s">
        <v>52</v>
      </c>
      <c r="Z1893">
        <v>238</v>
      </c>
    </row>
    <row r="1894" spans="1:26" x14ac:dyDescent="0.3">
      <c r="A1894">
        <v>1893</v>
      </c>
      <c r="B1894" t="s">
        <v>4060</v>
      </c>
      <c r="C1894" t="s">
        <v>72</v>
      </c>
      <c r="D1894" t="s">
        <v>12</v>
      </c>
      <c r="E1894" t="s">
        <v>128</v>
      </c>
      <c r="F1894" t="s">
        <v>6385</v>
      </c>
      <c r="G1894" t="s">
        <v>6387</v>
      </c>
      <c r="H1894" t="s">
        <v>6390</v>
      </c>
      <c r="I1894" t="s">
        <v>6374</v>
      </c>
      <c r="J1894">
        <f>AVERAGE(ai_job_market[[#This Row],[min_salary]],ai_job_market[[#This Row],[max_salary]])</f>
        <v>177180</v>
      </c>
      <c r="K1894" t="s">
        <v>6393</v>
      </c>
      <c r="L1894" t="s">
        <v>22</v>
      </c>
      <c r="M1894" t="s">
        <v>42</v>
      </c>
      <c r="N1894" t="s">
        <v>5986</v>
      </c>
      <c r="O1894" t="s">
        <v>4710</v>
      </c>
      <c r="P1894">
        <v>131317</v>
      </c>
      <c r="Q1894">
        <v>223043</v>
      </c>
      <c r="R1894" s="2">
        <v>45662</v>
      </c>
      <c r="S1894" t="s">
        <v>16</v>
      </c>
      <c r="T1894" t="s">
        <v>70</v>
      </c>
      <c r="W1894" t="s">
        <v>128</v>
      </c>
      <c r="X1894">
        <v>92</v>
      </c>
      <c r="Y1894" t="s">
        <v>70</v>
      </c>
      <c r="Z1894">
        <v>268</v>
      </c>
    </row>
    <row r="1895" spans="1:26" x14ac:dyDescent="0.3">
      <c r="A1895">
        <v>1894</v>
      </c>
      <c r="B1895" t="s">
        <v>1911</v>
      </c>
      <c r="C1895" t="s">
        <v>45</v>
      </c>
      <c r="D1895" t="s">
        <v>25</v>
      </c>
      <c r="E1895" t="s">
        <v>6346</v>
      </c>
      <c r="F1895" t="s">
        <v>6378</v>
      </c>
      <c r="G1895" t="s">
        <v>6390</v>
      </c>
      <c r="H1895" t="s">
        <v>6387</v>
      </c>
      <c r="I1895" t="s">
        <v>6380</v>
      </c>
      <c r="J1895">
        <f>AVERAGE(ai_job_market[[#This Row],[min_salary]],ai_job_market[[#This Row],[max_salary]])</f>
        <v>103013</v>
      </c>
      <c r="K1895" t="s">
        <v>6393</v>
      </c>
      <c r="L1895" t="s">
        <v>22</v>
      </c>
      <c r="M1895" t="s">
        <v>15</v>
      </c>
      <c r="N1895" t="s">
        <v>6238</v>
      </c>
      <c r="O1895" t="s">
        <v>4482</v>
      </c>
      <c r="P1895">
        <v>87751</v>
      </c>
      <c r="Q1895">
        <v>118275</v>
      </c>
      <c r="R1895" s="2">
        <v>45215</v>
      </c>
      <c r="S1895" t="s">
        <v>14</v>
      </c>
      <c r="T1895" t="s">
        <v>157</v>
      </c>
      <c r="W1895" t="s">
        <v>6346</v>
      </c>
      <c r="X1895">
        <v>78</v>
      </c>
      <c r="Y1895" t="s">
        <v>157</v>
      </c>
      <c r="Z1895">
        <v>247</v>
      </c>
    </row>
    <row r="1896" spans="1:26" x14ac:dyDescent="0.3">
      <c r="A1896">
        <v>1895</v>
      </c>
      <c r="B1896" t="s">
        <v>4063</v>
      </c>
      <c r="C1896" t="s">
        <v>34</v>
      </c>
      <c r="D1896" t="s">
        <v>35</v>
      </c>
      <c r="E1896" t="s">
        <v>90</v>
      </c>
      <c r="F1896" t="s">
        <v>6374</v>
      </c>
      <c r="G1896" t="s">
        <v>6379</v>
      </c>
      <c r="H1896" t="s">
        <v>6380</v>
      </c>
      <c r="I1896" t="s">
        <v>6397</v>
      </c>
      <c r="J1896">
        <f>AVERAGE(ai_job_market[[#This Row],[min_salary]],ai_job_market[[#This Row],[max_salary]])</f>
        <v>152899</v>
      </c>
      <c r="K1896"/>
      <c r="L1896" t="s">
        <v>27</v>
      </c>
      <c r="M1896" t="s">
        <v>42</v>
      </c>
      <c r="N1896" t="s">
        <v>6239</v>
      </c>
      <c r="O1896" t="s">
        <v>4488</v>
      </c>
      <c r="P1896">
        <v>119481</v>
      </c>
      <c r="Q1896">
        <v>186317</v>
      </c>
      <c r="R1896" s="2">
        <v>45497</v>
      </c>
      <c r="S1896" t="s">
        <v>69</v>
      </c>
      <c r="T1896" t="s">
        <v>128</v>
      </c>
      <c r="U1896" t="s">
        <v>6384</v>
      </c>
      <c r="W1896" t="s">
        <v>90</v>
      </c>
      <c r="X1896">
        <v>80</v>
      </c>
      <c r="Y1896" t="s">
        <v>128</v>
      </c>
      <c r="Z1896">
        <v>233</v>
      </c>
    </row>
    <row r="1897" spans="1:26" x14ac:dyDescent="0.3">
      <c r="A1897">
        <v>1896</v>
      </c>
      <c r="B1897" t="s">
        <v>3607</v>
      </c>
      <c r="C1897" t="s">
        <v>40</v>
      </c>
      <c r="D1897" t="s">
        <v>135</v>
      </c>
      <c r="E1897" t="s">
        <v>6348</v>
      </c>
      <c r="F1897" t="s">
        <v>6396</v>
      </c>
      <c r="G1897" t="s">
        <v>6387</v>
      </c>
      <c r="H1897" t="s">
        <v>6386</v>
      </c>
      <c r="J1897">
        <f>AVERAGE(ai_job_market[[#This Row],[min_salary]],ai_job_market[[#This Row],[max_salary]])</f>
        <v>130630.5</v>
      </c>
      <c r="K1897"/>
      <c r="L1897" t="s">
        <v>22</v>
      </c>
      <c r="M1897" t="s">
        <v>42</v>
      </c>
      <c r="N1897" t="s">
        <v>6240</v>
      </c>
      <c r="O1897" t="s">
        <v>4287</v>
      </c>
      <c r="P1897">
        <v>94861</v>
      </c>
      <c r="Q1897">
        <v>166400</v>
      </c>
      <c r="R1897" s="2">
        <v>45577</v>
      </c>
      <c r="S1897" t="s">
        <v>69</v>
      </c>
      <c r="T1897" t="s">
        <v>128</v>
      </c>
      <c r="U1897" t="s">
        <v>6378</v>
      </c>
      <c r="W1897" t="s">
        <v>6348</v>
      </c>
      <c r="X1897">
        <v>78</v>
      </c>
      <c r="Y1897" t="s">
        <v>128</v>
      </c>
      <c r="Z1897">
        <v>233</v>
      </c>
    </row>
    <row r="1898" spans="1:26" x14ac:dyDescent="0.3">
      <c r="A1898">
        <v>1897</v>
      </c>
      <c r="B1898" t="s">
        <v>4066</v>
      </c>
      <c r="C1898" t="s">
        <v>34</v>
      </c>
      <c r="D1898" t="s">
        <v>54</v>
      </c>
      <c r="E1898" t="s">
        <v>6356</v>
      </c>
      <c r="F1898" t="s">
        <v>6391</v>
      </c>
      <c r="G1898" t="s">
        <v>6381</v>
      </c>
      <c r="H1898" t="s">
        <v>6393</v>
      </c>
      <c r="I1898" t="s">
        <v>6390</v>
      </c>
      <c r="J1898">
        <f>AVERAGE(ai_job_market[[#This Row],[min_salary]],ai_job_market[[#This Row],[max_salary]])</f>
        <v>155237.5</v>
      </c>
      <c r="K1898" t="s">
        <v>6385</v>
      </c>
      <c r="L1898" t="s">
        <v>22</v>
      </c>
      <c r="M1898" t="s">
        <v>42</v>
      </c>
      <c r="N1898" t="s">
        <v>6241</v>
      </c>
      <c r="O1898" t="s">
        <v>4382</v>
      </c>
      <c r="P1898">
        <v>114821</v>
      </c>
      <c r="Q1898">
        <v>195654</v>
      </c>
      <c r="R1898" s="2">
        <v>45391</v>
      </c>
      <c r="S1898" t="s">
        <v>16</v>
      </c>
      <c r="T1898" t="s">
        <v>128</v>
      </c>
      <c r="W1898" t="s">
        <v>6356</v>
      </c>
      <c r="X1898">
        <v>86</v>
      </c>
      <c r="Y1898" t="s">
        <v>128</v>
      </c>
      <c r="Z1898">
        <v>233</v>
      </c>
    </row>
    <row r="1899" spans="1:26" x14ac:dyDescent="0.3">
      <c r="A1899">
        <v>1898</v>
      </c>
      <c r="B1899" t="s">
        <v>4068</v>
      </c>
      <c r="C1899" t="s">
        <v>40</v>
      </c>
      <c r="D1899" t="s">
        <v>25</v>
      </c>
      <c r="E1899" t="s">
        <v>80</v>
      </c>
      <c r="F1899" t="s">
        <v>6385</v>
      </c>
      <c r="G1899" t="s">
        <v>6396</v>
      </c>
      <c r="H1899" t="s">
        <v>6378</v>
      </c>
      <c r="I1899" t="s">
        <v>6382</v>
      </c>
      <c r="J1899">
        <f>AVERAGE(ai_job_market[[#This Row],[min_salary]],ai_job_market[[#This Row],[max_salary]])</f>
        <v>149986</v>
      </c>
      <c r="K1899"/>
      <c r="L1899" t="s">
        <v>27</v>
      </c>
      <c r="M1899" t="s">
        <v>51</v>
      </c>
      <c r="N1899" t="s">
        <v>4688</v>
      </c>
      <c r="O1899" t="s">
        <v>4927</v>
      </c>
      <c r="P1899">
        <v>137105</v>
      </c>
      <c r="Q1899">
        <v>162867</v>
      </c>
      <c r="R1899" s="2">
        <v>45588</v>
      </c>
      <c r="S1899" t="s">
        <v>14</v>
      </c>
      <c r="T1899" t="s">
        <v>128</v>
      </c>
      <c r="W1899" t="s">
        <v>80</v>
      </c>
      <c r="X1899">
        <v>95</v>
      </c>
      <c r="Y1899" t="s">
        <v>128</v>
      </c>
      <c r="Z1899">
        <v>233</v>
      </c>
    </row>
    <row r="1900" spans="1:26" x14ac:dyDescent="0.3">
      <c r="A1900">
        <v>1899</v>
      </c>
      <c r="B1900" t="s">
        <v>4070</v>
      </c>
      <c r="C1900" t="s">
        <v>11</v>
      </c>
      <c r="D1900" t="s">
        <v>20</v>
      </c>
      <c r="E1900" t="s">
        <v>6354</v>
      </c>
      <c r="F1900" t="s">
        <v>6382</v>
      </c>
      <c r="G1900" t="s">
        <v>6376</v>
      </c>
      <c r="H1900" t="s">
        <v>6379</v>
      </c>
      <c r="I1900" t="s">
        <v>6391</v>
      </c>
      <c r="J1900">
        <f>AVERAGE(ai_job_market[[#This Row],[min_salary]],ai_job_market[[#This Row],[max_salary]])</f>
        <v>78574</v>
      </c>
      <c r="K1900" t="s">
        <v>6378</v>
      </c>
      <c r="L1900" t="s">
        <v>14</v>
      </c>
      <c r="M1900" t="s">
        <v>51</v>
      </c>
      <c r="N1900" t="s">
        <v>6242</v>
      </c>
      <c r="O1900" t="s">
        <v>4780</v>
      </c>
      <c r="P1900">
        <v>73444</v>
      </c>
      <c r="Q1900">
        <v>83704</v>
      </c>
      <c r="R1900" s="2">
        <v>45569</v>
      </c>
      <c r="S1900" t="s">
        <v>69</v>
      </c>
      <c r="T1900" t="s">
        <v>90</v>
      </c>
      <c r="U1900" t="s">
        <v>6383</v>
      </c>
      <c r="V1900" t="s">
        <v>6375</v>
      </c>
      <c r="W1900" t="s">
        <v>6354</v>
      </c>
      <c r="X1900">
        <v>75</v>
      </c>
      <c r="Y1900" t="s">
        <v>90</v>
      </c>
      <c r="Z1900">
        <v>259</v>
      </c>
    </row>
    <row r="1901" spans="1:26" x14ac:dyDescent="0.3">
      <c r="A1901">
        <v>1900</v>
      </c>
      <c r="B1901" t="s">
        <v>4072</v>
      </c>
      <c r="C1901" t="s">
        <v>72</v>
      </c>
      <c r="D1901" t="s">
        <v>54</v>
      </c>
      <c r="E1901" t="s">
        <v>6354</v>
      </c>
      <c r="F1901" t="s">
        <v>6381</v>
      </c>
      <c r="G1901" t="s">
        <v>6397</v>
      </c>
      <c r="H1901" t="s">
        <v>6374</v>
      </c>
      <c r="J1901">
        <f>AVERAGE(ai_job_market[[#This Row],[min_salary]],ai_job_market[[#This Row],[max_salary]])</f>
        <v>84419.5</v>
      </c>
      <c r="K1901"/>
      <c r="L1901" t="s">
        <v>14</v>
      </c>
      <c r="M1901" t="s">
        <v>15</v>
      </c>
      <c r="N1901" t="s">
        <v>5299</v>
      </c>
      <c r="O1901" t="s">
        <v>4584</v>
      </c>
      <c r="P1901">
        <v>76464</v>
      </c>
      <c r="Q1901">
        <v>92375</v>
      </c>
      <c r="R1901" s="2">
        <v>45645</v>
      </c>
      <c r="S1901" t="s">
        <v>14</v>
      </c>
      <c r="T1901" t="s">
        <v>128</v>
      </c>
      <c r="U1901" t="s">
        <v>6389</v>
      </c>
      <c r="W1901" t="s">
        <v>6354</v>
      </c>
      <c r="X1901">
        <v>75</v>
      </c>
      <c r="Y1901" t="s">
        <v>128</v>
      </c>
      <c r="Z1901">
        <v>233</v>
      </c>
    </row>
    <row r="1902" spans="1:26" x14ac:dyDescent="0.3">
      <c r="A1902">
        <v>1901</v>
      </c>
      <c r="B1902" t="s">
        <v>4074</v>
      </c>
      <c r="C1902" t="s">
        <v>40</v>
      </c>
      <c r="D1902" t="s">
        <v>30</v>
      </c>
      <c r="E1902" t="s">
        <v>6355</v>
      </c>
      <c r="F1902" t="s">
        <v>6389</v>
      </c>
      <c r="G1902" t="s">
        <v>6378</v>
      </c>
      <c r="H1902" t="s">
        <v>6393</v>
      </c>
      <c r="I1902" t="s">
        <v>6379</v>
      </c>
      <c r="J1902">
        <f>AVERAGE(ai_job_market[[#This Row],[min_salary]],ai_job_market[[#This Row],[max_salary]])</f>
        <v>150133.5</v>
      </c>
      <c r="K1902"/>
      <c r="L1902" t="s">
        <v>27</v>
      </c>
      <c r="M1902" t="s">
        <v>42</v>
      </c>
      <c r="N1902" t="s">
        <v>6243</v>
      </c>
      <c r="O1902" t="s">
        <v>4339</v>
      </c>
      <c r="P1902">
        <v>129651</v>
      </c>
      <c r="Q1902">
        <v>170616</v>
      </c>
      <c r="R1902" s="2">
        <v>45655</v>
      </c>
      <c r="S1902" t="s">
        <v>14</v>
      </c>
      <c r="T1902" t="s">
        <v>90</v>
      </c>
      <c r="U1902" t="s">
        <v>6383</v>
      </c>
      <c r="V1902" t="s">
        <v>6375</v>
      </c>
      <c r="W1902" t="s">
        <v>6355</v>
      </c>
      <c r="X1902">
        <v>90</v>
      </c>
      <c r="Y1902" t="s">
        <v>90</v>
      </c>
      <c r="Z1902">
        <v>259</v>
      </c>
    </row>
    <row r="1903" spans="1:26" x14ac:dyDescent="0.3">
      <c r="A1903">
        <v>1902</v>
      </c>
      <c r="B1903" t="s">
        <v>4076</v>
      </c>
      <c r="C1903" t="s">
        <v>72</v>
      </c>
      <c r="D1903" t="s">
        <v>67</v>
      </c>
      <c r="E1903" t="s">
        <v>6357</v>
      </c>
      <c r="F1903" t="s">
        <v>6374</v>
      </c>
      <c r="G1903" t="s">
        <v>6379</v>
      </c>
      <c r="H1903" t="s">
        <v>6387</v>
      </c>
      <c r="J1903">
        <f>AVERAGE(ai_job_market[[#This Row],[min_salary]],ai_job_market[[#This Row],[max_salary]])</f>
        <v>154142.5</v>
      </c>
      <c r="K1903"/>
      <c r="L1903" t="s">
        <v>22</v>
      </c>
      <c r="M1903" t="s">
        <v>42</v>
      </c>
      <c r="N1903" t="s">
        <v>5536</v>
      </c>
      <c r="O1903" t="s">
        <v>4397</v>
      </c>
      <c r="P1903">
        <v>145357</v>
      </c>
      <c r="Q1903">
        <v>162928</v>
      </c>
      <c r="R1903" s="2">
        <v>45443</v>
      </c>
      <c r="S1903" t="s">
        <v>69</v>
      </c>
      <c r="T1903" t="s">
        <v>128</v>
      </c>
      <c r="U1903" t="s">
        <v>6383</v>
      </c>
      <c r="W1903" t="s">
        <v>6357</v>
      </c>
      <c r="X1903">
        <v>88</v>
      </c>
      <c r="Y1903" t="s">
        <v>128</v>
      </c>
      <c r="Z1903">
        <v>233</v>
      </c>
    </row>
    <row r="1904" spans="1:26" x14ac:dyDescent="0.3">
      <c r="A1904">
        <v>1903</v>
      </c>
      <c r="B1904" t="s">
        <v>4078</v>
      </c>
      <c r="C1904" t="s">
        <v>49</v>
      </c>
      <c r="D1904" t="s">
        <v>35</v>
      </c>
      <c r="E1904" t="s">
        <v>128</v>
      </c>
      <c r="F1904" t="s">
        <v>6394</v>
      </c>
      <c r="G1904" t="s">
        <v>6385</v>
      </c>
      <c r="H1904" t="s">
        <v>6386</v>
      </c>
      <c r="I1904" t="s">
        <v>6376</v>
      </c>
      <c r="J1904">
        <f>AVERAGE(ai_job_market[[#This Row],[min_salary]],ai_job_market[[#This Row],[max_salary]])</f>
        <v>137875.5</v>
      </c>
      <c r="K1904" t="s">
        <v>6380</v>
      </c>
      <c r="L1904" t="s">
        <v>22</v>
      </c>
      <c r="M1904" t="s">
        <v>51</v>
      </c>
      <c r="N1904" t="s">
        <v>6244</v>
      </c>
      <c r="O1904" t="s">
        <v>4312</v>
      </c>
      <c r="P1904">
        <v>130772</v>
      </c>
      <c r="Q1904">
        <v>144979</v>
      </c>
      <c r="R1904" s="2">
        <v>45611</v>
      </c>
      <c r="S1904" t="s">
        <v>69</v>
      </c>
      <c r="T1904" t="s">
        <v>128</v>
      </c>
      <c r="U1904" t="s">
        <v>6384</v>
      </c>
      <c r="V1904" t="s">
        <v>6376</v>
      </c>
      <c r="W1904" t="s">
        <v>128</v>
      </c>
      <c r="X1904">
        <v>92</v>
      </c>
      <c r="Y1904" t="s">
        <v>128</v>
      </c>
      <c r="Z1904">
        <v>233</v>
      </c>
    </row>
    <row r="1905" spans="1:26" x14ac:dyDescent="0.3">
      <c r="A1905">
        <v>1904</v>
      </c>
      <c r="B1905" t="s">
        <v>4080</v>
      </c>
      <c r="C1905" t="s">
        <v>40</v>
      </c>
      <c r="D1905" t="s">
        <v>12</v>
      </c>
      <c r="E1905" t="s">
        <v>6345</v>
      </c>
      <c r="F1905" t="s">
        <v>6395</v>
      </c>
      <c r="G1905" t="s">
        <v>6385</v>
      </c>
      <c r="H1905" t="s">
        <v>6380</v>
      </c>
      <c r="I1905" t="s">
        <v>6392</v>
      </c>
      <c r="J1905">
        <f>AVERAGE(ai_job_market[[#This Row],[min_salary]],ai_job_market[[#This Row],[max_salary]])</f>
        <v>89189.5</v>
      </c>
      <c r="K1905"/>
      <c r="L1905" t="s">
        <v>22</v>
      </c>
      <c r="M1905" t="s">
        <v>37</v>
      </c>
      <c r="N1905" t="s">
        <v>6245</v>
      </c>
      <c r="O1905" t="s">
        <v>5537</v>
      </c>
      <c r="P1905">
        <v>71169</v>
      </c>
      <c r="Q1905">
        <v>107210</v>
      </c>
      <c r="R1905" s="2">
        <v>45575</v>
      </c>
      <c r="S1905" t="s">
        <v>14</v>
      </c>
      <c r="T1905" t="s">
        <v>77</v>
      </c>
      <c r="U1905" t="s">
        <v>6389</v>
      </c>
      <c r="V1905" t="s">
        <v>6375</v>
      </c>
      <c r="W1905" t="s">
        <v>6345</v>
      </c>
      <c r="X1905">
        <v>101</v>
      </c>
      <c r="Y1905" t="s">
        <v>77</v>
      </c>
      <c r="Z1905">
        <v>251</v>
      </c>
    </row>
    <row r="1906" spans="1:26" x14ac:dyDescent="0.3">
      <c r="A1906">
        <v>1905</v>
      </c>
      <c r="B1906" t="s">
        <v>4082</v>
      </c>
      <c r="C1906" t="s">
        <v>45</v>
      </c>
      <c r="D1906" t="s">
        <v>12</v>
      </c>
      <c r="E1906" t="s">
        <v>77</v>
      </c>
      <c r="F1906" t="s">
        <v>6381</v>
      </c>
      <c r="G1906" t="s">
        <v>6377</v>
      </c>
      <c r="J1906">
        <f>AVERAGE(ai_job_market[[#This Row],[min_salary]],ai_job_market[[#This Row],[max_salary]])</f>
        <v>114679.5</v>
      </c>
      <c r="K1906"/>
      <c r="L1906" t="s">
        <v>14</v>
      </c>
      <c r="M1906" t="s">
        <v>42</v>
      </c>
      <c r="N1906" t="s">
        <v>6246</v>
      </c>
      <c r="O1906" t="s">
        <v>4291</v>
      </c>
      <c r="P1906">
        <v>108790</v>
      </c>
      <c r="Q1906">
        <v>120569</v>
      </c>
      <c r="R1906" s="2">
        <v>45842</v>
      </c>
      <c r="S1906" t="s">
        <v>69</v>
      </c>
      <c r="T1906" t="s">
        <v>157</v>
      </c>
      <c r="U1906" t="s">
        <v>6375</v>
      </c>
      <c r="V1906" t="s">
        <v>6384</v>
      </c>
      <c r="W1906" t="s">
        <v>77</v>
      </c>
      <c r="X1906">
        <v>111</v>
      </c>
      <c r="Y1906" t="s">
        <v>157</v>
      </c>
      <c r="Z1906">
        <v>247</v>
      </c>
    </row>
    <row r="1907" spans="1:26" x14ac:dyDescent="0.3">
      <c r="A1907">
        <v>1906</v>
      </c>
      <c r="B1907" t="s">
        <v>4084</v>
      </c>
      <c r="C1907" t="s">
        <v>72</v>
      </c>
      <c r="D1907" t="s">
        <v>54</v>
      </c>
      <c r="E1907" t="s">
        <v>6352</v>
      </c>
      <c r="F1907" t="s">
        <v>6379</v>
      </c>
      <c r="G1907" t="s">
        <v>6393</v>
      </c>
      <c r="H1907" t="s">
        <v>6382</v>
      </c>
      <c r="J1907">
        <f>AVERAGE(ai_job_market[[#This Row],[min_salary]],ai_job_market[[#This Row],[max_salary]])</f>
        <v>124594.5</v>
      </c>
      <c r="K1907"/>
      <c r="L1907" t="s">
        <v>27</v>
      </c>
      <c r="M1907" t="s">
        <v>42</v>
      </c>
      <c r="N1907" t="s">
        <v>6247</v>
      </c>
      <c r="O1907" t="s">
        <v>4626</v>
      </c>
      <c r="P1907">
        <v>87504</v>
      </c>
      <c r="Q1907">
        <v>161685</v>
      </c>
      <c r="R1907" s="2">
        <v>45381</v>
      </c>
      <c r="S1907" t="s">
        <v>16</v>
      </c>
      <c r="T1907" t="s">
        <v>70</v>
      </c>
      <c r="W1907" t="s">
        <v>6352</v>
      </c>
      <c r="X1907">
        <v>97</v>
      </c>
      <c r="Y1907" t="s">
        <v>70</v>
      </c>
      <c r="Z1907">
        <v>268</v>
      </c>
    </row>
    <row r="1908" spans="1:26" x14ac:dyDescent="0.3">
      <c r="A1908">
        <v>1907</v>
      </c>
      <c r="B1908" t="s">
        <v>4086</v>
      </c>
      <c r="C1908" t="s">
        <v>34</v>
      </c>
      <c r="D1908" t="s">
        <v>12</v>
      </c>
      <c r="E1908" t="s">
        <v>128</v>
      </c>
      <c r="F1908" t="s">
        <v>6384</v>
      </c>
      <c r="G1908" t="s">
        <v>6391</v>
      </c>
      <c r="H1908" t="s">
        <v>6396</v>
      </c>
      <c r="I1908" t="s">
        <v>6377</v>
      </c>
      <c r="J1908">
        <f>AVERAGE(ai_job_market[[#This Row],[min_salary]],ai_job_market[[#This Row],[max_salary]])</f>
        <v>119140.5</v>
      </c>
      <c r="K1908"/>
      <c r="L1908" t="s">
        <v>14</v>
      </c>
      <c r="M1908" t="s">
        <v>15</v>
      </c>
      <c r="N1908" t="s">
        <v>6248</v>
      </c>
      <c r="O1908" t="s">
        <v>4295</v>
      </c>
      <c r="P1908">
        <v>83696</v>
      </c>
      <c r="Q1908">
        <v>154585</v>
      </c>
      <c r="R1908" s="2">
        <v>45305</v>
      </c>
      <c r="S1908" t="s">
        <v>14</v>
      </c>
      <c r="T1908" t="s">
        <v>70</v>
      </c>
      <c r="U1908" t="s">
        <v>6375</v>
      </c>
      <c r="W1908" t="s">
        <v>128</v>
      </c>
      <c r="X1908">
        <v>92</v>
      </c>
      <c r="Y1908" t="s">
        <v>70</v>
      </c>
      <c r="Z1908">
        <v>268</v>
      </c>
    </row>
    <row r="1909" spans="1:26" x14ac:dyDescent="0.3">
      <c r="A1909">
        <v>1908</v>
      </c>
      <c r="B1909" t="s">
        <v>903</v>
      </c>
      <c r="C1909" t="s">
        <v>45</v>
      </c>
      <c r="D1909" t="s">
        <v>135</v>
      </c>
      <c r="E1909" t="s">
        <v>6347</v>
      </c>
      <c r="F1909" t="s">
        <v>6393</v>
      </c>
      <c r="G1909" t="s">
        <v>6377</v>
      </c>
      <c r="H1909" t="s">
        <v>6386</v>
      </c>
      <c r="J1909">
        <f>AVERAGE(ai_job_market[[#This Row],[min_salary]],ai_job_market[[#This Row],[max_salary]])</f>
        <v>75695.5</v>
      </c>
      <c r="K1909"/>
      <c r="L1909" t="s">
        <v>22</v>
      </c>
      <c r="M1909" t="s">
        <v>15</v>
      </c>
      <c r="N1909" t="s">
        <v>6249</v>
      </c>
      <c r="O1909" t="s">
        <v>4549</v>
      </c>
      <c r="P1909">
        <v>45038</v>
      </c>
      <c r="Q1909">
        <v>106353</v>
      </c>
      <c r="R1909" s="2">
        <v>45679</v>
      </c>
      <c r="S1909" t="s">
        <v>69</v>
      </c>
      <c r="T1909" t="s">
        <v>90</v>
      </c>
      <c r="W1909" t="s">
        <v>6347</v>
      </c>
      <c r="X1909">
        <v>94</v>
      </c>
      <c r="Y1909" t="s">
        <v>90</v>
      </c>
      <c r="Z1909">
        <v>259</v>
      </c>
    </row>
    <row r="1910" spans="1:26" x14ac:dyDescent="0.3">
      <c r="A1910">
        <v>1909</v>
      </c>
      <c r="B1910" t="s">
        <v>4089</v>
      </c>
      <c r="C1910" t="s">
        <v>19</v>
      </c>
      <c r="D1910" t="s">
        <v>135</v>
      </c>
      <c r="E1910" t="s">
        <v>70</v>
      </c>
      <c r="F1910" t="s">
        <v>6395</v>
      </c>
      <c r="G1910" t="s">
        <v>6376</v>
      </c>
      <c r="H1910" t="s">
        <v>6381</v>
      </c>
      <c r="I1910" t="s">
        <v>6390</v>
      </c>
      <c r="J1910">
        <f>AVERAGE(ai_job_market[[#This Row],[min_salary]],ai_job_market[[#This Row],[max_salary]])</f>
        <v>88504</v>
      </c>
      <c r="K1910"/>
      <c r="L1910" t="s">
        <v>22</v>
      </c>
      <c r="M1910" t="s">
        <v>42</v>
      </c>
      <c r="N1910" t="s">
        <v>6250</v>
      </c>
      <c r="O1910" t="s">
        <v>4371</v>
      </c>
      <c r="P1910">
        <v>52265</v>
      </c>
      <c r="Q1910">
        <v>124743</v>
      </c>
      <c r="R1910" s="2">
        <v>45769</v>
      </c>
      <c r="S1910" t="s">
        <v>14</v>
      </c>
      <c r="T1910" t="s">
        <v>77</v>
      </c>
      <c r="W1910" t="s">
        <v>70</v>
      </c>
      <c r="X1910">
        <v>100</v>
      </c>
      <c r="Y1910" t="s">
        <v>77</v>
      </c>
      <c r="Z1910">
        <v>251</v>
      </c>
    </row>
    <row r="1911" spans="1:26" x14ac:dyDescent="0.3">
      <c r="A1911">
        <v>1910</v>
      </c>
      <c r="B1911" t="s">
        <v>4091</v>
      </c>
      <c r="C1911" t="s">
        <v>45</v>
      </c>
      <c r="D1911" t="s">
        <v>12</v>
      </c>
      <c r="E1911" t="s">
        <v>6352</v>
      </c>
      <c r="F1911" t="s">
        <v>6384</v>
      </c>
      <c r="G1911" t="s">
        <v>6380</v>
      </c>
      <c r="H1911" t="s">
        <v>6374</v>
      </c>
      <c r="I1911" t="s">
        <v>6378</v>
      </c>
      <c r="J1911">
        <f>AVERAGE(ai_job_market[[#This Row],[min_salary]],ai_job_market[[#This Row],[max_salary]])</f>
        <v>172441.5</v>
      </c>
      <c r="K1911"/>
      <c r="L1911" t="s">
        <v>14</v>
      </c>
      <c r="M1911" t="s">
        <v>51</v>
      </c>
      <c r="N1911" t="s">
        <v>4841</v>
      </c>
      <c r="O1911" t="s">
        <v>4624</v>
      </c>
      <c r="P1911">
        <v>147433</v>
      </c>
      <c r="Q1911">
        <v>197450</v>
      </c>
      <c r="R1911" s="2">
        <v>45797</v>
      </c>
      <c r="S1911" t="s">
        <v>14</v>
      </c>
      <c r="T1911" t="s">
        <v>77</v>
      </c>
      <c r="W1911" t="s">
        <v>6352</v>
      </c>
      <c r="X1911">
        <v>97</v>
      </c>
      <c r="Y1911" t="s">
        <v>77</v>
      </c>
      <c r="Z1911">
        <v>251</v>
      </c>
    </row>
    <row r="1912" spans="1:26" x14ac:dyDescent="0.3">
      <c r="A1912">
        <v>1911</v>
      </c>
      <c r="B1912" t="s">
        <v>4093</v>
      </c>
      <c r="C1912" t="s">
        <v>49</v>
      </c>
      <c r="D1912" t="s">
        <v>25</v>
      </c>
      <c r="E1912" t="s">
        <v>101</v>
      </c>
      <c r="F1912" t="s">
        <v>6381</v>
      </c>
      <c r="G1912" t="s">
        <v>6397</v>
      </c>
      <c r="H1912" t="s">
        <v>6393</v>
      </c>
      <c r="J1912">
        <f>AVERAGE(ai_job_market[[#This Row],[min_salary]],ai_job_market[[#This Row],[max_salary]])</f>
        <v>169485.5</v>
      </c>
      <c r="K1912"/>
      <c r="L1912" t="s">
        <v>27</v>
      </c>
      <c r="M1912" t="s">
        <v>51</v>
      </c>
      <c r="N1912" t="s">
        <v>6251</v>
      </c>
      <c r="O1912" t="s">
        <v>4446</v>
      </c>
      <c r="P1912">
        <v>129069</v>
      </c>
      <c r="Q1912">
        <v>209902</v>
      </c>
      <c r="R1912" s="2">
        <v>45899</v>
      </c>
      <c r="S1912" t="s">
        <v>14</v>
      </c>
      <c r="T1912" t="s">
        <v>101</v>
      </c>
      <c r="U1912" t="s">
        <v>6388</v>
      </c>
      <c r="W1912" t="s">
        <v>101</v>
      </c>
      <c r="X1912">
        <v>76</v>
      </c>
      <c r="Y1912" t="s">
        <v>101</v>
      </c>
      <c r="Z1912">
        <v>255</v>
      </c>
    </row>
    <row r="1913" spans="1:26" x14ac:dyDescent="0.3">
      <c r="A1913">
        <v>1912</v>
      </c>
      <c r="B1913" t="s">
        <v>4095</v>
      </c>
      <c r="C1913" t="s">
        <v>45</v>
      </c>
      <c r="D1913" t="s">
        <v>67</v>
      </c>
      <c r="E1913" t="s">
        <v>6354</v>
      </c>
      <c r="F1913" t="s">
        <v>6379</v>
      </c>
      <c r="G1913" t="s">
        <v>6397</v>
      </c>
      <c r="H1913" t="s">
        <v>6391</v>
      </c>
      <c r="J1913">
        <f>AVERAGE(ai_job_market[[#This Row],[min_salary]],ai_job_market[[#This Row],[max_salary]])</f>
        <v>98319</v>
      </c>
      <c r="K1913"/>
      <c r="L1913" t="s">
        <v>27</v>
      </c>
      <c r="M1913" t="s">
        <v>15</v>
      </c>
      <c r="N1913" t="s">
        <v>6252</v>
      </c>
      <c r="O1913" t="s">
        <v>4564</v>
      </c>
      <c r="P1913">
        <v>53182</v>
      </c>
      <c r="Q1913">
        <v>143456</v>
      </c>
      <c r="R1913" s="2">
        <v>45648</v>
      </c>
      <c r="S1913" t="s">
        <v>69</v>
      </c>
      <c r="T1913" t="s">
        <v>157</v>
      </c>
      <c r="U1913" t="s">
        <v>6388</v>
      </c>
      <c r="W1913" t="s">
        <v>6354</v>
      </c>
      <c r="X1913">
        <v>75</v>
      </c>
      <c r="Y1913" t="s">
        <v>157</v>
      </c>
      <c r="Z1913">
        <v>247</v>
      </c>
    </row>
    <row r="1914" spans="1:26" x14ac:dyDescent="0.3">
      <c r="A1914">
        <v>1913</v>
      </c>
      <c r="B1914" t="s">
        <v>4097</v>
      </c>
      <c r="C1914" t="s">
        <v>19</v>
      </c>
      <c r="D1914" t="s">
        <v>30</v>
      </c>
      <c r="E1914" t="s">
        <v>6355</v>
      </c>
      <c r="F1914" t="s">
        <v>6382</v>
      </c>
      <c r="G1914" t="s">
        <v>6385</v>
      </c>
      <c r="H1914" t="s">
        <v>6380</v>
      </c>
      <c r="J1914">
        <f>AVERAGE(ai_job_market[[#This Row],[min_salary]],ai_job_market[[#This Row],[max_salary]])</f>
        <v>117034</v>
      </c>
      <c r="K1914"/>
      <c r="L1914" t="s">
        <v>27</v>
      </c>
      <c r="M1914" t="s">
        <v>51</v>
      </c>
      <c r="N1914" t="s">
        <v>6253</v>
      </c>
      <c r="O1914" t="s">
        <v>4692</v>
      </c>
      <c r="P1914">
        <v>78877</v>
      </c>
      <c r="Q1914">
        <v>155191</v>
      </c>
      <c r="R1914" s="2">
        <v>45856</v>
      </c>
      <c r="S1914" t="s">
        <v>14</v>
      </c>
      <c r="T1914" t="s">
        <v>128</v>
      </c>
      <c r="U1914" t="s">
        <v>6388</v>
      </c>
      <c r="V1914" t="s">
        <v>6376</v>
      </c>
      <c r="W1914" t="s">
        <v>6355</v>
      </c>
      <c r="X1914">
        <v>90</v>
      </c>
      <c r="Y1914" t="s">
        <v>128</v>
      </c>
      <c r="Z1914">
        <v>233</v>
      </c>
    </row>
    <row r="1915" spans="1:26" x14ac:dyDescent="0.3">
      <c r="A1915">
        <v>1914</v>
      </c>
      <c r="B1915" t="s">
        <v>4099</v>
      </c>
      <c r="C1915" t="s">
        <v>19</v>
      </c>
      <c r="D1915" t="s">
        <v>30</v>
      </c>
      <c r="E1915" t="s">
        <v>6359</v>
      </c>
      <c r="F1915" t="s">
        <v>6378</v>
      </c>
      <c r="G1915" t="s">
        <v>6381</v>
      </c>
      <c r="H1915" t="s">
        <v>6396</v>
      </c>
      <c r="I1915" t="s">
        <v>6390</v>
      </c>
      <c r="J1915">
        <f>AVERAGE(ai_job_market[[#This Row],[min_salary]],ai_job_market[[#This Row],[max_salary]])</f>
        <v>99379.5</v>
      </c>
      <c r="K1915" t="s">
        <v>6394</v>
      </c>
      <c r="L1915" t="s">
        <v>14</v>
      </c>
      <c r="M1915" t="s">
        <v>15</v>
      </c>
      <c r="N1915" t="s">
        <v>6254</v>
      </c>
      <c r="O1915" t="s">
        <v>4699</v>
      </c>
      <c r="P1915">
        <v>79490</v>
      </c>
      <c r="Q1915">
        <v>119269</v>
      </c>
      <c r="R1915" s="2">
        <v>45503</v>
      </c>
      <c r="S1915" t="s">
        <v>16</v>
      </c>
      <c r="T1915" t="s">
        <v>90</v>
      </c>
      <c r="U1915" t="s">
        <v>6388</v>
      </c>
      <c r="V1915" t="s">
        <v>6378</v>
      </c>
      <c r="W1915" t="s">
        <v>6359</v>
      </c>
      <c r="X1915">
        <v>104</v>
      </c>
      <c r="Y1915" t="s">
        <v>90</v>
      </c>
      <c r="Z1915">
        <v>259</v>
      </c>
    </row>
    <row r="1916" spans="1:26" x14ac:dyDescent="0.3">
      <c r="A1916">
        <v>1915</v>
      </c>
      <c r="B1916" t="s">
        <v>3024</v>
      </c>
      <c r="C1916" t="s">
        <v>49</v>
      </c>
      <c r="D1916" t="s">
        <v>20</v>
      </c>
      <c r="E1916" t="s">
        <v>80</v>
      </c>
      <c r="F1916" t="s">
        <v>6376</v>
      </c>
      <c r="G1916" t="s">
        <v>6394</v>
      </c>
      <c r="H1916" t="s">
        <v>6385</v>
      </c>
      <c r="I1916" t="s">
        <v>6378</v>
      </c>
      <c r="J1916">
        <f>AVERAGE(ai_job_market[[#This Row],[min_salary]],ai_job_market[[#This Row],[max_salary]])</f>
        <v>84224.5</v>
      </c>
      <c r="K1916"/>
      <c r="L1916" t="s">
        <v>22</v>
      </c>
      <c r="M1916" t="s">
        <v>51</v>
      </c>
      <c r="N1916" t="s">
        <v>6255</v>
      </c>
      <c r="O1916" t="s">
        <v>4420</v>
      </c>
      <c r="P1916">
        <v>46931</v>
      </c>
      <c r="Q1916">
        <v>121518</v>
      </c>
      <c r="R1916" s="2">
        <v>45210</v>
      </c>
      <c r="S1916" t="s">
        <v>14</v>
      </c>
      <c r="T1916" t="s">
        <v>157</v>
      </c>
      <c r="U1916" t="s">
        <v>6375</v>
      </c>
      <c r="V1916" t="s">
        <v>6376</v>
      </c>
      <c r="W1916" t="s">
        <v>80</v>
      </c>
      <c r="X1916">
        <v>95</v>
      </c>
      <c r="Y1916" t="s">
        <v>157</v>
      </c>
      <c r="Z1916">
        <v>247</v>
      </c>
    </row>
    <row r="1917" spans="1:26" x14ac:dyDescent="0.3">
      <c r="A1917">
        <v>1916</v>
      </c>
      <c r="B1917" t="s">
        <v>4103</v>
      </c>
      <c r="C1917" t="s">
        <v>49</v>
      </c>
      <c r="D1917" t="s">
        <v>135</v>
      </c>
      <c r="E1917" t="s">
        <v>6349</v>
      </c>
      <c r="F1917" t="s">
        <v>6374</v>
      </c>
      <c r="G1917" t="s">
        <v>6377</v>
      </c>
      <c r="H1917" t="s">
        <v>6380</v>
      </c>
      <c r="J1917">
        <f>AVERAGE(ai_job_market[[#This Row],[min_salary]],ai_job_market[[#This Row],[max_salary]])</f>
        <v>79159</v>
      </c>
      <c r="K1917"/>
      <c r="L1917" t="s">
        <v>22</v>
      </c>
      <c r="M1917" t="s">
        <v>15</v>
      </c>
      <c r="N1917" t="s">
        <v>6256</v>
      </c>
      <c r="O1917" t="s">
        <v>4630</v>
      </c>
      <c r="P1917">
        <v>62605</v>
      </c>
      <c r="Q1917">
        <v>95713</v>
      </c>
      <c r="R1917" s="2">
        <v>45753</v>
      </c>
      <c r="S1917" t="s">
        <v>69</v>
      </c>
      <c r="T1917" t="s">
        <v>70</v>
      </c>
      <c r="W1917" t="s">
        <v>6349</v>
      </c>
      <c r="X1917">
        <v>96</v>
      </c>
      <c r="Y1917" t="s">
        <v>70</v>
      </c>
      <c r="Z1917">
        <v>268</v>
      </c>
    </row>
    <row r="1918" spans="1:26" x14ac:dyDescent="0.3">
      <c r="A1918">
        <v>1917</v>
      </c>
      <c r="B1918" t="s">
        <v>964</v>
      </c>
      <c r="C1918" t="s">
        <v>45</v>
      </c>
      <c r="D1918" t="s">
        <v>12</v>
      </c>
      <c r="E1918" t="s">
        <v>6348</v>
      </c>
      <c r="F1918" t="s">
        <v>6374</v>
      </c>
      <c r="G1918" t="s">
        <v>6377</v>
      </c>
      <c r="H1918" t="s">
        <v>6393</v>
      </c>
      <c r="J1918">
        <f>AVERAGE(ai_job_market[[#This Row],[min_salary]],ai_job_market[[#This Row],[max_salary]])</f>
        <v>168636.5</v>
      </c>
      <c r="K1918"/>
      <c r="L1918" t="s">
        <v>27</v>
      </c>
      <c r="M1918" t="s">
        <v>51</v>
      </c>
      <c r="N1918" t="s">
        <v>6257</v>
      </c>
      <c r="O1918" t="s">
        <v>4380</v>
      </c>
      <c r="P1918">
        <v>138097</v>
      </c>
      <c r="Q1918">
        <v>199176</v>
      </c>
      <c r="R1918" s="2">
        <v>45248</v>
      </c>
      <c r="S1918" t="s">
        <v>16</v>
      </c>
      <c r="T1918" t="s">
        <v>90</v>
      </c>
      <c r="U1918" t="s">
        <v>6375</v>
      </c>
      <c r="V1918" t="s">
        <v>6384</v>
      </c>
      <c r="W1918" t="s">
        <v>6348</v>
      </c>
      <c r="X1918">
        <v>78</v>
      </c>
      <c r="Y1918" t="s">
        <v>90</v>
      </c>
      <c r="Z1918">
        <v>259</v>
      </c>
    </row>
    <row r="1919" spans="1:26" x14ac:dyDescent="0.3">
      <c r="A1919">
        <v>1918</v>
      </c>
      <c r="B1919" t="s">
        <v>4106</v>
      </c>
      <c r="C1919" t="s">
        <v>40</v>
      </c>
      <c r="D1919" t="s">
        <v>12</v>
      </c>
      <c r="E1919" t="s">
        <v>6356</v>
      </c>
      <c r="F1919" t="s">
        <v>6387</v>
      </c>
      <c r="G1919" t="s">
        <v>6379</v>
      </c>
      <c r="H1919" t="s">
        <v>6394</v>
      </c>
      <c r="I1919" t="s">
        <v>6374</v>
      </c>
      <c r="J1919">
        <f>AVERAGE(ai_job_market[[#This Row],[min_salary]],ai_job_market[[#This Row],[max_salary]])</f>
        <v>120673</v>
      </c>
      <c r="K1919" t="s">
        <v>6389</v>
      </c>
      <c r="L1919" t="s">
        <v>27</v>
      </c>
      <c r="M1919" t="s">
        <v>37</v>
      </c>
      <c r="N1919" t="s">
        <v>6258</v>
      </c>
      <c r="O1919" t="s">
        <v>4791</v>
      </c>
      <c r="P1919">
        <v>99857</v>
      </c>
      <c r="Q1919">
        <v>141489</v>
      </c>
      <c r="R1919" s="2">
        <v>45552</v>
      </c>
      <c r="S1919" t="s">
        <v>14</v>
      </c>
      <c r="T1919" t="s">
        <v>52</v>
      </c>
      <c r="W1919" t="s">
        <v>6356</v>
      </c>
      <c r="X1919">
        <v>86</v>
      </c>
      <c r="Y1919" t="s">
        <v>52</v>
      </c>
      <c r="Z1919">
        <v>238</v>
      </c>
    </row>
    <row r="1920" spans="1:26" x14ac:dyDescent="0.3">
      <c r="A1920">
        <v>1919</v>
      </c>
      <c r="B1920" t="s">
        <v>4108</v>
      </c>
      <c r="C1920" t="s">
        <v>72</v>
      </c>
      <c r="D1920" t="s">
        <v>12</v>
      </c>
      <c r="E1920" t="s">
        <v>6353</v>
      </c>
      <c r="F1920" t="s">
        <v>6397</v>
      </c>
      <c r="G1920" t="s">
        <v>6390</v>
      </c>
      <c r="J1920" s="6">
        <f>AVERAGE(ai_job_market[[#This Row],[min_salary]],ai_job_market[[#This Row],[max_salary]])</f>
        <v>140698</v>
      </c>
      <c r="K1920"/>
      <c r="L1920" t="s">
        <v>22</v>
      </c>
      <c r="M1920" t="s">
        <v>42</v>
      </c>
      <c r="N1920" t="s">
        <v>6259</v>
      </c>
      <c r="O1920" t="s">
        <v>4619</v>
      </c>
      <c r="P1920" s="5">
        <v>107295</v>
      </c>
      <c r="Q1920" s="5">
        <v>174101</v>
      </c>
      <c r="R1920" s="2">
        <v>45342</v>
      </c>
      <c r="S1920" t="s">
        <v>14</v>
      </c>
      <c r="T1920" t="s">
        <v>80</v>
      </c>
      <c r="U1920" t="s">
        <v>6388</v>
      </c>
      <c r="W1920" t="s">
        <v>6353</v>
      </c>
      <c r="X1920">
        <v>86</v>
      </c>
      <c r="Y1920" t="s">
        <v>80</v>
      </c>
      <c r="Z1920">
        <v>249</v>
      </c>
    </row>
    <row r="1921" spans="1:26" x14ac:dyDescent="0.3">
      <c r="A1921">
        <v>1920</v>
      </c>
      <c r="B1921" t="s">
        <v>4110</v>
      </c>
      <c r="C1921" t="s">
        <v>19</v>
      </c>
      <c r="D1921" t="s">
        <v>67</v>
      </c>
      <c r="E1921" t="s">
        <v>6352</v>
      </c>
      <c r="F1921" t="s">
        <v>6381</v>
      </c>
      <c r="G1921" t="s">
        <v>6374</v>
      </c>
      <c r="H1921" t="s">
        <v>6384</v>
      </c>
      <c r="J1921">
        <f>AVERAGE(ai_job_market[[#This Row],[min_salary]],ai_job_market[[#This Row],[max_salary]])</f>
        <v>173018</v>
      </c>
      <c r="K1921"/>
      <c r="L1921" t="s">
        <v>27</v>
      </c>
      <c r="M1921" t="s">
        <v>15</v>
      </c>
      <c r="N1921" t="s">
        <v>6260</v>
      </c>
      <c r="O1921" t="s">
        <v>4418</v>
      </c>
      <c r="P1921">
        <v>123053</v>
      </c>
      <c r="Q1921">
        <v>222983</v>
      </c>
      <c r="R1921" s="2">
        <v>45676</v>
      </c>
      <c r="S1921" t="s">
        <v>14</v>
      </c>
      <c r="T1921" t="s">
        <v>70</v>
      </c>
      <c r="U1921" t="s">
        <v>6375</v>
      </c>
      <c r="W1921" t="s">
        <v>6352</v>
      </c>
      <c r="X1921">
        <v>97</v>
      </c>
      <c r="Y1921" t="s">
        <v>70</v>
      </c>
      <c r="Z1921">
        <v>268</v>
      </c>
    </row>
    <row r="1922" spans="1:26" x14ac:dyDescent="0.3">
      <c r="A1922">
        <v>1921</v>
      </c>
      <c r="B1922" t="s">
        <v>4112</v>
      </c>
      <c r="C1922" t="s">
        <v>34</v>
      </c>
      <c r="D1922" t="s">
        <v>135</v>
      </c>
      <c r="E1922" t="s">
        <v>90</v>
      </c>
      <c r="F1922" t="s">
        <v>6395</v>
      </c>
      <c r="G1922" t="s">
        <v>6380</v>
      </c>
      <c r="H1922" t="s">
        <v>6387</v>
      </c>
      <c r="J1922">
        <f>AVERAGE(ai_job_market[[#This Row],[min_salary]],ai_job_market[[#This Row],[max_salary]])</f>
        <v>121813</v>
      </c>
      <c r="K1922"/>
      <c r="L1922" t="s">
        <v>14</v>
      </c>
      <c r="M1922" t="s">
        <v>37</v>
      </c>
      <c r="N1922" t="s">
        <v>6261</v>
      </c>
      <c r="O1922" t="s">
        <v>4528</v>
      </c>
      <c r="P1922">
        <v>93939</v>
      </c>
      <c r="Q1922">
        <v>149687</v>
      </c>
      <c r="R1922" s="2">
        <v>45531</v>
      </c>
      <c r="S1922" t="s">
        <v>69</v>
      </c>
      <c r="T1922" t="s">
        <v>128</v>
      </c>
      <c r="U1922" t="s">
        <v>6379</v>
      </c>
      <c r="W1922" t="s">
        <v>90</v>
      </c>
      <c r="X1922">
        <v>80</v>
      </c>
      <c r="Y1922" t="s">
        <v>128</v>
      </c>
      <c r="Z1922">
        <v>233</v>
      </c>
    </row>
    <row r="1923" spans="1:26" x14ac:dyDescent="0.3">
      <c r="A1923">
        <v>1922</v>
      </c>
      <c r="B1923" t="s">
        <v>4114</v>
      </c>
      <c r="C1923" t="s">
        <v>49</v>
      </c>
      <c r="D1923" t="s">
        <v>67</v>
      </c>
      <c r="E1923" t="s">
        <v>6352</v>
      </c>
      <c r="F1923" t="s">
        <v>6391</v>
      </c>
      <c r="G1923" t="s">
        <v>6387</v>
      </c>
      <c r="J1923">
        <f>AVERAGE(ai_job_market[[#This Row],[min_salary]],ai_job_market[[#This Row],[max_salary]])</f>
        <v>150052.5</v>
      </c>
      <c r="K1923"/>
      <c r="L1923" t="s">
        <v>27</v>
      </c>
      <c r="M1923" t="s">
        <v>51</v>
      </c>
      <c r="N1923" t="s">
        <v>6262</v>
      </c>
      <c r="O1923" t="s">
        <v>4309</v>
      </c>
      <c r="P1923">
        <v>127132</v>
      </c>
      <c r="Q1923">
        <v>172973</v>
      </c>
      <c r="R1923" s="2">
        <v>45679</v>
      </c>
      <c r="S1923" t="s">
        <v>69</v>
      </c>
      <c r="T1923" t="s">
        <v>157</v>
      </c>
      <c r="U1923" t="s">
        <v>6378</v>
      </c>
      <c r="W1923" t="s">
        <v>6352</v>
      </c>
      <c r="X1923">
        <v>97</v>
      </c>
      <c r="Y1923" t="s">
        <v>157</v>
      </c>
      <c r="Z1923">
        <v>247</v>
      </c>
    </row>
    <row r="1924" spans="1:26" x14ac:dyDescent="0.3">
      <c r="A1924">
        <v>1923</v>
      </c>
      <c r="B1924" t="s">
        <v>4116</v>
      </c>
      <c r="C1924" t="s">
        <v>40</v>
      </c>
      <c r="D1924" t="s">
        <v>135</v>
      </c>
      <c r="E1924" t="s">
        <v>6353</v>
      </c>
      <c r="F1924" t="s">
        <v>6386</v>
      </c>
      <c r="G1924" t="s">
        <v>6382</v>
      </c>
      <c r="J1924">
        <f>AVERAGE(ai_job_market[[#This Row],[min_salary]],ai_job_market[[#This Row],[max_salary]])</f>
        <v>82134.5</v>
      </c>
      <c r="K1924"/>
      <c r="L1924" t="s">
        <v>14</v>
      </c>
      <c r="M1924" t="s">
        <v>15</v>
      </c>
      <c r="N1924" t="s">
        <v>6263</v>
      </c>
      <c r="O1924" t="s">
        <v>4842</v>
      </c>
      <c r="P1924">
        <v>68948</v>
      </c>
      <c r="Q1924">
        <v>95321</v>
      </c>
      <c r="R1924" s="2">
        <v>45233</v>
      </c>
      <c r="S1924" t="s">
        <v>16</v>
      </c>
      <c r="T1924" t="s">
        <v>70</v>
      </c>
      <c r="U1924" t="s">
        <v>6384</v>
      </c>
      <c r="W1924" t="s">
        <v>6353</v>
      </c>
      <c r="X1924">
        <v>86</v>
      </c>
      <c r="Y1924" t="s">
        <v>70</v>
      </c>
      <c r="Z1924">
        <v>268</v>
      </c>
    </row>
    <row r="1925" spans="1:26" x14ac:dyDescent="0.3">
      <c r="A1925">
        <v>1924</v>
      </c>
      <c r="B1925" t="s">
        <v>4118</v>
      </c>
      <c r="C1925" t="s">
        <v>11</v>
      </c>
      <c r="D1925" t="s">
        <v>54</v>
      </c>
      <c r="E1925" t="s">
        <v>6348</v>
      </c>
      <c r="F1925" t="s">
        <v>6385</v>
      </c>
      <c r="G1925" t="s">
        <v>6378</v>
      </c>
      <c r="H1925" t="s">
        <v>6396</v>
      </c>
      <c r="J1925">
        <f>AVERAGE(ai_job_market[[#This Row],[min_salary]],ai_job_market[[#This Row],[max_salary]])</f>
        <v>144133</v>
      </c>
      <c r="K1925"/>
      <c r="L1925" t="s">
        <v>27</v>
      </c>
      <c r="M1925" t="s">
        <v>51</v>
      </c>
      <c r="N1925" t="s">
        <v>5971</v>
      </c>
      <c r="O1925" t="s">
        <v>4439</v>
      </c>
      <c r="P1925">
        <v>117098</v>
      </c>
      <c r="Q1925">
        <v>171168</v>
      </c>
      <c r="R1925" s="2">
        <v>45875</v>
      </c>
      <c r="S1925" t="s">
        <v>14</v>
      </c>
      <c r="T1925" t="s">
        <v>77</v>
      </c>
      <c r="U1925" t="s">
        <v>6388</v>
      </c>
      <c r="W1925" t="s">
        <v>6348</v>
      </c>
      <c r="X1925">
        <v>78</v>
      </c>
      <c r="Y1925" t="s">
        <v>77</v>
      </c>
      <c r="Z1925">
        <v>251</v>
      </c>
    </row>
    <row r="1926" spans="1:26" x14ac:dyDescent="0.3">
      <c r="A1926">
        <v>1925</v>
      </c>
      <c r="B1926" t="s">
        <v>4120</v>
      </c>
      <c r="C1926" t="s">
        <v>11</v>
      </c>
      <c r="D1926" t="s">
        <v>54</v>
      </c>
      <c r="E1926" t="s">
        <v>6358</v>
      </c>
      <c r="F1926" t="s">
        <v>6386</v>
      </c>
      <c r="G1926" t="s">
        <v>6397</v>
      </c>
      <c r="H1926" t="s">
        <v>6389</v>
      </c>
      <c r="I1926" t="s">
        <v>6396</v>
      </c>
      <c r="J1926">
        <f>AVERAGE(ai_job_market[[#This Row],[min_salary]],ai_job_market[[#This Row],[max_salary]])</f>
        <v>115101.5</v>
      </c>
      <c r="K1926" t="s">
        <v>6374</v>
      </c>
      <c r="L1926" t="s">
        <v>27</v>
      </c>
      <c r="M1926" t="s">
        <v>15</v>
      </c>
      <c r="N1926" t="s">
        <v>6264</v>
      </c>
      <c r="O1926" t="s">
        <v>4670</v>
      </c>
      <c r="P1926">
        <v>68093</v>
      </c>
      <c r="Q1926">
        <v>162110</v>
      </c>
      <c r="R1926" s="2">
        <v>45902</v>
      </c>
      <c r="S1926" t="s">
        <v>14</v>
      </c>
      <c r="T1926" t="s">
        <v>52</v>
      </c>
      <c r="U1926" t="s">
        <v>6383</v>
      </c>
      <c r="W1926" t="s">
        <v>6358</v>
      </c>
      <c r="X1926">
        <v>96</v>
      </c>
      <c r="Y1926" t="s">
        <v>52</v>
      </c>
      <c r="Z1926">
        <v>238</v>
      </c>
    </row>
    <row r="1927" spans="1:26" x14ac:dyDescent="0.3">
      <c r="A1927">
        <v>1926</v>
      </c>
      <c r="B1927" t="s">
        <v>2590</v>
      </c>
      <c r="C1927" t="s">
        <v>19</v>
      </c>
      <c r="D1927" t="s">
        <v>135</v>
      </c>
      <c r="E1927" t="s">
        <v>128</v>
      </c>
      <c r="F1927" t="s">
        <v>6376</v>
      </c>
      <c r="G1927" t="s">
        <v>6391</v>
      </c>
      <c r="H1927" t="s">
        <v>6379</v>
      </c>
      <c r="J1927">
        <f>AVERAGE(ai_job_market[[#This Row],[min_salary]],ai_job_market[[#This Row],[max_salary]])</f>
        <v>191779.5</v>
      </c>
      <c r="K1927"/>
      <c r="L1927" t="s">
        <v>14</v>
      </c>
      <c r="M1927" t="s">
        <v>51</v>
      </c>
      <c r="N1927" t="s">
        <v>6265</v>
      </c>
      <c r="O1927" t="s">
        <v>5537</v>
      </c>
      <c r="P1927">
        <v>149051</v>
      </c>
      <c r="Q1927">
        <v>234508</v>
      </c>
      <c r="R1927" s="2">
        <v>45582</v>
      </c>
      <c r="S1927" t="s">
        <v>16</v>
      </c>
      <c r="T1927" t="s">
        <v>90</v>
      </c>
      <c r="W1927" t="s">
        <v>128</v>
      </c>
      <c r="X1927">
        <v>92</v>
      </c>
      <c r="Y1927" t="s">
        <v>90</v>
      </c>
      <c r="Z1927">
        <v>259</v>
      </c>
    </row>
    <row r="1928" spans="1:26" x14ac:dyDescent="0.3">
      <c r="A1928">
        <v>1927</v>
      </c>
      <c r="B1928" t="s">
        <v>4123</v>
      </c>
      <c r="C1928" t="s">
        <v>34</v>
      </c>
      <c r="D1928" t="s">
        <v>67</v>
      </c>
      <c r="E1928" t="s">
        <v>101</v>
      </c>
      <c r="F1928" t="s">
        <v>6374</v>
      </c>
      <c r="G1928" t="s">
        <v>6391</v>
      </c>
      <c r="H1928" t="s">
        <v>6395</v>
      </c>
      <c r="I1928" t="s">
        <v>6384</v>
      </c>
      <c r="J1928">
        <f>AVERAGE(ai_job_market[[#This Row],[min_salary]],ai_job_market[[#This Row],[max_salary]])</f>
        <v>91535.5</v>
      </c>
      <c r="K1928"/>
      <c r="L1928" t="s">
        <v>14</v>
      </c>
      <c r="M1928" t="s">
        <v>51</v>
      </c>
      <c r="N1928" t="s">
        <v>6266</v>
      </c>
      <c r="O1928" t="s">
        <v>4355</v>
      </c>
      <c r="P1928">
        <v>68849</v>
      </c>
      <c r="Q1928">
        <v>114222</v>
      </c>
      <c r="R1928" s="2">
        <v>45708</v>
      </c>
      <c r="S1928" t="s">
        <v>16</v>
      </c>
      <c r="T1928" t="s">
        <v>70</v>
      </c>
      <c r="W1928" t="s">
        <v>101</v>
      </c>
      <c r="X1928">
        <v>76</v>
      </c>
      <c r="Y1928" t="s">
        <v>70</v>
      </c>
      <c r="Z1928">
        <v>268</v>
      </c>
    </row>
    <row r="1929" spans="1:26" x14ac:dyDescent="0.3">
      <c r="A1929">
        <v>1928</v>
      </c>
      <c r="B1929" t="s">
        <v>1940</v>
      </c>
      <c r="C1929" t="s">
        <v>40</v>
      </c>
      <c r="D1929" t="s">
        <v>54</v>
      </c>
      <c r="E1929" t="s">
        <v>101</v>
      </c>
      <c r="F1929" t="s">
        <v>6378</v>
      </c>
      <c r="G1929" t="s">
        <v>6375</v>
      </c>
      <c r="H1929" t="s">
        <v>6393</v>
      </c>
      <c r="I1929" t="s">
        <v>6377</v>
      </c>
      <c r="J1929" s="6">
        <f>AVERAGE(ai_job_market[[#This Row],[min_salary]],ai_job_market[[#This Row],[max_salary]])</f>
        <v>194743.5</v>
      </c>
      <c r="K1929" t="s">
        <v>6379</v>
      </c>
      <c r="L1929" t="s">
        <v>27</v>
      </c>
      <c r="M1929" t="s">
        <v>37</v>
      </c>
      <c r="N1929" t="s">
        <v>6267</v>
      </c>
      <c r="O1929" t="s">
        <v>4343</v>
      </c>
      <c r="P1929" s="5">
        <v>149671</v>
      </c>
      <c r="Q1929" s="5">
        <v>239816</v>
      </c>
      <c r="R1929" s="2">
        <v>45489</v>
      </c>
      <c r="S1929" t="s">
        <v>14</v>
      </c>
      <c r="T1929" t="s">
        <v>52</v>
      </c>
      <c r="U1929" t="s">
        <v>6389</v>
      </c>
      <c r="W1929" t="s">
        <v>101</v>
      </c>
      <c r="X1929">
        <v>76</v>
      </c>
      <c r="Y1929" t="s">
        <v>52</v>
      </c>
      <c r="Z1929">
        <v>238</v>
      </c>
    </row>
    <row r="1930" spans="1:26" x14ac:dyDescent="0.3">
      <c r="A1930">
        <v>1929</v>
      </c>
      <c r="B1930" t="s">
        <v>4126</v>
      </c>
      <c r="C1930" t="s">
        <v>34</v>
      </c>
      <c r="D1930" t="s">
        <v>54</v>
      </c>
      <c r="E1930" t="s">
        <v>6354</v>
      </c>
      <c r="F1930" t="s">
        <v>6396</v>
      </c>
      <c r="G1930" t="s">
        <v>6392</v>
      </c>
      <c r="H1930" t="s">
        <v>6393</v>
      </c>
      <c r="I1930" t="s">
        <v>6389</v>
      </c>
      <c r="J1930">
        <f>AVERAGE(ai_job_market[[#This Row],[min_salary]],ai_job_market[[#This Row],[max_salary]])</f>
        <v>119843</v>
      </c>
      <c r="K1930" t="s">
        <v>6397</v>
      </c>
      <c r="L1930" t="s">
        <v>14</v>
      </c>
      <c r="M1930" t="s">
        <v>15</v>
      </c>
      <c r="N1930" t="s">
        <v>6268</v>
      </c>
      <c r="O1930" t="s">
        <v>4578</v>
      </c>
      <c r="P1930">
        <v>70538</v>
      </c>
      <c r="Q1930">
        <v>169148</v>
      </c>
      <c r="R1930" s="2">
        <v>45489</v>
      </c>
      <c r="S1930" t="s">
        <v>14</v>
      </c>
      <c r="T1930" t="s">
        <v>90</v>
      </c>
      <c r="U1930" t="s">
        <v>6383</v>
      </c>
      <c r="W1930" t="s">
        <v>6354</v>
      </c>
      <c r="X1930">
        <v>75</v>
      </c>
      <c r="Y1930" t="s">
        <v>90</v>
      </c>
      <c r="Z1930">
        <v>259</v>
      </c>
    </row>
    <row r="1931" spans="1:26" x14ac:dyDescent="0.3">
      <c r="A1931">
        <v>1930</v>
      </c>
      <c r="B1931" t="s">
        <v>4128</v>
      </c>
      <c r="C1931" t="s">
        <v>11</v>
      </c>
      <c r="D1931" t="s">
        <v>67</v>
      </c>
      <c r="E1931" t="s">
        <v>6352</v>
      </c>
      <c r="F1931" t="s">
        <v>6377</v>
      </c>
      <c r="G1931" t="s">
        <v>6397</v>
      </c>
      <c r="H1931" t="s">
        <v>6389</v>
      </c>
      <c r="I1931" t="s">
        <v>6376</v>
      </c>
      <c r="J1931" s="6">
        <f>AVERAGE(ai_job_market[[#This Row],[min_salary]],ai_job_market[[#This Row],[max_salary]])</f>
        <v>52736</v>
      </c>
      <c r="K1931" t="s">
        <v>6395</v>
      </c>
      <c r="L1931" t="s">
        <v>27</v>
      </c>
      <c r="M1931" t="s">
        <v>51</v>
      </c>
      <c r="N1931" t="s">
        <v>6269</v>
      </c>
      <c r="O1931" t="s">
        <v>4660</v>
      </c>
      <c r="P1931" s="5">
        <v>46559</v>
      </c>
      <c r="Q1931" s="5">
        <v>58913</v>
      </c>
      <c r="R1931" s="2">
        <v>45677</v>
      </c>
      <c r="S1931" t="s">
        <v>16</v>
      </c>
      <c r="T1931" t="s">
        <v>157</v>
      </c>
      <c r="U1931" t="s">
        <v>6378</v>
      </c>
      <c r="V1931" t="s">
        <v>6388</v>
      </c>
      <c r="W1931" t="s">
        <v>6352</v>
      </c>
      <c r="X1931">
        <v>97</v>
      </c>
      <c r="Y1931" t="s">
        <v>157</v>
      </c>
      <c r="Z1931">
        <v>247</v>
      </c>
    </row>
    <row r="1932" spans="1:26" x14ac:dyDescent="0.3">
      <c r="A1932">
        <v>1931</v>
      </c>
      <c r="B1932" t="s">
        <v>4131</v>
      </c>
      <c r="C1932" t="s">
        <v>49</v>
      </c>
      <c r="D1932" t="s">
        <v>12</v>
      </c>
      <c r="E1932" t="s">
        <v>6345</v>
      </c>
      <c r="F1932" t="s">
        <v>6375</v>
      </c>
      <c r="G1932" t="s">
        <v>6397</v>
      </c>
      <c r="H1932" t="s">
        <v>6384</v>
      </c>
      <c r="I1932" t="s">
        <v>6393</v>
      </c>
      <c r="J1932" s="6">
        <f>AVERAGE(ai_job_market[[#This Row],[min_salary]],ai_job_market[[#This Row],[max_salary]])</f>
        <v>94409</v>
      </c>
      <c r="K1932"/>
      <c r="L1932" t="s">
        <v>14</v>
      </c>
      <c r="M1932" t="s">
        <v>42</v>
      </c>
      <c r="N1932" t="s">
        <v>6270</v>
      </c>
      <c r="O1932" t="s">
        <v>4549</v>
      </c>
      <c r="P1932" s="5">
        <v>56010</v>
      </c>
      <c r="Q1932" s="5">
        <v>132808</v>
      </c>
      <c r="R1932" s="2">
        <v>45246</v>
      </c>
      <c r="S1932" t="s">
        <v>16</v>
      </c>
      <c r="T1932" t="s">
        <v>70</v>
      </c>
      <c r="U1932" t="s">
        <v>6383</v>
      </c>
      <c r="V1932" t="s">
        <v>6376</v>
      </c>
      <c r="W1932" t="s">
        <v>6345</v>
      </c>
      <c r="X1932">
        <v>101</v>
      </c>
      <c r="Y1932" t="s">
        <v>70</v>
      </c>
      <c r="Z1932">
        <v>268</v>
      </c>
    </row>
    <row r="1933" spans="1:26" x14ac:dyDescent="0.3">
      <c r="A1933">
        <v>1932</v>
      </c>
      <c r="B1933" t="s">
        <v>4133</v>
      </c>
      <c r="C1933" t="s">
        <v>11</v>
      </c>
      <c r="D1933" t="s">
        <v>135</v>
      </c>
      <c r="E1933" t="s">
        <v>6351</v>
      </c>
      <c r="F1933" t="s">
        <v>6392</v>
      </c>
      <c r="G1933" t="s">
        <v>6396</v>
      </c>
      <c r="H1933" t="s">
        <v>6380</v>
      </c>
      <c r="I1933" t="s">
        <v>6382</v>
      </c>
      <c r="J1933" s="6">
        <f>AVERAGE(ai_job_market[[#This Row],[min_salary]],ai_job_market[[#This Row],[max_salary]])</f>
        <v>138299</v>
      </c>
      <c r="K1933"/>
      <c r="L1933" t="s">
        <v>14</v>
      </c>
      <c r="M1933" t="s">
        <v>42</v>
      </c>
      <c r="N1933" t="s">
        <v>6271</v>
      </c>
      <c r="O1933" t="s">
        <v>4564</v>
      </c>
      <c r="P1933" s="5">
        <v>97069</v>
      </c>
      <c r="Q1933" s="5">
        <v>179529</v>
      </c>
      <c r="R1933" s="2">
        <v>45267</v>
      </c>
      <c r="S1933" t="s">
        <v>69</v>
      </c>
      <c r="T1933" t="s">
        <v>90</v>
      </c>
      <c r="U1933" t="s">
        <v>6376</v>
      </c>
      <c r="W1933" t="s">
        <v>6351</v>
      </c>
      <c r="X1933">
        <v>89</v>
      </c>
      <c r="Y1933" t="s">
        <v>90</v>
      </c>
      <c r="Z1933">
        <v>259</v>
      </c>
    </row>
    <row r="1934" spans="1:26" x14ac:dyDescent="0.3">
      <c r="A1934">
        <v>1933</v>
      </c>
      <c r="B1934" t="s">
        <v>4135</v>
      </c>
      <c r="C1934" t="s">
        <v>72</v>
      </c>
      <c r="D1934" t="s">
        <v>35</v>
      </c>
      <c r="E1934" t="s">
        <v>6349</v>
      </c>
      <c r="F1934" t="s">
        <v>6380</v>
      </c>
      <c r="G1934" t="s">
        <v>6385</v>
      </c>
      <c r="H1934" t="s">
        <v>6397</v>
      </c>
      <c r="I1934" t="s">
        <v>6381</v>
      </c>
      <c r="J1934">
        <f>AVERAGE(ai_job_market[[#This Row],[min_salary]],ai_job_market[[#This Row],[max_salary]])</f>
        <v>96462.5</v>
      </c>
      <c r="K1934" t="s">
        <v>6376</v>
      </c>
      <c r="L1934" t="s">
        <v>27</v>
      </c>
      <c r="M1934" t="s">
        <v>37</v>
      </c>
      <c r="N1934" t="s">
        <v>6272</v>
      </c>
      <c r="O1934" t="s">
        <v>4599</v>
      </c>
      <c r="P1934">
        <v>50988</v>
      </c>
      <c r="Q1934">
        <v>141937</v>
      </c>
      <c r="R1934" s="2">
        <v>45891</v>
      </c>
      <c r="S1934" t="s">
        <v>16</v>
      </c>
      <c r="T1934" t="s">
        <v>157</v>
      </c>
      <c r="U1934" t="s">
        <v>6376</v>
      </c>
      <c r="V1934" t="s">
        <v>6378</v>
      </c>
      <c r="W1934" t="s">
        <v>6349</v>
      </c>
      <c r="X1934">
        <v>96</v>
      </c>
      <c r="Y1934" t="s">
        <v>157</v>
      </c>
      <c r="Z1934">
        <v>247</v>
      </c>
    </row>
    <row r="1935" spans="1:26" x14ac:dyDescent="0.3">
      <c r="A1935">
        <v>1934</v>
      </c>
      <c r="B1935" t="s">
        <v>4137</v>
      </c>
      <c r="C1935" t="s">
        <v>40</v>
      </c>
      <c r="D1935" t="s">
        <v>135</v>
      </c>
      <c r="E1935" t="s">
        <v>90</v>
      </c>
      <c r="F1935" t="s">
        <v>6375</v>
      </c>
      <c r="G1935" t="s">
        <v>6377</v>
      </c>
      <c r="H1935" t="s">
        <v>6397</v>
      </c>
      <c r="J1935">
        <f>AVERAGE(ai_job_market[[#This Row],[min_salary]],ai_job_market[[#This Row],[max_salary]])</f>
        <v>136707.5</v>
      </c>
      <c r="K1935"/>
      <c r="L1935" t="s">
        <v>27</v>
      </c>
      <c r="M1935" t="s">
        <v>37</v>
      </c>
      <c r="N1935" t="s">
        <v>6273</v>
      </c>
      <c r="O1935" t="s">
        <v>4797</v>
      </c>
      <c r="P1935">
        <v>127429</v>
      </c>
      <c r="Q1935">
        <v>145986</v>
      </c>
      <c r="R1935" s="2">
        <v>45866</v>
      </c>
      <c r="S1935" t="s">
        <v>69</v>
      </c>
      <c r="T1935" t="s">
        <v>128</v>
      </c>
      <c r="U1935" t="s">
        <v>6383</v>
      </c>
      <c r="W1935" t="s">
        <v>90</v>
      </c>
      <c r="X1935">
        <v>80</v>
      </c>
      <c r="Y1935" t="s">
        <v>128</v>
      </c>
      <c r="Z1935">
        <v>233</v>
      </c>
    </row>
    <row r="1936" spans="1:26" x14ac:dyDescent="0.3">
      <c r="A1936">
        <v>1935</v>
      </c>
      <c r="B1936" t="s">
        <v>4139</v>
      </c>
      <c r="C1936" t="s">
        <v>72</v>
      </c>
      <c r="D1936" t="s">
        <v>67</v>
      </c>
      <c r="E1936" t="s">
        <v>6350</v>
      </c>
      <c r="F1936" t="s">
        <v>6381</v>
      </c>
      <c r="G1936" t="s">
        <v>6394</v>
      </c>
      <c r="H1936" t="s">
        <v>6387</v>
      </c>
      <c r="I1936" t="s">
        <v>6390</v>
      </c>
      <c r="J1936" s="6">
        <f>AVERAGE(ai_job_market[[#This Row],[min_salary]],ai_job_market[[#This Row],[max_salary]])</f>
        <v>136223</v>
      </c>
      <c r="K1936"/>
      <c r="L1936" t="s">
        <v>22</v>
      </c>
      <c r="M1936" t="s">
        <v>51</v>
      </c>
      <c r="N1936" t="s">
        <v>6274</v>
      </c>
      <c r="O1936" t="s">
        <v>4299</v>
      </c>
      <c r="P1936" s="5">
        <v>114412</v>
      </c>
      <c r="Q1936" s="5">
        <v>158034</v>
      </c>
      <c r="R1936" s="2">
        <v>45431</v>
      </c>
      <c r="S1936" t="s">
        <v>69</v>
      </c>
      <c r="T1936" t="s">
        <v>90</v>
      </c>
      <c r="U1936" t="s">
        <v>6383</v>
      </c>
      <c r="V1936" t="s">
        <v>6376</v>
      </c>
      <c r="W1936" t="s">
        <v>6350</v>
      </c>
      <c r="X1936">
        <v>84</v>
      </c>
      <c r="Y1936" t="s">
        <v>90</v>
      </c>
      <c r="Z1936">
        <v>259</v>
      </c>
    </row>
    <row r="1937" spans="1:26" x14ac:dyDescent="0.3">
      <c r="A1937">
        <v>1936</v>
      </c>
      <c r="B1937" t="s">
        <v>4141</v>
      </c>
      <c r="C1937" t="s">
        <v>45</v>
      </c>
      <c r="D1937" t="s">
        <v>67</v>
      </c>
      <c r="E1937" t="s">
        <v>6350</v>
      </c>
      <c r="F1937" t="s">
        <v>6381</v>
      </c>
      <c r="G1937" t="s">
        <v>6386</v>
      </c>
      <c r="H1937" t="s">
        <v>6391</v>
      </c>
      <c r="I1937" t="s">
        <v>6387</v>
      </c>
      <c r="J1937" s="6">
        <f>AVERAGE(ai_job_market[[#This Row],[min_salary]],ai_job_market[[#This Row],[max_salary]])</f>
        <v>105899.5</v>
      </c>
      <c r="K1937"/>
      <c r="L1937" t="s">
        <v>27</v>
      </c>
      <c r="M1937" t="s">
        <v>42</v>
      </c>
      <c r="N1937" t="s">
        <v>6275</v>
      </c>
      <c r="O1937" t="s">
        <v>4615</v>
      </c>
      <c r="P1937" s="5">
        <v>77143</v>
      </c>
      <c r="Q1937" s="5">
        <v>134656</v>
      </c>
      <c r="R1937" s="2">
        <v>45729</v>
      </c>
      <c r="S1937" t="s">
        <v>14</v>
      </c>
      <c r="T1937" t="s">
        <v>128</v>
      </c>
      <c r="W1937" t="s">
        <v>6350</v>
      </c>
      <c r="X1937">
        <v>84</v>
      </c>
      <c r="Y1937" t="s">
        <v>128</v>
      </c>
      <c r="Z1937">
        <v>233</v>
      </c>
    </row>
    <row r="1938" spans="1:26" x14ac:dyDescent="0.3">
      <c r="A1938">
        <v>1937</v>
      </c>
      <c r="B1938" t="s">
        <v>4143</v>
      </c>
      <c r="C1938" t="s">
        <v>72</v>
      </c>
      <c r="D1938" t="s">
        <v>20</v>
      </c>
      <c r="E1938" t="s">
        <v>6359</v>
      </c>
      <c r="F1938" t="s">
        <v>6375</v>
      </c>
      <c r="G1938" t="s">
        <v>6382</v>
      </c>
      <c r="H1938" t="s">
        <v>6376</v>
      </c>
      <c r="J1938">
        <f>AVERAGE(ai_job_market[[#This Row],[min_salary]],ai_job_market[[#This Row],[max_salary]])</f>
        <v>52169.5</v>
      </c>
      <c r="K1938"/>
      <c r="L1938" t="s">
        <v>22</v>
      </c>
      <c r="M1938" t="s">
        <v>51</v>
      </c>
      <c r="N1938" t="s">
        <v>6276</v>
      </c>
      <c r="O1938" t="s">
        <v>4646</v>
      </c>
      <c r="P1938">
        <v>41541</v>
      </c>
      <c r="Q1938">
        <v>62798</v>
      </c>
      <c r="R1938" s="2">
        <v>45407</v>
      </c>
      <c r="S1938" t="s">
        <v>14</v>
      </c>
      <c r="T1938" t="s">
        <v>101</v>
      </c>
      <c r="W1938" t="s">
        <v>6359</v>
      </c>
      <c r="X1938">
        <v>104</v>
      </c>
      <c r="Y1938" t="s">
        <v>101</v>
      </c>
      <c r="Z1938">
        <v>255</v>
      </c>
    </row>
    <row r="1939" spans="1:26" x14ac:dyDescent="0.3">
      <c r="A1939">
        <v>1938</v>
      </c>
      <c r="B1939" t="s">
        <v>4145</v>
      </c>
      <c r="C1939" t="s">
        <v>40</v>
      </c>
      <c r="D1939" t="s">
        <v>35</v>
      </c>
      <c r="E1939" t="s">
        <v>6351</v>
      </c>
      <c r="F1939" t="s">
        <v>6384</v>
      </c>
      <c r="G1939" t="s">
        <v>6378</v>
      </c>
      <c r="H1939" t="s">
        <v>6396</v>
      </c>
      <c r="I1939" t="s">
        <v>6382</v>
      </c>
      <c r="J1939">
        <f>AVERAGE(ai_job_market[[#This Row],[min_salary]],ai_job_market[[#This Row],[max_salary]])</f>
        <v>59837.5</v>
      </c>
      <c r="K1939"/>
      <c r="L1939" t="s">
        <v>22</v>
      </c>
      <c r="M1939" t="s">
        <v>42</v>
      </c>
      <c r="N1939" t="s">
        <v>6277</v>
      </c>
      <c r="O1939" t="s">
        <v>4634</v>
      </c>
      <c r="P1939">
        <v>53775</v>
      </c>
      <c r="Q1939">
        <v>65900</v>
      </c>
      <c r="R1939" s="2">
        <v>45420</v>
      </c>
      <c r="S1939" t="s">
        <v>16</v>
      </c>
      <c r="T1939" t="s">
        <v>77</v>
      </c>
      <c r="U1939" t="s">
        <v>6389</v>
      </c>
      <c r="V1939" t="s">
        <v>6376</v>
      </c>
      <c r="W1939" t="s">
        <v>6351</v>
      </c>
      <c r="X1939">
        <v>89</v>
      </c>
      <c r="Y1939" t="s">
        <v>77</v>
      </c>
      <c r="Z1939">
        <v>251</v>
      </c>
    </row>
    <row r="1940" spans="1:26" x14ac:dyDescent="0.3">
      <c r="A1940">
        <v>1939</v>
      </c>
      <c r="B1940" t="s">
        <v>4147</v>
      </c>
      <c r="C1940" t="s">
        <v>72</v>
      </c>
      <c r="D1940" t="s">
        <v>35</v>
      </c>
      <c r="E1940" t="s">
        <v>6352</v>
      </c>
      <c r="F1940" t="s">
        <v>6396</v>
      </c>
      <c r="G1940" t="s">
        <v>6375</v>
      </c>
      <c r="H1940" t="s">
        <v>6387</v>
      </c>
      <c r="I1940" t="s">
        <v>6382</v>
      </c>
      <c r="J1940">
        <f>AVERAGE(ai_job_market[[#This Row],[min_salary]],ai_job_market[[#This Row],[max_salary]])</f>
        <v>82701.5</v>
      </c>
      <c r="K1940"/>
      <c r="L1940" t="s">
        <v>22</v>
      </c>
      <c r="M1940" t="s">
        <v>15</v>
      </c>
      <c r="N1940" t="s">
        <v>6278</v>
      </c>
      <c r="O1940" t="s">
        <v>4554</v>
      </c>
      <c r="P1940">
        <v>56922</v>
      </c>
      <c r="Q1940">
        <v>108481</v>
      </c>
      <c r="R1940" s="2">
        <v>45325</v>
      </c>
      <c r="S1940" t="s">
        <v>16</v>
      </c>
      <c r="T1940" t="s">
        <v>70</v>
      </c>
      <c r="W1940" t="s">
        <v>6352</v>
      </c>
      <c r="X1940">
        <v>97</v>
      </c>
      <c r="Y1940" t="s">
        <v>70</v>
      </c>
      <c r="Z1940">
        <v>268</v>
      </c>
    </row>
    <row r="1941" spans="1:26" x14ac:dyDescent="0.3">
      <c r="A1941">
        <v>1940</v>
      </c>
      <c r="B1941" t="s">
        <v>4149</v>
      </c>
      <c r="C1941" t="s">
        <v>11</v>
      </c>
      <c r="D1941" t="s">
        <v>30</v>
      </c>
      <c r="E1941" t="s">
        <v>6345</v>
      </c>
      <c r="F1941" t="s">
        <v>6392</v>
      </c>
      <c r="G1941" t="s">
        <v>6380</v>
      </c>
      <c r="J1941">
        <f>AVERAGE(ai_job_market[[#This Row],[min_salary]],ai_job_market[[#This Row],[max_salary]])</f>
        <v>79591.5</v>
      </c>
      <c r="K1941"/>
      <c r="L1941" t="s">
        <v>27</v>
      </c>
      <c r="M1941" t="s">
        <v>42</v>
      </c>
      <c r="N1941" t="s">
        <v>6279</v>
      </c>
      <c r="O1941" t="s">
        <v>4331</v>
      </c>
      <c r="P1941">
        <v>73378</v>
      </c>
      <c r="Q1941">
        <v>85805</v>
      </c>
      <c r="R1941" s="2">
        <v>45787</v>
      </c>
      <c r="S1941" t="s">
        <v>14</v>
      </c>
      <c r="T1941" t="s">
        <v>128</v>
      </c>
      <c r="W1941" t="s">
        <v>6345</v>
      </c>
      <c r="X1941">
        <v>101</v>
      </c>
      <c r="Y1941" t="s">
        <v>128</v>
      </c>
      <c r="Z1941">
        <v>233</v>
      </c>
    </row>
    <row r="1942" spans="1:26" x14ac:dyDescent="0.3">
      <c r="A1942">
        <v>1941</v>
      </c>
      <c r="B1942" t="s">
        <v>4151</v>
      </c>
      <c r="C1942" t="s">
        <v>40</v>
      </c>
      <c r="D1942" t="s">
        <v>67</v>
      </c>
      <c r="E1942" t="s">
        <v>6349</v>
      </c>
      <c r="F1942" t="s">
        <v>6393</v>
      </c>
      <c r="G1942" t="s">
        <v>6392</v>
      </c>
      <c r="H1942" t="s">
        <v>6394</v>
      </c>
      <c r="J1942" s="6">
        <f>AVERAGE(ai_job_market[[#This Row],[min_salary]],ai_job_market[[#This Row],[max_salary]])</f>
        <v>188397</v>
      </c>
      <c r="K1942"/>
      <c r="L1942" t="s">
        <v>22</v>
      </c>
      <c r="M1942" t="s">
        <v>15</v>
      </c>
      <c r="N1942" t="s">
        <v>6280</v>
      </c>
      <c r="O1942" t="s">
        <v>4544</v>
      </c>
      <c r="P1942" s="5">
        <v>138785</v>
      </c>
      <c r="Q1942" s="5">
        <v>238009</v>
      </c>
      <c r="R1942" s="2">
        <v>45519</v>
      </c>
      <c r="S1942" t="s">
        <v>69</v>
      </c>
      <c r="T1942" t="s">
        <v>128</v>
      </c>
      <c r="W1942" t="s">
        <v>6349</v>
      </c>
      <c r="X1942">
        <v>96</v>
      </c>
      <c r="Y1942" t="s">
        <v>128</v>
      </c>
      <c r="Z1942">
        <v>233</v>
      </c>
    </row>
    <row r="1943" spans="1:26" x14ac:dyDescent="0.3">
      <c r="A1943">
        <v>1942</v>
      </c>
      <c r="B1943" t="s">
        <v>4153</v>
      </c>
      <c r="C1943" t="s">
        <v>40</v>
      </c>
      <c r="D1943" t="s">
        <v>67</v>
      </c>
      <c r="E1943" t="s">
        <v>6345</v>
      </c>
      <c r="F1943" t="s">
        <v>6378</v>
      </c>
      <c r="G1943" t="s">
        <v>6390</v>
      </c>
      <c r="H1943" t="s">
        <v>6375</v>
      </c>
      <c r="I1943" t="s">
        <v>6391</v>
      </c>
      <c r="J1943">
        <f>AVERAGE(ai_job_market[[#This Row],[min_salary]],ai_job_market[[#This Row],[max_salary]])</f>
        <v>96742</v>
      </c>
      <c r="K1943" t="s">
        <v>6392</v>
      </c>
      <c r="L1943" t="s">
        <v>27</v>
      </c>
      <c r="M1943" t="s">
        <v>37</v>
      </c>
      <c r="N1943" t="s">
        <v>6209</v>
      </c>
      <c r="O1943" t="s">
        <v>4335</v>
      </c>
      <c r="P1943">
        <v>76728</v>
      </c>
      <c r="Q1943">
        <v>116756</v>
      </c>
      <c r="R1943" s="2">
        <v>45424</v>
      </c>
      <c r="S1943" t="s">
        <v>16</v>
      </c>
      <c r="T1943" t="s">
        <v>128</v>
      </c>
      <c r="U1943" t="s">
        <v>6384</v>
      </c>
      <c r="V1943" t="s">
        <v>6389</v>
      </c>
      <c r="W1943" t="s">
        <v>6345</v>
      </c>
      <c r="X1943">
        <v>101</v>
      </c>
      <c r="Y1943" t="s">
        <v>128</v>
      </c>
      <c r="Z1943">
        <v>233</v>
      </c>
    </row>
    <row r="1944" spans="1:26" x14ac:dyDescent="0.3">
      <c r="A1944">
        <v>1943</v>
      </c>
      <c r="B1944" t="s">
        <v>4155</v>
      </c>
      <c r="C1944" t="s">
        <v>34</v>
      </c>
      <c r="D1944" t="s">
        <v>12</v>
      </c>
      <c r="E1944" t="s">
        <v>6357</v>
      </c>
      <c r="F1944" t="s">
        <v>6376</v>
      </c>
      <c r="G1944" t="s">
        <v>6378</v>
      </c>
      <c r="H1944" t="s">
        <v>6377</v>
      </c>
      <c r="J1944">
        <f>AVERAGE(ai_job_market[[#This Row],[min_salary]],ai_job_market[[#This Row],[max_salary]])</f>
        <v>103684</v>
      </c>
      <c r="K1944"/>
      <c r="L1944" t="s">
        <v>27</v>
      </c>
      <c r="M1944" t="s">
        <v>37</v>
      </c>
      <c r="N1944" t="s">
        <v>6281</v>
      </c>
      <c r="O1944" t="s">
        <v>4346</v>
      </c>
      <c r="P1944">
        <v>76471</v>
      </c>
      <c r="Q1944">
        <v>130897</v>
      </c>
      <c r="R1944" s="2">
        <v>45306</v>
      </c>
      <c r="S1944" t="s">
        <v>14</v>
      </c>
      <c r="T1944" t="s">
        <v>90</v>
      </c>
      <c r="U1944" t="s">
        <v>6384</v>
      </c>
      <c r="W1944" t="s">
        <v>6357</v>
      </c>
      <c r="X1944">
        <v>88</v>
      </c>
      <c r="Y1944" t="s">
        <v>90</v>
      </c>
      <c r="Z1944">
        <v>259</v>
      </c>
    </row>
    <row r="1945" spans="1:26" x14ac:dyDescent="0.3">
      <c r="A1945">
        <v>1944</v>
      </c>
      <c r="B1945" t="s">
        <v>4157</v>
      </c>
      <c r="C1945" t="s">
        <v>40</v>
      </c>
      <c r="D1945" t="s">
        <v>67</v>
      </c>
      <c r="E1945" t="s">
        <v>77</v>
      </c>
      <c r="F1945" t="s">
        <v>6380</v>
      </c>
      <c r="G1945" t="s">
        <v>6385</v>
      </c>
      <c r="H1945" t="s">
        <v>6392</v>
      </c>
      <c r="I1945" t="s">
        <v>6389</v>
      </c>
      <c r="J1945">
        <f>AVERAGE(ai_job_market[[#This Row],[min_salary]],ai_job_market[[#This Row],[max_salary]])</f>
        <v>149993.5</v>
      </c>
      <c r="K1945" t="s">
        <v>6397</v>
      </c>
      <c r="L1945" t="s">
        <v>27</v>
      </c>
      <c r="M1945" t="s">
        <v>37</v>
      </c>
      <c r="N1945" t="s">
        <v>6282</v>
      </c>
      <c r="O1945" t="s">
        <v>4648</v>
      </c>
      <c r="P1945">
        <v>110388</v>
      </c>
      <c r="Q1945">
        <v>189599</v>
      </c>
      <c r="R1945" s="2">
        <v>45292</v>
      </c>
      <c r="S1945" t="s">
        <v>14</v>
      </c>
      <c r="T1945" t="s">
        <v>90</v>
      </c>
      <c r="U1945" t="s">
        <v>6376</v>
      </c>
      <c r="V1945" t="s">
        <v>6378</v>
      </c>
      <c r="W1945" t="s">
        <v>77</v>
      </c>
      <c r="X1945">
        <v>111</v>
      </c>
      <c r="Y1945" t="s">
        <v>90</v>
      </c>
      <c r="Z1945">
        <v>259</v>
      </c>
    </row>
    <row r="1946" spans="1:26" x14ac:dyDescent="0.3">
      <c r="A1946">
        <v>1945</v>
      </c>
      <c r="B1946" t="s">
        <v>4159</v>
      </c>
      <c r="C1946" t="s">
        <v>40</v>
      </c>
      <c r="D1946" t="s">
        <v>35</v>
      </c>
      <c r="E1946" t="s">
        <v>6355</v>
      </c>
      <c r="F1946" t="s">
        <v>6381</v>
      </c>
      <c r="G1946" t="s">
        <v>6390</v>
      </c>
      <c r="H1946" t="s">
        <v>6385</v>
      </c>
      <c r="I1946" t="s">
        <v>6379</v>
      </c>
      <c r="J1946">
        <f>AVERAGE(ai_job_market[[#This Row],[min_salary]],ai_job_market[[#This Row],[max_salary]])</f>
        <v>122116</v>
      </c>
      <c r="K1946" t="s">
        <v>6384</v>
      </c>
      <c r="L1946" t="s">
        <v>27</v>
      </c>
      <c r="M1946" t="s">
        <v>42</v>
      </c>
      <c r="N1946" t="s">
        <v>6283</v>
      </c>
      <c r="O1946" t="s">
        <v>4524</v>
      </c>
      <c r="P1946">
        <v>89874</v>
      </c>
      <c r="Q1946">
        <v>154358</v>
      </c>
      <c r="R1946" s="2">
        <v>45877</v>
      </c>
      <c r="S1946" t="s">
        <v>16</v>
      </c>
      <c r="T1946" t="s">
        <v>80</v>
      </c>
      <c r="W1946" t="s">
        <v>6355</v>
      </c>
      <c r="X1946">
        <v>90</v>
      </c>
      <c r="Y1946" t="s">
        <v>80</v>
      </c>
      <c r="Z1946">
        <v>249</v>
      </c>
    </row>
    <row r="1947" spans="1:26" x14ac:dyDescent="0.3">
      <c r="A1947">
        <v>1946</v>
      </c>
      <c r="B1947" t="s">
        <v>4161</v>
      </c>
      <c r="C1947" t="s">
        <v>49</v>
      </c>
      <c r="D1947" t="s">
        <v>25</v>
      </c>
      <c r="E1947" t="s">
        <v>6357</v>
      </c>
      <c r="F1947" t="s">
        <v>6380</v>
      </c>
      <c r="G1947" t="s">
        <v>6377</v>
      </c>
      <c r="J1947">
        <f>AVERAGE(ai_job_market[[#This Row],[min_salary]],ai_job_market[[#This Row],[max_salary]])</f>
        <v>68971.5</v>
      </c>
      <c r="K1947"/>
      <c r="L1947" t="s">
        <v>14</v>
      </c>
      <c r="M1947" t="s">
        <v>51</v>
      </c>
      <c r="N1947" t="s">
        <v>6284</v>
      </c>
      <c r="O1947" t="s">
        <v>4351</v>
      </c>
      <c r="P1947">
        <v>58207</v>
      </c>
      <c r="Q1947">
        <v>79736</v>
      </c>
      <c r="R1947" s="2">
        <v>45249</v>
      </c>
      <c r="S1947" t="s">
        <v>16</v>
      </c>
      <c r="T1947" t="s">
        <v>77</v>
      </c>
      <c r="W1947" t="s">
        <v>6357</v>
      </c>
      <c r="X1947">
        <v>88</v>
      </c>
      <c r="Y1947" t="s">
        <v>77</v>
      </c>
      <c r="Z1947">
        <v>251</v>
      </c>
    </row>
    <row r="1948" spans="1:26" x14ac:dyDescent="0.3">
      <c r="A1948">
        <v>1947</v>
      </c>
      <c r="B1948" t="s">
        <v>4163</v>
      </c>
      <c r="C1948" t="s">
        <v>45</v>
      </c>
      <c r="D1948" t="s">
        <v>25</v>
      </c>
      <c r="E1948" t="s">
        <v>6355</v>
      </c>
      <c r="F1948" t="s">
        <v>6390</v>
      </c>
      <c r="G1948" t="s">
        <v>6384</v>
      </c>
      <c r="J1948" s="6">
        <f>AVERAGE(ai_job_market[[#This Row],[min_salary]],ai_job_market[[#This Row],[max_salary]])</f>
        <v>107183</v>
      </c>
      <c r="K1948"/>
      <c r="L1948" t="s">
        <v>27</v>
      </c>
      <c r="M1948" t="s">
        <v>42</v>
      </c>
      <c r="N1948" t="s">
        <v>6285</v>
      </c>
      <c r="O1948" t="s">
        <v>4333</v>
      </c>
      <c r="P1948" s="5">
        <v>71100</v>
      </c>
      <c r="Q1948" s="5">
        <v>143266</v>
      </c>
      <c r="R1948" s="2">
        <v>45839</v>
      </c>
      <c r="S1948" t="s">
        <v>69</v>
      </c>
      <c r="T1948" t="s">
        <v>157</v>
      </c>
      <c r="W1948" t="s">
        <v>6355</v>
      </c>
      <c r="X1948">
        <v>90</v>
      </c>
      <c r="Y1948" t="s">
        <v>157</v>
      </c>
      <c r="Z1948">
        <v>247</v>
      </c>
    </row>
    <row r="1949" spans="1:26" x14ac:dyDescent="0.3">
      <c r="A1949">
        <v>1948</v>
      </c>
      <c r="B1949" t="s">
        <v>4165</v>
      </c>
      <c r="C1949" t="s">
        <v>40</v>
      </c>
      <c r="D1949" t="s">
        <v>25</v>
      </c>
      <c r="E1949" t="s">
        <v>6353</v>
      </c>
      <c r="F1949" t="s">
        <v>6395</v>
      </c>
      <c r="G1949" t="s">
        <v>6397</v>
      </c>
      <c r="H1949" t="s">
        <v>6391</v>
      </c>
      <c r="I1949" t="s">
        <v>6384</v>
      </c>
      <c r="J1949">
        <f>AVERAGE(ai_job_market[[#This Row],[min_salary]],ai_job_market[[#This Row],[max_salary]])</f>
        <v>186602</v>
      </c>
      <c r="K1949" t="s">
        <v>6374</v>
      </c>
      <c r="L1949" t="s">
        <v>27</v>
      </c>
      <c r="M1949" t="s">
        <v>51</v>
      </c>
      <c r="N1949" t="s">
        <v>4586</v>
      </c>
      <c r="O1949" t="s">
        <v>4648</v>
      </c>
      <c r="P1949">
        <v>137029</v>
      </c>
      <c r="Q1949">
        <v>236175</v>
      </c>
      <c r="R1949" s="2">
        <v>45916</v>
      </c>
      <c r="S1949" t="s">
        <v>14</v>
      </c>
      <c r="T1949" t="s">
        <v>80</v>
      </c>
      <c r="W1949" t="s">
        <v>6353</v>
      </c>
      <c r="X1949">
        <v>86</v>
      </c>
      <c r="Y1949" t="s">
        <v>80</v>
      </c>
      <c r="Z1949">
        <v>249</v>
      </c>
    </row>
    <row r="1950" spans="1:26" x14ac:dyDescent="0.3">
      <c r="A1950">
        <v>1949</v>
      </c>
      <c r="B1950" t="s">
        <v>4167</v>
      </c>
      <c r="C1950" t="s">
        <v>49</v>
      </c>
      <c r="D1950" t="s">
        <v>35</v>
      </c>
      <c r="E1950" t="s">
        <v>80</v>
      </c>
      <c r="F1950" t="s">
        <v>6382</v>
      </c>
      <c r="G1950" t="s">
        <v>6395</v>
      </c>
      <c r="H1950" t="s">
        <v>6386</v>
      </c>
      <c r="I1950" t="s">
        <v>6390</v>
      </c>
      <c r="J1950">
        <f>AVERAGE(ai_job_market[[#This Row],[min_salary]],ai_job_market[[#This Row],[max_salary]])</f>
        <v>154499.5</v>
      </c>
      <c r="K1950" t="s">
        <v>6374</v>
      </c>
      <c r="L1950" t="s">
        <v>22</v>
      </c>
      <c r="M1950" t="s">
        <v>37</v>
      </c>
      <c r="N1950" t="s">
        <v>6286</v>
      </c>
      <c r="O1950" t="s">
        <v>4323</v>
      </c>
      <c r="P1950">
        <v>113059</v>
      </c>
      <c r="Q1950">
        <v>195940</v>
      </c>
      <c r="R1950" s="2">
        <v>45767</v>
      </c>
      <c r="S1950" t="s">
        <v>14</v>
      </c>
      <c r="T1950" t="s">
        <v>70</v>
      </c>
      <c r="W1950" t="s">
        <v>80</v>
      </c>
      <c r="X1950">
        <v>95</v>
      </c>
      <c r="Y1950" t="s">
        <v>70</v>
      </c>
      <c r="Z1950">
        <v>268</v>
      </c>
    </row>
    <row r="1951" spans="1:26" x14ac:dyDescent="0.3">
      <c r="A1951">
        <v>1950</v>
      </c>
      <c r="B1951" t="s">
        <v>4169</v>
      </c>
      <c r="C1951" t="s">
        <v>11</v>
      </c>
      <c r="D1951" t="s">
        <v>12</v>
      </c>
      <c r="E1951" t="s">
        <v>6354</v>
      </c>
      <c r="F1951" t="s">
        <v>6396</v>
      </c>
      <c r="G1951" t="s">
        <v>6378</v>
      </c>
      <c r="H1951" t="s">
        <v>6389</v>
      </c>
      <c r="J1951">
        <f>AVERAGE(ai_job_market[[#This Row],[min_salary]],ai_job_market[[#This Row],[max_salary]])</f>
        <v>87818.5</v>
      </c>
      <c r="K1951"/>
      <c r="L1951" t="s">
        <v>14</v>
      </c>
      <c r="M1951" t="s">
        <v>51</v>
      </c>
      <c r="N1951" t="s">
        <v>6287</v>
      </c>
      <c r="O1951" t="s">
        <v>4514</v>
      </c>
      <c r="P1951">
        <v>77836</v>
      </c>
      <c r="Q1951">
        <v>97801</v>
      </c>
      <c r="R1951" s="2">
        <v>45460</v>
      </c>
      <c r="S1951" t="s">
        <v>16</v>
      </c>
      <c r="T1951" t="s">
        <v>101</v>
      </c>
      <c r="W1951" t="s">
        <v>6354</v>
      </c>
      <c r="X1951">
        <v>75</v>
      </c>
      <c r="Y1951" t="s">
        <v>101</v>
      </c>
      <c r="Z1951">
        <v>255</v>
      </c>
    </row>
    <row r="1952" spans="1:26" x14ac:dyDescent="0.3">
      <c r="A1952">
        <v>1951</v>
      </c>
      <c r="B1952" t="s">
        <v>4171</v>
      </c>
      <c r="C1952" t="s">
        <v>34</v>
      </c>
      <c r="D1952" t="s">
        <v>25</v>
      </c>
      <c r="E1952" t="s">
        <v>6346</v>
      </c>
      <c r="F1952" t="s">
        <v>6392</v>
      </c>
      <c r="G1952" t="s">
        <v>6376</v>
      </c>
      <c r="H1952" t="s">
        <v>6390</v>
      </c>
      <c r="I1952" t="s">
        <v>6379</v>
      </c>
      <c r="J1952">
        <f>AVERAGE(ai_job_market[[#This Row],[min_salary]],ai_job_market[[#This Row],[max_salary]])</f>
        <v>174851.5</v>
      </c>
      <c r="K1952"/>
      <c r="L1952" t="s">
        <v>14</v>
      </c>
      <c r="M1952" t="s">
        <v>51</v>
      </c>
      <c r="N1952" t="s">
        <v>6288</v>
      </c>
      <c r="O1952" t="s">
        <v>4670</v>
      </c>
      <c r="P1952">
        <v>134973</v>
      </c>
      <c r="Q1952">
        <v>214730</v>
      </c>
      <c r="R1952" s="2">
        <v>45844</v>
      </c>
      <c r="S1952" t="s">
        <v>14</v>
      </c>
      <c r="T1952" t="s">
        <v>80</v>
      </c>
      <c r="U1952" t="s">
        <v>6388</v>
      </c>
      <c r="W1952" t="s">
        <v>6346</v>
      </c>
      <c r="X1952">
        <v>78</v>
      </c>
      <c r="Y1952" t="s">
        <v>80</v>
      </c>
      <c r="Z1952">
        <v>249</v>
      </c>
    </row>
    <row r="1953" spans="1:26" x14ac:dyDescent="0.3">
      <c r="A1953">
        <v>1952</v>
      </c>
      <c r="B1953" t="s">
        <v>3189</v>
      </c>
      <c r="C1953" t="s">
        <v>49</v>
      </c>
      <c r="D1953" t="s">
        <v>12</v>
      </c>
      <c r="E1953" t="s">
        <v>6350</v>
      </c>
      <c r="F1953" t="s">
        <v>6382</v>
      </c>
      <c r="G1953" t="s">
        <v>6391</v>
      </c>
      <c r="H1953" t="s">
        <v>6390</v>
      </c>
      <c r="J1953">
        <f>AVERAGE(ai_job_market[[#This Row],[min_salary]],ai_job_market[[#This Row],[max_salary]])</f>
        <v>77667.5</v>
      </c>
      <c r="K1953"/>
      <c r="L1953" t="s">
        <v>14</v>
      </c>
      <c r="M1953" t="s">
        <v>51</v>
      </c>
      <c r="N1953" t="s">
        <v>6289</v>
      </c>
      <c r="O1953" t="s">
        <v>4640</v>
      </c>
      <c r="P1953">
        <v>52949</v>
      </c>
      <c r="Q1953">
        <v>102386</v>
      </c>
      <c r="R1953" s="2">
        <v>45852</v>
      </c>
      <c r="S1953" t="s">
        <v>14</v>
      </c>
      <c r="T1953" t="s">
        <v>157</v>
      </c>
      <c r="U1953" t="s">
        <v>6375</v>
      </c>
      <c r="V1953" t="s">
        <v>6376</v>
      </c>
      <c r="W1953" t="s">
        <v>6350</v>
      </c>
      <c r="X1953">
        <v>84</v>
      </c>
      <c r="Y1953" t="s">
        <v>157</v>
      </c>
      <c r="Z1953">
        <v>247</v>
      </c>
    </row>
    <row r="1954" spans="1:26" x14ac:dyDescent="0.3">
      <c r="A1954">
        <v>1953</v>
      </c>
      <c r="B1954" t="s">
        <v>4174</v>
      </c>
      <c r="C1954" t="s">
        <v>11</v>
      </c>
      <c r="D1954" t="s">
        <v>12</v>
      </c>
      <c r="E1954" t="s">
        <v>6357</v>
      </c>
      <c r="F1954" t="s">
        <v>6396</v>
      </c>
      <c r="G1954" t="s">
        <v>6379</v>
      </c>
      <c r="H1954" t="s">
        <v>6389</v>
      </c>
      <c r="I1954" t="s">
        <v>6376</v>
      </c>
      <c r="J1954">
        <f>AVERAGE(ai_job_market[[#This Row],[min_salary]],ai_job_market[[#This Row],[max_salary]])</f>
        <v>133033</v>
      </c>
      <c r="K1954" t="s">
        <v>6397</v>
      </c>
      <c r="L1954" t="s">
        <v>22</v>
      </c>
      <c r="M1954" t="s">
        <v>51</v>
      </c>
      <c r="N1954" t="s">
        <v>6290</v>
      </c>
      <c r="O1954" t="s">
        <v>4780</v>
      </c>
      <c r="P1954">
        <v>119299</v>
      </c>
      <c r="Q1954">
        <v>146767</v>
      </c>
      <c r="R1954" s="2">
        <v>45580</v>
      </c>
      <c r="S1954" t="s">
        <v>16</v>
      </c>
      <c r="T1954" t="s">
        <v>52</v>
      </c>
      <c r="U1954" t="s">
        <v>6375</v>
      </c>
      <c r="W1954" t="s">
        <v>6357</v>
      </c>
      <c r="X1954">
        <v>88</v>
      </c>
      <c r="Y1954" t="s">
        <v>52</v>
      </c>
      <c r="Z1954">
        <v>238</v>
      </c>
    </row>
    <row r="1955" spans="1:26" x14ac:dyDescent="0.3">
      <c r="A1955">
        <v>1954</v>
      </c>
      <c r="B1955" t="s">
        <v>4176</v>
      </c>
      <c r="C1955" t="s">
        <v>19</v>
      </c>
      <c r="D1955" t="s">
        <v>67</v>
      </c>
      <c r="E1955" t="s">
        <v>6344</v>
      </c>
      <c r="F1955" t="s">
        <v>6393</v>
      </c>
      <c r="G1955" t="s">
        <v>6387</v>
      </c>
      <c r="H1955" t="s">
        <v>6380</v>
      </c>
      <c r="I1955" t="s">
        <v>6382</v>
      </c>
      <c r="J1955">
        <f>AVERAGE(ai_job_market[[#This Row],[min_salary]],ai_job_market[[#This Row],[max_salary]])</f>
        <v>125130</v>
      </c>
      <c r="K1955" t="s">
        <v>6374</v>
      </c>
      <c r="L1955" t="s">
        <v>27</v>
      </c>
      <c r="M1955" t="s">
        <v>42</v>
      </c>
      <c r="N1955" t="s">
        <v>6291</v>
      </c>
      <c r="O1955" t="s">
        <v>5098</v>
      </c>
      <c r="P1955">
        <v>83982</v>
      </c>
      <c r="Q1955">
        <v>166278</v>
      </c>
      <c r="R1955" s="2">
        <v>45899</v>
      </c>
      <c r="S1955" t="s">
        <v>16</v>
      </c>
      <c r="T1955" t="s">
        <v>77</v>
      </c>
      <c r="U1955" t="s">
        <v>6376</v>
      </c>
      <c r="V1955" t="s">
        <v>6384</v>
      </c>
      <c r="W1955" t="s">
        <v>6344</v>
      </c>
      <c r="X1955">
        <v>104</v>
      </c>
      <c r="Y1955" t="s">
        <v>77</v>
      </c>
      <c r="Z1955">
        <v>251</v>
      </c>
    </row>
    <row r="1956" spans="1:26" x14ac:dyDescent="0.3">
      <c r="A1956">
        <v>1955</v>
      </c>
      <c r="B1956" t="s">
        <v>4178</v>
      </c>
      <c r="C1956" t="s">
        <v>45</v>
      </c>
      <c r="D1956" t="s">
        <v>54</v>
      </c>
      <c r="E1956" t="s">
        <v>6347</v>
      </c>
      <c r="F1956" t="s">
        <v>6387</v>
      </c>
      <c r="G1956" t="s">
        <v>6393</v>
      </c>
      <c r="H1956" t="s">
        <v>6376</v>
      </c>
      <c r="I1956" t="s">
        <v>6394</v>
      </c>
      <c r="J1956">
        <f>AVERAGE(ai_job_market[[#This Row],[min_salary]],ai_job_market[[#This Row],[max_salary]])</f>
        <v>72501</v>
      </c>
      <c r="K1956"/>
      <c r="L1956" t="s">
        <v>27</v>
      </c>
      <c r="M1956" t="s">
        <v>42</v>
      </c>
      <c r="N1956" t="s">
        <v>6292</v>
      </c>
      <c r="O1956" t="s">
        <v>4762</v>
      </c>
      <c r="P1956">
        <v>48725</v>
      </c>
      <c r="Q1956">
        <v>96277</v>
      </c>
      <c r="R1956" s="2">
        <v>45247</v>
      </c>
      <c r="S1956" t="s">
        <v>16</v>
      </c>
      <c r="T1956" t="s">
        <v>77</v>
      </c>
      <c r="U1956" t="s">
        <v>6379</v>
      </c>
      <c r="W1956" t="s">
        <v>6347</v>
      </c>
      <c r="X1956">
        <v>94</v>
      </c>
      <c r="Y1956" t="s">
        <v>77</v>
      </c>
      <c r="Z1956">
        <v>251</v>
      </c>
    </row>
    <row r="1957" spans="1:26" x14ac:dyDescent="0.3">
      <c r="A1957">
        <v>1956</v>
      </c>
      <c r="B1957" t="s">
        <v>4180</v>
      </c>
      <c r="C1957" t="s">
        <v>34</v>
      </c>
      <c r="D1957" t="s">
        <v>25</v>
      </c>
      <c r="E1957" t="s">
        <v>6345</v>
      </c>
      <c r="F1957" t="s">
        <v>6387</v>
      </c>
      <c r="G1957" t="s">
        <v>6377</v>
      </c>
      <c r="J1957">
        <f>AVERAGE(ai_job_market[[#This Row],[min_salary]],ai_job_market[[#This Row],[max_salary]])</f>
        <v>193918</v>
      </c>
      <c r="K1957"/>
      <c r="L1957" t="s">
        <v>14</v>
      </c>
      <c r="M1957" t="s">
        <v>37</v>
      </c>
      <c r="N1957" t="s">
        <v>6293</v>
      </c>
      <c r="O1957" t="s">
        <v>4927</v>
      </c>
      <c r="P1957">
        <v>149725</v>
      </c>
      <c r="Q1957">
        <v>238111</v>
      </c>
      <c r="R1957" s="2">
        <v>45771</v>
      </c>
      <c r="S1957" t="s">
        <v>16</v>
      </c>
      <c r="T1957" t="s">
        <v>90</v>
      </c>
      <c r="U1957" t="s">
        <v>6383</v>
      </c>
      <c r="V1957" t="s">
        <v>6379</v>
      </c>
      <c r="W1957" t="s">
        <v>6345</v>
      </c>
      <c r="X1957">
        <v>101</v>
      </c>
      <c r="Y1957" t="s">
        <v>90</v>
      </c>
      <c r="Z1957">
        <v>259</v>
      </c>
    </row>
    <row r="1958" spans="1:26" x14ac:dyDescent="0.3">
      <c r="A1958">
        <v>1957</v>
      </c>
      <c r="B1958" t="s">
        <v>4182</v>
      </c>
      <c r="C1958" t="s">
        <v>11</v>
      </c>
      <c r="D1958" t="s">
        <v>67</v>
      </c>
      <c r="E1958" t="s">
        <v>70</v>
      </c>
      <c r="F1958" t="s">
        <v>6378</v>
      </c>
      <c r="G1958" t="s">
        <v>6385</v>
      </c>
      <c r="J1958">
        <f>AVERAGE(ai_job_market[[#This Row],[min_salary]],ai_job_market[[#This Row],[max_salary]])</f>
        <v>148142.5</v>
      </c>
      <c r="K1958"/>
      <c r="L1958" t="s">
        <v>22</v>
      </c>
      <c r="M1958" t="s">
        <v>51</v>
      </c>
      <c r="N1958" t="s">
        <v>6294</v>
      </c>
      <c r="O1958" t="s">
        <v>4571</v>
      </c>
      <c r="P1958">
        <v>125120</v>
      </c>
      <c r="Q1958">
        <v>171165</v>
      </c>
      <c r="R1958" s="2">
        <v>45699</v>
      </c>
      <c r="S1958" t="s">
        <v>16</v>
      </c>
      <c r="T1958" t="s">
        <v>77</v>
      </c>
      <c r="U1958" t="s">
        <v>6384</v>
      </c>
      <c r="V1958" t="s">
        <v>6379</v>
      </c>
      <c r="W1958" t="s">
        <v>70</v>
      </c>
      <c r="X1958">
        <v>100</v>
      </c>
      <c r="Y1958" t="s">
        <v>77</v>
      </c>
      <c r="Z1958">
        <v>251</v>
      </c>
    </row>
    <row r="1959" spans="1:26" x14ac:dyDescent="0.3">
      <c r="A1959">
        <v>1958</v>
      </c>
      <c r="B1959" t="s">
        <v>4184</v>
      </c>
      <c r="C1959" t="s">
        <v>19</v>
      </c>
      <c r="D1959" t="s">
        <v>35</v>
      </c>
      <c r="E1959" t="s">
        <v>128</v>
      </c>
      <c r="F1959" t="s">
        <v>6397</v>
      </c>
      <c r="G1959" t="s">
        <v>6396</v>
      </c>
      <c r="J1959">
        <f>AVERAGE(ai_job_market[[#This Row],[min_salary]],ai_job_market[[#This Row],[max_salary]])</f>
        <v>113908</v>
      </c>
      <c r="K1959"/>
      <c r="L1959" t="s">
        <v>27</v>
      </c>
      <c r="M1959" t="s">
        <v>51</v>
      </c>
      <c r="N1959" t="s">
        <v>5935</v>
      </c>
      <c r="O1959" t="s">
        <v>4584</v>
      </c>
      <c r="P1959">
        <v>92960</v>
      </c>
      <c r="Q1959">
        <v>134856</v>
      </c>
      <c r="R1959" s="2">
        <v>45221</v>
      </c>
      <c r="S1959" t="s">
        <v>14</v>
      </c>
      <c r="T1959" t="s">
        <v>77</v>
      </c>
      <c r="U1959" t="s">
        <v>6388</v>
      </c>
      <c r="V1959" t="s">
        <v>6384</v>
      </c>
      <c r="W1959" t="s">
        <v>128</v>
      </c>
      <c r="X1959">
        <v>92</v>
      </c>
      <c r="Y1959" t="s">
        <v>77</v>
      </c>
      <c r="Z1959">
        <v>251</v>
      </c>
    </row>
    <row r="1960" spans="1:26" x14ac:dyDescent="0.3">
      <c r="A1960">
        <v>1959</v>
      </c>
      <c r="B1960" t="s">
        <v>4186</v>
      </c>
      <c r="C1960" t="s">
        <v>49</v>
      </c>
      <c r="D1960" t="s">
        <v>135</v>
      </c>
      <c r="E1960" t="s">
        <v>6350</v>
      </c>
      <c r="F1960" t="s">
        <v>6387</v>
      </c>
      <c r="G1960" t="s">
        <v>6394</v>
      </c>
      <c r="H1960" t="s">
        <v>6375</v>
      </c>
      <c r="I1960" t="s">
        <v>6377</v>
      </c>
      <c r="J1960">
        <f>AVERAGE(ai_job_market[[#This Row],[min_salary]],ai_job_market[[#This Row],[max_salary]])</f>
        <v>96142</v>
      </c>
      <c r="K1960" t="s">
        <v>6393</v>
      </c>
      <c r="L1960" t="s">
        <v>14</v>
      </c>
      <c r="M1960" t="s">
        <v>42</v>
      </c>
      <c r="N1960" t="s">
        <v>5443</v>
      </c>
      <c r="O1960" t="s">
        <v>4773</v>
      </c>
      <c r="P1960">
        <v>84627</v>
      </c>
      <c r="Q1960">
        <v>107657</v>
      </c>
      <c r="R1960" s="2">
        <v>45414</v>
      </c>
      <c r="S1960" t="s">
        <v>14</v>
      </c>
      <c r="T1960" t="s">
        <v>70</v>
      </c>
      <c r="W1960" t="s">
        <v>6350</v>
      </c>
      <c r="X1960">
        <v>84</v>
      </c>
      <c r="Y1960" t="s">
        <v>70</v>
      </c>
      <c r="Z1960">
        <v>268</v>
      </c>
    </row>
    <row r="1961" spans="1:26" x14ac:dyDescent="0.3">
      <c r="A1961">
        <v>1960</v>
      </c>
      <c r="B1961" t="s">
        <v>4188</v>
      </c>
      <c r="C1961" t="s">
        <v>49</v>
      </c>
      <c r="D1961" t="s">
        <v>20</v>
      </c>
      <c r="E1961" t="s">
        <v>6348</v>
      </c>
      <c r="F1961" t="s">
        <v>6391</v>
      </c>
      <c r="G1961" t="s">
        <v>6393</v>
      </c>
      <c r="H1961" t="s">
        <v>6395</v>
      </c>
      <c r="J1961">
        <f>AVERAGE(ai_job_market[[#This Row],[min_salary]],ai_job_market[[#This Row],[max_salary]])</f>
        <v>127691</v>
      </c>
      <c r="K1961"/>
      <c r="L1961" t="s">
        <v>22</v>
      </c>
      <c r="M1961" t="s">
        <v>51</v>
      </c>
      <c r="N1961" t="s">
        <v>6295</v>
      </c>
      <c r="O1961" t="s">
        <v>4783</v>
      </c>
      <c r="P1961">
        <v>113567</v>
      </c>
      <c r="Q1961">
        <v>141815</v>
      </c>
      <c r="R1961" s="2">
        <v>45724</v>
      </c>
      <c r="S1961" t="s">
        <v>14</v>
      </c>
      <c r="T1961" t="s">
        <v>101</v>
      </c>
      <c r="U1961" t="s">
        <v>6384</v>
      </c>
      <c r="V1961" t="s">
        <v>6378</v>
      </c>
      <c r="W1961" t="s">
        <v>6348</v>
      </c>
      <c r="X1961">
        <v>78</v>
      </c>
      <c r="Y1961" t="s">
        <v>101</v>
      </c>
      <c r="Z1961">
        <v>255</v>
      </c>
    </row>
    <row r="1962" spans="1:26" x14ac:dyDescent="0.3">
      <c r="A1962">
        <v>1961</v>
      </c>
      <c r="B1962" t="s">
        <v>4190</v>
      </c>
      <c r="C1962" t="s">
        <v>40</v>
      </c>
      <c r="D1962" t="s">
        <v>35</v>
      </c>
      <c r="E1962" t="s">
        <v>6344</v>
      </c>
      <c r="F1962" t="s">
        <v>6393</v>
      </c>
      <c r="G1962" t="s">
        <v>6385</v>
      </c>
      <c r="H1962" t="s">
        <v>6395</v>
      </c>
      <c r="I1962" t="s">
        <v>6379</v>
      </c>
      <c r="J1962">
        <f>AVERAGE(ai_job_market[[#This Row],[min_salary]],ai_job_market[[#This Row],[max_salary]])</f>
        <v>60277</v>
      </c>
      <c r="K1962"/>
      <c r="L1962" t="s">
        <v>14</v>
      </c>
      <c r="M1962" t="s">
        <v>37</v>
      </c>
      <c r="N1962" t="s">
        <v>6296</v>
      </c>
      <c r="O1962" t="s">
        <v>4524</v>
      </c>
      <c r="P1962">
        <v>40402</v>
      </c>
      <c r="Q1962">
        <v>80152</v>
      </c>
      <c r="R1962" s="2">
        <v>45769</v>
      </c>
      <c r="S1962" t="s">
        <v>16</v>
      </c>
      <c r="T1962" t="s">
        <v>157</v>
      </c>
      <c r="U1962" t="s">
        <v>6378</v>
      </c>
      <c r="V1962" t="s">
        <v>6384</v>
      </c>
      <c r="W1962" t="s">
        <v>6344</v>
      </c>
      <c r="X1962">
        <v>104</v>
      </c>
      <c r="Y1962" t="s">
        <v>157</v>
      </c>
      <c r="Z1962">
        <v>247</v>
      </c>
    </row>
    <row r="1963" spans="1:26" x14ac:dyDescent="0.3">
      <c r="A1963">
        <v>1962</v>
      </c>
      <c r="B1963" t="s">
        <v>4193</v>
      </c>
      <c r="C1963" t="s">
        <v>40</v>
      </c>
      <c r="D1963" t="s">
        <v>35</v>
      </c>
      <c r="E1963" t="s">
        <v>6350</v>
      </c>
      <c r="F1963" t="s">
        <v>6397</v>
      </c>
      <c r="G1963" t="s">
        <v>6387</v>
      </c>
      <c r="J1963">
        <f>AVERAGE(ai_job_market[[#This Row],[min_salary]],ai_job_market[[#This Row],[max_salary]])</f>
        <v>171255</v>
      </c>
      <c r="K1963"/>
      <c r="L1963" t="s">
        <v>22</v>
      </c>
      <c r="M1963" t="s">
        <v>51</v>
      </c>
      <c r="N1963" t="s">
        <v>6297</v>
      </c>
      <c r="O1963" t="s">
        <v>4301</v>
      </c>
      <c r="P1963">
        <v>130661</v>
      </c>
      <c r="Q1963">
        <v>211849</v>
      </c>
      <c r="R1963" s="2">
        <v>45600</v>
      </c>
      <c r="S1963" t="s">
        <v>14</v>
      </c>
      <c r="T1963" t="s">
        <v>52</v>
      </c>
      <c r="W1963" t="s">
        <v>6350</v>
      </c>
      <c r="X1963">
        <v>84</v>
      </c>
      <c r="Y1963" t="s">
        <v>52</v>
      </c>
      <c r="Z1963">
        <v>238</v>
      </c>
    </row>
    <row r="1964" spans="1:26" x14ac:dyDescent="0.3">
      <c r="A1964">
        <v>1963</v>
      </c>
      <c r="B1964" t="s">
        <v>4195</v>
      </c>
      <c r="C1964" t="s">
        <v>45</v>
      </c>
      <c r="D1964" t="s">
        <v>25</v>
      </c>
      <c r="E1964" t="s">
        <v>77</v>
      </c>
      <c r="F1964" t="s">
        <v>6395</v>
      </c>
      <c r="G1964" t="s">
        <v>6380</v>
      </c>
      <c r="H1964" t="s">
        <v>6390</v>
      </c>
      <c r="I1964" t="s">
        <v>6393</v>
      </c>
      <c r="J1964" s="6">
        <f>AVERAGE(ai_job_market[[#This Row],[min_salary]],ai_job_market[[#This Row],[max_salary]])</f>
        <v>58072</v>
      </c>
      <c r="K1964"/>
      <c r="L1964" t="s">
        <v>27</v>
      </c>
      <c r="M1964" t="s">
        <v>51</v>
      </c>
      <c r="N1964" t="s">
        <v>6298</v>
      </c>
      <c r="O1964" t="s">
        <v>4564</v>
      </c>
      <c r="P1964" s="5">
        <v>49531</v>
      </c>
      <c r="Q1964" s="5">
        <v>66613</v>
      </c>
      <c r="R1964" s="2">
        <v>45863</v>
      </c>
      <c r="S1964" t="s">
        <v>14</v>
      </c>
      <c r="T1964" t="s">
        <v>52</v>
      </c>
      <c r="W1964" t="s">
        <v>77</v>
      </c>
      <c r="X1964">
        <v>111</v>
      </c>
      <c r="Y1964" t="s">
        <v>52</v>
      </c>
      <c r="Z1964">
        <v>238</v>
      </c>
    </row>
    <row r="1965" spans="1:26" x14ac:dyDescent="0.3">
      <c r="A1965">
        <v>1964</v>
      </c>
      <c r="B1965" t="s">
        <v>4197</v>
      </c>
      <c r="C1965" t="s">
        <v>49</v>
      </c>
      <c r="D1965" t="s">
        <v>25</v>
      </c>
      <c r="E1965" t="s">
        <v>6355</v>
      </c>
      <c r="F1965" t="s">
        <v>6378</v>
      </c>
      <c r="G1965" t="s">
        <v>6396</v>
      </c>
      <c r="H1965" t="s">
        <v>6390</v>
      </c>
      <c r="I1965" t="s">
        <v>6385</v>
      </c>
      <c r="J1965">
        <f>AVERAGE(ai_job_market[[#This Row],[min_salary]],ai_job_market[[#This Row],[max_salary]])</f>
        <v>155312.5</v>
      </c>
      <c r="K1965"/>
      <c r="L1965" t="s">
        <v>14</v>
      </c>
      <c r="M1965" t="s">
        <v>42</v>
      </c>
      <c r="N1965" t="s">
        <v>6299</v>
      </c>
      <c r="O1965" t="s">
        <v>4503</v>
      </c>
      <c r="P1965">
        <v>130480</v>
      </c>
      <c r="Q1965">
        <v>180145</v>
      </c>
      <c r="R1965" s="2">
        <v>45905</v>
      </c>
      <c r="S1965" t="s">
        <v>16</v>
      </c>
      <c r="T1965" t="s">
        <v>80</v>
      </c>
      <c r="U1965" t="s">
        <v>6378</v>
      </c>
      <c r="V1965" t="s">
        <v>6388</v>
      </c>
      <c r="W1965" t="s">
        <v>6355</v>
      </c>
      <c r="X1965">
        <v>90</v>
      </c>
      <c r="Y1965" t="s">
        <v>80</v>
      </c>
      <c r="Z1965">
        <v>249</v>
      </c>
    </row>
    <row r="1966" spans="1:26" x14ac:dyDescent="0.3">
      <c r="A1966">
        <v>1965</v>
      </c>
      <c r="B1966" t="s">
        <v>4199</v>
      </c>
      <c r="C1966" t="s">
        <v>34</v>
      </c>
      <c r="D1966" t="s">
        <v>35</v>
      </c>
      <c r="E1966" t="s">
        <v>128</v>
      </c>
      <c r="F1966" t="s">
        <v>6386</v>
      </c>
      <c r="G1966" t="s">
        <v>6390</v>
      </c>
      <c r="H1966" t="s">
        <v>6396</v>
      </c>
      <c r="I1966" t="s">
        <v>6381</v>
      </c>
      <c r="J1966">
        <f>AVERAGE(ai_job_market[[#This Row],[min_salary]],ai_job_market[[#This Row],[max_salary]])</f>
        <v>87717</v>
      </c>
      <c r="K1966"/>
      <c r="L1966" t="s">
        <v>14</v>
      </c>
      <c r="M1966" t="s">
        <v>42</v>
      </c>
      <c r="N1966" t="s">
        <v>6300</v>
      </c>
      <c r="O1966" t="s">
        <v>4727</v>
      </c>
      <c r="P1966">
        <v>74440</v>
      </c>
      <c r="Q1966">
        <v>100994</v>
      </c>
      <c r="R1966" s="2">
        <v>45694</v>
      </c>
      <c r="S1966" t="s">
        <v>14</v>
      </c>
      <c r="T1966" t="s">
        <v>101</v>
      </c>
      <c r="U1966" t="s">
        <v>6378</v>
      </c>
      <c r="V1966" t="s">
        <v>6375</v>
      </c>
      <c r="W1966" t="s">
        <v>128</v>
      </c>
      <c r="X1966">
        <v>92</v>
      </c>
      <c r="Y1966" t="s">
        <v>101</v>
      </c>
      <c r="Z1966">
        <v>255</v>
      </c>
    </row>
    <row r="1967" spans="1:26" x14ac:dyDescent="0.3">
      <c r="A1967">
        <v>1966</v>
      </c>
      <c r="B1967" t="s">
        <v>4201</v>
      </c>
      <c r="C1967" t="s">
        <v>19</v>
      </c>
      <c r="D1967" t="s">
        <v>25</v>
      </c>
      <c r="E1967" t="s">
        <v>6351</v>
      </c>
      <c r="F1967" t="s">
        <v>6379</v>
      </c>
      <c r="G1967" t="s">
        <v>6397</v>
      </c>
      <c r="H1967" t="s">
        <v>6378</v>
      </c>
      <c r="I1967" t="s">
        <v>6380</v>
      </c>
      <c r="J1967">
        <f>AVERAGE(ai_job_market[[#This Row],[min_salary]],ai_job_market[[#This Row],[max_salary]])</f>
        <v>161190.5</v>
      </c>
      <c r="K1967"/>
      <c r="L1967" t="s">
        <v>22</v>
      </c>
      <c r="M1967" t="s">
        <v>15</v>
      </c>
      <c r="N1967" t="s">
        <v>6301</v>
      </c>
      <c r="O1967" t="s">
        <v>4706</v>
      </c>
      <c r="P1967">
        <v>125311</v>
      </c>
      <c r="Q1967">
        <v>197070</v>
      </c>
      <c r="R1967" s="2">
        <v>45684</v>
      </c>
      <c r="S1967" t="s">
        <v>69</v>
      </c>
      <c r="T1967" t="s">
        <v>157</v>
      </c>
      <c r="U1967" t="s">
        <v>6388</v>
      </c>
      <c r="V1967" t="s">
        <v>6379</v>
      </c>
      <c r="W1967" t="s">
        <v>6351</v>
      </c>
      <c r="X1967">
        <v>89</v>
      </c>
      <c r="Y1967" t="s">
        <v>157</v>
      </c>
      <c r="Z1967">
        <v>247</v>
      </c>
    </row>
    <row r="1968" spans="1:26" x14ac:dyDescent="0.3">
      <c r="A1968">
        <v>1967</v>
      </c>
      <c r="B1968" t="s">
        <v>4204</v>
      </c>
      <c r="C1968" t="s">
        <v>49</v>
      </c>
      <c r="D1968" t="s">
        <v>135</v>
      </c>
      <c r="E1968" t="s">
        <v>6346</v>
      </c>
      <c r="F1968" t="s">
        <v>6392</v>
      </c>
      <c r="G1968" t="s">
        <v>6393</v>
      </c>
      <c r="H1968" t="s">
        <v>6386</v>
      </c>
      <c r="J1968" s="6">
        <f>AVERAGE(ai_job_market[[#This Row],[min_salary]],ai_job_market[[#This Row],[max_salary]])</f>
        <v>99494.5</v>
      </c>
      <c r="K1968"/>
      <c r="L1968" t="s">
        <v>27</v>
      </c>
      <c r="M1968" t="s">
        <v>37</v>
      </c>
      <c r="N1968" t="s">
        <v>4686</v>
      </c>
      <c r="O1968" t="s">
        <v>4289</v>
      </c>
      <c r="P1968" s="5">
        <v>69924</v>
      </c>
      <c r="Q1968" s="5">
        <v>129065</v>
      </c>
      <c r="R1968" s="2">
        <v>45639</v>
      </c>
      <c r="S1968" t="s">
        <v>69</v>
      </c>
      <c r="T1968" t="s">
        <v>70</v>
      </c>
      <c r="W1968" t="s">
        <v>6346</v>
      </c>
      <c r="X1968">
        <v>78</v>
      </c>
      <c r="Y1968" t="s">
        <v>70</v>
      </c>
      <c r="Z1968">
        <v>268</v>
      </c>
    </row>
    <row r="1969" spans="1:26" x14ac:dyDescent="0.3">
      <c r="A1969">
        <v>1968</v>
      </c>
      <c r="B1969" t="s">
        <v>1239</v>
      </c>
      <c r="C1969" t="s">
        <v>40</v>
      </c>
      <c r="D1969" t="s">
        <v>54</v>
      </c>
      <c r="E1969" t="s">
        <v>77</v>
      </c>
      <c r="F1969" t="s">
        <v>6374</v>
      </c>
      <c r="G1969" t="s">
        <v>6389</v>
      </c>
      <c r="J1969">
        <f>AVERAGE(ai_job_market[[#This Row],[min_salary]],ai_job_market[[#This Row],[max_salary]])</f>
        <v>173089</v>
      </c>
      <c r="K1969"/>
      <c r="L1969" t="s">
        <v>14</v>
      </c>
      <c r="M1969" t="s">
        <v>42</v>
      </c>
      <c r="N1969" t="s">
        <v>6302</v>
      </c>
      <c r="O1969" t="s">
        <v>4652</v>
      </c>
      <c r="P1969">
        <v>143317</v>
      </c>
      <c r="Q1969">
        <v>202861</v>
      </c>
      <c r="R1969" s="2">
        <v>45222</v>
      </c>
      <c r="S1969" t="s">
        <v>16</v>
      </c>
      <c r="T1969" t="s">
        <v>90</v>
      </c>
      <c r="U1969" t="s">
        <v>6384</v>
      </c>
      <c r="W1969" t="s">
        <v>77</v>
      </c>
      <c r="X1969">
        <v>111</v>
      </c>
      <c r="Y1969" t="s">
        <v>90</v>
      </c>
      <c r="Z1969">
        <v>259</v>
      </c>
    </row>
    <row r="1970" spans="1:26" x14ac:dyDescent="0.3">
      <c r="A1970">
        <v>1969</v>
      </c>
      <c r="B1970" t="s">
        <v>4207</v>
      </c>
      <c r="C1970" t="s">
        <v>45</v>
      </c>
      <c r="D1970" t="s">
        <v>135</v>
      </c>
      <c r="E1970" t="s">
        <v>6359</v>
      </c>
      <c r="F1970" t="s">
        <v>6390</v>
      </c>
      <c r="G1970" t="s">
        <v>6375</v>
      </c>
      <c r="H1970" t="s">
        <v>6382</v>
      </c>
      <c r="I1970" t="s">
        <v>6385</v>
      </c>
      <c r="J1970">
        <f>AVERAGE(ai_job_market[[#This Row],[min_salary]],ai_job_market[[#This Row],[max_salary]])</f>
        <v>155058</v>
      </c>
      <c r="K1970" t="s">
        <v>6393</v>
      </c>
      <c r="L1970" t="s">
        <v>14</v>
      </c>
      <c r="M1970" t="s">
        <v>42</v>
      </c>
      <c r="N1970" t="s">
        <v>6303</v>
      </c>
      <c r="O1970" t="s">
        <v>4433</v>
      </c>
      <c r="P1970">
        <v>107946</v>
      </c>
      <c r="Q1970">
        <v>202170</v>
      </c>
      <c r="R1970" s="2">
        <v>45463</v>
      </c>
      <c r="S1970" t="s">
        <v>16</v>
      </c>
      <c r="T1970" t="s">
        <v>157</v>
      </c>
      <c r="U1970" t="s">
        <v>6376</v>
      </c>
      <c r="W1970" t="s">
        <v>6359</v>
      </c>
      <c r="X1970">
        <v>104</v>
      </c>
      <c r="Y1970" t="s">
        <v>157</v>
      </c>
      <c r="Z1970">
        <v>247</v>
      </c>
    </row>
    <row r="1971" spans="1:26" x14ac:dyDescent="0.3">
      <c r="A1971">
        <v>1970</v>
      </c>
      <c r="B1971" t="s">
        <v>4209</v>
      </c>
      <c r="C1971" t="s">
        <v>34</v>
      </c>
      <c r="D1971" t="s">
        <v>35</v>
      </c>
      <c r="E1971" t="s">
        <v>6350</v>
      </c>
      <c r="F1971" t="s">
        <v>6379</v>
      </c>
      <c r="G1971" t="s">
        <v>6391</v>
      </c>
      <c r="H1971" t="s">
        <v>6390</v>
      </c>
      <c r="J1971">
        <f>AVERAGE(ai_job_market[[#This Row],[min_salary]],ai_job_market[[#This Row],[max_salary]])</f>
        <v>112385</v>
      </c>
      <c r="K1971"/>
      <c r="L1971" t="s">
        <v>14</v>
      </c>
      <c r="M1971" t="s">
        <v>42</v>
      </c>
      <c r="N1971" t="s">
        <v>6304</v>
      </c>
      <c r="O1971" t="s">
        <v>4503</v>
      </c>
      <c r="P1971">
        <v>104516</v>
      </c>
      <c r="Q1971">
        <v>120254</v>
      </c>
      <c r="R1971" s="2">
        <v>45320</v>
      </c>
      <c r="S1971" t="s">
        <v>14</v>
      </c>
      <c r="T1971" t="s">
        <v>90</v>
      </c>
      <c r="U1971" t="s">
        <v>6379</v>
      </c>
      <c r="V1971" t="s">
        <v>6376</v>
      </c>
      <c r="W1971" t="s">
        <v>6350</v>
      </c>
      <c r="X1971">
        <v>84</v>
      </c>
      <c r="Y1971" t="s">
        <v>90</v>
      </c>
      <c r="Z1971">
        <v>259</v>
      </c>
    </row>
    <row r="1972" spans="1:26" x14ac:dyDescent="0.3">
      <c r="A1972">
        <v>1971</v>
      </c>
      <c r="B1972" t="s">
        <v>4211</v>
      </c>
      <c r="C1972" t="s">
        <v>19</v>
      </c>
      <c r="D1972" t="s">
        <v>54</v>
      </c>
      <c r="E1972" t="s">
        <v>6358</v>
      </c>
      <c r="F1972" t="s">
        <v>6380</v>
      </c>
      <c r="G1972" t="s">
        <v>6384</v>
      </c>
      <c r="J1972">
        <f>AVERAGE(ai_job_market[[#This Row],[min_salary]],ai_job_market[[#This Row],[max_salary]])</f>
        <v>125098</v>
      </c>
      <c r="K1972"/>
      <c r="L1972" t="s">
        <v>27</v>
      </c>
      <c r="M1972" t="s">
        <v>51</v>
      </c>
      <c r="N1972" t="s">
        <v>6305</v>
      </c>
      <c r="O1972" t="s">
        <v>4410</v>
      </c>
      <c r="P1972">
        <v>100209</v>
      </c>
      <c r="Q1972">
        <v>149987</v>
      </c>
      <c r="R1972" s="2">
        <v>45506</v>
      </c>
      <c r="S1972" t="s">
        <v>16</v>
      </c>
      <c r="T1972" t="s">
        <v>77</v>
      </c>
      <c r="W1972" t="s">
        <v>6358</v>
      </c>
      <c r="X1972">
        <v>96</v>
      </c>
      <c r="Y1972" t="s">
        <v>77</v>
      </c>
      <c r="Z1972">
        <v>251</v>
      </c>
    </row>
    <row r="1973" spans="1:26" x14ac:dyDescent="0.3">
      <c r="A1973">
        <v>1972</v>
      </c>
      <c r="B1973" t="s">
        <v>4213</v>
      </c>
      <c r="C1973" t="s">
        <v>49</v>
      </c>
      <c r="D1973" t="s">
        <v>12</v>
      </c>
      <c r="E1973" t="s">
        <v>80</v>
      </c>
      <c r="F1973" t="s">
        <v>6396</v>
      </c>
      <c r="G1973" t="s">
        <v>6391</v>
      </c>
      <c r="H1973" t="s">
        <v>6377</v>
      </c>
      <c r="J1973" s="6">
        <f>AVERAGE(ai_job_market[[#This Row],[min_salary]],ai_job_market[[#This Row],[max_salary]])</f>
        <v>143311</v>
      </c>
      <c r="K1973"/>
      <c r="L1973" t="s">
        <v>27</v>
      </c>
      <c r="M1973" t="s">
        <v>51</v>
      </c>
      <c r="N1973" t="s">
        <v>6306</v>
      </c>
      <c r="O1973" t="s">
        <v>4299</v>
      </c>
      <c r="P1973" s="5">
        <v>125179</v>
      </c>
      <c r="Q1973" s="5">
        <v>161443</v>
      </c>
      <c r="R1973" s="2">
        <v>45791</v>
      </c>
      <c r="S1973" t="s">
        <v>69</v>
      </c>
      <c r="T1973" t="s">
        <v>52</v>
      </c>
      <c r="U1973" t="s">
        <v>6378</v>
      </c>
      <c r="W1973" t="s">
        <v>80</v>
      </c>
      <c r="X1973">
        <v>95</v>
      </c>
      <c r="Y1973" t="s">
        <v>52</v>
      </c>
      <c r="Z1973">
        <v>238</v>
      </c>
    </row>
    <row r="1974" spans="1:26" x14ac:dyDescent="0.3">
      <c r="A1974">
        <v>1973</v>
      </c>
      <c r="B1974" t="s">
        <v>4215</v>
      </c>
      <c r="C1974" t="s">
        <v>49</v>
      </c>
      <c r="D1974" t="s">
        <v>135</v>
      </c>
      <c r="E1974" t="s">
        <v>6351</v>
      </c>
      <c r="F1974" t="s">
        <v>6379</v>
      </c>
      <c r="G1974" t="s">
        <v>6396</v>
      </c>
      <c r="H1974" t="s">
        <v>6394</v>
      </c>
      <c r="I1974" t="s">
        <v>6395</v>
      </c>
      <c r="J1974">
        <f>AVERAGE(ai_job_market[[#This Row],[min_salary]],ai_job_market[[#This Row],[max_salary]])</f>
        <v>115846.5</v>
      </c>
      <c r="K1974"/>
      <c r="L1974" t="s">
        <v>22</v>
      </c>
      <c r="M1974" t="s">
        <v>15</v>
      </c>
      <c r="N1974" t="s">
        <v>6307</v>
      </c>
      <c r="O1974" t="s">
        <v>4652</v>
      </c>
      <c r="P1974">
        <v>74296</v>
      </c>
      <c r="Q1974">
        <v>157397</v>
      </c>
      <c r="R1974" s="2">
        <v>45828</v>
      </c>
      <c r="S1974" t="s">
        <v>14</v>
      </c>
      <c r="T1974" t="s">
        <v>52</v>
      </c>
      <c r="U1974" t="s">
        <v>6378</v>
      </c>
      <c r="V1974" t="s">
        <v>6379</v>
      </c>
      <c r="W1974" t="s">
        <v>6351</v>
      </c>
      <c r="X1974">
        <v>89</v>
      </c>
      <c r="Y1974" t="s">
        <v>52</v>
      </c>
      <c r="Z1974">
        <v>238</v>
      </c>
    </row>
    <row r="1975" spans="1:26" x14ac:dyDescent="0.3">
      <c r="A1975">
        <v>1974</v>
      </c>
      <c r="B1975" t="s">
        <v>4217</v>
      </c>
      <c r="C1975" t="s">
        <v>45</v>
      </c>
      <c r="D1975" t="s">
        <v>54</v>
      </c>
      <c r="E1975" t="s">
        <v>6359</v>
      </c>
      <c r="F1975" t="s">
        <v>6392</v>
      </c>
      <c r="G1975" t="s">
        <v>6395</v>
      </c>
      <c r="H1975" t="s">
        <v>6384</v>
      </c>
      <c r="J1975">
        <f>AVERAGE(ai_job_market[[#This Row],[min_salary]],ai_job_market[[#This Row],[max_salary]])</f>
        <v>141709.5</v>
      </c>
      <c r="K1975"/>
      <c r="L1975" t="s">
        <v>22</v>
      </c>
      <c r="M1975" t="s">
        <v>37</v>
      </c>
      <c r="N1975" t="s">
        <v>6308</v>
      </c>
      <c r="O1975" t="s">
        <v>4463</v>
      </c>
      <c r="P1975">
        <v>98345</v>
      </c>
      <c r="Q1975">
        <v>185074</v>
      </c>
      <c r="R1975" s="2">
        <v>45748</v>
      </c>
      <c r="S1975" t="s">
        <v>14</v>
      </c>
      <c r="T1975" t="s">
        <v>157</v>
      </c>
      <c r="U1975" t="s">
        <v>6389</v>
      </c>
      <c r="V1975" t="s">
        <v>6375</v>
      </c>
      <c r="W1975" t="s">
        <v>6359</v>
      </c>
      <c r="X1975">
        <v>104</v>
      </c>
      <c r="Y1975" t="s">
        <v>157</v>
      </c>
      <c r="Z1975">
        <v>247</v>
      </c>
    </row>
    <row r="1976" spans="1:26" x14ac:dyDescent="0.3">
      <c r="A1976">
        <v>1975</v>
      </c>
      <c r="B1976" t="s">
        <v>4220</v>
      </c>
      <c r="C1976" t="s">
        <v>19</v>
      </c>
      <c r="D1976" t="s">
        <v>25</v>
      </c>
      <c r="E1976" t="s">
        <v>6354</v>
      </c>
      <c r="F1976" t="s">
        <v>6393</v>
      </c>
      <c r="G1976" t="s">
        <v>6377</v>
      </c>
      <c r="H1976" t="s">
        <v>6397</v>
      </c>
      <c r="I1976" t="s">
        <v>6386</v>
      </c>
      <c r="J1976">
        <f>AVERAGE(ai_job_market[[#This Row],[min_salary]],ai_job_market[[#This Row],[max_salary]])</f>
        <v>133649.5</v>
      </c>
      <c r="K1976"/>
      <c r="L1976" t="s">
        <v>27</v>
      </c>
      <c r="M1976" t="s">
        <v>42</v>
      </c>
      <c r="N1976" t="s">
        <v>6309</v>
      </c>
      <c r="O1976" t="s">
        <v>4646</v>
      </c>
      <c r="P1976">
        <v>109031</v>
      </c>
      <c r="Q1976">
        <v>158268</v>
      </c>
      <c r="R1976" s="2">
        <v>45900</v>
      </c>
      <c r="S1976" t="s">
        <v>69</v>
      </c>
      <c r="T1976" t="s">
        <v>77</v>
      </c>
      <c r="U1976" t="s">
        <v>6379</v>
      </c>
      <c r="W1976" t="s">
        <v>6354</v>
      </c>
      <c r="X1976">
        <v>75</v>
      </c>
      <c r="Y1976" t="s">
        <v>77</v>
      </c>
      <c r="Z1976">
        <v>251</v>
      </c>
    </row>
    <row r="1977" spans="1:26" x14ac:dyDescent="0.3">
      <c r="A1977">
        <v>1976</v>
      </c>
      <c r="B1977" t="s">
        <v>4222</v>
      </c>
      <c r="C1977" t="s">
        <v>49</v>
      </c>
      <c r="D1977" t="s">
        <v>20</v>
      </c>
      <c r="E1977" t="s">
        <v>101</v>
      </c>
      <c r="F1977" t="s">
        <v>6390</v>
      </c>
      <c r="G1977" t="s">
        <v>6394</v>
      </c>
      <c r="H1977" t="s">
        <v>6374</v>
      </c>
      <c r="J1977" s="6">
        <f>AVERAGE(ai_job_market[[#This Row],[min_salary]],ai_job_market[[#This Row],[max_salary]])</f>
        <v>129978.5</v>
      </c>
      <c r="K1977"/>
      <c r="L1977" t="s">
        <v>22</v>
      </c>
      <c r="M1977" t="s">
        <v>37</v>
      </c>
      <c r="N1977" t="s">
        <v>6310</v>
      </c>
      <c r="O1977" t="s">
        <v>4835</v>
      </c>
      <c r="P1977" s="5">
        <v>117323</v>
      </c>
      <c r="Q1977" s="5">
        <v>142634</v>
      </c>
      <c r="R1977" s="2">
        <v>45767</v>
      </c>
      <c r="S1977" t="s">
        <v>16</v>
      </c>
      <c r="T1977" t="s">
        <v>70</v>
      </c>
      <c r="U1977" t="s">
        <v>6375</v>
      </c>
      <c r="W1977" t="s">
        <v>101</v>
      </c>
      <c r="X1977">
        <v>76</v>
      </c>
      <c r="Y1977" t="s">
        <v>70</v>
      </c>
      <c r="Z1977">
        <v>268</v>
      </c>
    </row>
    <row r="1978" spans="1:26" x14ac:dyDescent="0.3">
      <c r="A1978">
        <v>1977</v>
      </c>
      <c r="B1978" t="s">
        <v>4224</v>
      </c>
      <c r="C1978" t="s">
        <v>19</v>
      </c>
      <c r="D1978" t="s">
        <v>12</v>
      </c>
      <c r="E1978" t="s">
        <v>6348</v>
      </c>
      <c r="F1978" t="s">
        <v>6375</v>
      </c>
      <c r="G1978" t="s">
        <v>6380</v>
      </c>
      <c r="H1978" t="s">
        <v>6395</v>
      </c>
      <c r="I1978" t="s">
        <v>6392</v>
      </c>
      <c r="J1978">
        <f>AVERAGE(ai_job_market[[#This Row],[min_salary]],ai_job_market[[#This Row],[max_salary]])</f>
        <v>90825.5</v>
      </c>
      <c r="K1978"/>
      <c r="L1978" t="s">
        <v>14</v>
      </c>
      <c r="M1978" t="s">
        <v>37</v>
      </c>
      <c r="N1978" t="s">
        <v>6311</v>
      </c>
      <c r="O1978" t="s">
        <v>4596</v>
      </c>
      <c r="P1978">
        <v>63685</v>
      </c>
      <c r="Q1978">
        <v>117966</v>
      </c>
      <c r="R1978" s="2">
        <v>45357</v>
      </c>
      <c r="S1978" t="s">
        <v>69</v>
      </c>
      <c r="T1978" t="s">
        <v>77</v>
      </c>
      <c r="U1978" t="s">
        <v>6388</v>
      </c>
      <c r="V1978" t="s">
        <v>6376</v>
      </c>
      <c r="W1978" t="s">
        <v>6348</v>
      </c>
      <c r="X1978">
        <v>78</v>
      </c>
      <c r="Y1978" t="s">
        <v>77</v>
      </c>
      <c r="Z1978">
        <v>251</v>
      </c>
    </row>
    <row r="1979" spans="1:26" x14ac:dyDescent="0.3">
      <c r="A1979">
        <v>1978</v>
      </c>
      <c r="B1979" t="s">
        <v>4227</v>
      </c>
      <c r="C1979" t="s">
        <v>19</v>
      </c>
      <c r="D1979" t="s">
        <v>12</v>
      </c>
      <c r="E1979" t="s">
        <v>70</v>
      </c>
      <c r="F1979" t="s">
        <v>6374</v>
      </c>
      <c r="G1979" t="s">
        <v>6380</v>
      </c>
      <c r="H1979" t="s">
        <v>6382</v>
      </c>
      <c r="I1979" t="s">
        <v>6396</v>
      </c>
      <c r="J1979">
        <f>AVERAGE(ai_job_market[[#This Row],[min_salary]],ai_job_market[[#This Row],[max_salary]])</f>
        <v>122518</v>
      </c>
      <c r="K1979"/>
      <c r="L1979" t="s">
        <v>22</v>
      </c>
      <c r="M1979" t="s">
        <v>42</v>
      </c>
      <c r="N1979" t="s">
        <v>6312</v>
      </c>
      <c r="O1979" t="s">
        <v>4722</v>
      </c>
      <c r="P1979">
        <v>85582</v>
      </c>
      <c r="Q1979">
        <v>159454</v>
      </c>
      <c r="R1979" s="2">
        <v>45486</v>
      </c>
      <c r="S1979" t="s">
        <v>16</v>
      </c>
      <c r="T1979" t="s">
        <v>80</v>
      </c>
      <c r="W1979" t="s">
        <v>70</v>
      </c>
      <c r="X1979">
        <v>100</v>
      </c>
      <c r="Y1979" t="s">
        <v>80</v>
      </c>
      <c r="Z1979">
        <v>249</v>
      </c>
    </row>
    <row r="1980" spans="1:26" x14ac:dyDescent="0.3">
      <c r="A1980">
        <v>1979</v>
      </c>
      <c r="B1980" t="s">
        <v>4229</v>
      </c>
      <c r="C1980" t="s">
        <v>40</v>
      </c>
      <c r="D1980" t="s">
        <v>30</v>
      </c>
      <c r="E1980" t="s">
        <v>6347</v>
      </c>
      <c r="F1980" t="s">
        <v>6395</v>
      </c>
      <c r="G1980" t="s">
        <v>6389</v>
      </c>
      <c r="H1980" t="s">
        <v>6393</v>
      </c>
      <c r="I1980" t="s">
        <v>6378</v>
      </c>
      <c r="J1980">
        <f>AVERAGE(ai_job_market[[#This Row],[min_salary]],ai_job_market[[#This Row],[max_salary]])</f>
        <v>151538</v>
      </c>
      <c r="K1980"/>
      <c r="L1980" t="s">
        <v>22</v>
      </c>
      <c r="M1980" t="s">
        <v>15</v>
      </c>
      <c r="N1980" t="s">
        <v>5608</v>
      </c>
      <c r="O1980" t="s">
        <v>4797</v>
      </c>
      <c r="P1980">
        <v>140375</v>
      </c>
      <c r="Q1980">
        <v>162701</v>
      </c>
      <c r="R1980" s="2">
        <v>45605</v>
      </c>
      <c r="S1980" t="s">
        <v>16</v>
      </c>
      <c r="T1980" t="s">
        <v>80</v>
      </c>
      <c r="U1980" t="s">
        <v>6376</v>
      </c>
      <c r="W1980" t="s">
        <v>6347</v>
      </c>
      <c r="X1980">
        <v>94</v>
      </c>
      <c r="Y1980" t="s">
        <v>80</v>
      </c>
      <c r="Z1980">
        <v>249</v>
      </c>
    </row>
    <row r="1981" spans="1:26" x14ac:dyDescent="0.3">
      <c r="A1981">
        <v>1980</v>
      </c>
      <c r="B1981" t="s">
        <v>4231</v>
      </c>
      <c r="C1981" t="s">
        <v>34</v>
      </c>
      <c r="D1981" t="s">
        <v>30</v>
      </c>
      <c r="E1981" t="s">
        <v>77</v>
      </c>
      <c r="F1981" t="s">
        <v>6390</v>
      </c>
      <c r="G1981" t="s">
        <v>6392</v>
      </c>
      <c r="H1981" t="s">
        <v>6386</v>
      </c>
      <c r="I1981" t="s">
        <v>6377</v>
      </c>
      <c r="J1981">
        <f>AVERAGE(ai_job_market[[#This Row],[min_salary]],ai_job_market[[#This Row],[max_salary]])</f>
        <v>92770.5</v>
      </c>
      <c r="K1981"/>
      <c r="L1981" t="s">
        <v>14</v>
      </c>
      <c r="M1981" t="s">
        <v>51</v>
      </c>
      <c r="N1981" t="s">
        <v>6313</v>
      </c>
      <c r="O1981" t="s">
        <v>4435</v>
      </c>
      <c r="P1981">
        <v>72541</v>
      </c>
      <c r="Q1981">
        <v>113000</v>
      </c>
      <c r="R1981" s="2">
        <v>45369</v>
      </c>
      <c r="S1981" t="s">
        <v>14</v>
      </c>
      <c r="T1981" t="s">
        <v>90</v>
      </c>
      <c r="U1981" t="s">
        <v>6379</v>
      </c>
      <c r="W1981" t="s">
        <v>77</v>
      </c>
      <c r="X1981">
        <v>111</v>
      </c>
      <c r="Y1981" t="s">
        <v>90</v>
      </c>
      <c r="Z1981">
        <v>259</v>
      </c>
    </row>
    <row r="1982" spans="1:26" x14ac:dyDescent="0.3">
      <c r="A1982">
        <v>1981</v>
      </c>
      <c r="B1982" t="s">
        <v>4233</v>
      </c>
      <c r="C1982" t="s">
        <v>40</v>
      </c>
      <c r="D1982" t="s">
        <v>30</v>
      </c>
      <c r="E1982" t="s">
        <v>6353</v>
      </c>
      <c r="F1982" t="s">
        <v>6381</v>
      </c>
      <c r="G1982" t="s">
        <v>6382</v>
      </c>
      <c r="H1982" t="s">
        <v>6397</v>
      </c>
      <c r="J1982">
        <f>AVERAGE(ai_job_market[[#This Row],[min_salary]],ai_job_market[[#This Row],[max_salary]])</f>
        <v>72060</v>
      </c>
      <c r="K1982"/>
      <c r="L1982" t="s">
        <v>27</v>
      </c>
      <c r="M1982" t="s">
        <v>37</v>
      </c>
      <c r="N1982" t="s">
        <v>6314</v>
      </c>
      <c r="O1982" t="s">
        <v>5030</v>
      </c>
      <c r="P1982">
        <v>62419</v>
      </c>
      <c r="Q1982">
        <v>81701</v>
      </c>
      <c r="R1982" s="2">
        <v>45911</v>
      </c>
      <c r="S1982" t="s">
        <v>69</v>
      </c>
      <c r="T1982" t="s">
        <v>101</v>
      </c>
      <c r="U1982" t="s">
        <v>6378</v>
      </c>
      <c r="V1982" t="s">
        <v>6379</v>
      </c>
      <c r="W1982" t="s">
        <v>6353</v>
      </c>
      <c r="X1982">
        <v>86</v>
      </c>
      <c r="Y1982" t="s">
        <v>101</v>
      </c>
      <c r="Z1982">
        <v>255</v>
      </c>
    </row>
    <row r="1983" spans="1:26" x14ac:dyDescent="0.3">
      <c r="A1983">
        <v>1982</v>
      </c>
      <c r="B1983" t="s">
        <v>4235</v>
      </c>
      <c r="C1983" t="s">
        <v>40</v>
      </c>
      <c r="D1983" t="s">
        <v>67</v>
      </c>
      <c r="E1983" t="s">
        <v>6356</v>
      </c>
      <c r="F1983" t="s">
        <v>6377</v>
      </c>
      <c r="G1983" t="s">
        <v>6390</v>
      </c>
      <c r="H1983" t="s">
        <v>6379</v>
      </c>
      <c r="I1983" t="s">
        <v>6375</v>
      </c>
      <c r="J1983">
        <f>AVERAGE(ai_job_market[[#This Row],[min_salary]],ai_job_market[[#This Row],[max_salary]])</f>
        <v>125750.5</v>
      </c>
      <c r="K1983"/>
      <c r="L1983" t="s">
        <v>22</v>
      </c>
      <c r="M1983" t="s">
        <v>42</v>
      </c>
      <c r="N1983" t="s">
        <v>6315</v>
      </c>
      <c r="O1983" t="s">
        <v>4377</v>
      </c>
      <c r="P1983">
        <v>83082</v>
      </c>
      <c r="Q1983">
        <v>168419</v>
      </c>
      <c r="R1983" s="2">
        <v>45374</v>
      </c>
      <c r="S1983" t="s">
        <v>69</v>
      </c>
      <c r="T1983" t="s">
        <v>101</v>
      </c>
      <c r="U1983" t="s">
        <v>6379</v>
      </c>
      <c r="W1983" t="s">
        <v>6356</v>
      </c>
      <c r="X1983">
        <v>86</v>
      </c>
      <c r="Y1983" t="s">
        <v>101</v>
      </c>
      <c r="Z1983">
        <v>255</v>
      </c>
    </row>
    <row r="1984" spans="1:26" x14ac:dyDescent="0.3">
      <c r="A1984">
        <v>1983</v>
      </c>
      <c r="B1984" t="s">
        <v>4237</v>
      </c>
      <c r="C1984" t="s">
        <v>34</v>
      </c>
      <c r="D1984" t="s">
        <v>54</v>
      </c>
      <c r="E1984" t="s">
        <v>6350</v>
      </c>
      <c r="F1984" t="s">
        <v>6375</v>
      </c>
      <c r="G1984" t="s">
        <v>6389</v>
      </c>
      <c r="H1984" t="s">
        <v>6376</v>
      </c>
      <c r="I1984" t="s">
        <v>6384</v>
      </c>
      <c r="J1984">
        <f>AVERAGE(ai_job_market[[#This Row],[min_salary]],ai_job_market[[#This Row],[max_salary]])</f>
        <v>113837</v>
      </c>
      <c r="K1984"/>
      <c r="L1984" t="s">
        <v>14</v>
      </c>
      <c r="M1984" t="s">
        <v>37</v>
      </c>
      <c r="N1984" t="s">
        <v>6316</v>
      </c>
      <c r="O1984" t="s">
        <v>4584</v>
      </c>
      <c r="P1984">
        <v>97924</v>
      </c>
      <c r="Q1984">
        <v>129750</v>
      </c>
      <c r="R1984" s="2">
        <v>45912</v>
      </c>
      <c r="S1984" t="s">
        <v>69</v>
      </c>
      <c r="T1984" t="s">
        <v>77</v>
      </c>
      <c r="W1984" t="s">
        <v>6350</v>
      </c>
      <c r="X1984">
        <v>84</v>
      </c>
      <c r="Y1984" t="s">
        <v>77</v>
      </c>
      <c r="Z1984">
        <v>251</v>
      </c>
    </row>
    <row r="1985" spans="1:26" x14ac:dyDescent="0.3">
      <c r="A1985">
        <v>1984</v>
      </c>
      <c r="B1985" t="s">
        <v>4239</v>
      </c>
      <c r="C1985" t="s">
        <v>45</v>
      </c>
      <c r="D1985" t="s">
        <v>135</v>
      </c>
      <c r="E1985" t="s">
        <v>6349</v>
      </c>
      <c r="F1985" t="s">
        <v>6396</v>
      </c>
      <c r="G1985" t="s">
        <v>6387</v>
      </c>
      <c r="J1985">
        <f>AVERAGE(ai_job_market[[#This Row],[min_salary]],ai_job_market[[#This Row],[max_salary]])</f>
        <v>166592</v>
      </c>
      <c r="K1985"/>
      <c r="L1985" t="s">
        <v>22</v>
      </c>
      <c r="M1985" t="s">
        <v>15</v>
      </c>
      <c r="N1985" t="s">
        <v>6317</v>
      </c>
      <c r="O1985" t="s">
        <v>4630</v>
      </c>
      <c r="P1985">
        <v>126658</v>
      </c>
      <c r="Q1985">
        <v>206526</v>
      </c>
      <c r="R1985" s="2">
        <v>45510</v>
      </c>
      <c r="S1985" t="s">
        <v>69</v>
      </c>
      <c r="T1985" t="s">
        <v>52</v>
      </c>
      <c r="U1985" t="s">
        <v>6389</v>
      </c>
      <c r="V1985" t="s">
        <v>6378</v>
      </c>
      <c r="W1985" t="s">
        <v>6349</v>
      </c>
      <c r="X1985">
        <v>96</v>
      </c>
      <c r="Y1985" t="s">
        <v>52</v>
      </c>
      <c r="Z1985">
        <v>238</v>
      </c>
    </row>
    <row r="1986" spans="1:26" x14ac:dyDescent="0.3">
      <c r="A1986">
        <v>1985</v>
      </c>
      <c r="B1986" t="s">
        <v>4241</v>
      </c>
      <c r="C1986" t="s">
        <v>45</v>
      </c>
      <c r="D1986" t="s">
        <v>12</v>
      </c>
      <c r="E1986" t="s">
        <v>80</v>
      </c>
      <c r="F1986" t="s">
        <v>6396</v>
      </c>
      <c r="G1986" t="s">
        <v>6379</v>
      </c>
      <c r="J1986">
        <f>AVERAGE(ai_job_market[[#This Row],[min_salary]],ai_job_market[[#This Row],[max_salary]])</f>
        <v>91656.5</v>
      </c>
      <c r="K1986"/>
      <c r="L1986" t="s">
        <v>14</v>
      </c>
      <c r="M1986" t="s">
        <v>37</v>
      </c>
      <c r="N1986" t="s">
        <v>6318</v>
      </c>
      <c r="O1986" t="s">
        <v>4442</v>
      </c>
      <c r="P1986">
        <v>46246</v>
      </c>
      <c r="Q1986">
        <v>137067</v>
      </c>
      <c r="R1986" s="2">
        <v>45779</v>
      </c>
      <c r="S1986" t="s">
        <v>14</v>
      </c>
      <c r="T1986" t="s">
        <v>157</v>
      </c>
      <c r="U1986" t="s">
        <v>6378</v>
      </c>
      <c r="V1986" t="s">
        <v>6375</v>
      </c>
      <c r="W1986" t="s">
        <v>80</v>
      </c>
      <c r="X1986">
        <v>95</v>
      </c>
      <c r="Y1986" t="s">
        <v>157</v>
      </c>
      <c r="Z1986">
        <v>247</v>
      </c>
    </row>
    <row r="1987" spans="1:26" x14ac:dyDescent="0.3">
      <c r="A1987">
        <v>1986</v>
      </c>
      <c r="B1987" t="s">
        <v>4242</v>
      </c>
      <c r="C1987" t="s">
        <v>34</v>
      </c>
      <c r="D1987" t="s">
        <v>12</v>
      </c>
      <c r="E1987" t="s">
        <v>6359</v>
      </c>
      <c r="F1987" t="s">
        <v>6379</v>
      </c>
      <c r="G1987" t="s">
        <v>6389</v>
      </c>
      <c r="H1987" t="s">
        <v>6393</v>
      </c>
      <c r="I1987" t="s">
        <v>6394</v>
      </c>
      <c r="J1987">
        <f>AVERAGE(ai_job_market[[#This Row],[min_salary]],ai_job_market[[#This Row],[max_salary]])</f>
        <v>149266</v>
      </c>
      <c r="K1987" t="s">
        <v>6397</v>
      </c>
      <c r="L1987" t="s">
        <v>27</v>
      </c>
      <c r="M1987" t="s">
        <v>15</v>
      </c>
      <c r="N1987" t="s">
        <v>5424</v>
      </c>
      <c r="O1987" t="s">
        <v>4399</v>
      </c>
      <c r="P1987">
        <v>138115</v>
      </c>
      <c r="Q1987">
        <v>160417</v>
      </c>
      <c r="R1987" s="2">
        <v>45595</v>
      </c>
      <c r="S1987" t="s">
        <v>69</v>
      </c>
      <c r="T1987" t="s">
        <v>90</v>
      </c>
      <c r="W1987" t="s">
        <v>6359</v>
      </c>
      <c r="X1987">
        <v>104</v>
      </c>
      <c r="Y1987" t="s">
        <v>90</v>
      </c>
      <c r="Z1987">
        <v>259</v>
      </c>
    </row>
    <row r="1988" spans="1:26" x14ac:dyDescent="0.3">
      <c r="A1988">
        <v>1987</v>
      </c>
      <c r="B1988" t="s">
        <v>4244</v>
      </c>
      <c r="C1988" t="s">
        <v>11</v>
      </c>
      <c r="D1988" t="s">
        <v>35</v>
      </c>
      <c r="E1988" t="s">
        <v>6346</v>
      </c>
      <c r="F1988" t="s">
        <v>6395</v>
      </c>
      <c r="G1988" t="s">
        <v>6393</v>
      </c>
      <c r="H1988" t="s">
        <v>6381</v>
      </c>
      <c r="J1988" s="6">
        <f>AVERAGE(ai_job_market[[#This Row],[min_salary]],ai_job_market[[#This Row],[max_salary]])</f>
        <v>83509.5</v>
      </c>
      <c r="K1988"/>
      <c r="L1988" t="s">
        <v>27</v>
      </c>
      <c r="M1988" t="s">
        <v>37</v>
      </c>
      <c r="N1988" t="s">
        <v>6319</v>
      </c>
      <c r="O1988" t="s">
        <v>4363</v>
      </c>
      <c r="P1988" s="5">
        <v>44089</v>
      </c>
      <c r="Q1988" s="5">
        <v>122930</v>
      </c>
      <c r="R1988" s="2">
        <v>45486</v>
      </c>
      <c r="S1988" t="s">
        <v>14</v>
      </c>
      <c r="T1988" t="s">
        <v>52</v>
      </c>
      <c r="U1988" t="s">
        <v>6389</v>
      </c>
      <c r="W1988" t="s">
        <v>6346</v>
      </c>
      <c r="X1988">
        <v>78</v>
      </c>
      <c r="Y1988" t="s">
        <v>52</v>
      </c>
      <c r="Z1988">
        <v>238</v>
      </c>
    </row>
    <row r="1989" spans="1:26" x14ac:dyDescent="0.3">
      <c r="A1989">
        <v>1988</v>
      </c>
      <c r="B1989" t="s">
        <v>4246</v>
      </c>
      <c r="C1989" t="s">
        <v>19</v>
      </c>
      <c r="D1989" t="s">
        <v>54</v>
      </c>
      <c r="E1989" t="s">
        <v>6352</v>
      </c>
      <c r="F1989" t="s">
        <v>6391</v>
      </c>
      <c r="G1989" t="s">
        <v>6397</v>
      </c>
      <c r="H1989" t="s">
        <v>6387</v>
      </c>
      <c r="I1989" t="s">
        <v>6376</v>
      </c>
      <c r="J1989" s="6">
        <f>AVERAGE(ai_job_market[[#This Row],[min_salary]],ai_job_market[[#This Row],[max_salary]])</f>
        <v>121703.5</v>
      </c>
      <c r="K1989" t="s">
        <v>6377</v>
      </c>
      <c r="L1989" t="s">
        <v>22</v>
      </c>
      <c r="M1989" t="s">
        <v>51</v>
      </c>
      <c r="N1989" t="s">
        <v>6320</v>
      </c>
      <c r="O1989" t="s">
        <v>4439</v>
      </c>
      <c r="P1989" s="5">
        <v>75187</v>
      </c>
      <c r="Q1989" s="5">
        <v>168220</v>
      </c>
      <c r="R1989" s="2">
        <v>45577</v>
      </c>
      <c r="S1989" t="s">
        <v>16</v>
      </c>
      <c r="T1989" t="s">
        <v>52</v>
      </c>
      <c r="U1989" t="s">
        <v>6384</v>
      </c>
      <c r="V1989" t="s">
        <v>6379</v>
      </c>
      <c r="W1989" t="s">
        <v>6352</v>
      </c>
      <c r="X1989">
        <v>97</v>
      </c>
      <c r="Y1989" t="s">
        <v>52</v>
      </c>
      <c r="Z1989">
        <v>238</v>
      </c>
    </row>
    <row r="1990" spans="1:26" x14ac:dyDescent="0.3">
      <c r="A1990">
        <v>1989</v>
      </c>
      <c r="B1990" t="s">
        <v>4248</v>
      </c>
      <c r="C1990" t="s">
        <v>34</v>
      </c>
      <c r="D1990" t="s">
        <v>30</v>
      </c>
      <c r="E1990" t="s">
        <v>6344</v>
      </c>
      <c r="F1990" t="s">
        <v>6387</v>
      </c>
      <c r="G1990" t="s">
        <v>6378</v>
      </c>
      <c r="H1990" t="s">
        <v>6381</v>
      </c>
      <c r="J1990">
        <f>AVERAGE(ai_job_market[[#This Row],[min_salary]],ai_job_market[[#This Row],[max_salary]])</f>
        <v>118122</v>
      </c>
      <c r="K1990"/>
      <c r="L1990" t="s">
        <v>14</v>
      </c>
      <c r="M1990" t="s">
        <v>42</v>
      </c>
      <c r="N1990" t="s">
        <v>6321</v>
      </c>
      <c r="O1990" t="s">
        <v>4329</v>
      </c>
      <c r="P1990">
        <v>75937</v>
      </c>
      <c r="Q1990">
        <v>160307</v>
      </c>
      <c r="R1990" s="2">
        <v>45698</v>
      </c>
      <c r="S1990" t="s">
        <v>16</v>
      </c>
      <c r="T1990" t="s">
        <v>157</v>
      </c>
      <c r="U1990" t="s">
        <v>6384</v>
      </c>
      <c r="W1990" t="s">
        <v>6344</v>
      </c>
      <c r="X1990">
        <v>104</v>
      </c>
      <c r="Y1990" t="s">
        <v>157</v>
      </c>
      <c r="Z1990">
        <v>247</v>
      </c>
    </row>
    <row r="1991" spans="1:26" x14ac:dyDescent="0.3">
      <c r="A1991">
        <v>1990</v>
      </c>
      <c r="B1991" t="s">
        <v>4250</v>
      </c>
      <c r="C1991" t="s">
        <v>19</v>
      </c>
      <c r="D1991" t="s">
        <v>35</v>
      </c>
      <c r="E1991" t="s">
        <v>6352</v>
      </c>
      <c r="F1991" t="s">
        <v>6391</v>
      </c>
      <c r="G1991" t="s">
        <v>6385</v>
      </c>
      <c r="H1991" t="s">
        <v>6379</v>
      </c>
      <c r="I1991" t="s">
        <v>6397</v>
      </c>
      <c r="J1991" s="6">
        <f>AVERAGE(ai_job_market[[#This Row],[min_salary]],ai_job_market[[#This Row],[max_salary]])</f>
        <v>126160</v>
      </c>
      <c r="K1991" t="s">
        <v>6392</v>
      </c>
      <c r="L1991" t="s">
        <v>27</v>
      </c>
      <c r="M1991" t="s">
        <v>51</v>
      </c>
      <c r="N1991" t="s">
        <v>6322</v>
      </c>
      <c r="O1991" t="s">
        <v>4648</v>
      </c>
      <c r="P1991" s="5">
        <v>101664</v>
      </c>
      <c r="Q1991" s="5">
        <v>150656</v>
      </c>
      <c r="R1991" s="2">
        <v>45666</v>
      </c>
      <c r="S1991" t="s">
        <v>69</v>
      </c>
      <c r="T1991" t="s">
        <v>157</v>
      </c>
      <c r="U1991" t="s">
        <v>6388</v>
      </c>
      <c r="W1991" t="s">
        <v>6352</v>
      </c>
      <c r="X1991">
        <v>97</v>
      </c>
      <c r="Y1991" t="s">
        <v>157</v>
      </c>
      <c r="Z1991">
        <v>247</v>
      </c>
    </row>
    <row r="1992" spans="1:26" x14ac:dyDescent="0.3">
      <c r="A1992">
        <v>1991</v>
      </c>
      <c r="B1992" t="s">
        <v>4252</v>
      </c>
      <c r="C1992" t="s">
        <v>34</v>
      </c>
      <c r="D1992" t="s">
        <v>20</v>
      </c>
      <c r="E1992" t="s">
        <v>6350</v>
      </c>
      <c r="F1992" t="s">
        <v>6397</v>
      </c>
      <c r="G1992" t="s">
        <v>6390</v>
      </c>
      <c r="H1992" t="s">
        <v>6376</v>
      </c>
      <c r="J1992">
        <f>AVERAGE(ai_job_market[[#This Row],[min_salary]],ai_job_market[[#This Row],[max_salary]])</f>
        <v>165924</v>
      </c>
      <c r="K1992"/>
      <c r="L1992" t="s">
        <v>27</v>
      </c>
      <c r="M1992" t="s">
        <v>15</v>
      </c>
      <c r="N1992" t="s">
        <v>6323</v>
      </c>
      <c r="O1992" t="s">
        <v>4701</v>
      </c>
      <c r="P1992">
        <v>129971</v>
      </c>
      <c r="Q1992">
        <v>201877</v>
      </c>
      <c r="R1992" s="2">
        <v>45638</v>
      </c>
      <c r="S1992" t="s">
        <v>69</v>
      </c>
      <c r="T1992" t="s">
        <v>77</v>
      </c>
      <c r="U1992" t="s">
        <v>6375</v>
      </c>
      <c r="W1992" t="s">
        <v>6350</v>
      </c>
      <c r="X1992">
        <v>84</v>
      </c>
      <c r="Y1992" t="s">
        <v>77</v>
      </c>
      <c r="Z1992">
        <v>251</v>
      </c>
    </row>
    <row r="1993" spans="1:26" x14ac:dyDescent="0.3">
      <c r="A1993">
        <v>1992</v>
      </c>
      <c r="B1993" t="s">
        <v>4254</v>
      </c>
      <c r="C1993" t="s">
        <v>34</v>
      </c>
      <c r="D1993" t="s">
        <v>25</v>
      </c>
      <c r="E1993" t="s">
        <v>6347</v>
      </c>
      <c r="F1993" t="s">
        <v>6385</v>
      </c>
      <c r="G1993" t="s">
        <v>6391</v>
      </c>
      <c r="H1993" t="s">
        <v>6389</v>
      </c>
      <c r="I1993" t="s">
        <v>6396</v>
      </c>
      <c r="J1993">
        <f>AVERAGE(ai_job_market[[#This Row],[min_salary]],ai_job_market[[#This Row],[max_salary]])</f>
        <v>114291</v>
      </c>
      <c r="K1993" t="s">
        <v>6380</v>
      </c>
      <c r="L1993" t="s">
        <v>27</v>
      </c>
      <c r="M1993" t="s">
        <v>37</v>
      </c>
      <c r="N1993" t="s">
        <v>6324</v>
      </c>
      <c r="O1993" t="s">
        <v>4907</v>
      </c>
      <c r="P1993">
        <v>77772</v>
      </c>
      <c r="Q1993">
        <v>150810</v>
      </c>
      <c r="R1993" s="2">
        <v>45336</v>
      </c>
      <c r="S1993" t="s">
        <v>69</v>
      </c>
      <c r="T1993" t="s">
        <v>90</v>
      </c>
      <c r="U1993" t="s">
        <v>6378</v>
      </c>
      <c r="W1993" t="s">
        <v>6347</v>
      </c>
      <c r="X1993">
        <v>94</v>
      </c>
      <c r="Y1993" t="s">
        <v>90</v>
      </c>
      <c r="Z1993">
        <v>259</v>
      </c>
    </row>
    <row r="1994" spans="1:26" x14ac:dyDescent="0.3">
      <c r="A1994">
        <v>1993</v>
      </c>
      <c r="B1994" t="s">
        <v>4256</v>
      </c>
      <c r="C1994" t="s">
        <v>45</v>
      </c>
      <c r="D1994" t="s">
        <v>20</v>
      </c>
      <c r="E1994" t="s">
        <v>6354</v>
      </c>
      <c r="F1994" t="s">
        <v>6384</v>
      </c>
      <c r="G1994" t="s">
        <v>6376</v>
      </c>
      <c r="H1994" t="s">
        <v>6375</v>
      </c>
      <c r="J1994">
        <f>AVERAGE(ai_job_market[[#This Row],[min_salary]],ai_job_market[[#This Row],[max_salary]])</f>
        <v>54933.5</v>
      </c>
      <c r="K1994"/>
      <c r="L1994" t="s">
        <v>14</v>
      </c>
      <c r="M1994" t="s">
        <v>37</v>
      </c>
      <c r="N1994" t="s">
        <v>6325</v>
      </c>
      <c r="O1994" t="s">
        <v>4486</v>
      </c>
      <c r="P1994">
        <v>43959</v>
      </c>
      <c r="Q1994">
        <v>65908</v>
      </c>
      <c r="R1994" s="2">
        <v>45716</v>
      </c>
      <c r="S1994" t="s">
        <v>69</v>
      </c>
      <c r="T1994" t="s">
        <v>90</v>
      </c>
      <c r="U1994" t="s">
        <v>6375</v>
      </c>
      <c r="W1994" t="s">
        <v>6354</v>
      </c>
      <c r="X1994">
        <v>75</v>
      </c>
      <c r="Y1994" t="s">
        <v>90</v>
      </c>
      <c r="Z1994">
        <v>259</v>
      </c>
    </row>
    <row r="1995" spans="1:26" x14ac:dyDescent="0.3">
      <c r="A1995">
        <v>1994</v>
      </c>
      <c r="B1995" t="s">
        <v>4258</v>
      </c>
      <c r="C1995" t="s">
        <v>19</v>
      </c>
      <c r="D1995" t="s">
        <v>67</v>
      </c>
      <c r="E1995" t="s">
        <v>6355</v>
      </c>
      <c r="F1995" t="s">
        <v>6385</v>
      </c>
      <c r="G1995" t="s">
        <v>6390</v>
      </c>
      <c r="J1995">
        <f>AVERAGE(ai_job_market[[#This Row],[min_salary]],ai_job_market[[#This Row],[max_salary]])</f>
        <v>191729</v>
      </c>
      <c r="K1995"/>
      <c r="L1995" t="s">
        <v>22</v>
      </c>
      <c r="M1995" t="s">
        <v>51</v>
      </c>
      <c r="N1995" t="s">
        <v>6326</v>
      </c>
      <c r="O1995" t="s">
        <v>4743</v>
      </c>
      <c r="P1995">
        <v>149301</v>
      </c>
      <c r="Q1995">
        <v>234157</v>
      </c>
      <c r="R1995" s="2">
        <v>45665</v>
      </c>
      <c r="S1995" t="s">
        <v>14</v>
      </c>
      <c r="T1995" t="s">
        <v>70</v>
      </c>
      <c r="W1995" t="s">
        <v>6355</v>
      </c>
      <c r="X1995">
        <v>90</v>
      </c>
      <c r="Y1995" t="s">
        <v>70</v>
      </c>
      <c r="Z1995">
        <v>268</v>
      </c>
    </row>
    <row r="1996" spans="1:26" x14ac:dyDescent="0.3">
      <c r="A1996">
        <v>1995</v>
      </c>
      <c r="B1996" t="s">
        <v>4260</v>
      </c>
      <c r="C1996" t="s">
        <v>49</v>
      </c>
      <c r="D1996" t="s">
        <v>135</v>
      </c>
      <c r="E1996" t="s">
        <v>101</v>
      </c>
      <c r="F1996" t="s">
        <v>6391</v>
      </c>
      <c r="G1996" t="s">
        <v>6378</v>
      </c>
      <c r="H1996" t="s">
        <v>6385</v>
      </c>
      <c r="J1996">
        <f>AVERAGE(ai_job_market[[#This Row],[min_salary]],ai_job_market[[#This Row],[max_salary]])</f>
        <v>107884</v>
      </c>
      <c r="K1996"/>
      <c r="L1996" t="s">
        <v>14</v>
      </c>
      <c r="M1996" t="s">
        <v>15</v>
      </c>
      <c r="N1996" t="s">
        <v>6327</v>
      </c>
      <c r="O1996" t="s">
        <v>5030</v>
      </c>
      <c r="P1996">
        <v>63305</v>
      </c>
      <c r="Q1996">
        <v>152463</v>
      </c>
      <c r="R1996" s="2">
        <v>45687</v>
      </c>
      <c r="S1996" t="s">
        <v>69</v>
      </c>
      <c r="T1996" t="s">
        <v>90</v>
      </c>
      <c r="U1996" t="s">
        <v>6379</v>
      </c>
      <c r="W1996" t="s">
        <v>101</v>
      </c>
      <c r="X1996">
        <v>76</v>
      </c>
      <c r="Y1996" t="s">
        <v>90</v>
      </c>
      <c r="Z1996">
        <v>259</v>
      </c>
    </row>
    <row r="1997" spans="1:26" x14ac:dyDescent="0.3">
      <c r="A1997">
        <v>1996</v>
      </c>
      <c r="B1997" t="s">
        <v>4262</v>
      </c>
      <c r="C1997" t="s">
        <v>34</v>
      </c>
      <c r="D1997" t="s">
        <v>67</v>
      </c>
      <c r="E1997" t="s">
        <v>6356</v>
      </c>
      <c r="F1997" t="s">
        <v>6378</v>
      </c>
      <c r="G1997" t="s">
        <v>6395</v>
      </c>
      <c r="J1997" s="6">
        <f>AVERAGE(ai_job_market[[#This Row],[min_salary]],ai_job_market[[#This Row],[max_salary]])</f>
        <v>100254</v>
      </c>
      <c r="K1997"/>
      <c r="L1997" t="s">
        <v>22</v>
      </c>
      <c r="M1997" t="s">
        <v>51</v>
      </c>
      <c r="N1997" t="s">
        <v>6328</v>
      </c>
      <c r="O1997" t="s">
        <v>5813</v>
      </c>
      <c r="P1997" s="5">
        <v>90382</v>
      </c>
      <c r="Q1997" s="5">
        <v>110126</v>
      </c>
      <c r="R1997" s="2">
        <v>45404</v>
      </c>
      <c r="S1997" t="s">
        <v>16</v>
      </c>
      <c r="T1997" t="s">
        <v>90</v>
      </c>
      <c r="W1997" t="s">
        <v>6356</v>
      </c>
      <c r="X1997">
        <v>86</v>
      </c>
      <c r="Y1997" t="s">
        <v>90</v>
      </c>
      <c r="Z1997">
        <v>259</v>
      </c>
    </row>
    <row r="1998" spans="1:26" x14ac:dyDescent="0.3">
      <c r="A1998">
        <v>1997</v>
      </c>
      <c r="B1998" t="s">
        <v>4264</v>
      </c>
      <c r="C1998" t="s">
        <v>45</v>
      </c>
      <c r="D1998" t="s">
        <v>30</v>
      </c>
      <c r="E1998" t="s">
        <v>6353</v>
      </c>
      <c r="F1998" t="s">
        <v>6392</v>
      </c>
      <c r="G1998" t="s">
        <v>6396</v>
      </c>
      <c r="H1998" t="s">
        <v>6385</v>
      </c>
      <c r="I1998" t="s">
        <v>6380</v>
      </c>
      <c r="J1998">
        <f>AVERAGE(ai_job_market[[#This Row],[min_salary]],ai_job_market[[#This Row],[max_salary]])</f>
        <v>92521.5</v>
      </c>
      <c r="K1998" t="s">
        <v>6376</v>
      </c>
      <c r="L1998" t="s">
        <v>14</v>
      </c>
      <c r="M1998" t="s">
        <v>42</v>
      </c>
      <c r="N1998" t="s">
        <v>6329</v>
      </c>
      <c r="O1998" t="s">
        <v>5030</v>
      </c>
      <c r="P1998">
        <v>47848</v>
      </c>
      <c r="Q1998">
        <v>137195</v>
      </c>
      <c r="R1998" s="2">
        <v>45262</v>
      </c>
      <c r="S1998" t="s">
        <v>16</v>
      </c>
      <c r="T1998" t="s">
        <v>157</v>
      </c>
      <c r="U1998" t="s">
        <v>6379</v>
      </c>
      <c r="V1998" t="s">
        <v>6389</v>
      </c>
      <c r="W1998" t="s">
        <v>6353</v>
      </c>
      <c r="X1998">
        <v>86</v>
      </c>
      <c r="Y1998" t="s">
        <v>157</v>
      </c>
      <c r="Z1998">
        <v>247</v>
      </c>
    </row>
    <row r="1999" spans="1:26" x14ac:dyDescent="0.3">
      <c r="A1999">
        <v>1998</v>
      </c>
      <c r="B1999" t="s">
        <v>4266</v>
      </c>
      <c r="C1999" t="s">
        <v>49</v>
      </c>
      <c r="D1999" t="s">
        <v>12</v>
      </c>
      <c r="E1999" t="s">
        <v>6351</v>
      </c>
      <c r="F1999" t="s">
        <v>6396</v>
      </c>
      <c r="G1999" t="s">
        <v>6376</v>
      </c>
      <c r="H1999" t="s">
        <v>6387</v>
      </c>
      <c r="I1999" t="s">
        <v>6389</v>
      </c>
      <c r="J1999" s="6">
        <f>AVERAGE(ai_job_market[[#This Row],[min_salary]],ai_job_market[[#This Row],[max_salary]])</f>
        <v>157551</v>
      </c>
      <c r="K1999"/>
      <c r="L1999" t="s">
        <v>27</v>
      </c>
      <c r="M1999" t="s">
        <v>37</v>
      </c>
      <c r="N1999" t="s">
        <v>6330</v>
      </c>
      <c r="O1999" t="s">
        <v>4628</v>
      </c>
      <c r="P1999" s="5">
        <v>134994</v>
      </c>
      <c r="Q1999" s="5">
        <v>180108</v>
      </c>
      <c r="R1999" s="2">
        <v>45228</v>
      </c>
      <c r="S1999" t="s">
        <v>16</v>
      </c>
      <c r="T1999" t="s">
        <v>128</v>
      </c>
      <c r="W1999" t="s">
        <v>6351</v>
      </c>
      <c r="X1999">
        <v>89</v>
      </c>
      <c r="Y1999" t="s">
        <v>128</v>
      </c>
      <c r="Z1999">
        <v>233</v>
      </c>
    </row>
    <row r="2000" spans="1:26" x14ac:dyDescent="0.3">
      <c r="A2000">
        <v>1999</v>
      </c>
      <c r="B2000" t="s">
        <v>4268</v>
      </c>
      <c r="C2000" t="s">
        <v>49</v>
      </c>
      <c r="D2000" t="s">
        <v>25</v>
      </c>
      <c r="E2000" t="s">
        <v>6352</v>
      </c>
      <c r="F2000" t="s">
        <v>6397</v>
      </c>
      <c r="G2000" t="s">
        <v>6376</v>
      </c>
      <c r="J2000">
        <f>AVERAGE(ai_job_market[[#This Row],[min_salary]],ai_job_market[[#This Row],[max_salary]])</f>
        <v>72463.5</v>
      </c>
      <c r="K2000"/>
      <c r="L2000" t="s">
        <v>22</v>
      </c>
      <c r="M2000" t="s">
        <v>37</v>
      </c>
      <c r="N2000" t="s">
        <v>6331</v>
      </c>
      <c r="O2000" t="s">
        <v>5109</v>
      </c>
      <c r="P2000">
        <v>62388</v>
      </c>
      <c r="Q2000">
        <v>82539</v>
      </c>
      <c r="R2000" s="2">
        <v>45514</v>
      </c>
      <c r="S2000" t="s">
        <v>16</v>
      </c>
      <c r="T2000" t="s">
        <v>90</v>
      </c>
      <c r="U2000" t="s">
        <v>6384</v>
      </c>
      <c r="V2000" t="s">
        <v>6378</v>
      </c>
      <c r="W2000" t="s">
        <v>6352</v>
      </c>
      <c r="X2000">
        <v>97</v>
      </c>
      <c r="Y2000" t="s">
        <v>90</v>
      </c>
      <c r="Z2000">
        <v>259</v>
      </c>
    </row>
    <row r="2001" spans="1:26" x14ac:dyDescent="0.3">
      <c r="A2001">
        <v>2000</v>
      </c>
      <c r="B2001" t="s">
        <v>4270</v>
      </c>
      <c r="C2001" t="s">
        <v>34</v>
      </c>
      <c r="D2001" t="s">
        <v>25</v>
      </c>
      <c r="E2001" t="s">
        <v>6356</v>
      </c>
      <c r="F2001" t="s">
        <v>6384</v>
      </c>
      <c r="G2001" t="s">
        <v>6395</v>
      </c>
      <c r="J2001">
        <f>AVERAGE(ai_job_market[[#This Row],[min_salary]],ai_job_market[[#This Row],[max_salary]])</f>
        <v>76604.5</v>
      </c>
      <c r="K2001"/>
      <c r="L2001" t="s">
        <v>22</v>
      </c>
      <c r="M2001" t="s">
        <v>15</v>
      </c>
      <c r="N2001" t="s">
        <v>6332</v>
      </c>
      <c r="O2001" t="s">
        <v>4289</v>
      </c>
      <c r="P2001">
        <v>55835</v>
      </c>
      <c r="Q2001">
        <v>97374</v>
      </c>
      <c r="R2001" s="2">
        <v>45708</v>
      </c>
      <c r="S2001" t="s">
        <v>69</v>
      </c>
      <c r="T2001" t="s">
        <v>90</v>
      </c>
      <c r="W2001" t="s">
        <v>6356</v>
      </c>
      <c r="X2001">
        <v>86</v>
      </c>
      <c r="Y2001" t="s">
        <v>90</v>
      </c>
      <c r="Z2001">
        <v>259</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9FC42-032C-4238-BFD4-F1C9C2FB2282}">
  <dimension ref="A1:AM2001"/>
  <sheetViews>
    <sheetView workbookViewId="0"/>
  </sheetViews>
  <sheetFormatPr defaultRowHeight="14.4" x14ac:dyDescent="0.3"/>
  <cols>
    <col min="1" max="1" width="20.77734375" style="8" bestFit="1" customWidth="1"/>
    <col min="2" max="2" width="8.33203125" style="8" bestFit="1" customWidth="1"/>
    <col min="3" max="3" width="15.77734375" style="8" bestFit="1" customWidth="1"/>
    <col min="4" max="4" width="17.88671875" style="8" bestFit="1" customWidth="1"/>
    <col min="5" max="5" width="8.33203125" style="8" bestFit="1" customWidth="1"/>
    <col min="6" max="6" width="12.5546875" style="8" bestFit="1" customWidth="1"/>
    <col min="7" max="7" width="24.6640625" style="8" bestFit="1" customWidth="1"/>
    <col min="8" max="8" width="12.33203125" style="8" bestFit="1" customWidth="1"/>
    <col min="9" max="9" width="12.5546875" style="8" bestFit="1" customWidth="1"/>
    <col min="10" max="10" width="15.77734375" style="8" bestFit="1" customWidth="1"/>
    <col min="11" max="11" width="12.5546875" style="8" bestFit="1" customWidth="1"/>
    <col min="12" max="12" width="23.109375" style="8" bestFit="1" customWidth="1"/>
    <col min="13" max="13" width="12.109375" style="8" bestFit="1" customWidth="1"/>
    <col min="14" max="14" width="12.33203125" style="8" hidden="1" customWidth="1"/>
    <col min="15" max="15" width="13.77734375" style="8" bestFit="1" customWidth="1"/>
    <col min="16" max="16" width="15.44140625" style="8" customWidth="1"/>
    <col min="17" max="17" width="12.33203125" style="8" bestFit="1" customWidth="1"/>
    <col min="18" max="18" width="12.5546875" style="8" bestFit="1" customWidth="1"/>
    <col min="19" max="19" width="23.44140625" style="8" bestFit="1" customWidth="1"/>
    <col min="20" max="20" width="11.5546875" style="8" bestFit="1" customWidth="1"/>
    <col min="21" max="21" width="12.5546875" style="8" bestFit="1" customWidth="1"/>
    <col min="22" max="22" width="24.5546875" style="8" bestFit="1" customWidth="1"/>
    <col min="23" max="23" width="10" style="8" bestFit="1" customWidth="1"/>
    <col min="24" max="24" width="23.109375" style="8" bestFit="1" customWidth="1"/>
    <col min="25" max="25" width="15.5546875" style="8" bestFit="1" customWidth="1"/>
    <col min="26" max="26" width="4.33203125" style="8" bestFit="1" customWidth="1"/>
    <col min="27" max="27" width="6.33203125" style="8" bestFit="1" customWidth="1"/>
    <col min="28" max="28" width="10.77734375" style="8" bestFit="1" customWidth="1"/>
    <col min="29" max="29" width="10.109375" style="8" bestFit="1" customWidth="1"/>
    <col min="30" max="30" width="24.6640625" style="8" bestFit="1" customWidth="1"/>
    <col min="31" max="31" width="15.5546875" style="8" bestFit="1" customWidth="1"/>
    <col min="32" max="32" width="8.33203125" style="8" bestFit="1" customWidth="1"/>
    <col min="33" max="33" width="9.5546875" style="8" bestFit="1" customWidth="1"/>
    <col min="34" max="34" width="7.5546875" style="8" bestFit="1" customWidth="1"/>
    <col min="35" max="35" width="10.77734375" style="8" bestFit="1" customWidth="1"/>
    <col min="36" max="36" width="8.33203125" style="8" bestFit="1" customWidth="1"/>
    <col min="37" max="37" width="12.5546875" style="8" bestFit="1" customWidth="1"/>
    <col min="38" max="38" width="11.33203125" style="8" bestFit="1" customWidth="1"/>
    <col min="39" max="39" width="11.88671875" style="11" bestFit="1" customWidth="1"/>
    <col min="40" max="40" width="24.5546875" style="8" bestFit="1" customWidth="1"/>
    <col min="41" max="41" width="12.5546875" style="8" bestFit="1" customWidth="1"/>
    <col min="42" max="42" width="19.6640625" style="8" bestFit="1" customWidth="1"/>
    <col min="43" max="43" width="15.77734375" style="8" bestFit="1" customWidth="1"/>
    <col min="44" max="49" width="12.77734375" style="8" bestFit="1" customWidth="1"/>
    <col min="50" max="50" width="12.33203125" style="8" bestFit="1" customWidth="1"/>
    <col min="51" max="51" width="11.44140625" style="8" bestFit="1" customWidth="1"/>
    <col min="52" max="52" width="12.109375" style="8" bestFit="1" customWidth="1"/>
    <col min="53" max="53" width="16" style="8" bestFit="1" customWidth="1"/>
    <col min="54" max="54" width="14.77734375" style="8" bestFit="1" customWidth="1"/>
    <col min="55" max="55" width="18.109375" style="8" bestFit="1" customWidth="1"/>
    <col min="56" max="56" width="12.44140625" style="8" bestFit="1" customWidth="1"/>
    <col min="57" max="57" width="23.109375" style="8" bestFit="1" customWidth="1"/>
    <col min="58" max="58" width="11.5546875" style="8" bestFit="1" customWidth="1"/>
    <col min="59" max="59" width="12.33203125" style="8" bestFit="1" customWidth="1"/>
    <col min="60" max="60" width="11.44140625" style="8" bestFit="1" customWidth="1"/>
    <col min="61" max="61" width="12.109375" style="8" bestFit="1" customWidth="1"/>
    <col min="62" max="62" width="16" style="8" bestFit="1" customWidth="1"/>
    <col min="63" max="63" width="10.33203125" style="8" bestFit="1" customWidth="1"/>
    <col min="64" max="64" width="18.109375" style="8" bestFit="1" customWidth="1"/>
    <col min="65" max="65" width="12.44140625" style="8" bestFit="1" customWidth="1"/>
    <col min="66" max="66" width="23.109375" style="8" bestFit="1" customWidth="1"/>
    <col min="67" max="67" width="11.5546875" style="8" bestFit="1" customWidth="1"/>
    <col min="68" max="68" width="12.33203125" style="8" bestFit="1" customWidth="1"/>
    <col min="69" max="69" width="11.44140625" style="8" bestFit="1" customWidth="1"/>
    <col min="70" max="70" width="12.109375" style="8" bestFit="1" customWidth="1"/>
    <col min="71" max="71" width="16" style="8" bestFit="1" customWidth="1"/>
    <col min="72" max="72" width="9.6640625" style="8" bestFit="1" customWidth="1"/>
    <col min="73" max="73" width="10.77734375" style="8" bestFit="1" customWidth="1"/>
    <col min="74" max="916" width="13.77734375" style="8" bestFit="1" customWidth="1"/>
    <col min="917" max="919" width="12.6640625" style="8" bestFit="1" customWidth="1"/>
    <col min="920" max="924" width="11.6640625" style="8" bestFit="1" customWidth="1"/>
    <col min="925" max="926" width="12.6640625" style="8" bestFit="1" customWidth="1"/>
    <col min="927" max="928" width="11.6640625" style="8" bestFit="1" customWidth="1"/>
    <col min="929" max="929" width="12.6640625" style="8" bestFit="1" customWidth="1"/>
    <col min="930" max="930" width="11.6640625" style="8" bestFit="1" customWidth="1"/>
    <col min="931" max="931" width="12.6640625" style="8" bestFit="1" customWidth="1"/>
    <col min="932" max="933" width="11.6640625" style="8" bestFit="1" customWidth="1"/>
    <col min="934" max="936" width="12.6640625" style="8" bestFit="1" customWidth="1"/>
    <col min="937" max="937" width="11.6640625" style="8" bestFit="1" customWidth="1"/>
    <col min="938" max="938" width="12.6640625" style="8" bestFit="1" customWidth="1"/>
    <col min="939" max="940" width="11.6640625" style="8" bestFit="1" customWidth="1"/>
    <col min="941" max="941" width="12.6640625" style="8" bestFit="1" customWidth="1"/>
    <col min="942" max="942" width="11.6640625" style="8" bestFit="1" customWidth="1"/>
    <col min="943" max="944" width="12.6640625" style="8" bestFit="1" customWidth="1"/>
    <col min="945" max="945" width="11.6640625" style="8" bestFit="1" customWidth="1"/>
    <col min="946" max="946" width="12.6640625" style="8" bestFit="1" customWidth="1"/>
    <col min="947" max="947" width="11.6640625" style="8" bestFit="1" customWidth="1"/>
    <col min="948" max="950" width="12.6640625" style="8" bestFit="1" customWidth="1"/>
    <col min="951" max="954" width="11.6640625" style="8" bestFit="1" customWidth="1"/>
    <col min="955" max="959" width="12.6640625" style="8" bestFit="1" customWidth="1"/>
    <col min="960" max="960" width="11.6640625" style="8" bestFit="1" customWidth="1"/>
    <col min="961" max="961" width="12.6640625" style="8" bestFit="1" customWidth="1"/>
    <col min="962" max="962" width="11.6640625" style="8" bestFit="1" customWidth="1"/>
    <col min="963" max="963" width="12.6640625" style="8" bestFit="1" customWidth="1"/>
    <col min="964" max="965" width="11.6640625" style="8" bestFit="1" customWidth="1"/>
    <col min="966" max="966" width="12.6640625" style="8" bestFit="1" customWidth="1"/>
    <col min="967" max="967" width="11.6640625" style="8" bestFit="1" customWidth="1"/>
    <col min="968" max="971" width="12.6640625" style="8" bestFit="1" customWidth="1"/>
    <col min="972" max="972" width="11.6640625" style="8" bestFit="1" customWidth="1"/>
    <col min="973" max="973" width="12.6640625" style="8" bestFit="1" customWidth="1"/>
    <col min="974" max="976" width="11.6640625" style="8" bestFit="1" customWidth="1"/>
    <col min="977" max="978" width="12.6640625" style="8" bestFit="1" customWidth="1"/>
    <col min="979" max="979" width="11.6640625" style="8" bestFit="1" customWidth="1"/>
    <col min="980" max="980" width="12.6640625" style="8" bestFit="1" customWidth="1"/>
    <col min="981" max="982" width="11.6640625" style="8" bestFit="1" customWidth="1"/>
    <col min="983" max="983" width="12.6640625" style="8" bestFit="1" customWidth="1"/>
    <col min="984" max="985" width="11.6640625" style="8" bestFit="1" customWidth="1"/>
    <col min="986" max="986" width="12.6640625" style="8" bestFit="1" customWidth="1"/>
    <col min="987" max="988" width="11.6640625" style="8" bestFit="1" customWidth="1"/>
    <col min="989" max="989" width="12.6640625" style="8" bestFit="1" customWidth="1"/>
    <col min="990" max="990" width="11.6640625" style="8" bestFit="1" customWidth="1"/>
    <col min="991" max="991" width="12.6640625" style="8" bestFit="1" customWidth="1"/>
    <col min="992" max="993" width="11.6640625" style="8" bestFit="1" customWidth="1"/>
    <col min="994" max="994" width="12.6640625" style="8" bestFit="1" customWidth="1"/>
    <col min="995" max="996" width="11.6640625" style="8" bestFit="1" customWidth="1"/>
    <col min="997" max="997" width="12.6640625" style="8" bestFit="1" customWidth="1"/>
    <col min="998" max="998" width="11.6640625" style="8" bestFit="1" customWidth="1"/>
    <col min="999" max="999" width="12.6640625" style="8" bestFit="1" customWidth="1"/>
    <col min="1000" max="1000" width="11.6640625" style="8" bestFit="1" customWidth="1"/>
    <col min="1001" max="1002" width="12.6640625" style="8" bestFit="1" customWidth="1"/>
    <col min="1003" max="1005" width="11.6640625" style="8" bestFit="1" customWidth="1"/>
    <col min="1006" max="1011" width="12.6640625" style="8" bestFit="1" customWidth="1"/>
    <col min="1012" max="1013" width="11.6640625" style="8" bestFit="1" customWidth="1"/>
    <col min="1014" max="1014" width="12.6640625" style="8" bestFit="1" customWidth="1"/>
    <col min="1015" max="1019" width="11.6640625" style="8" bestFit="1" customWidth="1"/>
    <col min="1020" max="1020" width="12.6640625" style="8" bestFit="1" customWidth="1"/>
    <col min="1021" max="1021" width="11.6640625" style="8" bestFit="1" customWidth="1"/>
    <col min="1022" max="1022" width="12.6640625" style="8" bestFit="1" customWidth="1"/>
    <col min="1023" max="1025" width="11.6640625" style="8" bestFit="1" customWidth="1"/>
    <col min="1026" max="1027" width="12.6640625" style="8" bestFit="1" customWidth="1"/>
    <col min="1028" max="1028" width="11.6640625" style="8" bestFit="1" customWidth="1"/>
    <col min="1029" max="1030" width="12.6640625" style="8" bestFit="1" customWidth="1"/>
    <col min="1031" max="1031" width="11.6640625" style="8" bestFit="1" customWidth="1"/>
    <col min="1032" max="1032" width="12.6640625" style="8" bestFit="1" customWidth="1"/>
    <col min="1033" max="1033" width="11.6640625" style="8" bestFit="1" customWidth="1"/>
    <col min="1034" max="1034" width="12.6640625" style="8" bestFit="1" customWidth="1"/>
    <col min="1035" max="1035" width="11.6640625" style="8" bestFit="1" customWidth="1"/>
    <col min="1036" max="1036" width="12.6640625" style="8" bestFit="1" customWidth="1"/>
    <col min="1037" max="1040" width="11.6640625" style="8" bestFit="1" customWidth="1"/>
    <col min="1041" max="1043" width="12.6640625" style="8" bestFit="1" customWidth="1"/>
    <col min="1044" max="1044" width="11.6640625" style="8" bestFit="1" customWidth="1"/>
    <col min="1045" max="1046" width="12.6640625" style="8" bestFit="1" customWidth="1"/>
    <col min="1047" max="1048" width="11.6640625" style="8" bestFit="1" customWidth="1"/>
    <col min="1049" max="1049" width="12.6640625" style="8" bestFit="1" customWidth="1"/>
    <col min="1050" max="1050" width="11.6640625" style="8" bestFit="1" customWidth="1"/>
    <col min="1051" max="1053" width="12.6640625" style="8" bestFit="1" customWidth="1"/>
    <col min="1054" max="1055" width="11.6640625" style="8" bestFit="1" customWidth="1"/>
    <col min="1056" max="1056" width="12.6640625" style="8" bestFit="1" customWidth="1"/>
    <col min="1057" max="1057" width="11.6640625" style="8" bestFit="1" customWidth="1"/>
    <col min="1058" max="1063" width="12.6640625" style="8" bestFit="1" customWidth="1"/>
    <col min="1064" max="1067" width="11.6640625" style="8" bestFit="1" customWidth="1"/>
    <col min="1068" max="1069" width="12.6640625" style="8" bestFit="1" customWidth="1"/>
    <col min="1070" max="1074" width="11.6640625" style="8" bestFit="1" customWidth="1"/>
    <col min="1075" max="1075" width="12.6640625" style="8" bestFit="1" customWidth="1"/>
    <col min="1076" max="1082" width="11.6640625" style="8" bestFit="1" customWidth="1"/>
    <col min="1083" max="1085" width="12.6640625" style="8" bestFit="1" customWidth="1"/>
    <col min="1086" max="1086" width="11.6640625" style="8" bestFit="1" customWidth="1"/>
    <col min="1087" max="1088" width="12.6640625" style="8" bestFit="1" customWidth="1"/>
    <col min="1089" max="1095" width="11.6640625" style="8" bestFit="1" customWidth="1"/>
    <col min="1096" max="1096" width="12.6640625" style="8" bestFit="1" customWidth="1"/>
    <col min="1097" max="1098" width="11.6640625" style="8" bestFit="1" customWidth="1"/>
    <col min="1099" max="1100" width="12.6640625" style="8" bestFit="1" customWidth="1"/>
    <col min="1101" max="1101" width="11.6640625" style="8" bestFit="1" customWidth="1"/>
    <col min="1102" max="1102" width="12.6640625" style="8" bestFit="1" customWidth="1"/>
    <col min="1103" max="1103" width="11.6640625" style="8" bestFit="1" customWidth="1"/>
    <col min="1104" max="1104" width="12.6640625" style="8" bestFit="1" customWidth="1"/>
    <col min="1105" max="1107" width="11.6640625" style="8" bestFit="1" customWidth="1"/>
    <col min="1108" max="1108" width="12.6640625" style="8" bestFit="1" customWidth="1"/>
    <col min="1109" max="1109" width="11.6640625" style="8" bestFit="1" customWidth="1"/>
    <col min="1110" max="1111" width="12.6640625" style="8" bestFit="1" customWidth="1"/>
    <col min="1112" max="1112" width="11.6640625" style="8" bestFit="1" customWidth="1"/>
    <col min="1113" max="1118" width="12.6640625" style="8" bestFit="1" customWidth="1"/>
    <col min="1119" max="1119" width="11.6640625" style="8" bestFit="1" customWidth="1"/>
    <col min="1120" max="1122" width="12.6640625" style="8" bestFit="1" customWidth="1"/>
    <col min="1123" max="1125" width="11.6640625" style="8" bestFit="1" customWidth="1"/>
    <col min="1126" max="1126" width="12.6640625" style="8" bestFit="1" customWidth="1"/>
    <col min="1127" max="1129" width="11.6640625" style="8" bestFit="1" customWidth="1"/>
    <col min="1130" max="1131" width="12.6640625" style="8" bestFit="1" customWidth="1"/>
    <col min="1132" max="1132" width="11.6640625" style="8" bestFit="1" customWidth="1"/>
    <col min="1133" max="1136" width="12.6640625" style="8" bestFit="1" customWidth="1"/>
    <col min="1137" max="1137" width="11.6640625" style="8" bestFit="1" customWidth="1"/>
    <col min="1138" max="1139" width="12.6640625" style="8" bestFit="1" customWidth="1"/>
    <col min="1140" max="1140" width="11.6640625" style="8" bestFit="1" customWidth="1"/>
    <col min="1141" max="1141" width="12.6640625" style="8" bestFit="1" customWidth="1"/>
    <col min="1142" max="1143" width="11.6640625" style="8" bestFit="1" customWidth="1"/>
    <col min="1144" max="1144" width="12.6640625" style="8" bestFit="1" customWidth="1"/>
    <col min="1145" max="1147" width="11.6640625" style="8" bestFit="1" customWidth="1"/>
    <col min="1148" max="1148" width="12.6640625" style="8" bestFit="1" customWidth="1"/>
    <col min="1149" max="1151" width="11.6640625" style="8" bestFit="1" customWidth="1"/>
    <col min="1152" max="1154" width="12.6640625" style="8" bestFit="1" customWidth="1"/>
    <col min="1155" max="1155" width="11.6640625" style="8" bestFit="1" customWidth="1"/>
    <col min="1156" max="1159" width="12.6640625" style="8" bestFit="1" customWidth="1"/>
    <col min="1160" max="1162" width="11.6640625" style="8" bestFit="1" customWidth="1"/>
    <col min="1163" max="1169" width="12.6640625" style="8" bestFit="1" customWidth="1"/>
    <col min="1170" max="1171" width="11.6640625" style="8" bestFit="1" customWidth="1"/>
    <col min="1172" max="1173" width="12.6640625" style="8" bestFit="1" customWidth="1"/>
    <col min="1174" max="1175" width="11.6640625" style="8" bestFit="1" customWidth="1"/>
    <col min="1176" max="1176" width="12.6640625" style="8" bestFit="1" customWidth="1"/>
    <col min="1177" max="1178" width="11.6640625" style="8" bestFit="1" customWidth="1"/>
    <col min="1179" max="1180" width="12.6640625" style="8" bestFit="1" customWidth="1"/>
    <col min="1181" max="1181" width="11.6640625" style="8" bestFit="1" customWidth="1"/>
    <col min="1182" max="1183" width="12.6640625" style="8" bestFit="1" customWidth="1"/>
    <col min="1184" max="1184" width="11.6640625" style="8" bestFit="1" customWidth="1"/>
    <col min="1185" max="1187" width="12.6640625" style="8" bestFit="1" customWidth="1"/>
    <col min="1188" max="1188" width="11.6640625" style="8" bestFit="1" customWidth="1"/>
    <col min="1189" max="1190" width="12.6640625" style="8" bestFit="1" customWidth="1"/>
    <col min="1191" max="1191" width="11.6640625" style="8" bestFit="1" customWidth="1"/>
    <col min="1192" max="1196" width="12.6640625" style="8" bestFit="1" customWidth="1"/>
    <col min="1197" max="1200" width="11.6640625" style="8" bestFit="1" customWidth="1"/>
    <col min="1201" max="1203" width="12.6640625" style="8" bestFit="1" customWidth="1"/>
    <col min="1204" max="1205" width="11.6640625" style="8" bestFit="1" customWidth="1"/>
    <col min="1206" max="1206" width="12.6640625" style="8" bestFit="1" customWidth="1"/>
    <col min="1207" max="1207" width="11.6640625" style="8" bestFit="1" customWidth="1"/>
    <col min="1208" max="1209" width="12.6640625" style="8" bestFit="1" customWidth="1"/>
    <col min="1210" max="1210" width="11.6640625" style="8" bestFit="1" customWidth="1"/>
    <col min="1211" max="1213" width="12.6640625" style="8" bestFit="1" customWidth="1"/>
    <col min="1214" max="1214" width="11.6640625" style="8" bestFit="1" customWidth="1"/>
    <col min="1215" max="1215" width="12.6640625" style="8" bestFit="1" customWidth="1"/>
    <col min="1216" max="1216" width="11.6640625" style="8" bestFit="1" customWidth="1"/>
    <col min="1217" max="1219" width="12.6640625" style="8" bestFit="1" customWidth="1"/>
    <col min="1220" max="1220" width="11.6640625" style="8" bestFit="1" customWidth="1"/>
    <col min="1221" max="1221" width="12.6640625" style="8" bestFit="1" customWidth="1"/>
    <col min="1222" max="1222" width="11.6640625" style="8" bestFit="1" customWidth="1"/>
    <col min="1223" max="1223" width="12.6640625" style="8" bestFit="1" customWidth="1"/>
    <col min="1224" max="1225" width="11.6640625" style="8" bestFit="1" customWidth="1"/>
    <col min="1226" max="1227" width="12.6640625" style="8" bestFit="1" customWidth="1"/>
    <col min="1228" max="1228" width="11.6640625" style="8" bestFit="1" customWidth="1"/>
    <col min="1229" max="1229" width="12.6640625" style="8" bestFit="1" customWidth="1"/>
    <col min="1230" max="1230" width="11.6640625" style="8" bestFit="1" customWidth="1"/>
    <col min="1231" max="1232" width="12.6640625" style="8" bestFit="1" customWidth="1"/>
    <col min="1233" max="1233" width="11.6640625" style="8" bestFit="1" customWidth="1"/>
    <col min="1234" max="1234" width="12.6640625" style="8" bestFit="1" customWidth="1"/>
    <col min="1235" max="1235" width="11.6640625" style="8" bestFit="1" customWidth="1"/>
    <col min="1236" max="1236" width="12.6640625" style="8" bestFit="1" customWidth="1"/>
    <col min="1237" max="1237" width="11.6640625" style="8" bestFit="1" customWidth="1"/>
    <col min="1238" max="1238" width="12.6640625" style="8" bestFit="1" customWidth="1"/>
    <col min="1239" max="1242" width="11.6640625" style="8" bestFit="1" customWidth="1"/>
    <col min="1243" max="1246" width="12.6640625" style="8" bestFit="1" customWidth="1"/>
    <col min="1247" max="1248" width="11.6640625" style="8" bestFit="1" customWidth="1"/>
    <col min="1249" max="1251" width="12.6640625" style="8" bestFit="1" customWidth="1"/>
    <col min="1252" max="1252" width="11.6640625" style="8" bestFit="1" customWidth="1"/>
    <col min="1253" max="1259" width="12.6640625" style="8" bestFit="1" customWidth="1"/>
    <col min="1260" max="1261" width="11.6640625" style="8" bestFit="1" customWidth="1"/>
    <col min="1262" max="1263" width="12.6640625" style="8" bestFit="1" customWidth="1"/>
    <col min="1264" max="1264" width="11.6640625" style="8" bestFit="1" customWidth="1"/>
    <col min="1265" max="1266" width="12.6640625" style="8" bestFit="1" customWidth="1"/>
    <col min="1267" max="1268" width="11.6640625" style="8" bestFit="1" customWidth="1"/>
    <col min="1269" max="1270" width="12.6640625" style="8" bestFit="1" customWidth="1"/>
    <col min="1271" max="1271" width="11.6640625" style="8" bestFit="1" customWidth="1"/>
    <col min="1272" max="1284" width="12.6640625" style="8" bestFit="1" customWidth="1"/>
    <col min="1285" max="1285" width="11.6640625" style="8" bestFit="1" customWidth="1"/>
    <col min="1286" max="1291" width="12.6640625" style="8" bestFit="1" customWidth="1"/>
    <col min="1292" max="1292" width="11.6640625" style="8" bestFit="1" customWidth="1"/>
    <col min="1293" max="1294" width="12.6640625" style="8" bestFit="1" customWidth="1"/>
    <col min="1295" max="1295" width="11.6640625" style="8" bestFit="1" customWidth="1"/>
    <col min="1296" max="1299" width="12.6640625" style="8" bestFit="1" customWidth="1"/>
    <col min="1300" max="1301" width="11.6640625" style="8" bestFit="1" customWidth="1"/>
    <col min="1302" max="1302" width="12.6640625" style="8" bestFit="1" customWidth="1"/>
    <col min="1303" max="1303" width="11.6640625" style="8" bestFit="1" customWidth="1"/>
    <col min="1304" max="1308" width="12.6640625" style="8" bestFit="1" customWidth="1"/>
    <col min="1309" max="1309" width="11.6640625" style="8" bestFit="1" customWidth="1"/>
    <col min="1310" max="1310" width="12.6640625" style="8" bestFit="1" customWidth="1"/>
    <col min="1311" max="1311" width="11.6640625" style="8" bestFit="1" customWidth="1"/>
    <col min="1312" max="1315" width="12.6640625" style="8" bestFit="1" customWidth="1"/>
    <col min="1316" max="1316" width="11.6640625" style="8" bestFit="1" customWidth="1"/>
    <col min="1317" max="1319" width="12.6640625" style="8" bestFit="1" customWidth="1"/>
    <col min="1320" max="1321" width="11.6640625" style="8" bestFit="1" customWidth="1"/>
    <col min="1322" max="1323" width="12.6640625" style="8" bestFit="1" customWidth="1"/>
    <col min="1324" max="1324" width="11.6640625" style="8" bestFit="1" customWidth="1"/>
    <col min="1325" max="1325" width="12.6640625" style="8" bestFit="1" customWidth="1"/>
    <col min="1326" max="1326" width="11.6640625" style="8" bestFit="1" customWidth="1"/>
    <col min="1327" max="1328" width="12.6640625" style="8" bestFit="1" customWidth="1"/>
    <col min="1329" max="1332" width="11.6640625" style="8" bestFit="1" customWidth="1"/>
    <col min="1333" max="1333" width="12.6640625" style="8" bestFit="1" customWidth="1"/>
    <col min="1334" max="1334" width="11.6640625" style="8" bestFit="1" customWidth="1"/>
    <col min="1335" max="1344" width="12.6640625" style="8" bestFit="1" customWidth="1"/>
    <col min="1345" max="1345" width="11.6640625" style="8" bestFit="1" customWidth="1"/>
    <col min="1346" max="1350" width="12.6640625" style="8" bestFit="1" customWidth="1"/>
    <col min="1351" max="1352" width="11.6640625" style="8" bestFit="1" customWidth="1"/>
    <col min="1353" max="1357" width="12.6640625" style="8" bestFit="1" customWidth="1"/>
    <col min="1358" max="1358" width="11.6640625" style="8" bestFit="1" customWidth="1"/>
    <col min="1359" max="1362" width="12.6640625" style="8" bestFit="1" customWidth="1"/>
    <col min="1363" max="1364" width="11.6640625" style="8" bestFit="1" customWidth="1"/>
    <col min="1365" max="1370" width="12.6640625" style="8" bestFit="1" customWidth="1"/>
    <col min="1371" max="1371" width="11.6640625" style="8" bestFit="1" customWidth="1"/>
    <col min="1372" max="1375" width="12.6640625" style="8" bestFit="1" customWidth="1"/>
    <col min="1376" max="1376" width="11.6640625" style="8" bestFit="1" customWidth="1"/>
    <col min="1377" max="1383" width="12.6640625" style="8" bestFit="1" customWidth="1"/>
    <col min="1384" max="1386" width="11.6640625" style="8" bestFit="1" customWidth="1"/>
    <col min="1387" max="1390" width="12.6640625" style="8" bestFit="1" customWidth="1"/>
    <col min="1391" max="1391" width="11.6640625" style="8" bestFit="1" customWidth="1"/>
    <col min="1392" max="1396" width="12.6640625" style="8" bestFit="1" customWidth="1"/>
    <col min="1397" max="1399" width="11.6640625" style="8" bestFit="1" customWidth="1"/>
    <col min="1400" max="1405" width="12.6640625" style="8" bestFit="1" customWidth="1"/>
    <col min="1406" max="1406" width="11.6640625" style="8" bestFit="1" customWidth="1"/>
    <col min="1407" max="1410" width="12.6640625" style="8" bestFit="1" customWidth="1"/>
    <col min="1411" max="1411" width="11.6640625" style="8" bestFit="1" customWidth="1"/>
    <col min="1412" max="1415" width="12.6640625" style="8" bestFit="1" customWidth="1"/>
    <col min="1416" max="1416" width="11.6640625" style="8" bestFit="1" customWidth="1"/>
    <col min="1417" max="1421" width="12.6640625" style="8" bestFit="1" customWidth="1"/>
    <col min="1422" max="1423" width="11.6640625" style="8" bestFit="1" customWidth="1"/>
    <col min="1424" max="1424" width="12.6640625" style="8" bestFit="1" customWidth="1"/>
    <col min="1425" max="1425" width="11.6640625" style="8" bestFit="1" customWidth="1"/>
    <col min="1426" max="1429" width="12.6640625" style="8" bestFit="1" customWidth="1"/>
    <col min="1430" max="1431" width="11.6640625" style="8" bestFit="1" customWidth="1"/>
    <col min="1432" max="1432" width="12.6640625" style="8" bestFit="1" customWidth="1"/>
    <col min="1433" max="1433" width="11.6640625" style="8" bestFit="1" customWidth="1"/>
    <col min="1434" max="1436" width="12.6640625" style="8" bestFit="1" customWidth="1"/>
    <col min="1437" max="1438" width="11.6640625" style="8" bestFit="1" customWidth="1"/>
    <col min="1439" max="1440" width="12.6640625" style="8" bestFit="1" customWidth="1"/>
    <col min="1441" max="1441" width="11.6640625" style="8" bestFit="1" customWidth="1"/>
    <col min="1442" max="1442" width="12.6640625" style="8" bestFit="1" customWidth="1"/>
    <col min="1443" max="1443" width="11.6640625" style="8" bestFit="1" customWidth="1"/>
    <col min="1444" max="1454" width="12.6640625" style="8" bestFit="1" customWidth="1"/>
    <col min="1455" max="1456" width="11.6640625" style="8" bestFit="1" customWidth="1"/>
    <col min="1457" max="1458" width="12.6640625" style="8" bestFit="1" customWidth="1"/>
    <col min="1459" max="1461" width="11.6640625" style="8" bestFit="1" customWidth="1"/>
    <col min="1462" max="1466" width="12.6640625" style="8" bestFit="1" customWidth="1"/>
    <col min="1467" max="1469" width="11.6640625" style="8" bestFit="1" customWidth="1"/>
    <col min="1470" max="1473" width="12.6640625" style="8" bestFit="1" customWidth="1"/>
    <col min="1474" max="1474" width="11.6640625" style="8" bestFit="1" customWidth="1"/>
    <col min="1475" max="1481" width="12.6640625" style="8" bestFit="1" customWidth="1"/>
    <col min="1482" max="1482" width="11.6640625" style="8" bestFit="1" customWidth="1"/>
    <col min="1483" max="1486" width="12.6640625" style="8" bestFit="1" customWidth="1"/>
    <col min="1487" max="1487" width="11.6640625" style="8" bestFit="1" customWidth="1"/>
    <col min="1488" max="1494" width="12.6640625" style="8" bestFit="1" customWidth="1"/>
    <col min="1495" max="1495" width="11.6640625" style="8" bestFit="1" customWidth="1"/>
    <col min="1496" max="1499" width="12.6640625" style="8" bestFit="1" customWidth="1"/>
    <col min="1500" max="1500" width="11.6640625" style="8" bestFit="1" customWidth="1"/>
    <col min="1501" max="1507" width="12.6640625" style="8" bestFit="1" customWidth="1"/>
    <col min="1508" max="1508" width="11.6640625" style="8" bestFit="1" customWidth="1"/>
    <col min="1509" max="1510" width="12.6640625" style="8" bestFit="1" customWidth="1"/>
    <col min="1511" max="1511" width="11.6640625" style="8" bestFit="1" customWidth="1"/>
    <col min="1512" max="1513" width="12.6640625" style="8" bestFit="1" customWidth="1"/>
    <col min="1514" max="1514" width="11.6640625" style="8" bestFit="1" customWidth="1"/>
    <col min="1515" max="1516" width="12.6640625" style="8" bestFit="1" customWidth="1"/>
    <col min="1517" max="1517" width="11.6640625" style="8" bestFit="1" customWidth="1"/>
    <col min="1518" max="1520" width="12.6640625" style="8" bestFit="1" customWidth="1"/>
    <col min="1521" max="1521" width="11.6640625" style="8" bestFit="1" customWidth="1"/>
    <col min="1522" max="1524" width="12.6640625" style="8" bestFit="1" customWidth="1"/>
    <col min="1525" max="1527" width="11.6640625" style="8" bestFit="1" customWidth="1"/>
    <col min="1528" max="1541" width="12.6640625" style="8" bestFit="1" customWidth="1"/>
    <col min="1542" max="1542" width="11.6640625" style="8" bestFit="1" customWidth="1"/>
    <col min="1543" max="1544" width="12.6640625" style="8" bestFit="1" customWidth="1"/>
    <col min="1545" max="1545" width="11.6640625" style="8" bestFit="1" customWidth="1"/>
    <col min="1546" max="1551" width="12.6640625" style="8" bestFit="1" customWidth="1"/>
    <col min="1552" max="1552" width="11.6640625" style="8" bestFit="1" customWidth="1"/>
    <col min="1553" max="1555" width="12.6640625" style="8" bestFit="1" customWidth="1"/>
    <col min="1556" max="1556" width="11.6640625" style="8" bestFit="1" customWidth="1"/>
    <col min="1557" max="1563" width="12.6640625" style="8" bestFit="1" customWidth="1"/>
    <col min="1564" max="1564" width="11.6640625" style="8" bestFit="1" customWidth="1"/>
    <col min="1565" max="1569" width="12.6640625" style="8" bestFit="1" customWidth="1"/>
    <col min="1570" max="1570" width="11.6640625" style="8" bestFit="1" customWidth="1"/>
    <col min="1571" max="1571" width="12.6640625" style="8" bestFit="1" customWidth="1"/>
    <col min="1572" max="1572" width="11.6640625" style="8" bestFit="1" customWidth="1"/>
    <col min="1573" max="1582" width="12.6640625" style="8" bestFit="1" customWidth="1"/>
    <col min="1583" max="1583" width="11.6640625" style="8" bestFit="1" customWidth="1"/>
    <col min="1584" max="1592" width="12.6640625" style="8" bestFit="1" customWidth="1"/>
    <col min="1593" max="1593" width="11.6640625" style="8" bestFit="1" customWidth="1"/>
    <col min="1594" max="1599" width="12.6640625" style="8" bestFit="1" customWidth="1"/>
    <col min="1600" max="1600" width="11.6640625" style="8" bestFit="1" customWidth="1"/>
    <col min="1601" max="1607" width="12.6640625" style="8" bestFit="1" customWidth="1"/>
    <col min="1608" max="1608" width="11.6640625" style="8" bestFit="1" customWidth="1"/>
    <col min="1609" max="1624" width="12.6640625" style="8" bestFit="1" customWidth="1"/>
    <col min="1625" max="1625" width="11.6640625" style="8" bestFit="1" customWidth="1"/>
    <col min="1626" max="1639" width="12.6640625" style="8" bestFit="1" customWidth="1"/>
    <col min="1640" max="1640" width="11.6640625" style="8" bestFit="1" customWidth="1"/>
    <col min="1641" max="1643" width="12.6640625" style="8" bestFit="1" customWidth="1"/>
    <col min="1644" max="1644" width="11.6640625" style="8" bestFit="1" customWidth="1"/>
    <col min="1645" max="1650" width="12.6640625" style="8" bestFit="1" customWidth="1"/>
    <col min="1651" max="1652" width="11.6640625" style="8" bestFit="1" customWidth="1"/>
    <col min="1653" max="1654" width="12.6640625" style="8" bestFit="1" customWidth="1"/>
    <col min="1655" max="1655" width="11.6640625" style="8" bestFit="1" customWidth="1"/>
    <col min="1656" max="1660" width="12.6640625" style="8" bestFit="1" customWidth="1"/>
    <col min="1661" max="1661" width="11.6640625" style="8" bestFit="1" customWidth="1"/>
    <col min="1662" max="1664" width="12.6640625" style="8" bestFit="1" customWidth="1"/>
    <col min="1665" max="1665" width="11.6640625" style="8" bestFit="1" customWidth="1"/>
    <col min="1666" max="1669" width="12.6640625" style="8" bestFit="1" customWidth="1"/>
    <col min="1670" max="1671" width="11.6640625" style="8" bestFit="1" customWidth="1"/>
    <col min="1672" max="1696" width="12.6640625" style="8" bestFit="1" customWidth="1"/>
    <col min="1697" max="1697" width="11.6640625" style="8" bestFit="1" customWidth="1"/>
    <col min="1698" max="1699" width="12.6640625" style="8" bestFit="1" customWidth="1"/>
    <col min="1700" max="1700" width="11.6640625" style="8" bestFit="1" customWidth="1"/>
    <col min="1701" max="1707" width="12.6640625" style="8" bestFit="1" customWidth="1"/>
    <col min="1708" max="1708" width="11.6640625" style="8" bestFit="1" customWidth="1"/>
    <col min="1709" max="1754" width="12.6640625" style="8" bestFit="1" customWidth="1"/>
    <col min="1755" max="1755" width="11.6640625" style="8" bestFit="1" customWidth="1"/>
    <col min="1756" max="1759" width="12.6640625" style="8" bestFit="1" customWidth="1"/>
    <col min="1760" max="1760" width="11.6640625" style="8" bestFit="1" customWidth="1"/>
    <col min="1761" max="2009" width="12.6640625" style="8" bestFit="1" customWidth="1"/>
    <col min="2010" max="2010" width="10.77734375" style="8" bestFit="1" customWidth="1"/>
    <col min="2011" max="16384" width="8.88671875" style="8"/>
  </cols>
  <sheetData>
    <row r="1" spans="1:39" x14ac:dyDescent="0.3">
      <c r="A1" s="12" t="s">
        <v>6342</v>
      </c>
      <c r="B1" s="13" t="s">
        <v>6343</v>
      </c>
      <c r="D1" s="11" t="s">
        <v>6360</v>
      </c>
      <c r="E1" s="8" t="s">
        <v>6343</v>
      </c>
      <c r="K1" s="11"/>
      <c r="AM1" s="8"/>
    </row>
    <row r="2" spans="1:39" x14ac:dyDescent="0.3">
      <c r="A2" s="14" t="s">
        <v>77</v>
      </c>
      <c r="B2" s="15">
        <v>111</v>
      </c>
      <c r="D2" s="8" t="s">
        <v>157</v>
      </c>
      <c r="E2" s="8">
        <v>247</v>
      </c>
      <c r="K2" s="11"/>
      <c r="AM2" s="8"/>
    </row>
    <row r="3" spans="1:39" x14ac:dyDescent="0.3">
      <c r="A3" s="14" t="s">
        <v>6344</v>
      </c>
      <c r="B3" s="15">
        <v>104</v>
      </c>
      <c r="D3" s="8" t="s">
        <v>77</v>
      </c>
      <c r="E3" s="8">
        <v>251</v>
      </c>
      <c r="AM3" s="8"/>
    </row>
    <row r="4" spans="1:39" x14ac:dyDescent="0.3">
      <c r="A4" s="14" t="s">
        <v>6359</v>
      </c>
      <c r="B4" s="15">
        <v>104</v>
      </c>
      <c r="D4" s="8" t="s">
        <v>52</v>
      </c>
      <c r="E4" s="8">
        <v>238</v>
      </c>
      <c r="AM4" s="8"/>
    </row>
    <row r="5" spans="1:39" x14ac:dyDescent="0.3">
      <c r="A5" s="14" t="s">
        <v>6345</v>
      </c>
      <c r="B5" s="15">
        <v>101</v>
      </c>
      <c r="D5" s="8" t="s">
        <v>80</v>
      </c>
      <c r="E5" s="8">
        <v>249</v>
      </c>
      <c r="AM5" s="8"/>
    </row>
    <row r="6" spans="1:39" x14ac:dyDescent="0.3">
      <c r="A6" s="14" t="s">
        <v>70</v>
      </c>
      <c r="B6" s="15">
        <v>100</v>
      </c>
      <c r="D6" s="8" t="s">
        <v>128</v>
      </c>
      <c r="E6" s="8">
        <v>233</v>
      </c>
      <c r="K6" s="11"/>
      <c r="AM6" s="8"/>
    </row>
    <row r="7" spans="1:39" x14ac:dyDescent="0.3">
      <c r="A7" s="14" t="s">
        <v>6352</v>
      </c>
      <c r="B7" s="15">
        <v>97</v>
      </c>
      <c r="D7" s="8" t="s">
        <v>101</v>
      </c>
      <c r="E7" s="8">
        <v>255</v>
      </c>
      <c r="AM7" s="8"/>
    </row>
    <row r="8" spans="1:39" x14ac:dyDescent="0.3">
      <c r="A8" s="14" t="s">
        <v>6349</v>
      </c>
      <c r="B8" s="15">
        <v>96</v>
      </c>
      <c r="D8" s="8" t="s">
        <v>90</v>
      </c>
      <c r="E8" s="8">
        <v>259</v>
      </c>
      <c r="AM8" s="8"/>
    </row>
    <row r="9" spans="1:39" x14ac:dyDescent="0.3">
      <c r="A9" s="14" t="s">
        <v>6358</v>
      </c>
      <c r="B9" s="15">
        <v>96</v>
      </c>
      <c r="D9" s="8" t="s">
        <v>70</v>
      </c>
      <c r="E9" s="8">
        <v>268</v>
      </c>
      <c r="AM9" s="8"/>
    </row>
    <row r="10" spans="1:39" x14ac:dyDescent="0.3">
      <c r="A10" s="14" t="s">
        <v>80</v>
      </c>
      <c r="B10" s="15">
        <v>95</v>
      </c>
      <c r="AM10" s="8"/>
    </row>
    <row r="11" spans="1:39" x14ac:dyDescent="0.3">
      <c r="A11" s="14" t="s">
        <v>6347</v>
      </c>
      <c r="B11" s="15">
        <v>94</v>
      </c>
      <c r="AM11" s="8"/>
    </row>
    <row r="12" spans="1:39" x14ac:dyDescent="0.3">
      <c r="A12" s="14" t="s">
        <v>128</v>
      </c>
      <c r="B12" s="15">
        <v>92</v>
      </c>
      <c r="AM12" s="8"/>
    </row>
    <row r="13" spans="1:39" x14ac:dyDescent="0.3">
      <c r="A13" s="14" t="s">
        <v>6355</v>
      </c>
      <c r="B13" s="15">
        <v>90</v>
      </c>
      <c r="AM13" s="8"/>
    </row>
    <row r="14" spans="1:39" x14ac:dyDescent="0.3">
      <c r="A14" s="14" t="s">
        <v>6351</v>
      </c>
      <c r="B14" s="15">
        <v>89</v>
      </c>
      <c r="AM14" s="8"/>
    </row>
    <row r="15" spans="1:39" x14ac:dyDescent="0.3">
      <c r="A15" s="14" t="s">
        <v>6357</v>
      </c>
      <c r="B15" s="15">
        <v>88</v>
      </c>
      <c r="AM15" s="8"/>
    </row>
    <row r="16" spans="1:39" x14ac:dyDescent="0.3">
      <c r="A16" s="14" t="s">
        <v>6353</v>
      </c>
      <c r="B16" s="15">
        <v>86</v>
      </c>
      <c r="AM16" s="8"/>
    </row>
    <row r="17" spans="1:39" x14ac:dyDescent="0.3">
      <c r="A17" s="14" t="s">
        <v>6356</v>
      </c>
      <c r="B17" s="15">
        <v>86</v>
      </c>
      <c r="K17" s="11"/>
      <c r="AM17" s="8"/>
    </row>
    <row r="18" spans="1:39" x14ac:dyDescent="0.3">
      <c r="A18" s="14" t="s">
        <v>6350</v>
      </c>
      <c r="B18" s="15">
        <v>84</v>
      </c>
      <c r="AM18" s="8"/>
    </row>
    <row r="19" spans="1:39" x14ac:dyDescent="0.3">
      <c r="A19" s="14" t="s">
        <v>90</v>
      </c>
      <c r="B19" s="15">
        <v>80</v>
      </c>
      <c r="AM19" s="8"/>
    </row>
    <row r="20" spans="1:39" x14ac:dyDescent="0.3">
      <c r="A20" s="14" t="s">
        <v>6346</v>
      </c>
      <c r="B20" s="15">
        <v>78</v>
      </c>
      <c r="AM20" s="8"/>
    </row>
    <row r="21" spans="1:39" x14ac:dyDescent="0.3">
      <c r="A21" s="14" t="s">
        <v>6348</v>
      </c>
      <c r="B21" s="15">
        <v>78</v>
      </c>
      <c r="AM21" s="8"/>
    </row>
    <row r="22" spans="1:39" x14ac:dyDescent="0.3">
      <c r="A22" s="14" t="s">
        <v>101</v>
      </c>
      <c r="B22" s="15">
        <v>76</v>
      </c>
      <c r="AM22" s="8"/>
    </row>
    <row r="23" spans="1:39" x14ac:dyDescent="0.3">
      <c r="A23" s="16" t="s">
        <v>6354</v>
      </c>
      <c r="B23" s="17">
        <v>75</v>
      </c>
      <c r="K23" s="11"/>
      <c r="AM23" s="8"/>
    </row>
    <row r="24" spans="1:39" x14ac:dyDescent="0.3">
      <c r="AM24" s="8"/>
    </row>
    <row r="25" spans="1:39" x14ac:dyDescent="0.3">
      <c r="AM25" s="8"/>
    </row>
    <row r="26" spans="1:39" x14ac:dyDescent="0.3">
      <c r="AM26" s="8"/>
    </row>
    <row r="27" spans="1:39" x14ac:dyDescent="0.3">
      <c r="AM27" s="8"/>
    </row>
    <row r="28" spans="1:39" x14ac:dyDescent="0.3">
      <c r="AM28" s="8"/>
    </row>
    <row r="29" spans="1:39" x14ac:dyDescent="0.3">
      <c r="AM29" s="8"/>
    </row>
    <row r="30" spans="1:39" x14ac:dyDescent="0.3">
      <c r="AM30" s="8"/>
    </row>
    <row r="31" spans="1:39" x14ac:dyDescent="0.3">
      <c r="K31" s="11"/>
      <c r="AM31" s="8"/>
    </row>
    <row r="32" spans="1:39" x14ac:dyDescent="0.3">
      <c r="K32" s="11"/>
      <c r="AM32" s="8"/>
    </row>
    <row r="33" spans="39:39" x14ac:dyDescent="0.3">
      <c r="AM33" s="8"/>
    </row>
    <row r="34" spans="39:39" x14ac:dyDescent="0.3">
      <c r="AM34" s="8"/>
    </row>
    <row r="35" spans="39:39" x14ac:dyDescent="0.3">
      <c r="AM35" s="8"/>
    </row>
    <row r="36" spans="39:39" x14ac:dyDescent="0.3">
      <c r="AM36" s="8"/>
    </row>
    <row r="37" spans="39:39" x14ac:dyDescent="0.3">
      <c r="AM37" s="8"/>
    </row>
    <row r="38" spans="39:39" x14ac:dyDescent="0.3">
      <c r="AM38" s="8"/>
    </row>
    <row r="39" spans="39:39" x14ac:dyDescent="0.3">
      <c r="AM39" s="8"/>
    </row>
    <row r="40" spans="39:39" x14ac:dyDescent="0.3">
      <c r="AM40" s="8"/>
    </row>
    <row r="41" spans="39:39" x14ac:dyDescent="0.3">
      <c r="AM41" s="8"/>
    </row>
    <row r="42" spans="39:39" x14ac:dyDescent="0.3">
      <c r="AM42" s="8"/>
    </row>
    <row r="43" spans="39:39" x14ac:dyDescent="0.3">
      <c r="AM43" s="8"/>
    </row>
    <row r="44" spans="39:39" x14ac:dyDescent="0.3">
      <c r="AM44" s="8"/>
    </row>
    <row r="45" spans="39:39" x14ac:dyDescent="0.3">
      <c r="AM45" s="8"/>
    </row>
    <row r="46" spans="39:39" x14ac:dyDescent="0.3">
      <c r="AM46" s="8"/>
    </row>
    <row r="47" spans="39:39" x14ac:dyDescent="0.3">
      <c r="AM47" s="8"/>
    </row>
    <row r="48" spans="39:39" x14ac:dyDescent="0.3">
      <c r="AM48" s="8"/>
    </row>
    <row r="49" spans="11:39" x14ac:dyDescent="0.3">
      <c r="K49" s="11"/>
      <c r="AM49" s="8"/>
    </row>
    <row r="50" spans="11:39" x14ac:dyDescent="0.3">
      <c r="AM50" s="8"/>
    </row>
    <row r="51" spans="11:39" x14ac:dyDescent="0.3">
      <c r="AM51" s="8"/>
    </row>
    <row r="52" spans="11:39" x14ac:dyDescent="0.3">
      <c r="AM52" s="8"/>
    </row>
    <row r="53" spans="11:39" x14ac:dyDescent="0.3">
      <c r="AM53" s="8"/>
    </row>
    <row r="54" spans="11:39" x14ac:dyDescent="0.3">
      <c r="AM54" s="8"/>
    </row>
    <row r="55" spans="11:39" x14ac:dyDescent="0.3">
      <c r="AM55" s="8"/>
    </row>
    <row r="56" spans="11:39" x14ac:dyDescent="0.3">
      <c r="AM56" s="8"/>
    </row>
    <row r="57" spans="11:39" x14ac:dyDescent="0.3">
      <c r="AM57" s="8"/>
    </row>
    <row r="58" spans="11:39" x14ac:dyDescent="0.3">
      <c r="AM58" s="8"/>
    </row>
    <row r="59" spans="11:39" x14ac:dyDescent="0.3">
      <c r="AM59" s="8"/>
    </row>
    <row r="60" spans="11:39" x14ac:dyDescent="0.3">
      <c r="AM60" s="8"/>
    </row>
    <row r="61" spans="11:39" x14ac:dyDescent="0.3">
      <c r="AM61" s="8"/>
    </row>
    <row r="62" spans="11:39" x14ac:dyDescent="0.3">
      <c r="AM62" s="8"/>
    </row>
    <row r="63" spans="11:39" x14ac:dyDescent="0.3">
      <c r="AM63" s="8"/>
    </row>
    <row r="64" spans="11:39" x14ac:dyDescent="0.3">
      <c r="AM64" s="8"/>
    </row>
    <row r="65" spans="11:39" x14ac:dyDescent="0.3">
      <c r="AM65" s="8"/>
    </row>
    <row r="66" spans="11:39" x14ac:dyDescent="0.3">
      <c r="AM66" s="8"/>
    </row>
    <row r="67" spans="11:39" x14ac:dyDescent="0.3">
      <c r="AM67" s="8"/>
    </row>
    <row r="68" spans="11:39" x14ac:dyDescent="0.3">
      <c r="AM68" s="8"/>
    </row>
    <row r="69" spans="11:39" x14ac:dyDescent="0.3">
      <c r="AM69" s="8"/>
    </row>
    <row r="70" spans="11:39" x14ac:dyDescent="0.3">
      <c r="AM70" s="8"/>
    </row>
    <row r="71" spans="11:39" x14ac:dyDescent="0.3">
      <c r="AM71" s="8"/>
    </row>
    <row r="72" spans="11:39" x14ac:dyDescent="0.3">
      <c r="K72" s="11"/>
      <c r="AM72" s="8"/>
    </row>
    <row r="73" spans="11:39" x14ac:dyDescent="0.3">
      <c r="K73" s="11"/>
      <c r="AM73" s="8"/>
    </row>
    <row r="74" spans="11:39" x14ac:dyDescent="0.3">
      <c r="AM74" s="8"/>
    </row>
    <row r="75" spans="11:39" x14ac:dyDescent="0.3">
      <c r="AM75" s="8"/>
    </row>
    <row r="76" spans="11:39" x14ac:dyDescent="0.3">
      <c r="AM76" s="8"/>
    </row>
    <row r="77" spans="11:39" x14ac:dyDescent="0.3">
      <c r="AM77" s="8"/>
    </row>
    <row r="78" spans="11:39" x14ac:dyDescent="0.3">
      <c r="K78" s="11"/>
      <c r="AM78" s="8"/>
    </row>
    <row r="79" spans="11:39" x14ac:dyDescent="0.3">
      <c r="K79" s="11"/>
      <c r="AM79" s="8"/>
    </row>
    <row r="80" spans="11:39" x14ac:dyDescent="0.3">
      <c r="AM80" s="8"/>
    </row>
    <row r="81" spans="11:39" x14ac:dyDescent="0.3">
      <c r="AM81" s="8"/>
    </row>
    <row r="82" spans="11:39" x14ac:dyDescent="0.3">
      <c r="AM82" s="8"/>
    </row>
    <row r="83" spans="11:39" x14ac:dyDescent="0.3">
      <c r="AM83" s="8"/>
    </row>
    <row r="84" spans="11:39" x14ac:dyDescent="0.3">
      <c r="AM84" s="8"/>
    </row>
    <row r="85" spans="11:39" x14ac:dyDescent="0.3">
      <c r="AM85" s="8"/>
    </row>
    <row r="86" spans="11:39" x14ac:dyDescent="0.3">
      <c r="AM86" s="8"/>
    </row>
    <row r="87" spans="11:39" x14ac:dyDescent="0.3">
      <c r="AM87" s="8"/>
    </row>
    <row r="88" spans="11:39" x14ac:dyDescent="0.3">
      <c r="K88" s="11"/>
      <c r="AM88" s="8"/>
    </row>
    <row r="89" spans="11:39" x14ac:dyDescent="0.3">
      <c r="AM89" s="8"/>
    </row>
    <row r="90" spans="11:39" x14ac:dyDescent="0.3">
      <c r="AM90" s="8"/>
    </row>
    <row r="91" spans="11:39" x14ac:dyDescent="0.3">
      <c r="AM91" s="8"/>
    </row>
    <row r="92" spans="11:39" x14ac:dyDescent="0.3">
      <c r="K92" s="11"/>
      <c r="AM92" s="8"/>
    </row>
    <row r="93" spans="11:39" x14ac:dyDescent="0.3">
      <c r="K93" s="11"/>
      <c r="AM93" s="8"/>
    </row>
    <row r="94" spans="11:39" x14ac:dyDescent="0.3">
      <c r="AM94" s="8"/>
    </row>
    <row r="95" spans="11:39" x14ac:dyDescent="0.3">
      <c r="AM95" s="8"/>
    </row>
    <row r="96" spans="11:39" x14ac:dyDescent="0.3">
      <c r="K96" s="11"/>
      <c r="AM96" s="8"/>
    </row>
    <row r="97" spans="11:39" x14ac:dyDescent="0.3">
      <c r="AM97" s="8"/>
    </row>
    <row r="98" spans="11:39" x14ac:dyDescent="0.3">
      <c r="AM98" s="8"/>
    </row>
    <row r="99" spans="11:39" x14ac:dyDescent="0.3">
      <c r="AM99" s="8"/>
    </row>
    <row r="100" spans="11:39" x14ac:dyDescent="0.3">
      <c r="AM100" s="8"/>
    </row>
    <row r="101" spans="11:39" x14ac:dyDescent="0.3">
      <c r="AM101" s="8"/>
    </row>
    <row r="102" spans="11:39" x14ac:dyDescent="0.3">
      <c r="AM102" s="8"/>
    </row>
    <row r="103" spans="11:39" x14ac:dyDescent="0.3">
      <c r="K103" s="11"/>
      <c r="AM103" s="8"/>
    </row>
    <row r="104" spans="11:39" x14ac:dyDescent="0.3">
      <c r="AM104" s="8"/>
    </row>
    <row r="105" spans="11:39" x14ac:dyDescent="0.3">
      <c r="AM105" s="8"/>
    </row>
    <row r="106" spans="11:39" x14ac:dyDescent="0.3">
      <c r="AM106" s="8"/>
    </row>
    <row r="107" spans="11:39" x14ac:dyDescent="0.3">
      <c r="AM107" s="8"/>
    </row>
    <row r="108" spans="11:39" x14ac:dyDescent="0.3">
      <c r="AM108" s="8"/>
    </row>
    <row r="109" spans="11:39" x14ac:dyDescent="0.3">
      <c r="AM109" s="8"/>
    </row>
    <row r="110" spans="11:39" x14ac:dyDescent="0.3">
      <c r="AM110" s="8"/>
    </row>
    <row r="111" spans="11:39" x14ac:dyDescent="0.3">
      <c r="AM111" s="8"/>
    </row>
    <row r="112" spans="11:39" x14ac:dyDescent="0.3">
      <c r="AM112" s="8"/>
    </row>
    <row r="113" spans="11:39" x14ac:dyDescent="0.3">
      <c r="AM113" s="8"/>
    </row>
    <row r="114" spans="11:39" x14ac:dyDescent="0.3">
      <c r="AM114" s="8"/>
    </row>
    <row r="115" spans="11:39" x14ac:dyDescent="0.3">
      <c r="AM115" s="8"/>
    </row>
    <row r="116" spans="11:39" x14ac:dyDescent="0.3">
      <c r="AM116" s="8"/>
    </row>
    <row r="117" spans="11:39" x14ac:dyDescent="0.3">
      <c r="AM117" s="8"/>
    </row>
    <row r="118" spans="11:39" x14ac:dyDescent="0.3">
      <c r="AM118" s="8"/>
    </row>
    <row r="119" spans="11:39" x14ac:dyDescent="0.3">
      <c r="AM119" s="8"/>
    </row>
    <row r="120" spans="11:39" x14ac:dyDescent="0.3">
      <c r="AM120" s="8"/>
    </row>
    <row r="121" spans="11:39" x14ac:dyDescent="0.3">
      <c r="K121" s="11"/>
      <c r="AM121" s="8"/>
    </row>
    <row r="122" spans="11:39" x14ac:dyDescent="0.3">
      <c r="K122" s="11"/>
      <c r="AM122" s="8"/>
    </row>
    <row r="123" spans="11:39" x14ac:dyDescent="0.3">
      <c r="AM123" s="8"/>
    </row>
    <row r="124" spans="11:39" x14ac:dyDescent="0.3">
      <c r="AM124" s="8"/>
    </row>
    <row r="125" spans="11:39" x14ac:dyDescent="0.3">
      <c r="AM125" s="8"/>
    </row>
    <row r="126" spans="11:39" x14ac:dyDescent="0.3">
      <c r="AM126" s="8"/>
    </row>
    <row r="127" spans="11:39" x14ac:dyDescent="0.3">
      <c r="AM127" s="8"/>
    </row>
    <row r="128" spans="11:39" x14ac:dyDescent="0.3">
      <c r="AM128" s="8"/>
    </row>
    <row r="129" spans="11:39" x14ac:dyDescent="0.3">
      <c r="AM129" s="8"/>
    </row>
    <row r="130" spans="11:39" x14ac:dyDescent="0.3">
      <c r="AM130" s="8"/>
    </row>
    <row r="131" spans="11:39" x14ac:dyDescent="0.3">
      <c r="AM131" s="8"/>
    </row>
    <row r="132" spans="11:39" x14ac:dyDescent="0.3">
      <c r="AM132" s="8"/>
    </row>
    <row r="133" spans="11:39" x14ac:dyDescent="0.3">
      <c r="AM133" s="8"/>
    </row>
    <row r="134" spans="11:39" x14ac:dyDescent="0.3">
      <c r="AM134" s="8"/>
    </row>
    <row r="135" spans="11:39" x14ac:dyDescent="0.3">
      <c r="AM135" s="8"/>
    </row>
    <row r="136" spans="11:39" x14ac:dyDescent="0.3">
      <c r="AM136" s="8"/>
    </row>
    <row r="137" spans="11:39" x14ac:dyDescent="0.3">
      <c r="AM137" s="8"/>
    </row>
    <row r="138" spans="11:39" x14ac:dyDescent="0.3">
      <c r="AM138" s="8"/>
    </row>
    <row r="139" spans="11:39" x14ac:dyDescent="0.3">
      <c r="AM139" s="8"/>
    </row>
    <row r="140" spans="11:39" x14ac:dyDescent="0.3">
      <c r="AM140" s="8"/>
    </row>
    <row r="141" spans="11:39" x14ac:dyDescent="0.3">
      <c r="AM141" s="8"/>
    </row>
    <row r="142" spans="11:39" x14ac:dyDescent="0.3">
      <c r="AM142" s="8"/>
    </row>
    <row r="143" spans="11:39" x14ac:dyDescent="0.3">
      <c r="AM143" s="8"/>
    </row>
    <row r="144" spans="11:39" x14ac:dyDescent="0.3">
      <c r="K144" s="11"/>
      <c r="AM144" s="8"/>
    </row>
    <row r="145" spans="11:39" x14ac:dyDescent="0.3">
      <c r="K145" s="11"/>
      <c r="AM145" s="8"/>
    </row>
    <row r="146" spans="11:39" x14ac:dyDescent="0.3">
      <c r="AM146" s="8"/>
    </row>
    <row r="147" spans="11:39" x14ac:dyDescent="0.3">
      <c r="AM147" s="8"/>
    </row>
    <row r="148" spans="11:39" x14ac:dyDescent="0.3">
      <c r="K148" s="11"/>
      <c r="AM148" s="8"/>
    </row>
    <row r="149" spans="11:39" x14ac:dyDescent="0.3">
      <c r="AM149" s="8"/>
    </row>
    <row r="150" spans="11:39" x14ac:dyDescent="0.3">
      <c r="AM150" s="8"/>
    </row>
    <row r="151" spans="11:39" x14ac:dyDescent="0.3">
      <c r="AM151" s="8"/>
    </row>
    <row r="152" spans="11:39" x14ac:dyDescent="0.3">
      <c r="AM152" s="8"/>
    </row>
    <row r="153" spans="11:39" x14ac:dyDescent="0.3">
      <c r="AM153" s="8"/>
    </row>
    <row r="154" spans="11:39" x14ac:dyDescent="0.3">
      <c r="AM154" s="8"/>
    </row>
    <row r="155" spans="11:39" x14ac:dyDescent="0.3">
      <c r="AM155" s="8"/>
    </row>
    <row r="156" spans="11:39" x14ac:dyDescent="0.3">
      <c r="AM156" s="8"/>
    </row>
    <row r="157" spans="11:39" x14ac:dyDescent="0.3">
      <c r="AM157" s="8"/>
    </row>
    <row r="158" spans="11:39" x14ac:dyDescent="0.3">
      <c r="AM158" s="8"/>
    </row>
    <row r="159" spans="11:39" x14ac:dyDescent="0.3">
      <c r="AM159" s="8"/>
    </row>
    <row r="160" spans="11:39" x14ac:dyDescent="0.3">
      <c r="AM160" s="8"/>
    </row>
    <row r="161" spans="11:39" x14ac:dyDescent="0.3">
      <c r="AM161" s="8"/>
    </row>
    <row r="162" spans="11:39" x14ac:dyDescent="0.3">
      <c r="K162" s="11"/>
      <c r="AM162" s="8"/>
    </row>
    <row r="163" spans="11:39" x14ac:dyDescent="0.3">
      <c r="AM163" s="8"/>
    </row>
    <row r="164" spans="11:39" x14ac:dyDescent="0.3">
      <c r="AM164" s="8"/>
    </row>
    <row r="165" spans="11:39" x14ac:dyDescent="0.3">
      <c r="AM165" s="8"/>
    </row>
    <row r="166" spans="11:39" x14ac:dyDescent="0.3">
      <c r="AM166" s="8"/>
    </row>
    <row r="167" spans="11:39" x14ac:dyDescent="0.3">
      <c r="AM167" s="8"/>
    </row>
    <row r="168" spans="11:39" x14ac:dyDescent="0.3">
      <c r="AM168" s="8"/>
    </row>
    <row r="169" spans="11:39" x14ac:dyDescent="0.3">
      <c r="AM169" s="8"/>
    </row>
    <row r="170" spans="11:39" x14ac:dyDescent="0.3">
      <c r="AM170" s="8"/>
    </row>
    <row r="171" spans="11:39" x14ac:dyDescent="0.3">
      <c r="AM171" s="8"/>
    </row>
    <row r="172" spans="11:39" x14ac:dyDescent="0.3">
      <c r="AM172" s="8"/>
    </row>
    <row r="173" spans="11:39" x14ac:dyDescent="0.3">
      <c r="AM173" s="8"/>
    </row>
    <row r="174" spans="11:39" x14ac:dyDescent="0.3">
      <c r="AM174" s="8"/>
    </row>
    <row r="175" spans="11:39" x14ac:dyDescent="0.3">
      <c r="AM175" s="8"/>
    </row>
    <row r="176" spans="11:39" x14ac:dyDescent="0.3">
      <c r="K176" s="11"/>
      <c r="AM176" s="8"/>
    </row>
    <row r="177" spans="11:39" x14ac:dyDescent="0.3">
      <c r="AM177" s="8"/>
    </row>
    <row r="178" spans="11:39" x14ac:dyDescent="0.3">
      <c r="AM178" s="8"/>
    </row>
    <row r="179" spans="11:39" x14ac:dyDescent="0.3">
      <c r="AM179" s="8"/>
    </row>
    <row r="180" spans="11:39" x14ac:dyDescent="0.3">
      <c r="AM180" s="8"/>
    </row>
    <row r="181" spans="11:39" x14ac:dyDescent="0.3">
      <c r="K181" s="11"/>
      <c r="AM181" s="8"/>
    </row>
    <row r="182" spans="11:39" x14ac:dyDescent="0.3">
      <c r="AM182" s="8"/>
    </row>
    <row r="183" spans="11:39" x14ac:dyDescent="0.3">
      <c r="AM183" s="8"/>
    </row>
    <row r="184" spans="11:39" x14ac:dyDescent="0.3">
      <c r="AM184" s="8"/>
    </row>
    <row r="185" spans="11:39" x14ac:dyDescent="0.3">
      <c r="AM185" s="8"/>
    </row>
    <row r="186" spans="11:39" x14ac:dyDescent="0.3">
      <c r="AM186" s="8"/>
    </row>
    <row r="187" spans="11:39" x14ac:dyDescent="0.3">
      <c r="K187" s="11"/>
      <c r="AM187" s="8"/>
    </row>
    <row r="188" spans="11:39" x14ac:dyDescent="0.3">
      <c r="AM188" s="8"/>
    </row>
    <row r="189" spans="11:39" x14ac:dyDescent="0.3">
      <c r="AM189" s="8"/>
    </row>
    <row r="190" spans="11:39" x14ac:dyDescent="0.3">
      <c r="AM190" s="8"/>
    </row>
    <row r="191" spans="11:39" x14ac:dyDescent="0.3">
      <c r="AM191" s="8"/>
    </row>
    <row r="192" spans="11:39" x14ac:dyDescent="0.3">
      <c r="AM192" s="8"/>
    </row>
    <row r="193" spans="11:39" x14ac:dyDescent="0.3">
      <c r="AM193" s="8"/>
    </row>
    <row r="194" spans="11:39" x14ac:dyDescent="0.3">
      <c r="AM194" s="8"/>
    </row>
    <row r="195" spans="11:39" x14ac:dyDescent="0.3">
      <c r="AM195" s="8"/>
    </row>
    <row r="196" spans="11:39" x14ac:dyDescent="0.3">
      <c r="AM196" s="8"/>
    </row>
    <row r="197" spans="11:39" x14ac:dyDescent="0.3">
      <c r="AM197" s="8"/>
    </row>
    <row r="198" spans="11:39" x14ac:dyDescent="0.3">
      <c r="K198" s="11"/>
      <c r="AM198" s="8"/>
    </row>
    <row r="199" spans="11:39" x14ac:dyDescent="0.3">
      <c r="K199" s="11"/>
      <c r="AM199" s="8"/>
    </row>
    <row r="200" spans="11:39" x14ac:dyDescent="0.3">
      <c r="AM200" s="8"/>
    </row>
    <row r="201" spans="11:39" x14ac:dyDescent="0.3">
      <c r="AM201" s="8"/>
    </row>
    <row r="202" spans="11:39" x14ac:dyDescent="0.3">
      <c r="AM202" s="8"/>
    </row>
    <row r="203" spans="11:39" x14ac:dyDescent="0.3">
      <c r="AM203" s="8"/>
    </row>
    <row r="204" spans="11:39" x14ac:dyDescent="0.3">
      <c r="AM204" s="8"/>
    </row>
    <row r="205" spans="11:39" x14ac:dyDescent="0.3">
      <c r="AM205" s="8"/>
    </row>
    <row r="206" spans="11:39" x14ac:dyDescent="0.3">
      <c r="AM206" s="8"/>
    </row>
    <row r="207" spans="11:39" x14ac:dyDescent="0.3">
      <c r="AM207" s="8"/>
    </row>
    <row r="208" spans="11:39" x14ac:dyDescent="0.3">
      <c r="AM208" s="8"/>
    </row>
    <row r="209" spans="11:39" x14ac:dyDescent="0.3">
      <c r="AM209" s="8"/>
    </row>
    <row r="210" spans="11:39" x14ac:dyDescent="0.3">
      <c r="AM210" s="8"/>
    </row>
    <row r="211" spans="11:39" x14ac:dyDescent="0.3">
      <c r="AM211" s="8"/>
    </row>
    <row r="212" spans="11:39" x14ac:dyDescent="0.3">
      <c r="AM212" s="8"/>
    </row>
    <row r="213" spans="11:39" x14ac:dyDescent="0.3">
      <c r="AM213" s="8"/>
    </row>
    <row r="214" spans="11:39" x14ac:dyDescent="0.3">
      <c r="AM214" s="8"/>
    </row>
    <row r="215" spans="11:39" x14ac:dyDescent="0.3">
      <c r="AM215" s="8"/>
    </row>
    <row r="216" spans="11:39" x14ac:dyDescent="0.3">
      <c r="K216" s="11"/>
      <c r="AM216" s="8"/>
    </row>
    <row r="217" spans="11:39" x14ac:dyDescent="0.3">
      <c r="AM217" s="8"/>
    </row>
    <row r="218" spans="11:39" x14ac:dyDescent="0.3">
      <c r="AM218" s="8"/>
    </row>
    <row r="219" spans="11:39" x14ac:dyDescent="0.3">
      <c r="AM219" s="8"/>
    </row>
    <row r="220" spans="11:39" x14ac:dyDescent="0.3">
      <c r="AM220" s="8"/>
    </row>
    <row r="221" spans="11:39" x14ac:dyDescent="0.3">
      <c r="AM221" s="8"/>
    </row>
    <row r="222" spans="11:39" x14ac:dyDescent="0.3">
      <c r="AM222" s="8"/>
    </row>
    <row r="223" spans="11:39" x14ac:dyDescent="0.3">
      <c r="AM223" s="8"/>
    </row>
    <row r="224" spans="11:39" x14ac:dyDescent="0.3">
      <c r="AM224" s="8"/>
    </row>
    <row r="225" spans="11:39" x14ac:dyDescent="0.3">
      <c r="AM225" s="8"/>
    </row>
    <row r="226" spans="11:39" x14ac:dyDescent="0.3">
      <c r="AM226" s="8"/>
    </row>
    <row r="227" spans="11:39" x14ac:dyDescent="0.3">
      <c r="AM227" s="8"/>
    </row>
    <row r="228" spans="11:39" x14ac:dyDescent="0.3">
      <c r="AM228" s="8"/>
    </row>
    <row r="229" spans="11:39" x14ac:dyDescent="0.3">
      <c r="AM229" s="8"/>
    </row>
    <row r="230" spans="11:39" x14ac:dyDescent="0.3">
      <c r="AM230" s="8"/>
    </row>
    <row r="231" spans="11:39" x14ac:dyDescent="0.3">
      <c r="AM231" s="8"/>
    </row>
    <row r="232" spans="11:39" x14ac:dyDescent="0.3">
      <c r="AM232" s="8"/>
    </row>
    <row r="233" spans="11:39" x14ac:dyDescent="0.3">
      <c r="AM233" s="8"/>
    </row>
    <row r="234" spans="11:39" x14ac:dyDescent="0.3">
      <c r="AM234" s="8"/>
    </row>
    <row r="235" spans="11:39" x14ac:dyDescent="0.3">
      <c r="AM235" s="8"/>
    </row>
    <row r="236" spans="11:39" x14ac:dyDescent="0.3">
      <c r="AM236" s="8"/>
    </row>
    <row r="237" spans="11:39" x14ac:dyDescent="0.3">
      <c r="AM237" s="8"/>
    </row>
    <row r="238" spans="11:39" x14ac:dyDescent="0.3">
      <c r="AM238" s="8"/>
    </row>
    <row r="239" spans="11:39" x14ac:dyDescent="0.3">
      <c r="AM239" s="8"/>
    </row>
    <row r="240" spans="11:39" x14ac:dyDescent="0.3">
      <c r="K240" s="11"/>
      <c r="AM240" s="8"/>
    </row>
    <row r="241" spans="11:39" x14ac:dyDescent="0.3">
      <c r="AM241" s="8"/>
    </row>
    <row r="242" spans="11:39" x14ac:dyDescent="0.3">
      <c r="K242" s="11"/>
      <c r="AM242" s="8"/>
    </row>
    <row r="243" spans="11:39" x14ac:dyDescent="0.3">
      <c r="AM243" s="8"/>
    </row>
    <row r="244" spans="11:39" x14ac:dyDescent="0.3">
      <c r="AM244" s="8"/>
    </row>
    <row r="245" spans="11:39" x14ac:dyDescent="0.3">
      <c r="AM245" s="8"/>
    </row>
    <row r="246" spans="11:39" x14ac:dyDescent="0.3">
      <c r="AM246" s="8"/>
    </row>
    <row r="247" spans="11:39" x14ac:dyDescent="0.3">
      <c r="AM247" s="8"/>
    </row>
    <row r="248" spans="11:39" x14ac:dyDescent="0.3">
      <c r="AM248" s="8"/>
    </row>
    <row r="249" spans="11:39" x14ac:dyDescent="0.3">
      <c r="AM249" s="8"/>
    </row>
    <row r="250" spans="11:39" x14ac:dyDescent="0.3">
      <c r="K250" s="11"/>
      <c r="AM250" s="8"/>
    </row>
    <row r="251" spans="11:39" x14ac:dyDescent="0.3">
      <c r="AM251" s="8"/>
    </row>
    <row r="252" spans="11:39" x14ac:dyDescent="0.3">
      <c r="K252" s="11"/>
      <c r="AM252" s="8"/>
    </row>
    <row r="253" spans="11:39" x14ac:dyDescent="0.3">
      <c r="AM253" s="8"/>
    </row>
    <row r="254" spans="11:39" x14ac:dyDescent="0.3">
      <c r="AM254" s="8"/>
    </row>
    <row r="255" spans="11:39" x14ac:dyDescent="0.3">
      <c r="AM255" s="8"/>
    </row>
    <row r="256" spans="11:39" x14ac:dyDescent="0.3">
      <c r="K256" s="11"/>
      <c r="AM256" s="8"/>
    </row>
    <row r="257" spans="11:39" x14ac:dyDescent="0.3">
      <c r="AM257" s="8"/>
    </row>
    <row r="258" spans="11:39" x14ac:dyDescent="0.3">
      <c r="AM258" s="8"/>
    </row>
    <row r="259" spans="11:39" x14ac:dyDescent="0.3">
      <c r="AM259" s="8"/>
    </row>
    <row r="260" spans="11:39" x14ac:dyDescent="0.3">
      <c r="AM260" s="8"/>
    </row>
    <row r="261" spans="11:39" x14ac:dyDescent="0.3">
      <c r="AM261" s="8"/>
    </row>
    <row r="262" spans="11:39" x14ac:dyDescent="0.3">
      <c r="AM262" s="8"/>
    </row>
    <row r="263" spans="11:39" x14ac:dyDescent="0.3">
      <c r="K263" s="11"/>
      <c r="AM263" s="8"/>
    </row>
    <row r="264" spans="11:39" x14ac:dyDescent="0.3">
      <c r="AM264" s="8"/>
    </row>
    <row r="265" spans="11:39" x14ac:dyDescent="0.3">
      <c r="AM265" s="8"/>
    </row>
    <row r="266" spans="11:39" x14ac:dyDescent="0.3">
      <c r="AM266" s="8"/>
    </row>
    <row r="267" spans="11:39" x14ac:dyDescent="0.3">
      <c r="AM267" s="8"/>
    </row>
    <row r="268" spans="11:39" x14ac:dyDescent="0.3">
      <c r="AM268" s="8"/>
    </row>
    <row r="269" spans="11:39" x14ac:dyDescent="0.3">
      <c r="AM269" s="8"/>
    </row>
    <row r="270" spans="11:39" x14ac:dyDescent="0.3">
      <c r="AM270" s="8"/>
    </row>
    <row r="271" spans="11:39" x14ac:dyDescent="0.3">
      <c r="AM271" s="8"/>
    </row>
    <row r="272" spans="11:39" x14ac:dyDescent="0.3">
      <c r="K272" s="11"/>
      <c r="AM272" s="8"/>
    </row>
    <row r="273" spans="11:39" x14ac:dyDescent="0.3">
      <c r="AM273" s="8"/>
    </row>
    <row r="274" spans="11:39" x14ac:dyDescent="0.3">
      <c r="K274" s="11"/>
      <c r="AM274" s="8"/>
    </row>
    <row r="275" spans="11:39" x14ac:dyDescent="0.3">
      <c r="AM275" s="8"/>
    </row>
    <row r="276" spans="11:39" x14ac:dyDescent="0.3">
      <c r="AM276" s="8"/>
    </row>
    <row r="277" spans="11:39" x14ac:dyDescent="0.3">
      <c r="AM277" s="8"/>
    </row>
    <row r="278" spans="11:39" x14ac:dyDescent="0.3">
      <c r="AM278" s="8"/>
    </row>
    <row r="279" spans="11:39" x14ac:dyDescent="0.3">
      <c r="AM279" s="8"/>
    </row>
    <row r="280" spans="11:39" x14ac:dyDescent="0.3">
      <c r="AM280" s="8"/>
    </row>
    <row r="281" spans="11:39" x14ac:dyDescent="0.3">
      <c r="K281" s="11"/>
      <c r="AM281" s="8"/>
    </row>
    <row r="282" spans="11:39" x14ac:dyDescent="0.3">
      <c r="AM282" s="8"/>
    </row>
    <row r="283" spans="11:39" x14ac:dyDescent="0.3">
      <c r="AM283" s="8"/>
    </row>
    <row r="284" spans="11:39" x14ac:dyDescent="0.3">
      <c r="AM284" s="8"/>
    </row>
    <row r="285" spans="11:39" x14ac:dyDescent="0.3">
      <c r="AM285" s="8"/>
    </row>
    <row r="286" spans="11:39" x14ac:dyDescent="0.3">
      <c r="AM286" s="8"/>
    </row>
    <row r="287" spans="11:39" x14ac:dyDescent="0.3">
      <c r="AM287" s="8"/>
    </row>
    <row r="288" spans="11:39" x14ac:dyDescent="0.3">
      <c r="AM288" s="8"/>
    </row>
    <row r="289" spans="11:39" x14ac:dyDescent="0.3">
      <c r="AM289" s="8"/>
    </row>
    <row r="290" spans="11:39" x14ac:dyDescent="0.3">
      <c r="K290" s="11"/>
      <c r="AM290" s="8"/>
    </row>
    <row r="291" spans="11:39" x14ac:dyDescent="0.3">
      <c r="AM291" s="8"/>
    </row>
    <row r="292" spans="11:39" x14ac:dyDescent="0.3">
      <c r="AM292" s="8"/>
    </row>
    <row r="293" spans="11:39" x14ac:dyDescent="0.3">
      <c r="AM293" s="8"/>
    </row>
    <row r="294" spans="11:39" x14ac:dyDescent="0.3">
      <c r="AM294" s="8"/>
    </row>
    <row r="295" spans="11:39" x14ac:dyDescent="0.3">
      <c r="AM295" s="8"/>
    </row>
    <row r="296" spans="11:39" x14ac:dyDescent="0.3">
      <c r="K296" s="11"/>
      <c r="AM296" s="8"/>
    </row>
    <row r="297" spans="11:39" x14ac:dyDescent="0.3">
      <c r="AM297" s="8"/>
    </row>
    <row r="298" spans="11:39" x14ac:dyDescent="0.3">
      <c r="AM298" s="8"/>
    </row>
    <row r="299" spans="11:39" x14ac:dyDescent="0.3">
      <c r="AM299" s="8"/>
    </row>
    <row r="300" spans="11:39" x14ac:dyDescent="0.3">
      <c r="AM300" s="8"/>
    </row>
    <row r="301" spans="11:39" x14ac:dyDescent="0.3">
      <c r="AM301" s="8"/>
    </row>
    <row r="302" spans="11:39" x14ac:dyDescent="0.3">
      <c r="AM302" s="8"/>
    </row>
    <row r="303" spans="11:39" x14ac:dyDescent="0.3">
      <c r="AM303" s="8"/>
    </row>
    <row r="304" spans="11:39" x14ac:dyDescent="0.3">
      <c r="AM304" s="8"/>
    </row>
    <row r="305" spans="11:39" x14ac:dyDescent="0.3">
      <c r="AM305" s="8"/>
    </row>
    <row r="306" spans="11:39" x14ac:dyDescent="0.3">
      <c r="AM306" s="8"/>
    </row>
    <row r="307" spans="11:39" x14ac:dyDescent="0.3">
      <c r="K307" s="11"/>
      <c r="AM307" s="8"/>
    </row>
    <row r="308" spans="11:39" x14ac:dyDescent="0.3">
      <c r="AM308" s="8"/>
    </row>
    <row r="309" spans="11:39" x14ac:dyDescent="0.3">
      <c r="K309" s="11"/>
      <c r="AM309" s="8"/>
    </row>
    <row r="310" spans="11:39" x14ac:dyDescent="0.3">
      <c r="AM310" s="8"/>
    </row>
    <row r="311" spans="11:39" x14ac:dyDescent="0.3">
      <c r="AM311" s="8"/>
    </row>
    <row r="312" spans="11:39" x14ac:dyDescent="0.3">
      <c r="K312" s="11"/>
      <c r="AM312" s="8"/>
    </row>
    <row r="313" spans="11:39" x14ac:dyDescent="0.3">
      <c r="AM313" s="8"/>
    </row>
    <row r="314" spans="11:39" x14ac:dyDescent="0.3">
      <c r="AM314" s="8"/>
    </row>
    <row r="315" spans="11:39" x14ac:dyDescent="0.3">
      <c r="AM315" s="8"/>
    </row>
    <row r="316" spans="11:39" x14ac:dyDescent="0.3">
      <c r="AM316" s="8"/>
    </row>
    <row r="317" spans="11:39" x14ac:dyDescent="0.3">
      <c r="AM317" s="8"/>
    </row>
    <row r="318" spans="11:39" x14ac:dyDescent="0.3">
      <c r="AM318" s="8"/>
    </row>
    <row r="319" spans="11:39" x14ac:dyDescent="0.3">
      <c r="AM319" s="8"/>
    </row>
    <row r="320" spans="11:39" x14ac:dyDescent="0.3">
      <c r="AM320" s="8"/>
    </row>
    <row r="321" spans="11:39" x14ac:dyDescent="0.3">
      <c r="AM321" s="8"/>
    </row>
    <row r="322" spans="11:39" x14ac:dyDescent="0.3">
      <c r="AM322" s="8"/>
    </row>
    <row r="323" spans="11:39" x14ac:dyDescent="0.3">
      <c r="AM323" s="8"/>
    </row>
    <row r="324" spans="11:39" x14ac:dyDescent="0.3">
      <c r="AM324" s="8"/>
    </row>
    <row r="325" spans="11:39" x14ac:dyDescent="0.3">
      <c r="AM325" s="8"/>
    </row>
    <row r="326" spans="11:39" x14ac:dyDescent="0.3">
      <c r="K326" s="11"/>
      <c r="AM326" s="8"/>
    </row>
    <row r="327" spans="11:39" x14ac:dyDescent="0.3">
      <c r="AM327" s="8"/>
    </row>
    <row r="328" spans="11:39" x14ac:dyDescent="0.3">
      <c r="AM328" s="8"/>
    </row>
    <row r="329" spans="11:39" x14ac:dyDescent="0.3">
      <c r="AM329" s="8"/>
    </row>
    <row r="330" spans="11:39" x14ac:dyDescent="0.3">
      <c r="K330" s="11"/>
      <c r="AM330" s="8"/>
    </row>
    <row r="331" spans="11:39" x14ac:dyDescent="0.3">
      <c r="AM331" s="8"/>
    </row>
    <row r="332" spans="11:39" x14ac:dyDescent="0.3">
      <c r="AM332" s="8"/>
    </row>
    <row r="333" spans="11:39" x14ac:dyDescent="0.3">
      <c r="AM333" s="8"/>
    </row>
    <row r="334" spans="11:39" x14ac:dyDescent="0.3">
      <c r="AM334" s="8"/>
    </row>
    <row r="335" spans="11:39" x14ac:dyDescent="0.3">
      <c r="K335" s="11"/>
      <c r="AM335" s="8"/>
    </row>
    <row r="336" spans="11:39" x14ac:dyDescent="0.3">
      <c r="AM336" s="8"/>
    </row>
    <row r="337" spans="11:39" x14ac:dyDescent="0.3">
      <c r="AM337" s="8"/>
    </row>
    <row r="338" spans="11:39" x14ac:dyDescent="0.3">
      <c r="K338" s="11"/>
      <c r="AM338" s="8"/>
    </row>
    <row r="339" spans="11:39" x14ac:dyDescent="0.3">
      <c r="AM339" s="8"/>
    </row>
    <row r="340" spans="11:39" x14ac:dyDescent="0.3">
      <c r="AM340" s="8"/>
    </row>
    <row r="341" spans="11:39" x14ac:dyDescent="0.3">
      <c r="AM341" s="8"/>
    </row>
    <row r="342" spans="11:39" x14ac:dyDescent="0.3">
      <c r="AM342" s="8"/>
    </row>
    <row r="343" spans="11:39" x14ac:dyDescent="0.3">
      <c r="AM343" s="8"/>
    </row>
    <row r="344" spans="11:39" x14ac:dyDescent="0.3">
      <c r="AM344" s="8"/>
    </row>
    <row r="345" spans="11:39" x14ac:dyDescent="0.3">
      <c r="AM345" s="8"/>
    </row>
    <row r="346" spans="11:39" x14ac:dyDescent="0.3">
      <c r="AM346" s="8"/>
    </row>
    <row r="347" spans="11:39" x14ac:dyDescent="0.3">
      <c r="AM347" s="8"/>
    </row>
    <row r="348" spans="11:39" x14ac:dyDescent="0.3">
      <c r="AM348" s="8"/>
    </row>
    <row r="349" spans="11:39" x14ac:dyDescent="0.3">
      <c r="AM349" s="8"/>
    </row>
    <row r="350" spans="11:39" x14ac:dyDescent="0.3">
      <c r="AM350" s="8"/>
    </row>
    <row r="351" spans="11:39" x14ac:dyDescent="0.3">
      <c r="AM351" s="8"/>
    </row>
    <row r="352" spans="11:39" x14ac:dyDescent="0.3">
      <c r="AM352" s="8"/>
    </row>
    <row r="353" spans="11:39" x14ac:dyDescent="0.3">
      <c r="AM353" s="8"/>
    </row>
    <row r="354" spans="11:39" x14ac:dyDescent="0.3">
      <c r="K354" s="11"/>
      <c r="AM354" s="8"/>
    </row>
    <row r="355" spans="11:39" x14ac:dyDescent="0.3">
      <c r="AM355" s="8"/>
    </row>
    <row r="356" spans="11:39" x14ac:dyDescent="0.3">
      <c r="AM356" s="8"/>
    </row>
    <row r="357" spans="11:39" x14ac:dyDescent="0.3">
      <c r="K357" s="11"/>
      <c r="AM357" s="8"/>
    </row>
    <row r="358" spans="11:39" x14ac:dyDescent="0.3">
      <c r="K358" s="11"/>
      <c r="AM358" s="8"/>
    </row>
    <row r="359" spans="11:39" x14ac:dyDescent="0.3">
      <c r="AM359" s="8"/>
    </row>
    <row r="360" spans="11:39" x14ac:dyDescent="0.3">
      <c r="AM360" s="8"/>
    </row>
    <row r="361" spans="11:39" x14ac:dyDescent="0.3">
      <c r="AM361" s="8"/>
    </row>
    <row r="362" spans="11:39" x14ac:dyDescent="0.3">
      <c r="AM362" s="8"/>
    </row>
    <row r="363" spans="11:39" x14ac:dyDescent="0.3">
      <c r="AM363" s="8"/>
    </row>
    <row r="364" spans="11:39" x14ac:dyDescent="0.3">
      <c r="AM364" s="8"/>
    </row>
    <row r="365" spans="11:39" x14ac:dyDescent="0.3">
      <c r="AM365" s="8"/>
    </row>
    <row r="366" spans="11:39" x14ac:dyDescent="0.3">
      <c r="AM366" s="8"/>
    </row>
    <row r="367" spans="11:39" x14ac:dyDescent="0.3">
      <c r="AM367" s="8"/>
    </row>
    <row r="368" spans="11:39" x14ac:dyDescent="0.3">
      <c r="AM368" s="8"/>
    </row>
    <row r="369" spans="11:39" x14ac:dyDescent="0.3">
      <c r="AM369" s="8"/>
    </row>
    <row r="370" spans="11:39" x14ac:dyDescent="0.3">
      <c r="AM370" s="8"/>
    </row>
    <row r="371" spans="11:39" x14ac:dyDescent="0.3">
      <c r="AM371" s="8"/>
    </row>
    <row r="372" spans="11:39" x14ac:dyDescent="0.3">
      <c r="AM372" s="8"/>
    </row>
    <row r="373" spans="11:39" x14ac:dyDescent="0.3">
      <c r="AM373" s="8"/>
    </row>
    <row r="374" spans="11:39" x14ac:dyDescent="0.3">
      <c r="AM374" s="8"/>
    </row>
    <row r="375" spans="11:39" x14ac:dyDescent="0.3">
      <c r="AM375" s="8"/>
    </row>
    <row r="376" spans="11:39" x14ac:dyDescent="0.3">
      <c r="AM376" s="8"/>
    </row>
    <row r="377" spans="11:39" x14ac:dyDescent="0.3">
      <c r="AM377" s="8"/>
    </row>
    <row r="378" spans="11:39" x14ac:dyDescent="0.3">
      <c r="AM378" s="8"/>
    </row>
    <row r="379" spans="11:39" x14ac:dyDescent="0.3">
      <c r="AM379" s="8"/>
    </row>
    <row r="380" spans="11:39" x14ac:dyDescent="0.3">
      <c r="AM380" s="8"/>
    </row>
    <row r="381" spans="11:39" x14ac:dyDescent="0.3">
      <c r="AM381" s="8"/>
    </row>
    <row r="382" spans="11:39" x14ac:dyDescent="0.3">
      <c r="K382" s="11"/>
      <c r="AM382" s="8"/>
    </row>
    <row r="383" spans="11:39" x14ac:dyDescent="0.3">
      <c r="AM383" s="8"/>
    </row>
    <row r="384" spans="11:39" x14ac:dyDescent="0.3">
      <c r="AM384" s="8"/>
    </row>
    <row r="385" spans="11:39" x14ac:dyDescent="0.3">
      <c r="AM385" s="8"/>
    </row>
    <row r="386" spans="11:39" x14ac:dyDescent="0.3">
      <c r="AM386" s="8"/>
    </row>
    <row r="387" spans="11:39" x14ac:dyDescent="0.3">
      <c r="K387" s="11"/>
      <c r="AM387" s="8"/>
    </row>
    <row r="388" spans="11:39" x14ac:dyDescent="0.3">
      <c r="AM388" s="8"/>
    </row>
    <row r="389" spans="11:39" x14ac:dyDescent="0.3">
      <c r="AM389" s="8"/>
    </row>
    <row r="390" spans="11:39" x14ac:dyDescent="0.3">
      <c r="AM390" s="8"/>
    </row>
    <row r="391" spans="11:39" x14ac:dyDescent="0.3">
      <c r="AM391" s="8"/>
    </row>
    <row r="392" spans="11:39" x14ac:dyDescent="0.3">
      <c r="AM392" s="8"/>
    </row>
    <row r="393" spans="11:39" x14ac:dyDescent="0.3">
      <c r="AM393" s="8"/>
    </row>
    <row r="394" spans="11:39" x14ac:dyDescent="0.3">
      <c r="AM394" s="8"/>
    </row>
    <row r="395" spans="11:39" x14ac:dyDescent="0.3">
      <c r="K395" s="11"/>
      <c r="AM395" s="8"/>
    </row>
    <row r="396" spans="11:39" x14ac:dyDescent="0.3">
      <c r="AM396" s="8"/>
    </row>
    <row r="397" spans="11:39" x14ac:dyDescent="0.3">
      <c r="K397" s="11"/>
      <c r="AM397" s="8"/>
    </row>
    <row r="398" spans="11:39" x14ac:dyDescent="0.3">
      <c r="AM398" s="8"/>
    </row>
    <row r="399" spans="11:39" x14ac:dyDescent="0.3">
      <c r="AM399" s="8"/>
    </row>
    <row r="400" spans="11:39" x14ac:dyDescent="0.3">
      <c r="AM400" s="8"/>
    </row>
    <row r="401" spans="11:39" x14ac:dyDescent="0.3">
      <c r="K401" s="11"/>
      <c r="AM401" s="8"/>
    </row>
    <row r="402" spans="11:39" x14ac:dyDescent="0.3">
      <c r="AM402" s="8"/>
    </row>
    <row r="403" spans="11:39" x14ac:dyDescent="0.3">
      <c r="K403" s="11"/>
      <c r="AM403" s="8"/>
    </row>
    <row r="404" spans="11:39" x14ac:dyDescent="0.3">
      <c r="AM404" s="8"/>
    </row>
    <row r="405" spans="11:39" x14ac:dyDescent="0.3">
      <c r="AM405" s="8"/>
    </row>
    <row r="406" spans="11:39" x14ac:dyDescent="0.3">
      <c r="AM406" s="8"/>
    </row>
    <row r="407" spans="11:39" x14ac:dyDescent="0.3">
      <c r="K407" s="11"/>
      <c r="AM407" s="8"/>
    </row>
    <row r="408" spans="11:39" x14ac:dyDescent="0.3">
      <c r="AM408" s="8"/>
    </row>
    <row r="409" spans="11:39" x14ac:dyDescent="0.3">
      <c r="AM409" s="8"/>
    </row>
    <row r="410" spans="11:39" x14ac:dyDescent="0.3">
      <c r="AM410" s="8"/>
    </row>
    <row r="411" spans="11:39" x14ac:dyDescent="0.3">
      <c r="AM411" s="8"/>
    </row>
    <row r="412" spans="11:39" x14ac:dyDescent="0.3">
      <c r="AM412" s="8"/>
    </row>
    <row r="413" spans="11:39" x14ac:dyDescent="0.3">
      <c r="AM413" s="8"/>
    </row>
    <row r="414" spans="11:39" x14ac:dyDescent="0.3">
      <c r="AM414" s="8"/>
    </row>
    <row r="415" spans="11:39" x14ac:dyDescent="0.3">
      <c r="AM415" s="8"/>
    </row>
    <row r="416" spans="11:39" x14ac:dyDescent="0.3">
      <c r="AM416" s="8"/>
    </row>
    <row r="417" spans="11:39" x14ac:dyDescent="0.3">
      <c r="AM417" s="8"/>
    </row>
    <row r="418" spans="11:39" x14ac:dyDescent="0.3">
      <c r="AM418" s="8"/>
    </row>
    <row r="419" spans="11:39" x14ac:dyDescent="0.3">
      <c r="AM419" s="8"/>
    </row>
    <row r="420" spans="11:39" x14ac:dyDescent="0.3">
      <c r="AM420" s="8"/>
    </row>
    <row r="421" spans="11:39" x14ac:dyDescent="0.3">
      <c r="AM421" s="8"/>
    </row>
    <row r="422" spans="11:39" x14ac:dyDescent="0.3">
      <c r="AM422" s="8"/>
    </row>
    <row r="423" spans="11:39" x14ac:dyDescent="0.3">
      <c r="AM423" s="8"/>
    </row>
    <row r="424" spans="11:39" x14ac:dyDescent="0.3">
      <c r="AM424" s="8"/>
    </row>
    <row r="425" spans="11:39" x14ac:dyDescent="0.3">
      <c r="K425" s="11"/>
      <c r="AM425" s="8"/>
    </row>
    <row r="426" spans="11:39" x14ac:dyDescent="0.3">
      <c r="AM426" s="8"/>
    </row>
    <row r="427" spans="11:39" x14ac:dyDescent="0.3">
      <c r="AM427" s="8"/>
    </row>
    <row r="428" spans="11:39" x14ac:dyDescent="0.3">
      <c r="AM428" s="8"/>
    </row>
    <row r="429" spans="11:39" x14ac:dyDescent="0.3">
      <c r="AM429" s="8"/>
    </row>
    <row r="430" spans="11:39" x14ac:dyDescent="0.3">
      <c r="AM430" s="8"/>
    </row>
    <row r="431" spans="11:39" x14ac:dyDescent="0.3">
      <c r="K431" s="11"/>
      <c r="AM431" s="8"/>
    </row>
    <row r="432" spans="11:39" x14ac:dyDescent="0.3">
      <c r="AM432" s="8"/>
    </row>
    <row r="433" spans="11:39" x14ac:dyDescent="0.3">
      <c r="AM433" s="8"/>
    </row>
    <row r="434" spans="11:39" x14ac:dyDescent="0.3">
      <c r="AM434" s="8"/>
    </row>
    <row r="435" spans="11:39" x14ac:dyDescent="0.3">
      <c r="K435" s="11"/>
      <c r="AM435" s="8"/>
    </row>
    <row r="436" spans="11:39" x14ac:dyDescent="0.3">
      <c r="K436" s="11"/>
      <c r="AM436" s="8"/>
    </row>
    <row r="437" spans="11:39" x14ac:dyDescent="0.3">
      <c r="AM437" s="8"/>
    </row>
    <row r="438" spans="11:39" x14ac:dyDescent="0.3">
      <c r="K438" s="11"/>
      <c r="AM438" s="8"/>
    </row>
    <row r="439" spans="11:39" x14ac:dyDescent="0.3">
      <c r="AM439" s="8"/>
    </row>
    <row r="440" spans="11:39" x14ac:dyDescent="0.3">
      <c r="AM440" s="8"/>
    </row>
    <row r="441" spans="11:39" x14ac:dyDescent="0.3">
      <c r="AM441" s="8"/>
    </row>
    <row r="442" spans="11:39" x14ac:dyDescent="0.3">
      <c r="AM442" s="8"/>
    </row>
    <row r="443" spans="11:39" x14ac:dyDescent="0.3">
      <c r="AM443" s="8"/>
    </row>
    <row r="444" spans="11:39" x14ac:dyDescent="0.3">
      <c r="K444" s="11"/>
      <c r="AM444" s="8"/>
    </row>
    <row r="445" spans="11:39" x14ac:dyDescent="0.3">
      <c r="AM445" s="8"/>
    </row>
    <row r="446" spans="11:39" x14ac:dyDescent="0.3">
      <c r="AM446" s="8"/>
    </row>
    <row r="447" spans="11:39" x14ac:dyDescent="0.3">
      <c r="AM447" s="8"/>
    </row>
    <row r="448" spans="11:39" x14ac:dyDescent="0.3">
      <c r="AM448" s="8"/>
    </row>
    <row r="449" spans="11:39" x14ac:dyDescent="0.3">
      <c r="AM449" s="8"/>
    </row>
    <row r="450" spans="11:39" x14ac:dyDescent="0.3">
      <c r="AM450" s="8"/>
    </row>
    <row r="451" spans="11:39" x14ac:dyDescent="0.3">
      <c r="AM451" s="8"/>
    </row>
    <row r="452" spans="11:39" x14ac:dyDescent="0.3">
      <c r="AM452" s="8"/>
    </row>
    <row r="453" spans="11:39" x14ac:dyDescent="0.3">
      <c r="AM453" s="8"/>
    </row>
    <row r="454" spans="11:39" x14ac:dyDescent="0.3">
      <c r="AM454" s="8"/>
    </row>
    <row r="455" spans="11:39" x14ac:dyDescent="0.3">
      <c r="K455" s="11"/>
      <c r="AM455" s="8"/>
    </row>
    <row r="456" spans="11:39" x14ac:dyDescent="0.3">
      <c r="AM456" s="8"/>
    </row>
    <row r="457" spans="11:39" x14ac:dyDescent="0.3">
      <c r="AM457" s="8"/>
    </row>
    <row r="458" spans="11:39" x14ac:dyDescent="0.3">
      <c r="AM458" s="8"/>
    </row>
    <row r="459" spans="11:39" x14ac:dyDescent="0.3">
      <c r="AM459" s="8"/>
    </row>
    <row r="460" spans="11:39" x14ac:dyDescent="0.3">
      <c r="AM460" s="8"/>
    </row>
    <row r="461" spans="11:39" x14ac:dyDescent="0.3">
      <c r="AM461" s="8"/>
    </row>
    <row r="462" spans="11:39" x14ac:dyDescent="0.3">
      <c r="AM462" s="8"/>
    </row>
    <row r="463" spans="11:39" x14ac:dyDescent="0.3">
      <c r="K463" s="11"/>
      <c r="AM463" s="8"/>
    </row>
    <row r="464" spans="11:39" x14ac:dyDescent="0.3">
      <c r="AM464" s="8"/>
    </row>
    <row r="465" spans="11:39" x14ac:dyDescent="0.3">
      <c r="AM465" s="8"/>
    </row>
    <row r="466" spans="11:39" x14ac:dyDescent="0.3">
      <c r="AM466" s="8"/>
    </row>
    <row r="467" spans="11:39" x14ac:dyDescent="0.3">
      <c r="AM467" s="8"/>
    </row>
    <row r="468" spans="11:39" x14ac:dyDescent="0.3">
      <c r="AM468" s="8"/>
    </row>
    <row r="469" spans="11:39" x14ac:dyDescent="0.3">
      <c r="AM469" s="8"/>
    </row>
    <row r="470" spans="11:39" x14ac:dyDescent="0.3">
      <c r="K470" s="11"/>
      <c r="AM470" s="8"/>
    </row>
    <row r="471" spans="11:39" x14ac:dyDescent="0.3">
      <c r="AM471" s="8"/>
    </row>
    <row r="472" spans="11:39" x14ac:dyDescent="0.3">
      <c r="AM472" s="8"/>
    </row>
    <row r="473" spans="11:39" x14ac:dyDescent="0.3">
      <c r="AM473" s="8"/>
    </row>
    <row r="474" spans="11:39" x14ac:dyDescent="0.3">
      <c r="K474" s="11"/>
      <c r="AM474" s="8"/>
    </row>
    <row r="475" spans="11:39" x14ac:dyDescent="0.3">
      <c r="AM475" s="8"/>
    </row>
    <row r="476" spans="11:39" x14ac:dyDescent="0.3">
      <c r="AM476" s="8"/>
    </row>
    <row r="477" spans="11:39" x14ac:dyDescent="0.3">
      <c r="AM477" s="8"/>
    </row>
    <row r="478" spans="11:39" x14ac:dyDescent="0.3">
      <c r="AM478" s="8"/>
    </row>
    <row r="479" spans="11:39" x14ac:dyDescent="0.3">
      <c r="AM479" s="8"/>
    </row>
    <row r="480" spans="11:39" x14ac:dyDescent="0.3">
      <c r="AM480" s="8"/>
    </row>
    <row r="481" spans="11:39" x14ac:dyDescent="0.3">
      <c r="AM481" s="8"/>
    </row>
    <row r="482" spans="11:39" x14ac:dyDescent="0.3">
      <c r="AM482" s="8"/>
    </row>
    <row r="483" spans="11:39" x14ac:dyDescent="0.3">
      <c r="AM483" s="8"/>
    </row>
    <row r="484" spans="11:39" x14ac:dyDescent="0.3">
      <c r="AM484" s="8"/>
    </row>
    <row r="485" spans="11:39" x14ac:dyDescent="0.3">
      <c r="AM485" s="8"/>
    </row>
    <row r="486" spans="11:39" x14ac:dyDescent="0.3">
      <c r="AM486" s="8"/>
    </row>
    <row r="487" spans="11:39" x14ac:dyDescent="0.3">
      <c r="AM487" s="8"/>
    </row>
    <row r="488" spans="11:39" x14ac:dyDescent="0.3">
      <c r="AM488" s="8"/>
    </row>
    <row r="489" spans="11:39" x14ac:dyDescent="0.3">
      <c r="AM489" s="8"/>
    </row>
    <row r="490" spans="11:39" x14ac:dyDescent="0.3">
      <c r="K490" s="11"/>
      <c r="AM490" s="8"/>
    </row>
    <row r="491" spans="11:39" x14ac:dyDescent="0.3">
      <c r="AM491" s="8"/>
    </row>
    <row r="492" spans="11:39" x14ac:dyDescent="0.3">
      <c r="AM492" s="8"/>
    </row>
    <row r="493" spans="11:39" x14ac:dyDescent="0.3">
      <c r="AM493" s="8"/>
    </row>
    <row r="494" spans="11:39" x14ac:dyDescent="0.3">
      <c r="AM494" s="8"/>
    </row>
    <row r="495" spans="11:39" x14ac:dyDescent="0.3">
      <c r="K495" s="11"/>
      <c r="AM495" s="8"/>
    </row>
    <row r="496" spans="11:39" x14ac:dyDescent="0.3">
      <c r="AM496" s="8"/>
    </row>
    <row r="497" spans="11:39" x14ac:dyDescent="0.3">
      <c r="AM497" s="8"/>
    </row>
    <row r="498" spans="11:39" x14ac:dyDescent="0.3">
      <c r="AM498" s="8"/>
    </row>
    <row r="499" spans="11:39" x14ac:dyDescent="0.3">
      <c r="AM499" s="8"/>
    </row>
    <row r="500" spans="11:39" x14ac:dyDescent="0.3">
      <c r="AM500" s="8"/>
    </row>
    <row r="501" spans="11:39" x14ac:dyDescent="0.3">
      <c r="AM501" s="8"/>
    </row>
    <row r="502" spans="11:39" x14ac:dyDescent="0.3">
      <c r="AM502" s="8"/>
    </row>
    <row r="503" spans="11:39" x14ac:dyDescent="0.3">
      <c r="AM503" s="8"/>
    </row>
    <row r="504" spans="11:39" x14ac:dyDescent="0.3">
      <c r="AM504" s="8"/>
    </row>
    <row r="505" spans="11:39" x14ac:dyDescent="0.3">
      <c r="AM505" s="8"/>
    </row>
    <row r="506" spans="11:39" x14ac:dyDescent="0.3">
      <c r="AM506" s="8"/>
    </row>
    <row r="507" spans="11:39" x14ac:dyDescent="0.3">
      <c r="AM507" s="8"/>
    </row>
    <row r="508" spans="11:39" x14ac:dyDescent="0.3">
      <c r="AM508" s="8"/>
    </row>
    <row r="509" spans="11:39" x14ac:dyDescent="0.3">
      <c r="AM509" s="8"/>
    </row>
    <row r="510" spans="11:39" x14ac:dyDescent="0.3">
      <c r="K510" s="11"/>
      <c r="AM510" s="8"/>
    </row>
    <row r="511" spans="11:39" x14ac:dyDescent="0.3">
      <c r="AM511" s="8"/>
    </row>
    <row r="512" spans="11:39" x14ac:dyDescent="0.3">
      <c r="AM512" s="8"/>
    </row>
    <row r="513" spans="11:39" x14ac:dyDescent="0.3">
      <c r="AM513" s="8"/>
    </row>
    <row r="514" spans="11:39" x14ac:dyDescent="0.3">
      <c r="AM514" s="8"/>
    </row>
    <row r="515" spans="11:39" x14ac:dyDescent="0.3">
      <c r="AM515" s="8"/>
    </row>
    <row r="516" spans="11:39" x14ac:dyDescent="0.3">
      <c r="K516" s="11"/>
      <c r="AM516" s="8"/>
    </row>
    <row r="517" spans="11:39" x14ac:dyDescent="0.3">
      <c r="AM517" s="8"/>
    </row>
    <row r="518" spans="11:39" x14ac:dyDescent="0.3">
      <c r="AM518" s="8"/>
    </row>
    <row r="519" spans="11:39" x14ac:dyDescent="0.3">
      <c r="AM519" s="8"/>
    </row>
    <row r="520" spans="11:39" x14ac:dyDescent="0.3">
      <c r="AM520" s="8"/>
    </row>
    <row r="521" spans="11:39" x14ac:dyDescent="0.3">
      <c r="AM521" s="8"/>
    </row>
    <row r="522" spans="11:39" x14ac:dyDescent="0.3">
      <c r="K522" s="11"/>
      <c r="AM522" s="8"/>
    </row>
    <row r="523" spans="11:39" x14ac:dyDescent="0.3">
      <c r="AM523" s="8"/>
    </row>
    <row r="524" spans="11:39" x14ac:dyDescent="0.3">
      <c r="AM524" s="8"/>
    </row>
    <row r="525" spans="11:39" x14ac:dyDescent="0.3">
      <c r="AM525" s="8"/>
    </row>
    <row r="526" spans="11:39" x14ac:dyDescent="0.3">
      <c r="AM526" s="8"/>
    </row>
    <row r="527" spans="11:39" x14ac:dyDescent="0.3">
      <c r="AM527" s="8"/>
    </row>
    <row r="528" spans="11:39" x14ac:dyDescent="0.3">
      <c r="AM528" s="8"/>
    </row>
    <row r="529" spans="11:39" x14ac:dyDescent="0.3">
      <c r="AM529" s="8"/>
    </row>
    <row r="530" spans="11:39" x14ac:dyDescent="0.3">
      <c r="AM530" s="8"/>
    </row>
    <row r="531" spans="11:39" x14ac:dyDescent="0.3">
      <c r="K531" s="11"/>
      <c r="AM531" s="8"/>
    </row>
    <row r="532" spans="11:39" x14ac:dyDescent="0.3">
      <c r="AM532" s="8"/>
    </row>
    <row r="533" spans="11:39" x14ac:dyDescent="0.3">
      <c r="AM533" s="8"/>
    </row>
    <row r="534" spans="11:39" x14ac:dyDescent="0.3">
      <c r="AM534" s="8"/>
    </row>
    <row r="535" spans="11:39" x14ac:dyDescent="0.3">
      <c r="AM535" s="8"/>
    </row>
    <row r="536" spans="11:39" x14ac:dyDescent="0.3">
      <c r="K536" s="11"/>
      <c r="AM536" s="8"/>
    </row>
    <row r="537" spans="11:39" x14ac:dyDescent="0.3">
      <c r="AM537" s="8"/>
    </row>
    <row r="538" spans="11:39" x14ac:dyDescent="0.3">
      <c r="AM538" s="8"/>
    </row>
    <row r="539" spans="11:39" x14ac:dyDescent="0.3">
      <c r="AM539" s="8"/>
    </row>
    <row r="540" spans="11:39" x14ac:dyDescent="0.3">
      <c r="AM540" s="8"/>
    </row>
    <row r="541" spans="11:39" x14ac:dyDescent="0.3">
      <c r="AM541" s="8"/>
    </row>
    <row r="542" spans="11:39" x14ac:dyDescent="0.3">
      <c r="AM542" s="8"/>
    </row>
    <row r="543" spans="11:39" x14ac:dyDescent="0.3">
      <c r="AM543" s="8"/>
    </row>
    <row r="544" spans="11:39" x14ac:dyDescent="0.3">
      <c r="AM544" s="8"/>
    </row>
    <row r="545" spans="39:39" x14ac:dyDescent="0.3">
      <c r="AM545" s="8"/>
    </row>
    <row r="546" spans="39:39" x14ac:dyDescent="0.3">
      <c r="AM546" s="8"/>
    </row>
    <row r="547" spans="39:39" x14ac:dyDescent="0.3">
      <c r="AM547" s="8"/>
    </row>
    <row r="548" spans="39:39" x14ac:dyDescent="0.3">
      <c r="AM548" s="8"/>
    </row>
    <row r="549" spans="39:39" x14ac:dyDescent="0.3">
      <c r="AM549" s="8"/>
    </row>
    <row r="550" spans="39:39" x14ac:dyDescent="0.3">
      <c r="AM550" s="8"/>
    </row>
    <row r="551" spans="39:39" x14ac:dyDescent="0.3">
      <c r="AM551" s="8"/>
    </row>
    <row r="552" spans="39:39" x14ac:dyDescent="0.3">
      <c r="AM552" s="8"/>
    </row>
    <row r="553" spans="39:39" x14ac:dyDescent="0.3">
      <c r="AM553" s="8"/>
    </row>
    <row r="554" spans="39:39" x14ac:dyDescent="0.3">
      <c r="AM554" s="8"/>
    </row>
    <row r="555" spans="39:39" x14ac:dyDescent="0.3">
      <c r="AM555" s="8"/>
    </row>
    <row r="556" spans="39:39" x14ac:dyDescent="0.3">
      <c r="AM556" s="8"/>
    </row>
    <row r="557" spans="39:39" x14ac:dyDescent="0.3">
      <c r="AM557" s="8"/>
    </row>
    <row r="558" spans="39:39" x14ac:dyDescent="0.3">
      <c r="AM558" s="8"/>
    </row>
    <row r="559" spans="39:39" x14ac:dyDescent="0.3">
      <c r="AM559" s="8"/>
    </row>
    <row r="560" spans="39:39" x14ac:dyDescent="0.3">
      <c r="AM560" s="8"/>
    </row>
    <row r="561" spans="11:39" x14ac:dyDescent="0.3">
      <c r="AM561" s="8"/>
    </row>
    <row r="562" spans="11:39" x14ac:dyDescent="0.3">
      <c r="AM562" s="8"/>
    </row>
    <row r="563" spans="11:39" x14ac:dyDescent="0.3">
      <c r="AM563" s="8"/>
    </row>
    <row r="564" spans="11:39" x14ac:dyDescent="0.3">
      <c r="K564" s="11"/>
      <c r="AM564" s="8"/>
    </row>
    <row r="565" spans="11:39" x14ac:dyDescent="0.3">
      <c r="AM565" s="8"/>
    </row>
    <row r="566" spans="11:39" x14ac:dyDescent="0.3">
      <c r="AM566" s="8"/>
    </row>
    <row r="567" spans="11:39" x14ac:dyDescent="0.3">
      <c r="AM567" s="8"/>
    </row>
    <row r="568" spans="11:39" x14ac:dyDescent="0.3">
      <c r="AM568" s="8"/>
    </row>
    <row r="569" spans="11:39" x14ac:dyDescent="0.3">
      <c r="AM569" s="8"/>
    </row>
    <row r="570" spans="11:39" x14ac:dyDescent="0.3">
      <c r="AM570" s="8"/>
    </row>
    <row r="571" spans="11:39" x14ac:dyDescent="0.3">
      <c r="K571" s="11"/>
      <c r="AM571" s="8"/>
    </row>
    <row r="572" spans="11:39" x14ac:dyDescent="0.3">
      <c r="K572" s="11"/>
      <c r="AM572" s="8"/>
    </row>
    <row r="573" spans="11:39" x14ac:dyDescent="0.3">
      <c r="AM573" s="8"/>
    </row>
    <row r="574" spans="11:39" x14ac:dyDescent="0.3">
      <c r="AM574" s="8"/>
    </row>
    <row r="575" spans="11:39" x14ac:dyDescent="0.3">
      <c r="AM575" s="8"/>
    </row>
    <row r="576" spans="11:39" x14ac:dyDescent="0.3">
      <c r="AM576" s="8"/>
    </row>
    <row r="577" spans="11:39" x14ac:dyDescent="0.3">
      <c r="AM577" s="8"/>
    </row>
    <row r="578" spans="11:39" x14ac:dyDescent="0.3">
      <c r="AM578" s="8"/>
    </row>
    <row r="579" spans="11:39" x14ac:dyDescent="0.3">
      <c r="AM579" s="8"/>
    </row>
    <row r="580" spans="11:39" x14ac:dyDescent="0.3">
      <c r="AM580" s="8"/>
    </row>
    <row r="581" spans="11:39" x14ac:dyDescent="0.3">
      <c r="AM581" s="8"/>
    </row>
    <row r="582" spans="11:39" x14ac:dyDescent="0.3">
      <c r="AM582" s="8"/>
    </row>
    <row r="583" spans="11:39" x14ac:dyDescent="0.3">
      <c r="AM583" s="8"/>
    </row>
    <row r="584" spans="11:39" x14ac:dyDescent="0.3">
      <c r="AM584" s="8"/>
    </row>
    <row r="585" spans="11:39" x14ac:dyDescent="0.3">
      <c r="AM585" s="8"/>
    </row>
    <row r="586" spans="11:39" x14ac:dyDescent="0.3">
      <c r="AM586" s="8"/>
    </row>
    <row r="587" spans="11:39" x14ac:dyDescent="0.3">
      <c r="AM587" s="8"/>
    </row>
    <row r="588" spans="11:39" x14ac:dyDescent="0.3">
      <c r="AM588" s="8"/>
    </row>
    <row r="589" spans="11:39" x14ac:dyDescent="0.3">
      <c r="AM589" s="8"/>
    </row>
    <row r="590" spans="11:39" x14ac:dyDescent="0.3">
      <c r="K590" s="11"/>
      <c r="AM590" s="8"/>
    </row>
    <row r="591" spans="11:39" x14ac:dyDescent="0.3">
      <c r="AM591" s="8"/>
    </row>
    <row r="592" spans="11:39" x14ac:dyDescent="0.3">
      <c r="K592" s="11"/>
      <c r="AM592" s="8"/>
    </row>
    <row r="593" spans="11:39" x14ac:dyDescent="0.3">
      <c r="AM593" s="8"/>
    </row>
    <row r="594" spans="11:39" x14ac:dyDescent="0.3">
      <c r="AM594" s="8"/>
    </row>
    <row r="595" spans="11:39" x14ac:dyDescent="0.3">
      <c r="K595" s="11"/>
      <c r="AM595" s="8"/>
    </row>
    <row r="596" spans="11:39" x14ac:dyDescent="0.3">
      <c r="AM596" s="8"/>
    </row>
    <row r="597" spans="11:39" x14ac:dyDescent="0.3">
      <c r="AM597" s="8"/>
    </row>
    <row r="598" spans="11:39" x14ac:dyDescent="0.3">
      <c r="AM598" s="8"/>
    </row>
    <row r="599" spans="11:39" x14ac:dyDescent="0.3">
      <c r="AM599" s="8"/>
    </row>
    <row r="600" spans="11:39" x14ac:dyDescent="0.3">
      <c r="AM600" s="8"/>
    </row>
    <row r="601" spans="11:39" x14ac:dyDescent="0.3">
      <c r="K601" s="11"/>
      <c r="AM601" s="8"/>
    </row>
    <row r="602" spans="11:39" x14ac:dyDescent="0.3">
      <c r="AM602" s="8"/>
    </row>
    <row r="603" spans="11:39" x14ac:dyDescent="0.3">
      <c r="AM603" s="8"/>
    </row>
    <row r="604" spans="11:39" x14ac:dyDescent="0.3">
      <c r="AM604" s="8"/>
    </row>
    <row r="605" spans="11:39" x14ac:dyDescent="0.3">
      <c r="AM605" s="8"/>
    </row>
    <row r="606" spans="11:39" x14ac:dyDescent="0.3">
      <c r="K606" s="11"/>
      <c r="AM606" s="8"/>
    </row>
    <row r="607" spans="11:39" x14ac:dyDescent="0.3">
      <c r="AM607" s="8"/>
    </row>
    <row r="608" spans="11:39" x14ac:dyDescent="0.3">
      <c r="AM608" s="8"/>
    </row>
    <row r="609" spans="11:39" x14ac:dyDescent="0.3">
      <c r="AM609" s="8"/>
    </row>
    <row r="610" spans="11:39" x14ac:dyDescent="0.3">
      <c r="AM610" s="8"/>
    </row>
    <row r="611" spans="11:39" x14ac:dyDescent="0.3">
      <c r="AM611" s="8"/>
    </row>
    <row r="612" spans="11:39" x14ac:dyDescent="0.3">
      <c r="K612" s="11"/>
      <c r="AM612" s="8"/>
    </row>
    <row r="613" spans="11:39" x14ac:dyDescent="0.3">
      <c r="AM613" s="8"/>
    </row>
    <row r="614" spans="11:39" x14ac:dyDescent="0.3">
      <c r="AM614" s="8"/>
    </row>
    <row r="615" spans="11:39" x14ac:dyDescent="0.3">
      <c r="AM615" s="8"/>
    </row>
    <row r="616" spans="11:39" x14ac:dyDescent="0.3">
      <c r="AM616" s="8"/>
    </row>
    <row r="617" spans="11:39" x14ac:dyDescent="0.3">
      <c r="K617" s="11"/>
      <c r="AM617" s="8"/>
    </row>
    <row r="618" spans="11:39" x14ac:dyDescent="0.3">
      <c r="AM618" s="8"/>
    </row>
    <row r="619" spans="11:39" x14ac:dyDescent="0.3">
      <c r="AM619" s="8"/>
    </row>
    <row r="620" spans="11:39" x14ac:dyDescent="0.3">
      <c r="AM620" s="8"/>
    </row>
    <row r="621" spans="11:39" x14ac:dyDescent="0.3">
      <c r="K621" s="11"/>
      <c r="AM621" s="8"/>
    </row>
    <row r="622" spans="11:39" x14ac:dyDescent="0.3">
      <c r="AM622" s="8"/>
    </row>
    <row r="623" spans="11:39" x14ac:dyDescent="0.3">
      <c r="AM623" s="8"/>
    </row>
    <row r="624" spans="11:39" x14ac:dyDescent="0.3">
      <c r="K624" s="11"/>
      <c r="AM624" s="8"/>
    </row>
    <row r="625" spans="11:39" x14ac:dyDescent="0.3">
      <c r="AM625" s="8"/>
    </row>
    <row r="626" spans="11:39" x14ac:dyDescent="0.3">
      <c r="AM626" s="8"/>
    </row>
    <row r="627" spans="11:39" x14ac:dyDescent="0.3">
      <c r="AM627" s="8"/>
    </row>
    <row r="628" spans="11:39" x14ac:dyDescent="0.3">
      <c r="AM628" s="8"/>
    </row>
    <row r="629" spans="11:39" x14ac:dyDescent="0.3">
      <c r="AM629" s="8"/>
    </row>
    <row r="630" spans="11:39" x14ac:dyDescent="0.3">
      <c r="AM630" s="8"/>
    </row>
    <row r="631" spans="11:39" x14ac:dyDescent="0.3">
      <c r="K631" s="11"/>
      <c r="AM631" s="8"/>
    </row>
    <row r="632" spans="11:39" x14ac:dyDescent="0.3">
      <c r="AM632" s="8"/>
    </row>
    <row r="633" spans="11:39" x14ac:dyDescent="0.3">
      <c r="K633" s="11"/>
      <c r="AM633" s="8"/>
    </row>
    <row r="634" spans="11:39" x14ac:dyDescent="0.3">
      <c r="AM634" s="8"/>
    </row>
    <row r="635" spans="11:39" x14ac:dyDescent="0.3">
      <c r="AM635" s="8"/>
    </row>
    <row r="636" spans="11:39" x14ac:dyDescent="0.3">
      <c r="AM636" s="8"/>
    </row>
    <row r="637" spans="11:39" x14ac:dyDescent="0.3">
      <c r="AM637" s="8"/>
    </row>
    <row r="638" spans="11:39" x14ac:dyDescent="0.3">
      <c r="AM638" s="8"/>
    </row>
    <row r="639" spans="11:39" x14ac:dyDescent="0.3">
      <c r="AM639" s="8"/>
    </row>
    <row r="640" spans="11:39" x14ac:dyDescent="0.3">
      <c r="AM640" s="8"/>
    </row>
    <row r="641" spans="11:39" x14ac:dyDescent="0.3">
      <c r="AM641" s="8"/>
    </row>
    <row r="642" spans="11:39" x14ac:dyDescent="0.3">
      <c r="AM642" s="8"/>
    </row>
    <row r="643" spans="11:39" x14ac:dyDescent="0.3">
      <c r="AM643" s="8"/>
    </row>
    <row r="644" spans="11:39" x14ac:dyDescent="0.3">
      <c r="AM644" s="8"/>
    </row>
    <row r="645" spans="11:39" x14ac:dyDescent="0.3">
      <c r="AM645" s="8"/>
    </row>
    <row r="646" spans="11:39" x14ac:dyDescent="0.3">
      <c r="AM646" s="8"/>
    </row>
    <row r="647" spans="11:39" x14ac:dyDescent="0.3">
      <c r="AM647" s="8"/>
    </row>
    <row r="648" spans="11:39" x14ac:dyDescent="0.3">
      <c r="AM648" s="8"/>
    </row>
    <row r="649" spans="11:39" x14ac:dyDescent="0.3">
      <c r="K649" s="11"/>
      <c r="AM649" s="8"/>
    </row>
    <row r="650" spans="11:39" x14ac:dyDescent="0.3">
      <c r="AM650" s="8"/>
    </row>
    <row r="651" spans="11:39" x14ac:dyDescent="0.3">
      <c r="AM651" s="8"/>
    </row>
    <row r="652" spans="11:39" x14ac:dyDescent="0.3">
      <c r="AM652" s="8"/>
    </row>
    <row r="653" spans="11:39" x14ac:dyDescent="0.3">
      <c r="AM653" s="8"/>
    </row>
    <row r="654" spans="11:39" x14ac:dyDescent="0.3">
      <c r="AM654" s="8"/>
    </row>
    <row r="655" spans="11:39" x14ac:dyDescent="0.3">
      <c r="AM655" s="8"/>
    </row>
    <row r="656" spans="11:39" x14ac:dyDescent="0.3">
      <c r="AM656" s="8"/>
    </row>
    <row r="657" spans="11:39" x14ac:dyDescent="0.3">
      <c r="AM657" s="8"/>
    </row>
    <row r="658" spans="11:39" x14ac:dyDescent="0.3">
      <c r="AM658" s="8"/>
    </row>
    <row r="659" spans="11:39" x14ac:dyDescent="0.3">
      <c r="AM659" s="8"/>
    </row>
    <row r="660" spans="11:39" x14ac:dyDescent="0.3">
      <c r="K660" s="11"/>
      <c r="AM660" s="8"/>
    </row>
    <row r="661" spans="11:39" x14ac:dyDescent="0.3">
      <c r="AM661" s="8"/>
    </row>
    <row r="662" spans="11:39" x14ac:dyDescent="0.3">
      <c r="AM662" s="8"/>
    </row>
    <row r="663" spans="11:39" x14ac:dyDescent="0.3">
      <c r="AM663" s="8"/>
    </row>
    <row r="664" spans="11:39" x14ac:dyDescent="0.3">
      <c r="AM664" s="8"/>
    </row>
    <row r="665" spans="11:39" x14ac:dyDescent="0.3">
      <c r="AM665" s="8"/>
    </row>
    <row r="666" spans="11:39" x14ac:dyDescent="0.3">
      <c r="AM666" s="8"/>
    </row>
    <row r="667" spans="11:39" x14ac:dyDescent="0.3">
      <c r="AM667" s="8"/>
    </row>
    <row r="668" spans="11:39" x14ac:dyDescent="0.3">
      <c r="AM668" s="8"/>
    </row>
    <row r="669" spans="11:39" x14ac:dyDescent="0.3">
      <c r="AM669" s="8"/>
    </row>
    <row r="670" spans="11:39" x14ac:dyDescent="0.3">
      <c r="K670" s="11"/>
      <c r="AM670" s="8"/>
    </row>
    <row r="671" spans="11:39" x14ac:dyDescent="0.3">
      <c r="AM671" s="8"/>
    </row>
    <row r="672" spans="11:39" x14ac:dyDescent="0.3">
      <c r="AM672" s="8"/>
    </row>
    <row r="673" spans="11:39" x14ac:dyDescent="0.3">
      <c r="AM673" s="8"/>
    </row>
    <row r="674" spans="11:39" x14ac:dyDescent="0.3">
      <c r="AM674" s="8"/>
    </row>
    <row r="675" spans="11:39" x14ac:dyDescent="0.3">
      <c r="AM675" s="8"/>
    </row>
    <row r="676" spans="11:39" x14ac:dyDescent="0.3">
      <c r="AM676" s="8"/>
    </row>
    <row r="677" spans="11:39" x14ac:dyDescent="0.3">
      <c r="AM677" s="8"/>
    </row>
    <row r="678" spans="11:39" x14ac:dyDescent="0.3">
      <c r="K678" s="11"/>
      <c r="AM678" s="8"/>
    </row>
    <row r="679" spans="11:39" x14ac:dyDescent="0.3">
      <c r="AM679" s="8"/>
    </row>
    <row r="680" spans="11:39" x14ac:dyDescent="0.3">
      <c r="AM680" s="8"/>
    </row>
    <row r="681" spans="11:39" x14ac:dyDescent="0.3">
      <c r="AM681" s="8"/>
    </row>
    <row r="682" spans="11:39" x14ac:dyDescent="0.3">
      <c r="K682" s="11"/>
      <c r="AM682" s="8"/>
    </row>
    <row r="683" spans="11:39" x14ac:dyDescent="0.3">
      <c r="AM683" s="8"/>
    </row>
    <row r="684" spans="11:39" x14ac:dyDescent="0.3">
      <c r="AM684" s="8"/>
    </row>
    <row r="685" spans="11:39" x14ac:dyDescent="0.3">
      <c r="AM685" s="8"/>
    </row>
    <row r="686" spans="11:39" x14ac:dyDescent="0.3">
      <c r="AM686" s="8"/>
    </row>
    <row r="687" spans="11:39" x14ac:dyDescent="0.3">
      <c r="AM687" s="8"/>
    </row>
    <row r="688" spans="11:39" x14ac:dyDescent="0.3">
      <c r="AM688" s="8"/>
    </row>
    <row r="689" spans="11:39" x14ac:dyDescent="0.3">
      <c r="AM689" s="8"/>
    </row>
    <row r="690" spans="11:39" x14ac:dyDescent="0.3">
      <c r="K690" s="11"/>
      <c r="AM690" s="8"/>
    </row>
    <row r="691" spans="11:39" x14ac:dyDescent="0.3">
      <c r="AM691" s="8"/>
    </row>
    <row r="692" spans="11:39" x14ac:dyDescent="0.3">
      <c r="AM692" s="8"/>
    </row>
    <row r="693" spans="11:39" x14ac:dyDescent="0.3">
      <c r="AM693" s="8"/>
    </row>
    <row r="694" spans="11:39" x14ac:dyDescent="0.3">
      <c r="AM694" s="8"/>
    </row>
    <row r="695" spans="11:39" x14ac:dyDescent="0.3">
      <c r="AM695" s="8"/>
    </row>
    <row r="696" spans="11:39" x14ac:dyDescent="0.3">
      <c r="AM696" s="8"/>
    </row>
    <row r="697" spans="11:39" x14ac:dyDescent="0.3">
      <c r="AM697" s="8"/>
    </row>
    <row r="698" spans="11:39" x14ac:dyDescent="0.3">
      <c r="AM698" s="8"/>
    </row>
    <row r="699" spans="11:39" x14ac:dyDescent="0.3">
      <c r="K699" s="11"/>
      <c r="AM699" s="8"/>
    </row>
    <row r="700" spans="11:39" x14ac:dyDescent="0.3">
      <c r="AM700" s="8"/>
    </row>
    <row r="701" spans="11:39" x14ac:dyDescent="0.3">
      <c r="AM701" s="8"/>
    </row>
    <row r="702" spans="11:39" x14ac:dyDescent="0.3">
      <c r="AM702" s="8"/>
    </row>
    <row r="703" spans="11:39" x14ac:dyDescent="0.3">
      <c r="K703" s="11"/>
      <c r="AM703" s="8"/>
    </row>
    <row r="704" spans="11:39" x14ac:dyDescent="0.3">
      <c r="AM704" s="8"/>
    </row>
    <row r="705" spans="11:39" x14ac:dyDescent="0.3">
      <c r="AM705" s="8"/>
    </row>
    <row r="706" spans="11:39" x14ac:dyDescent="0.3">
      <c r="K706" s="11"/>
      <c r="AM706" s="8"/>
    </row>
    <row r="707" spans="11:39" x14ac:dyDescent="0.3">
      <c r="AM707" s="8"/>
    </row>
    <row r="708" spans="11:39" x14ac:dyDescent="0.3">
      <c r="AM708" s="8"/>
    </row>
    <row r="709" spans="11:39" x14ac:dyDescent="0.3">
      <c r="AM709" s="8"/>
    </row>
    <row r="710" spans="11:39" x14ac:dyDescent="0.3">
      <c r="AM710" s="8"/>
    </row>
    <row r="711" spans="11:39" x14ac:dyDescent="0.3">
      <c r="AM711" s="8"/>
    </row>
    <row r="712" spans="11:39" x14ac:dyDescent="0.3">
      <c r="AM712" s="8"/>
    </row>
    <row r="713" spans="11:39" x14ac:dyDescent="0.3">
      <c r="AM713" s="8"/>
    </row>
    <row r="714" spans="11:39" x14ac:dyDescent="0.3">
      <c r="AM714" s="8"/>
    </row>
    <row r="715" spans="11:39" x14ac:dyDescent="0.3">
      <c r="AM715" s="8"/>
    </row>
    <row r="716" spans="11:39" x14ac:dyDescent="0.3">
      <c r="AM716" s="8"/>
    </row>
    <row r="717" spans="11:39" x14ac:dyDescent="0.3">
      <c r="AM717" s="8"/>
    </row>
    <row r="718" spans="11:39" x14ac:dyDescent="0.3">
      <c r="AM718" s="8"/>
    </row>
    <row r="719" spans="11:39" x14ac:dyDescent="0.3">
      <c r="AM719" s="8"/>
    </row>
    <row r="720" spans="11:39" x14ac:dyDescent="0.3">
      <c r="AM720" s="8"/>
    </row>
    <row r="721" spans="39:39" x14ac:dyDescent="0.3">
      <c r="AM721" s="8"/>
    </row>
    <row r="722" spans="39:39" x14ac:dyDescent="0.3">
      <c r="AM722" s="8"/>
    </row>
    <row r="723" spans="39:39" x14ac:dyDescent="0.3">
      <c r="AM723" s="8"/>
    </row>
    <row r="724" spans="39:39" x14ac:dyDescent="0.3">
      <c r="AM724" s="8"/>
    </row>
    <row r="725" spans="39:39" x14ac:dyDescent="0.3">
      <c r="AM725" s="8"/>
    </row>
    <row r="726" spans="39:39" x14ac:dyDescent="0.3">
      <c r="AM726" s="8"/>
    </row>
    <row r="727" spans="39:39" x14ac:dyDescent="0.3">
      <c r="AM727" s="8"/>
    </row>
    <row r="728" spans="39:39" x14ac:dyDescent="0.3">
      <c r="AM728" s="8"/>
    </row>
    <row r="729" spans="39:39" x14ac:dyDescent="0.3">
      <c r="AM729" s="8"/>
    </row>
    <row r="730" spans="39:39" x14ac:dyDescent="0.3">
      <c r="AM730" s="8"/>
    </row>
    <row r="731" spans="39:39" x14ac:dyDescent="0.3">
      <c r="AM731" s="8"/>
    </row>
    <row r="732" spans="39:39" x14ac:dyDescent="0.3">
      <c r="AM732" s="8"/>
    </row>
    <row r="733" spans="39:39" x14ac:dyDescent="0.3">
      <c r="AM733" s="8"/>
    </row>
    <row r="734" spans="39:39" x14ac:dyDescent="0.3">
      <c r="AM734" s="8"/>
    </row>
    <row r="735" spans="39:39" x14ac:dyDescent="0.3">
      <c r="AM735" s="8"/>
    </row>
    <row r="736" spans="39:39" x14ac:dyDescent="0.3">
      <c r="AM736" s="8"/>
    </row>
    <row r="737" spans="11:39" x14ac:dyDescent="0.3">
      <c r="AM737" s="8"/>
    </row>
    <row r="738" spans="11:39" x14ac:dyDescent="0.3">
      <c r="AM738" s="8"/>
    </row>
    <row r="739" spans="11:39" x14ac:dyDescent="0.3">
      <c r="AM739" s="8"/>
    </row>
    <row r="740" spans="11:39" x14ac:dyDescent="0.3">
      <c r="AM740" s="8"/>
    </row>
    <row r="741" spans="11:39" x14ac:dyDescent="0.3">
      <c r="AM741" s="8"/>
    </row>
    <row r="742" spans="11:39" x14ac:dyDescent="0.3">
      <c r="AM742" s="8"/>
    </row>
    <row r="743" spans="11:39" x14ac:dyDescent="0.3">
      <c r="AM743" s="8"/>
    </row>
    <row r="744" spans="11:39" x14ac:dyDescent="0.3">
      <c r="AM744" s="8"/>
    </row>
    <row r="745" spans="11:39" x14ac:dyDescent="0.3">
      <c r="AM745" s="8"/>
    </row>
    <row r="746" spans="11:39" x14ac:dyDescent="0.3">
      <c r="AM746" s="8"/>
    </row>
    <row r="747" spans="11:39" x14ac:dyDescent="0.3">
      <c r="AM747" s="8"/>
    </row>
    <row r="748" spans="11:39" x14ac:dyDescent="0.3">
      <c r="K748" s="11"/>
      <c r="AM748" s="8"/>
    </row>
    <row r="749" spans="11:39" x14ac:dyDescent="0.3">
      <c r="AM749" s="8"/>
    </row>
    <row r="750" spans="11:39" x14ac:dyDescent="0.3">
      <c r="AM750" s="8"/>
    </row>
    <row r="751" spans="11:39" x14ac:dyDescent="0.3">
      <c r="AM751" s="8"/>
    </row>
    <row r="752" spans="11:39" x14ac:dyDescent="0.3">
      <c r="AM752" s="8"/>
    </row>
    <row r="753" spans="39:39" x14ac:dyDescent="0.3">
      <c r="AM753" s="8"/>
    </row>
    <row r="754" spans="39:39" x14ac:dyDescent="0.3">
      <c r="AM754" s="8"/>
    </row>
    <row r="755" spans="39:39" x14ac:dyDescent="0.3">
      <c r="AM755" s="8"/>
    </row>
    <row r="756" spans="39:39" x14ac:dyDescent="0.3">
      <c r="AM756" s="8"/>
    </row>
    <row r="757" spans="39:39" x14ac:dyDescent="0.3">
      <c r="AM757" s="8"/>
    </row>
    <row r="758" spans="39:39" x14ac:dyDescent="0.3">
      <c r="AM758" s="8"/>
    </row>
    <row r="759" spans="39:39" x14ac:dyDescent="0.3">
      <c r="AM759" s="8"/>
    </row>
    <row r="760" spans="39:39" x14ac:dyDescent="0.3">
      <c r="AM760" s="8"/>
    </row>
    <row r="761" spans="39:39" x14ac:dyDescent="0.3">
      <c r="AM761" s="8"/>
    </row>
    <row r="762" spans="39:39" x14ac:dyDescent="0.3">
      <c r="AM762" s="8"/>
    </row>
    <row r="763" spans="39:39" x14ac:dyDescent="0.3">
      <c r="AM763" s="8"/>
    </row>
    <row r="764" spans="39:39" x14ac:dyDescent="0.3">
      <c r="AM764" s="8"/>
    </row>
    <row r="765" spans="39:39" x14ac:dyDescent="0.3">
      <c r="AM765" s="8"/>
    </row>
    <row r="766" spans="39:39" x14ac:dyDescent="0.3">
      <c r="AM766" s="8"/>
    </row>
    <row r="767" spans="39:39" x14ac:dyDescent="0.3">
      <c r="AM767" s="8"/>
    </row>
    <row r="768" spans="39:39" x14ac:dyDescent="0.3">
      <c r="AM768" s="8"/>
    </row>
    <row r="769" spans="11:39" x14ac:dyDescent="0.3">
      <c r="AM769" s="8"/>
    </row>
    <row r="770" spans="11:39" x14ac:dyDescent="0.3">
      <c r="K770" s="11"/>
      <c r="AM770" s="8"/>
    </row>
    <row r="771" spans="11:39" x14ac:dyDescent="0.3">
      <c r="AM771" s="8"/>
    </row>
    <row r="772" spans="11:39" x14ac:dyDescent="0.3">
      <c r="K772" s="11"/>
      <c r="AM772" s="8"/>
    </row>
    <row r="773" spans="11:39" x14ac:dyDescent="0.3">
      <c r="AM773" s="8"/>
    </row>
    <row r="774" spans="11:39" x14ac:dyDescent="0.3">
      <c r="AM774" s="8"/>
    </row>
    <row r="775" spans="11:39" x14ac:dyDescent="0.3">
      <c r="AM775" s="8"/>
    </row>
    <row r="776" spans="11:39" x14ac:dyDescent="0.3">
      <c r="AM776" s="8"/>
    </row>
    <row r="777" spans="11:39" x14ac:dyDescent="0.3">
      <c r="K777" s="11"/>
      <c r="AM777" s="8"/>
    </row>
    <row r="778" spans="11:39" x14ac:dyDescent="0.3">
      <c r="AM778" s="8"/>
    </row>
    <row r="779" spans="11:39" x14ac:dyDescent="0.3">
      <c r="AM779" s="8"/>
    </row>
    <row r="780" spans="11:39" x14ac:dyDescent="0.3">
      <c r="AM780" s="8"/>
    </row>
    <row r="781" spans="11:39" x14ac:dyDescent="0.3">
      <c r="AM781" s="8"/>
    </row>
    <row r="782" spans="11:39" x14ac:dyDescent="0.3">
      <c r="K782" s="11"/>
      <c r="AM782" s="8"/>
    </row>
    <row r="783" spans="11:39" x14ac:dyDescent="0.3">
      <c r="AM783" s="8"/>
    </row>
    <row r="784" spans="11:39" x14ac:dyDescent="0.3">
      <c r="AM784" s="8"/>
    </row>
    <row r="785" spans="11:39" x14ac:dyDescent="0.3">
      <c r="AM785" s="8"/>
    </row>
    <row r="786" spans="11:39" x14ac:dyDescent="0.3">
      <c r="AM786" s="8"/>
    </row>
    <row r="787" spans="11:39" x14ac:dyDescent="0.3">
      <c r="AM787" s="8"/>
    </row>
    <row r="788" spans="11:39" x14ac:dyDescent="0.3">
      <c r="AM788" s="8"/>
    </row>
    <row r="789" spans="11:39" x14ac:dyDescent="0.3">
      <c r="K789" s="11"/>
      <c r="AM789" s="8"/>
    </row>
    <row r="790" spans="11:39" x14ac:dyDescent="0.3">
      <c r="AM790" s="8"/>
    </row>
    <row r="791" spans="11:39" x14ac:dyDescent="0.3">
      <c r="AM791" s="8"/>
    </row>
    <row r="792" spans="11:39" x14ac:dyDescent="0.3">
      <c r="AM792" s="8"/>
    </row>
    <row r="793" spans="11:39" x14ac:dyDescent="0.3">
      <c r="AM793" s="8"/>
    </row>
    <row r="794" spans="11:39" x14ac:dyDescent="0.3">
      <c r="AM794" s="8"/>
    </row>
    <row r="795" spans="11:39" x14ac:dyDescent="0.3">
      <c r="AM795" s="8"/>
    </row>
    <row r="796" spans="11:39" x14ac:dyDescent="0.3">
      <c r="AM796" s="8"/>
    </row>
    <row r="797" spans="11:39" x14ac:dyDescent="0.3">
      <c r="AM797" s="8"/>
    </row>
    <row r="798" spans="11:39" x14ac:dyDescent="0.3">
      <c r="AM798" s="8"/>
    </row>
    <row r="799" spans="11:39" x14ac:dyDescent="0.3">
      <c r="AM799" s="8"/>
    </row>
    <row r="800" spans="11:39" x14ac:dyDescent="0.3">
      <c r="AM800" s="8"/>
    </row>
    <row r="801" spans="11:39" x14ac:dyDescent="0.3">
      <c r="AM801" s="8"/>
    </row>
    <row r="802" spans="11:39" x14ac:dyDescent="0.3">
      <c r="AM802" s="8"/>
    </row>
    <row r="803" spans="11:39" x14ac:dyDescent="0.3">
      <c r="AM803" s="8"/>
    </row>
    <row r="804" spans="11:39" x14ac:dyDescent="0.3">
      <c r="K804" s="11"/>
      <c r="AM804" s="8"/>
    </row>
    <row r="805" spans="11:39" x14ac:dyDescent="0.3">
      <c r="AM805" s="8"/>
    </row>
    <row r="806" spans="11:39" x14ac:dyDescent="0.3">
      <c r="AM806" s="8"/>
    </row>
    <row r="807" spans="11:39" x14ac:dyDescent="0.3">
      <c r="AM807" s="8"/>
    </row>
    <row r="808" spans="11:39" x14ac:dyDescent="0.3">
      <c r="AM808" s="8"/>
    </row>
    <row r="809" spans="11:39" x14ac:dyDescent="0.3">
      <c r="AM809" s="8"/>
    </row>
    <row r="810" spans="11:39" x14ac:dyDescent="0.3">
      <c r="AM810" s="8"/>
    </row>
    <row r="811" spans="11:39" x14ac:dyDescent="0.3">
      <c r="AM811" s="8"/>
    </row>
    <row r="812" spans="11:39" x14ac:dyDescent="0.3">
      <c r="AM812" s="8"/>
    </row>
    <row r="813" spans="11:39" x14ac:dyDescent="0.3">
      <c r="AM813" s="8"/>
    </row>
    <row r="814" spans="11:39" x14ac:dyDescent="0.3">
      <c r="AM814" s="8"/>
    </row>
    <row r="815" spans="11:39" x14ac:dyDescent="0.3">
      <c r="K815" s="11"/>
      <c r="AM815" s="8"/>
    </row>
    <row r="816" spans="11:39" x14ac:dyDescent="0.3">
      <c r="K816" s="11"/>
      <c r="AM816" s="8"/>
    </row>
    <row r="817" spans="11:39" x14ac:dyDescent="0.3">
      <c r="AM817" s="8"/>
    </row>
    <row r="818" spans="11:39" x14ac:dyDescent="0.3">
      <c r="K818" s="11"/>
      <c r="AM818" s="8"/>
    </row>
    <row r="819" spans="11:39" x14ac:dyDescent="0.3">
      <c r="K819" s="11"/>
      <c r="AM819" s="8"/>
    </row>
    <row r="820" spans="11:39" x14ac:dyDescent="0.3">
      <c r="AM820" s="8"/>
    </row>
    <row r="821" spans="11:39" x14ac:dyDescent="0.3">
      <c r="AM821" s="8"/>
    </row>
    <row r="822" spans="11:39" x14ac:dyDescent="0.3">
      <c r="AM822" s="8"/>
    </row>
    <row r="823" spans="11:39" x14ac:dyDescent="0.3">
      <c r="AM823" s="8"/>
    </row>
    <row r="824" spans="11:39" x14ac:dyDescent="0.3">
      <c r="K824" s="11"/>
      <c r="AM824" s="8"/>
    </row>
    <row r="825" spans="11:39" x14ac:dyDescent="0.3">
      <c r="AM825" s="8"/>
    </row>
    <row r="826" spans="11:39" x14ac:dyDescent="0.3">
      <c r="AM826" s="8"/>
    </row>
    <row r="827" spans="11:39" x14ac:dyDescent="0.3">
      <c r="AM827" s="8"/>
    </row>
    <row r="828" spans="11:39" x14ac:dyDescent="0.3">
      <c r="AM828" s="8"/>
    </row>
    <row r="829" spans="11:39" x14ac:dyDescent="0.3">
      <c r="AM829" s="8"/>
    </row>
    <row r="830" spans="11:39" x14ac:dyDescent="0.3">
      <c r="AM830" s="8"/>
    </row>
    <row r="831" spans="11:39" x14ac:dyDescent="0.3">
      <c r="AM831" s="8"/>
    </row>
    <row r="832" spans="11:39" x14ac:dyDescent="0.3">
      <c r="AM832" s="8"/>
    </row>
    <row r="833" spans="11:39" x14ac:dyDescent="0.3">
      <c r="K833" s="11"/>
      <c r="AM833" s="8"/>
    </row>
    <row r="834" spans="11:39" x14ac:dyDescent="0.3">
      <c r="AM834" s="8"/>
    </row>
    <row r="835" spans="11:39" x14ac:dyDescent="0.3">
      <c r="AM835" s="8"/>
    </row>
    <row r="836" spans="11:39" x14ac:dyDescent="0.3">
      <c r="AM836" s="8"/>
    </row>
    <row r="837" spans="11:39" x14ac:dyDescent="0.3">
      <c r="AM837" s="8"/>
    </row>
    <row r="838" spans="11:39" x14ac:dyDescent="0.3">
      <c r="AM838" s="8"/>
    </row>
    <row r="839" spans="11:39" x14ac:dyDescent="0.3">
      <c r="AM839" s="8"/>
    </row>
    <row r="840" spans="11:39" x14ac:dyDescent="0.3">
      <c r="AM840" s="8"/>
    </row>
    <row r="841" spans="11:39" x14ac:dyDescent="0.3">
      <c r="AM841" s="8"/>
    </row>
    <row r="842" spans="11:39" x14ac:dyDescent="0.3">
      <c r="AM842" s="8"/>
    </row>
    <row r="843" spans="11:39" x14ac:dyDescent="0.3">
      <c r="K843" s="11"/>
      <c r="AM843" s="8"/>
    </row>
    <row r="844" spans="11:39" x14ac:dyDescent="0.3">
      <c r="AM844" s="8"/>
    </row>
    <row r="845" spans="11:39" x14ac:dyDescent="0.3">
      <c r="AM845" s="8"/>
    </row>
    <row r="846" spans="11:39" x14ac:dyDescent="0.3">
      <c r="AM846" s="8"/>
    </row>
    <row r="847" spans="11:39" x14ac:dyDescent="0.3">
      <c r="AM847" s="8"/>
    </row>
    <row r="848" spans="11:39" x14ac:dyDescent="0.3">
      <c r="AM848" s="8"/>
    </row>
    <row r="849" spans="11:39" x14ac:dyDescent="0.3">
      <c r="AM849" s="8"/>
    </row>
    <row r="850" spans="11:39" x14ac:dyDescent="0.3">
      <c r="AM850" s="8"/>
    </row>
    <row r="851" spans="11:39" x14ac:dyDescent="0.3">
      <c r="AM851" s="8"/>
    </row>
    <row r="852" spans="11:39" x14ac:dyDescent="0.3">
      <c r="AM852" s="8"/>
    </row>
    <row r="853" spans="11:39" x14ac:dyDescent="0.3">
      <c r="AM853" s="8"/>
    </row>
    <row r="854" spans="11:39" x14ac:dyDescent="0.3">
      <c r="AM854" s="8"/>
    </row>
    <row r="855" spans="11:39" x14ac:dyDescent="0.3">
      <c r="AM855" s="8"/>
    </row>
    <row r="856" spans="11:39" x14ac:dyDescent="0.3">
      <c r="AM856" s="8"/>
    </row>
    <row r="857" spans="11:39" x14ac:dyDescent="0.3">
      <c r="AM857" s="8"/>
    </row>
    <row r="858" spans="11:39" x14ac:dyDescent="0.3">
      <c r="K858" s="11"/>
      <c r="AM858" s="8"/>
    </row>
    <row r="859" spans="11:39" x14ac:dyDescent="0.3">
      <c r="AM859" s="8"/>
    </row>
    <row r="860" spans="11:39" x14ac:dyDescent="0.3">
      <c r="K860" s="11"/>
      <c r="AM860" s="8"/>
    </row>
    <row r="861" spans="11:39" x14ac:dyDescent="0.3">
      <c r="AM861" s="8"/>
    </row>
    <row r="862" spans="11:39" x14ac:dyDescent="0.3">
      <c r="AM862" s="8"/>
    </row>
    <row r="863" spans="11:39" x14ac:dyDescent="0.3">
      <c r="K863" s="11"/>
      <c r="AM863" s="8"/>
    </row>
    <row r="864" spans="11:39" x14ac:dyDescent="0.3">
      <c r="AM864" s="8"/>
    </row>
    <row r="865" spans="11:39" x14ac:dyDescent="0.3">
      <c r="AM865" s="8"/>
    </row>
    <row r="866" spans="11:39" x14ac:dyDescent="0.3">
      <c r="AM866" s="8"/>
    </row>
    <row r="867" spans="11:39" x14ac:dyDescent="0.3">
      <c r="AM867" s="8"/>
    </row>
    <row r="868" spans="11:39" x14ac:dyDescent="0.3">
      <c r="K868" s="11"/>
      <c r="AM868" s="8"/>
    </row>
    <row r="869" spans="11:39" x14ac:dyDescent="0.3">
      <c r="K869" s="11"/>
      <c r="AM869" s="8"/>
    </row>
    <row r="870" spans="11:39" x14ac:dyDescent="0.3">
      <c r="AM870" s="8"/>
    </row>
    <row r="871" spans="11:39" x14ac:dyDescent="0.3">
      <c r="AM871" s="8"/>
    </row>
    <row r="872" spans="11:39" x14ac:dyDescent="0.3">
      <c r="AM872" s="8"/>
    </row>
    <row r="873" spans="11:39" x14ac:dyDescent="0.3">
      <c r="AM873" s="8"/>
    </row>
    <row r="874" spans="11:39" x14ac:dyDescent="0.3">
      <c r="AM874" s="8"/>
    </row>
    <row r="875" spans="11:39" x14ac:dyDescent="0.3">
      <c r="AM875" s="8"/>
    </row>
    <row r="876" spans="11:39" x14ac:dyDescent="0.3">
      <c r="AM876" s="8"/>
    </row>
    <row r="877" spans="11:39" x14ac:dyDescent="0.3">
      <c r="AM877" s="8"/>
    </row>
    <row r="878" spans="11:39" x14ac:dyDescent="0.3">
      <c r="K878" s="11"/>
      <c r="AM878" s="8"/>
    </row>
    <row r="879" spans="11:39" x14ac:dyDescent="0.3">
      <c r="AM879" s="8"/>
    </row>
    <row r="880" spans="11:39" x14ac:dyDescent="0.3">
      <c r="AM880" s="8"/>
    </row>
    <row r="881" spans="11:39" x14ac:dyDescent="0.3">
      <c r="AM881" s="8"/>
    </row>
    <row r="882" spans="11:39" x14ac:dyDescent="0.3">
      <c r="AM882" s="8"/>
    </row>
    <row r="883" spans="11:39" x14ac:dyDescent="0.3">
      <c r="AM883" s="8"/>
    </row>
    <row r="884" spans="11:39" x14ac:dyDescent="0.3">
      <c r="K884" s="11"/>
      <c r="AM884" s="8"/>
    </row>
    <row r="885" spans="11:39" x14ac:dyDescent="0.3">
      <c r="AM885" s="8"/>
    </row>
    <row r="886" spans="11:39" x14ac:dyDescent="0.3">
      <c r="AM886" s="8"/>
    </row>
    <row r="887" spans="11:39" x14ac:dyDescent="0.3">
      <c r="AM887" s="8"/>
    </row>
    <row r="888" spans="11:39" x14ac:dyDescent="0.3">
      <c r="K888" s="11"/>
      <c r="AM888" s="8"/>
    </row>
    <row r="889" spans="11:39" x14ac:dyDescent="0.3">
      <c r="AM889" s="8"/>
    </row>
    <row r="890" spans="11:39" x14ac:dyDescent="0.3">
      <c r="AM890" s="8"/>
    </row>
    <row r="891" spans="11:39" x14ac:dyDescent="0.3">
      <c r="AM891" s="8"/>
    </row>
    <row r="892" spans="11:39" x14ac:dyDescent="0.3">
      <c r="AM892" s="8"/>
    </row>
    <row r="893" spans="11:39" x14ac:dyDescent="0.3">
      <c r="AM893" s="8"/>
    </row>
    <row r="894" spans="11:39" x14ac:dyDescent="0.3">
      <c r="AM894" s="8"/>
    </row>
    <row r="895" spans="11:39" x14ac:dyDescent="0.3">
      <c r="AM895" s="8"/>
    </row>
    <row r="896" spans="11:39" x14ac:dyDescent="0.3">
      <c r="AM896" s="8"/>
    </row>
    <row r="897" spans="11:39" x14ac:dyDescent="0.3">
      <c r="AM897" s="8"/>
    </row>
    <row r="898" spans="11:39" x14ac:dyDescent="0.3">
      <c r="AM898" s="8"/>
    </row>
    <row r="899" spans="11:39" x14ac:dyDescent="0.3">
      <c r="AM899" s="8"/>
    </row>
    <row r="900" spans="11:39" x14ac:dyDescent="0.3">
      <c r="AM900" s="8"/>
    </row>
    <row r="901" spans="11:39" x14ac:dyDescent="0.3">
      <c r="AM901" s="8"/>
    </row>
    <row r="902" spans="11:39" x14ac:dyDescent="0.3">
      <c r="AM902" s="8"/>
    </row>
    <row r="903" spans="11:39" x14ac:dyDescent="0.3">
      <c r="AM903" s="8"/>
    </row>
    <row r="904" spans="11:39" x14ac:dyDescent="0.3">
      <c r="K904" s="11"/>
      <c r="AM904" s="8"/>
    </row>
    <row r="905" spans="11:39" x14ac:dyDescent="0.3">
      <c r="AM905" s="8"/>
    </row>
    <row r="906" spans="11:39" x14ac:dyDescent="0.3">
      <c r="AM906" s="8"/>
    </row>
    <row r="907" spans="11:39" x14ac:dyDescent="0.3">
      <c r="AM907" s="8"/>
    </row>
    <row r="908" spans="11:39" x14ac:dyDescent="0.3">
      <c r="AM908" s="8"/>
    </row>
    <row r="909" spans="11:39" x14ac:dyDescent="0.3">
      <c r="AM909" s="8"/>
    </row>
    <row r="910" spans="11:39" x14ac:dyDescent="0.3">
      <c r="AM910" s="8"/>
    </row>
    <row r="911" spans="11:39" x14ac:dyDescent="0.3">
      <c r="AM911" s="8"/>
    </row>
    <row r="912" spans="11:39" x14ac:dyDescent="0.3">
      <c r="AM912" s="8"/>
    </row>
    <row r="913" spans="11:39" x14ac:dyDescent="0.3">
      <c r="AM913" s="8"/>
    </row>
    <row r="914" spans="11:39" x14ac:dyDescent="0.3">
      <c r="AM914" s="8"/>
    </row>
    <row r="915" spans="11:39" x14ac:dyDescent="0.3">
      <c r="K915" s="11"/>
      <c r="AM915" s="8"/>
    </row>
    <row r="916" spans="11:39" x14ac:dyDescent="0.3">
      <c r="AM916" s="8"/>
    </row>
    <row r="917" spans="11:39" x14ac:dyDescent="0.3">
      <c r="AM917" s="8"/>
    </row>
    <row r="918" spans="11:39" x14ac:dyDescent="0.3">
      <c r="AM918" s="8"/>
    </row>
    <row r="919" spans="11:39" x14ac:dyDescent="0.3">
      <c r="AM919" s="8"/>
    </row>
    <row r="920" spans="11:39" x14ac:dyDescent="0.3">
      <c r="AM920" s="8"/>
    </row>
    <row r="921" spans="11:39" x14ac:dyDescent="0.3">
      <c r="AM921" s="8"/>
    </row>
    <row r="922" spans="11:39" x14ac:dyDescent="0.3">
      <c r="AM922" s="8"/>
    </row>
    <row r="923" spans="11:39" x14ac:dyDescent="0.3">
      <c r="AM923" s="8"/>
    </row>
    <row r="924" spans="11:39" x14ac:dyDescent="0.3">
      <c r="AM924" s="8"/>
    </row>
    <row r="925" spans="11:39" x14ac:dyDescent="0.3">
      <c r="K925" s="11"/>
      <c r="AM925" s="8"/>
    </row>
    <row r="926" spans="11:39" x14ac:dyDescent="0.3">
      <c r="AM926" s="8"/>
    </row>
    <row r="927" spans="11:39" x14ac:dyDescent="0.3">
      <c r="AM927" s="8"/>
    </row>
    <row r="928" spans="11:39" x14ac:dyDescent="0.3">
      <c r="AM928" s="8"/>
    </row>
    <row r="929" spans="11:39" x14ac:dyDescent="0.3">
      <c r="K929" s="11"/>
      <c r="AM929" s="8"/>
    </row>
    <row r="930" spans="11:39" x14ac:dyDescent="0.3">
      <c r="AM930" s="8"/>
    </row>
    <row r="931" spans="11:39" x14ac:dyDescent="0.3">
      <c r="AM931" s="8"/>
    </row>
    <row r="932" spans="11:39" x14ac:dyDescent="0.3">
      <c r="AM932" s="8"/>
    </row>
    <row r="933" spans="11:39" x14ac:dyDescent="0.3">
      <c r="AM933" s="8"/>
    </row>
    <row r="934" spans="11:39" x14ac:dyDescent="0.3">
      <c r="AM934" s="8"/>
    </row>
    <row r="935" spans="11:39" x14ac:dyDescent="0.3">
      <c r="AM935" s="8"/>
    </row>
    <row r="936" spans="11:39" x14ac:dyDescent="0.3">
      <c r="K936" s="11"/>
      <c r="AM936" s="8"/>
    </row>
    <row r="937" spans="11:39" x14ac:dyDescent="0.3">
      <c r="AM937" s="8"/>
    </row>
    <row r="938" spans="11:39" x14ac:dyDescent="0.3">
      <c r="AM938" s="8"/>
    </row>
    <row r="939" spans="11:39" x14ac:dyDescent="0.3">
      <c r="AM939" s="8"/>
    </row>
    <row r="940" spans="11:39" x14ac:dyDescent="0.3">
      <c r="AM940" s="8"/>
    </row>
    <row r="941" spans="11:39" x14ac:dyDescent="0.3">
      <c r="AM941" s="8"/>
    </row>
    <row r="942" spans="11:39" x14ac:dyDescent="0.3">
      <c r="AM942" s="8"/>
    </row>
    <row r="943" spans="11:39" x14ac:dyDescent="0.3">
      <c r="AM943" s="8"/>
    </row>
    <row r="944" spans="11:39" x14ac:dyDescent="0.3">
      <c r="AM944" s="8"/>
    </row>
    <row r="945" spans="11:39" x14ac:dyDescent="0.3">
      <c r="AM945" s="8"/>
    </row>
    <row r="946" spans="11:39" x14ac:dyDescent="0.3">
      <c r="AM946" s="8"/>
    </row>
    <row r="947" spans="11:39" x14ac:dyDescent="0.3">
      <c r="AM947" s="8"/>
    </row>
    <row r="948" spans="11:39" x14ac:dyDescent="0.3">
      <c r="AM948" s="8"/>
    </row>
    <row r="949" spans="11:39" x14ac:dyDescent="0.3">
      <c r="AM949" s="8"/>
    </row>
    <row r="950" spans="11:39" x14ac:dyDescent="0.3">
      <c r="AM950" s="8"/>
    </row>
    <row r="951" spans="11:39" x14ac:dyDescent="0.3">
      <c r="AM951" s="8"/>
    </row>
    <row r="952" spans="11:39" x14ac:dyDescent="0.3">
      <c r="AM952" s="8"/>
    </row>
    <row r="953" spans="11:39" x14ac:dyDescent="0.3">
      <c r="AM953" s="8"/>
    </row>
    <row r="954" spans="11:39" x14ac:dyDescent="0.3">
      <c r="AM954" s="8"/>
    </row>
    <row r="955" spans="11:39" x14ac:dyDescent="0.3">
      <c r="AM955" s="8"/>
    </row>
    <row r="956" spans="11:39" x14ac:dyDescent="0.3">
      <c r="AM956" s="8"/>
    </row>
    <row r="957" spans="11:39" x14ac:dyDescent="0.3">
      <c r="K957" s="11"/>
      <c r="AM957" s="8"/>
    </row>
    <row r="958" spans="11:39" x14ac:dyDescent="0.3">
      <c r="K958" s="11"/>
      <c r="AM958" s="8"/>
    </row>
    <row r="959" spans="11:39" x14ac:dyDescent="0.3">
      <c r="AM959" s="8"/>
    </row>
    <row r="960" spans="11:39" x14ac:dyDescent="0.3">
      <c r="K960" s="11"/>
      <c r="AM960" s="8"/>
    </row>
    <row r="961" spans="11:39" x14ac:dyDescent="0.3">
      <c r="AM961" s="8"/>
    </row>
    <row r="962" spans="11:39" x14ac:dyDescent="0.3">
      <c r="AM962" s="8"/>
    </row>
    <row r="963" spans="11:39" x14ac:dyDescent="0.3">
      <c r="AM963" s="8"/>
    </row>
    <row r="964" spans="11:39" x14ac:dyDescent="0.3">
      <c r="AM964" s="8"/>
    </row>
    <row r="965" spans="11:39" x14ac:dyDescent="0.3">
      <c r="AM965" s="8"/>
    </row>
    <row r="966" spans="11:39" x14ac:dyDescent="0.3">
      <c r="AM966" s="8"/>
    </row>
    <row r="967" spans="11:39" x14ac:dyDescent="0.3">
      <c r="AM967" s="8"/>
    </row>
    <row r="968" spans="11:39" x14ac:dyDescent="0.3">
      <c r="AM968" s="8"/>
    </row>
    <row r="969" spans="11:39" x14ac:dyDescent="0.3">
      <c r="AM969" s="8"/>
    </row>
    <row r="970" spans="11:39" x14ac:dyDescent="0.3">
      <c r="K970" s="11"/>
      <c r="AM970" s="8"/>
    </row>
    <row r="971" spans="11:39" x14ac:dyDescent="0.3">
      <c r="AM971" s="8"/>
    </row>
    <row r="972" spans="11:39" x14ac:dyDescent="0.3">
      <c r="K972" s="11"/>
      <c r="AM972" s="8"/>
    </row>
    <row r="973" spans="11:39" x14ac:dyDescent="0.3">
      <c r="AM973" s="8"/>
    </row>
    <row r="974" spans="11:39" x14ac:dyDescent="0.3">
      <c r="AM974" s="8"/>
    </row>
    <row r="975" spans="11:39" x14ac:dyDescent="0.3">
      <c r="AM975" s="8"/>
    </row>
    <row r="976" spans="11:39" x14ac:dyDescent="0.3">
      <c r="AM976" s="8"/>
    </row>
    <row r="977" spans="11:39" x14ac:dyDescent="0.3">
      <c r="AM977" s="8"/>
    </row>
    <row r="978" spans="11:39" x14ac:dyDescent="0.3">
      <c r="AM978" s="8"/>
    </row>
    <row r="979" spans="11:39" x14ac:dyDescent="0.3">
      <c r="AM979" s="8"/>
    </row>
    <row r="980" spans="11:39" x14ac:dyDescent="0.3">
      <c r="AM980" s="8"/>
    </row>
    <row r="981" spans="11:39" x14ac:dyDescent="0.3">
      <c r="AM981" s="8"/>
    </row>
    <row r="982" spans="11:39" x14ac:dyDescent="0.3">
      <c r="K982" s="11"/>
      <c r="AM982" s="8"/>
    </row>
    <row r="983" spans="11:39" x14ac:dyDescent="0.3">
      <c r="AM983" s="8"/>
    </row>
    <row r="984" spans="11:39" x14ac:dyDescent="0.3">
      <c r="AM984" s="8"/>
    </row>
    <row r="985" spans="11:39" x14ac:dyDescent="0.3">
      <c r="AM985" s="8"/>
    </row>
    <row r="986" spans="11:39" x14ac:dyDescent="0.3">
      <c r="AM986" s="8"/>
    </row>
    <row r="987" spans="11:39" x14ac:dyDescent="0.3">
      <c r="AM987" s="8"/>
    </row>
    <row r="988" spans="11:39" x14ac:dyDescent="0.3">
      <c r="AM988" s="8"/>
    </row>
    <row r="989" spans="11:39" x14ac:dyDescent="0.3">
      <c r="K989" s="11"/>
      <c r="AM989" s="8"/>
    </row>
    <row r="990" spans="11:39" x14ac:dyDescent="0.3">
      <c r="AM990" s="8"/>
    </row>
    <row r="991" spans="11:39" x14ac:dyDescent="0.3">
      <c r="AM991" s="8"/>
    </row>
    <row r="992" spans="11:39" x14ac:dyDescent="0.3">
      <c r="AM992" s="8"/>
    </row>
    <row r="993" spans="11:39" x14ac:dyDescent="0.3">
      <c r="AM993" s="8"/>
    </row>
    <row r="994" spans="11:39" x14ac:dyDescent="0.3">
      <c r="AM994" s="8"/>
    </row>
    <row r="995" spans="11:39" x14ac:dyDescent="0.3">
      <c r="AM995" s="8"/>
    </row>
    <row r="996" spans="11:39" x14ac:dyDescent="0.3">
      <c r="K996" s="11"/>
      <c r="AM996" s="8"/>
    </row>
    <row r="997" spans="11:39" x14ac:dyDescent="0.3">
      <c r="AM997" s="8"/>
    </row>
    <row r="998" spans="11:39" x14ac:dyDescent="0.3">
      <c r="AM998" s="8"/>
    </row>
    <row r="999" spans="11:39" x14ac:dyDescent="0.3">
      <c r="AM999" s="8"/>
    </row>
    <row r="1000" spans="11:39" x14ac:dyDescent="0.3">
      <c r="AM1000" s="8"/>
    </row>
    <row r="1001" spans="11:39" x14ac:dyDescent="0.3">
      <c r="AM1001" s="8"/>
    </row>
    <row r="1002" spans="11:39" x14ac:dyDescent="0.3">
      <c r="K1002" s="11"/>
      <c r="AM1002" s="8"/>
    </row>
    <row r="1003" spans="11:39" x14ac:dyDescent="0.3">
      <c r="AM1003" s="8"/>
    </row>
    <row r="1004" spans="11:39" x14ac:dyDescent="0.3">
      <c r="AM1004" s="8"/>
    </row>
    <row r="1005" spans="11:39" x14ac:dyDescent="0.3">
      <c r="K1005" s="11"/>
      <c r="AM1005" s="8"/>
    </row>
    <row r="1006" spans="11:39" x14ac:dyDescent="0.3">
      <c r="AM1006" s="8"/>
    </row>
    <row r="1007" spans="11:39" x14ac:dyDescent="0.3">
      <c r="AM1007" s="8"/>
    </row>
    <row r="1008" spans="11:39" x14ac:dyDescent="0.3">
      <c r="AM1008" s="8"/>
    </row>
    <row r="1009" spans="11:39" x14ac:dyDescent="0.3">
      <c r="K1009" s="11"/>
      <c r="AM1009" s="8"/>
    </row>
    <row r="1010" spans="11:39" x14ac:dyDescent="0.3">
      <c r="AM1010" s="8"/>
    </row>
    <row r="1011" spans="11:39" x14ac:dyDescent="0.3">
      <c r="AM1011" s="8"/>
    </row>
    <row r="1012" spans="11:39" x14ac:dyDescent="0.3">
      <c r="K1012" s="11"/>
      <c r="AM1012" s="8"/>
    </row>
    <row r="1013" spans="11:39" x14ac:dyDescent="0.3">
      <c r="K1013" s="11"/>
      <c r="AM1013" s="8"/>
    </row>
    <row r="1014" spans="11:39" x14ac:dyDescent="0.3">
      <c r="K1014" s="11"/>
      <c r="AM1014" s="8"/>
    </row>
    <row r="1015" spans="11:39" x14ac:dyDescent="0.3">
      <c r="AM1015" s="8"/>
    </row>
    <row r="1016" spans="11:39" x14ac:dyDescent="0.3">
      <c r="AM1016" s="8"/>
    </row>
    <row r="1017" spans="11:39" x14ac:dyDescent="0.3">
      <c r="AM1017" s="8"/>
    </row>
    <row r="1018" spans="11:39" x14ac:dyDescent="0.3">
      <c r="AM1018" s="8"/>
    </row>
    <row r="1019" spans="11:39" x14ac:dyDescent="0.3">
      <c r="AM1019" s="8"/>
    </row>
    <row r="1020" spans="11:39" x14ac:dyDescent="0.3">
      <c r="AM1020" s="8"/>
    </row>
    <row r="1021" spans="11:39" x14ac:dyDescent="0.3">
      <c r="AM1021" s="8"/>
    </row>
    <row r="1022" spans="11:39" x14ac:dyDescent="0.3">
      <c r="AM1022" s="8"/>
    </row>
    <row r="1023" spans="11:39" x14ac:dyDescent="0.3">
      <c r="AM1023" s="8"/>
    </row>
    <row r="1024" spans="11:39" x14ac:dyDescent="0.3">
      <c r="AM1024" s="8"/>
    </row>
    <row r="1025" spans="11:39" x14ac:dyDescent="0.3">
      <c r="AM1025" s="8"/>
    </row>
    <row r="1026" spans="11:39" x14ac:dyDescent="0.3">
      <c r="AM1026" s="8"/>
    </row>
    <row r="1027" spans="11:39" x14ac:dyDescent="0.3">
      <c r="AM1027" s="8"/>
    </row>
    <row r="1028" spans="11:39" x14ac:dyDescent="0.3">
      <c r="K1028" s="11"/>
      <c r="AM1028" s="8"/>
    </row>
    <row r="1029" spans="11:39" x14ac:dyDescent="0.3">
      <c r="AM1029" s="8"/>
    </row>
    <row r="1030" spans="11:39" x14ac:dyDescent="0.3">
      <c r="AM1030" s="8"/>
    </row>
    <row r="1031" spans="11:39" x14ac:dyDescent="0.3">
      <c r="AM1031" s="8"/>
    </row>
    <row r="1032" spans="11:39" x14ac:dyDescent="0.3">
      <c r="AM1032" s="8"/>
    </row>
    <row r="1033" spans="11:39" x14ac:dyDescent="0.3">
      <c r="AM1033" s="8"/>
    </row>
    <row r="1034" spans="11:39" x14ac:dyDescent="0.3">
      <c r="AM1034" s="8"/>
    </row>
    <row r="1035" spans="11:39" x14ac:dyDescent="0.3">
      <c r="AM1035" s="8"/>
    </row>
    <row r="1036" spans="11:39" x14ac:dyDescent="0.3">
      <c r="AM1036" s="8"/>
    </row>
    <row r="1037" spans="11:39" x14ac:dyDescent="0.3">
      <c r="AM1037" s="8"/>
    </row>
    <row r="1038" spans="11:39" x14ac:dyDescent="0.3">
      <c r="AM1038" s="8"/>
    </row>
    <row r="1039" spans="11:39" x14ac:dyDescent="0.3">
      <c r="AM1039" s="8"/>
    </row>
    <row r="1040" spans="11:39" x14ac:dyDescent="0.3">
      <c r="K1040" s="11"/>
      <c r="AM1040" s="8"/>
    </row>
    <row r="1041" spans="11:39" x14ac:dyDescent="0.3">
      <c r="K1041" s="11"/>
      <c r="AM1041" s="8"/>
    </row>
    <row r="1042" spans="11:39" x14ac:dyDescent="0.3">
      <c r="AM1042" s="8"/>
    </row>
    <row r="1043" spans="11:39" x14ac:dyDescent="0.3">
      <c r="K1043" s="11"/>
      <c r="AM1043" s="8"/>
    </row>
    <row r="1044" spans="11:39" x14ac:dyDescent="0.3">
      <c r="AM1044" s="8"/>
    </row>
    <row r="1045" spans="11:39" x14ac:dyDescent="0.3">
      <c r="K1045" s="11"/>
      <c r="AM1045" s="8"/>
    </row>
    <row r="1046" spans="11:39" x14ac:dyDescent="0.3">
      <c r="AM1046" s="8"/>
    </row>
    <row r="1047" spans="11:39" x14ac:dyDescent="0.3">
      <c r="AM1047" s="8"/>
    </row>
    <row r="1048" spans="11:39" x14ac:dyDescent="0.3">
      <c r="AM1048" s="8"/>
    </row>
    <row r="1049" spans="11:39" x14ac:dyDescent="0.3">
      <c r="AM1049" s="8"/>
    </row>
    <row r="1050" spans="11:39" x14ac:dyDescent="0.3">
      <c r="AM1050" s="8"/>
    </row>
    <row r="1051" spans="11:39" x14ac:dyDescent="0.3">
      <c r="AM1051" s="8"/>
    </row>
    <row r="1052" spans="11:39" x14ac:dyDescent="0.3">
      <c r="AM1052" s="8"/>
    </row>
    <row r="1053" spans="11:39" x14ac:dyDescent="0.3">
      <c r="AM1053" s="8"/>
    </row>
    <row r="1054" spans="11:39" x14ac:dyDescent="0.3">
      <c r="AM1054" s="8"/>
    </row>
    <row r="1055" spans="11:39" x14ac:dyDescent="0.3">
      <c r="AM1055" s="8"/>
    </row>
    <row r="1056" spans="11:39" x14ac:dyDescent="0.3">
      <c r="AM1056" s="8"/>
    </row>
    <row r="1057" spans="11:39" x14ac:dyDescent="0.3">
      <c r="AM1057" s="8"/>
    </row>
    <row r="1058" spans="11:39" x14ac:dyDescent="0.3">
      <c r="AM1058" s="8"/>
    </row>
    <row r="1059" spans="11:39" x14ac:dyDescent="0.3">
      <c r="AM1059" s="8"/>
    </row>
    <row r="1060" spans="11:39" x14ac:dyDescent="0.3">
      <c r="AM1060" s="8"/>
    </row>
    <row r="1061" spans="11:39" x14ac:dyDescent="0.3">
      <c r="AM1061" s="8"/>
    </row>
    <row r="1062" spans="11:39" x14ac:dyDescent="0.3">
      <c r="AM1062" s="8"/>
    </row>
    <row r="1063" spans="11:39" x14ac:dyDescent="0.3">
      <c r="AM1063" s="8"/>
    </row>
    <row r="1064" spans="11:39" x14ac:dyDescent="0.3">
      <c r="AM1064" s="8"/>
    </row>
    <row r="1065" spans="11:39" x14ac:dyDescent="0.3">
      <c r="AM1065" s="8"/>
    </row>
    <row r="1066" spans="11:39" x14ac:dyDescent="0.3">
      <c r="AM1066" s="8"/>
    </row>
    <row r="1067" spans="11:39" x14ac:dyDescent="0.3">
      <c r="K1067" s="11"/>
      <c r="AM1067" s="8"/>
    </row>
    <row r="1068" spans="11:39" x14ac:dyDescent="0.3">
      <c r="AM1068" s="8"/>
    </row>
    <row r="1069" spans="11:39" x14ac:dyDescent="0.3">
      <c r="AM1069" s="8"/>
    </row>
    <row r="1070" spans="11:39" x14ac:dyDescent="0.3">
      <c r="AM1070" s="8"/>
    </row>
    <row r="1071" spans="11:39" x14ac:dyDescent="0.3">
      <c r="AM1071" s="8"/>
    </row>
    <row r="1072" spans="11:39" x14ac:dyDescent="0.3">
      <c r="AM1072" s="8"/>
    </row>
    <row r="1073" spans="11:39" x14ac:dyDescent="0.3">
      <c r="AM1073" s="8"/>
    </row>
    <row r="1074" spans="11:39" x14ac:dyDescent="0.3">
      <c r="AM1074" s="8"/>
    </row>
    <row r="1075" spans="11:39" x14ac:dyDescent="0.3">
      <c r="AM1075" s="8"/>
    </row>
    <row r="1076" spans="11:39" x14ac:dyDescent="0.3">
      <c r="K1076" s="11"/>
      <c r="AM1076" s="8"/>
    </row>
    <row r="1077" spans="11:39" x14ac:dyDescent="0.3">
      <c r="AM1077" s="8"/>
    </row>
    <row r="1078" spans="11:39" x14ac:dyDescent="0.3">
      <c r="AM1078" s="8"/>
    </row>
    <row r="1079" spans="11:39" x14ac:dyDescent="0.3">
      <c r="AM1079" s="8"/>
    </row>
    <row r="1080" spans="11:39" x14ac:dyDescent="0.3">
      <c r="AM1080" s="8"/>
    </row>
    <row r="1081" spans="11:39" x14ac:dyDescent="0.3">
      <c r="AM1081" s="8"/>
    </row>
    <row r="1082" spans="11:39" x14ac:dyDescent="0.3">
      <c r="AM1082" s="8"/>
    </row>
    <row r="1083" spans="11:39" x14ac:dyDescent="0.3">
      <c r="AM1083" s="8"/>
    </row>
    <row r="1084" spans="11:39" x14ac:dyDescent="0.3">
      <c r="AM1084" s="8"/>
    </row>
    <row r="1085" spans="11:39" x14ac:dyDescent="0.3">
      <c r="AM1085" s="8"/>
    </row>
    <row r="1086" spans="11:39" x14ac:dyDescent="0.3">
      <c r="AM1086" s="8"/>
    </row>
    <row r="1087" spans="11:39" x14ac:dyDescent="0.3">
      <c r="AM1087" s="8"/>
    </row>
    <row r="1088" spans="11:39" x14ac:dyDescent="0.3">
      <c r="AM1088" s="8"/>
    </row>
    <row r="1089" spans="39:39" x14ac:dyDescent="0.3">
      <c r="AM1089" s="8"/>
    </row>
    <row r="1090" spans="39:39" x14ac:dyDescent="0.3">
      <c r="AM1090" s="8"/>
    </row>
    <row r="1091" spans="39:39" x14ac:dyDescent="0.3">
      <c r="AM1091" s="8"/>
    </row>
    <row r="1092" spans="39:39" x14ac:dyDescent="0.3">
      <c r="AM1092" s="8"/>
    </row>
    <row r="1093" spans="39:39" x14ac:dyDescent="0.3">
      <c r="AM1093" s="8"/>
    </row>
    <row r="1094" spans="39:39" x14ac:dyDescent="0.3">
      <c r="AM1094" s="8"/>
    </row>
    <row r="1095" spans="39:39" x14ac:dyDescent="0.3">
      <c r="AM1095" s="8"/>
    </row>
    <row r="1096" spans="39:39" x14ac:dyDescent="0.3">
      <c r="AM1096" s="8"/>
    </row>
    <row r="1097" spans="39:39" x14ac:dyDescent="0.3">
      <c r="AM1097" s="8"/>
    </row>
    <row r="1098" spans="39:39" x14ac:dyDescent="0.3">
      <c r="AM1098" s="8"/>
    </row>
    <row r="1099" spans="39:39" x14ac:dyDescent="0.3">
      <c r="AM1099" s="8"/>
    </row>
    <row r="1100" spans="39:39" x14ac:dyDescent="0.3">
      <c r="AM1100" s="8"/>
    </row>
    <row r="1101" spans="39:39" x14ac:dyDescent="0.3">
      <c r="AM1101" s="8"/>
    </row>
    <row r="1102" spans="39:39" x14ac:dyDescent="0.3">
      <c r="AM1102" s="8"/>
    </row>
    <row r="1103" spans="39:39" x14ac:dyDescent="0.3">
      <c r="AM1103" s="8"/>
    </row>
    <row r="1104" spans="39:39" x14ac:dyDescent="0.3">
      <c r="AM1104" s="8"/>
    </row>
    <row r="1105" spans="11:39" x14ac:dyDescent="0.3">
      <c r="AM1105" s="8"/>
    </row>
    <row r="1106" spans="11:39" x14ac:dyDescent="0.3">
      <c r="AM1106" s="8"/>
    </row>
    <row r="1107" spans="11:39" x14ac:dyDescent="0.3">
      <c r="AM1107" s="8"/>
    </row>
    <row r="1108" spans="11:39" x14ac:dyDescent="0.3">
      <c r="AM1108" s="8"/>
    </row>
    <row r="1109" spans="11:39" x14ac:dyDescent="0.3">
      <c r="AM1109" s="8"/>
    </row>
    <row r="1110" spans="11:39" x14ac:dyDescent="0.3">
      <c r="AM1110" s="8"/>
    </row>
    <row r="1111" spans="11:39" x14ac:dyDescent="0.3">
      <c r="AM1111" s="8"/>
    </row>
    <row r="1112" spans="11:39" x14ac:dyDescent="0.3">
      <c r="AM1112" s="8"/>
    </row>
    <row r="1113" spans="11:39" x14ac:dyDescent="0.3">
      <c r="AM1113" s="8"/>
    </row>
    <row r="1114" spans="11:39" x14ac:dyDescent="0.3">
      <c r="AM1114" s="8"/>
    </row>
    <row r="1115" spans="11:39" x14ac:dyDescent="0.3">
      <c r="K1115" s="11"/>
      <c r="AM1115" s="8"/>
    </row>
    <row r="1116" spans="11:39" x14ac:dyDescent="0.3">
      <c r="AM1116" s="8"/>
    </row>
    <row r="1117" spans="11:39" x14ac:dyDescent="0.3">
      <c r="AM1117" s="8"/>
    </row>
    <row r="1118" spans="11:39" x14ac:dyDescent="0.3">
      <c r="AM1118" s="8"/>
    </row>
    <row r="1119" spans="11:39" x14ac:dyDescent="0.3">
      <c r="AM1119" s="8"/>
    </row>
    <row r="1120" spans="11:39" x14ac:dyDescent="0.3">
      <c r="AM1120" s="8"/>
    </row>
    <row r="1121" spans="11:39" x14ac:dyDescent="0.3">
      <c r="AM1121" s="8"/>
    </row>
    <row r="1122" spans="11:39" x14ac:dyDescent="0.3">
      <c r="AM1122" s="8"/>
    </row>
    <row r="1123" spans="11:39" x14ac:dyDescent="0.3">
      <c r="AM1123" s="8"/>
    </row>
    <row r="1124" spans="11:39" x14ac:dyDescent="0.3">
      <c r="K1124" s="11"/>
      <c r="AM1124" s="8"/>
    </row>
    <row r="1125" spans="11:39" x14ac:dyDescent="0.3">
      <c r="AM1125" s="8"/>
    </row>
    <row r="1126" spans="11:39" x14ac:dyDescent="0.3">
      <c r="AM1126" s="8"/>
    </row>
    <row r="1127" spans="11:39" x14ac:dyDescent="0.3">
      <c r="AM1127" s="8"/>
    </row>
    <row r="1128" spans="11:39" x14ac:dyDescent="0.3">
      <c r="AM1128" s="8"/>
    </row>
    <row r="1129" spans="11:39" x14ac:dyDescent="0.3">
      <c r="AM1129" s="8"/>
    </row>
    <row r="1130" spans="11:39" x14ac:dyDescent="0.3">
      <c r="AM1130" s="8"/>
    </row>
    <row r="1131" spans="11:39" x14ac:dyDescent="0.3">
      <c r="K1131" s="11"/>
      <c r="AM1131" s="8"/>
    </row>
    <row r="1132" spans="11:39" x14ac:dyDescent="0.3">
      <c r="AM1132" s="8"/>
    </row>
    <row r="1133" spans="11:39" x14ac:dyDescent="0.3">
      <c r="AM1133" s="8"/>
    </row>
    <row r="1134" spans="11:39" x14ac:dyDescent="0.3">
      <c r="AM1134" s="8"/>
    </row>
    <row r="1135" spans="11:39" x14ac:dyDescent="0.3">
      <c r="AM1135" s="8"/>
    </row>
    <row r="1136" spans="11:39" x14ac:dyDescent="0.3">
      <c r="AM1136" s="8"/>
    </row>
    <row r="1137" spans="11:39" x14ac:dyDescent="0.3">
      <c r="AM1137" s="8"/>
    </row>
    <row r="1138" spans="11:39" x14ac:dyDescent="0.3">
      <c r="AM1138" s="8"/>
    </row>
    <row r="1139" spans="11:39" x14ac:dyDescent="0.3">
      <c r="AM1139" s="8"/>
    </row>
    <row r="1140" spans="11:39" x14ac:dyDescent="0.3">
      <c r="AM1140" s="8"/>
    </row>
    <row r="1141" spans="11:39" x14ac:dyDescent="0.3">
      <c r="AM1141" s="8"/>
    </row>
    <row r="1142" spans="11:39" x14ac:dyDescent="0.3">
      <c r="K1142" s="11"/>
      <c r="AM1142" s="8"/>
    </row>
    <row r="1143" spans="11:39" x14ac:dyDescent="0.3">
      <c r="K1143" s="11"/>
      <c r="AM1143" s="8"/>
    </row>
    <row r="1144" spans="11:39" x14ac:dyDescent="0.3">
      <c r="AM1144" s="8"/>
    </row>
    <row r="1145" spans="11:39" x14ac:dyDescent="0.3">
      <c r="AM1145" s="8"/>
    </row>
    <row r="1146" spans="11:39" x14ac:dyDescent="0.3">
      <c r="AM1146" s="8"/>
    </row>
    <row r="1147" spans="11:39" x14ac:dyDescent="0.3">
      <c r="K1147" s="11"/>
      <c r="AM1147" s="8"/>
    </row>
    <row r="1148" spans="11:39" x14ac:dyDescent="0.3">
      <c r="AM1148" s="8"/>
    </row>
    <row r="1149" spans="11:39" x14ac:dyDescent="0.3">
      <c r="K1149" s="11"/>
      <c r="AM1149" s="8"/>
    </row>
    <row r="1150" spans="11:39" x14ac:dyDescent="0.3">
      <c r="AM1150" s="8"/>
    </row>
    <row r="1151" spans="11:39" x14ac:dyDescent="0.3">
      <c r="K1151" s="11"/>
      <c r="AM1151" s="8"/>
    </row>
    <row r="1152" spans="11:39" x14ac:dyDescent="0.3">
      <c r="AM1152" s="8"/>
    </row>
    <row r="1153" spans="11:39" x14ac:dyDescent="0.3">
      <c r="AM1153" s="8"/>
    </row>
    <row r="1154" spans="11:39" x14ac:dyDescent="0.3">
      <c r="AM1154" s="8"/>
    </row>
    <row r="1155" spans="11:39" x14ac:dyDescent="0.3">
      <c r="AM1155" s="8"/>
    </row>
    <row r="1156" spans="11:39" x14ac:dyDescent="0.3">
      <c r="AM1156" s="8"/>
    </row>
    <row r="1157" spans="11:39" x14ac:dyDescent="0.3">
      <c r="K1157" s="11"/>
      <c r="AM1157" s="8"/>
    </row>
    <row r="1158" spans="11:39" x14ac:dyDescent="0.3">
      <c r="AM1158" s="8"/>
    </row>
    <row r="1159" spans="11:39" x14ac:dyDescent="0.3">
      <c r="K1159" s="11"/>
      <c r="AM1159" s="8"/>
    </row>
    <row r="1160" spans="11:39" x14ac:dyDescent="0.3">
      <c r="AM1160" s="8"/>
    </row>
    <row r="1161" spans="11:39" x14ac:dyDescent="0.3">
      <c r="K1161" s="11"/>
      <c r="AM1161" s="8"/>
    </row>
    <row r="1162" spans="11:39" x14ac:dyDescent="0.3">
      <c r="AM1162" s="8"/>
    </row>
    <row r="1163" spans="11:39" x14ac:dyDescent="0.3">
      <c r="AM1163" s="8"/>
    </row>
    <row r="1164" spans="11:39" x14ac:dyDescent="0.3">
      <c r="K1164" s="11"/>
      <c r="AM1164" s="8"/>
    </row>
    <row r="1165" spans="11:39" x14ac:dyDescent="0.3">
      <c r="AM1165" s="8"/>
    </row>
    <row r="1166" spans="11:39" x14ac:dyDescent="0.3">
      <c r="AM1166" s="8"/>
    </row>
    <row r="1167" spans="11:39" x14ac:dyDescent="0.3">
      <c r="AM1167" s="8"/>
    </row>
    <row r="1168" spans="11:39" x14ac:dyDescent="0.3">
      <c r="AM1168" s="8"/>
    </row>
    <row r="1169" spans="11:39" x14ac:dyDescent="0.3">
      <c r="AM1169" s="8"/>
    </row>
    <row r="1170" spans="11:39" x14ac:dyDescent="0.3">
      <c r="AM1170" s="8"/>
    </row>
    <row r="1171" spans="11:39" x14ac:dyDescent="0.3">
      <c r="AM1171" s="8"/>
    </row>
    <row r="1172" spans="11:39" x14ac:dyDescent="0.3">
      <c r="AM1172" s="8"/>
    </row>
    <row r="1173" spans="11:39" x14ac:dyDescent="0.3">
      <c r="K1173" s="11"/>
      <c r="AM1173" s="8"/>
    </row>
    <row r="1174" spans="11:39" x14ac:dyDescent="0.3">
      <c r="AM1174" s="8"/>
    </row>
    <row r="1175" spans="11:39" x14ac:dyDescent="0.3">
      <c r="AM1175" s="8"/>
    </row>
    <row r="1176" spans="11:39" x14ac:dyDescent="0.3">
      <c r="AM1176" s="8"/>
    </row>
    <row r="1177" spans="11:39" x14ac:dyDescent="0.3">
      <c r="AM1177" s="8"/>
    </row>
    <row r="1178" spans="11:39" x14ac:dyDescent="0.3">
      <c r="AM1178" s="8"/>
    </row>
    <row r="1179" spans="11:39" x14ac:dyDescent="0.3">
      <c r="AM1179" s="8"/>
    </row>
    <row r="1180" spans="11:39" x14ac:dyDescent="0.3">
      <c r="AM1180" s="8"/>
    </row>
    <row r="1181" spans="11:39" x14ac:dyDescent="0.3">
      <c r="AM1181" s="8"/>
    </row>
    <row r="1182" spans="11:39" x14ac:dyDescent="0.3">
      <c r="AM1182" s="8"/>
    </row>
    <row r="1183" spans="11:39" x14ac:dyDescent="0.3">
      <c r="AM1183" s="8"/>
    </row>
    <row r="1184" spans="11:39" x14ac:dyDescent="0.3">
      <c r="AM1184" s="8"/>
    </row>
    <row r="1185" spans="11:39" x14ac:dyDescent="0.3">
      <c r="AM1185" s="8"/>
    </row>
    <row r="1186" spans="11:39" x14ac:dyDescent="0.3">
      <c r="AM1186" s="8"/>
    </row>
    <row r="1187" spans="11:39" x14ac:dyDescent="0.3">
      <c r="AM1187" s="8"/>
    </row>
    <row r="1188" spans="11:39" x14ac:dyDescent="0.3">
      <c r="AM1188" s="8"/>
    </row>
    <row r="1189" spans="11:39" x14ac:dyDescent="0.3">
      <c r="AM1189" s="8"/>
    </row>
    <row r="1190" spans="11:39" x14ac:dyDescent="0.3">
      <c r="K1190" s="11"/>
      <c r="AM1190" s="8"/>
    </row>
    <row r="1191" spans="11:39" x14ac:dyDescent="0.3">
      <c r="K1191" s="11"/>
      <c r="AM1191" s="8"/>
    </row>
    <row r="1192" spans="11:39" x14ac:dyDescent="0.3">
      <c r="AM1192" s="8"/>
    </row>
    <row r="1193" spans="11:39" x14ac:dyDescent="0.3">
      <c r="AM1193" s="8"/>
    </row>
    <row r="1194" spans="11:39" x14ac:dyDescent="0.3">
      <c r="AM1194" s="8"/>
    </row>
    <row r="1195" spans="11:39" x14ac:dyDescent="0.3">
      <c r="AM1195" s="8"/>
    </row>
    <row r="1196" spans="11:39" x14ac:dyDescent="0.3">
      <c r="AM1196" s="8"/>
    </row>
    <row r="1197" spans="11:39" x14ac:dyDescent="0.3">
      <c r="AM1197" s="8"/>
    </row>
    <row r="1198" spans="11:39" x14ac:dyDescent="0.3">
      <c r="AM1198" s="8"/>
    </row>
    <row r="1199" spans="11:39" x14ac:dyDescent="0.3">
      <c r="AM1199" s="8"/>
    </row>
    <row r="1200" spans="11:39" x14ac:dyDescent="0.3">
      <c r="AM1200" s="8"/>
    </row>
    <row r="1201" spans="11:39" x14ac:dyDescent="0.3">
      <c r="AM1201" s="8"/>
    </row>
    <row r="1202" spans="11:39" x14ac:dyDescent="0.3">
      <c r="AM1202" s="8"/>
    </row>
    <row r="1203" spans="11:39" x14ac:dyDescent="0.3">
      <c r="AM1203" s="8"/>
    </row>
    <row r="1204" spans="11:39" x14ac:dyDescent="0.3">
      <c r="AM1204" s="8"/>
    </row>
    <row r="1205" spans="11:39" x14ac:dyDescent="0.3">
      <c r="AM1205" s="8"/>
    </row>
    <row r="1206" spans="11:39" x14ac:dyDescent="0.3">
      <c r="AM1206" s="8"/>
    </row>
    <row r="1207" spans="11:39" x14ac:dyDescent="0.3">
      <c r="AM1207" s="8"/>
    </row>
    <row r="1208" spans="11:39" x14ac:dyDescent="0.3">
      <c r="AM1208" s="8"/>
    </row>
    <row r="1209" spans="11:39" x14ac:dyDescent="0.3">
      <c r="AM1209" s="8"/>
    </row>
    <row r="1210" spans="11:39" x14ac:dyDescent="0.3">
      <c r="K1210" s="11"/>
      <c r="AM1210" s="8"/>
    </row>
    <row r="1211" spans="11:39" x14ac:dyDescent="0.3">
      <c r="AM1211" s="8"/>
    </row>
    <row r="1212" spans="11:39" x14ac:dyDescent="0.3">
      <c r="AM1212" s="8"/>
    </row>
    <row r="1213" spans="11:39" x14ac:dyDescent="0.3">
      <c r="AM1213" s="8"/>
    </row>
    <row r="1214" spans="11:39" x14ac:dyDescent="0.3">
      <c r="AM1214" s="8"/>
    </row>
    <row r="1215" spans="11:39" x14ac:dyDescent="0.3">
      <c r="AM1215" s="8"/>
    </row>
    <row r="1216" spans="11:39" x14ac:dyDescent="0.3">
      <c r="AM1216" s="8"/>
    </row>
    <row r="1217" spans="11:39" x14ac:dyDescent="0.3">
      <c r="AM1217" s="8"/>
    </row>
    <row r="1218" spans="11:39" x14ac:dyDescent="0.3">
      <c r="K1218" s="11"/>
      <c r="AM1218" s="8"/>
    </row>
    <row r="1219" spans="11:39" x14ac:dyDescent="0.3">
      <c r="AM1219" s="8"/>
    </row>
    <row r="1220" spans="11:39" x14ac:dyDescent="0.3">
      <c r="K1220" s="11"/>
      <c r="AM1220" s="8"/>
    </row>
    <row r="1221" spans="11:39" x14ac:dyDescent="0.3">
      <c r="AM1221" s="8"/>
    </row>
    <row r="1222" spans="11:39" x14ac:dyDescent="0.3">
      <c r="AM1222" s="8"/>
    </row>
    <row r="1223" spans="11:39" x14ac:dyDescent="0.3">
      <c r="K1223" s="11"/>
      <c r="AM1223" s="8"/>
    </row>
    <row r="1224" spans="11:39" x14ac:dyDescent="0.3">
      <c r="AM1224" s="8"/>
    </row>
    <row r="1225" spans="11:39" x14ac:dyDescent="0.3">
      <c r="AM1225" s="8"/>
    </row>
    <row r="1226" spans="11:39" x14ac:dyDescent="0.3">
      <c r="AM1226" s="8"/>
    </row>
    <row r="1227" spans="11:39" x14ac:dyDescent="0.3">
      <c r="AM1227" s="8"/>
    </row>
    <row r="1228" spans="11:39" x14ac:dyDescent="0.3">
      <c r="AM1228" s="8"/>
    </row>
    <row r="1229" spans="11:39" x14ac:dyDescent="0.3">
      <c r="AM1229" s="8"/>
    </row>
    <row r="1230" spans="11:39" x14ac:dyDescent="0.3">
      <c r="AM1230" s="8"/>
    </row>
    <row r="1231" spans="11:39" x14ac:dyDescent="0.3">
      <c r="AM1231" s="8"/>
    </row>
    <row r="1232" spans="11:39" x14ac:dyDescent="0.3">
      <c r="AM1232" s="8"/>
    </row>
    <row r="1233" spans="39:39" x14ac:dyDescent="0.3">
      <c r="AM1233" s="8"/>
    </row>
    <row r="1234" spans="39:39" x14ac:dyDescent="0.3">
      <c r="AM1234" s="8"/>
    </row>
    <row r="1235" spans="39:39" x14ac:dyDescent="0.3">
      <c r="AM1235" s="8"/>
    </row>
    <row r="1236" spans="39:39" x14ac:dyDescent="0.3">
      <c r="AM1236" s="8"/>
    </row>
    <row r="1237" spans="39:39" x14ac:dyDescent="0.3">
      <c r="AM1237" s="8"/>
    </row>
    <row r="1238" spans="39:39" x14ac:dyDescent="0.3">
      <c r="AM1238" s="8"/>
    </row>
    <row r="1239" spans="39:39" x14ac:dyDescent="0.3">
      <c r="AM1239" s="8"/>
    </row>
    <row r="1240" spans="39:39" x14ac:dyDescent="0.3">
      <c r="AM1240" s="8"/>
    </row>
    <row r="1241" spans="39:39" x14ac:dyDescent="0.3">
      <c r="AM1241" s="8"/>
    </row>
    <row r="1242" spans="39:39" x14ac:dyDescent="0.3">
      <c r="AM1242" s="8"/>
    </row>
    <row r="1243" spans="39:39" x14ac:dyDescent="0.3">
      <c r="AM1243" s="8"/>
    </row>
    <row r="1244" spans="39:39" x14ac:dyDescent="0.3">
      <c r="AM1244" s="8"/>
    </row>
    <row r="1245" spans="39:39" x14ac:dyDescent="0.3">
      <c r="AM1245" s="8"/>
    </row>
    <row r="1246" spans="39:39" x14ac:dyDescent="0.3">
      <c r="AM1246" s="8"/>
    </row>
    <row r="1247" spans="39:39" x14ac:dyDescent="0.3">
      <c r="AM1247" s="8"/>
    </row>
    <row r="1248" spans="39:39" x14ac:dyDescent="0.3">
      <c r="AM1248" s="8"/>
    </row>
    <row r="1249" spans="11:39" x14ac:dyDescent="0.3">
      <c r="AM1249" s="8"/>
    </row>
    <row r="1250" spans="11:39" x14ac:dyDescent="0.3">
      <c r="AM1250" s="8"/>
    </row>
    <row r="1251" spans="11:39" x14ac:dyDescent="0.3">
      <c r="K1251" s="11"/>
      <c r="AM1251" s="8"/>
    </row>
    <row r="1252" spans="11:39" x14ac:dyDescent="0.3">
      <c r="AM1252" s="8"/>
    </row>
    <row r="1253" spans="11:39" x14ac:dyDescent="0.3">
      <c r="AM1253" s="8"/>
    </row>
    <row r="1254" spans="11:39" x14ac:dyDescent="0.3">
      <c r="AM1254" s="8"/>
    </row>
    <row r="1255" spans="11:39" x14ac:dyDescent="0.3">
      <c r="AM1255" s="8"/>
    </row>
    <row r="1256" spans="11:39" x14ac:dyDescent="0.3">
      <c r="AM1256" s="8"/>
    </row>
    <row r="1257" spans="11:39" x14ac:dyDescent="0.3">
      <c r="AM1257" s="8"/>
    </row>
    <row r="1258" spans="11:39" x14ac:dyDescent="0.3">
      <c r="AM1258" s="8"/>
    </row>
    <row r="1259" spans="11:39" x14ac:dyDescent="0.3">
      <c r="AM1259" s="8"/>
    </row>
    <row r="1260" spans="11:39" x14ac:dyDescent="0.3">
      <c r="AM1260" s="8"/>
    </row>
    <row r="1261" spans="11:39" x14ac:dyDescent="0.3">
      <c r="AM1261" s="8"/>
    </row>
    <row r="1262" spans="11:39" x14ac:dyDescent="0.3">
      <c r="AM1262" s="8"/>
    </row>
    <row r="1263" spans="11:39" x14ac:dyDescent="0.3">
      <c r="AM1263" s="8"/>
    </row>
    <row r="1264" spans="11:39" x14ac:dyDescent="0.3">
      <c r="AM1264" s="8"/>
    </row>
    <row r="1265" spans="39:39" x14ac:dyDescent="0.3">
      <c r="AM1265" s="8"/>
    </row>
    <row r="1266" spans="39:39" x14ac:dyDescent="0.3">
      <c r="AM1266" s="8"/>
    </row>
    <row r="1267" spans="39:39" x14ac:dyDescent="0.3">
      <c r="AM1267" s="8"/>
    </row>
    <row r="1268" spans="39:39" x14ac:dyDescent="0.3">
      <c r="AM1268" s="8"/>
    </row>
    <row r="1269" spans="39:39" x14ac:dyDescent="0.3">
      <c r="AM1269" s="8"/>
    </row>
    <row r="1270" spans="39:39" x14ac:dyDescent="0.3">
      <c r="AM1270" s="8"/>
    </row>
    <row r="1271" spans="39:39" x14ac:dyDescent="0.3">
      <c r="AM1271" s="8"/>
    </row>
    <row r="1272" spans="39:39" x14ac:dyDescent="0.3">
      <c r="AM1272" s="8"/>
    </row>
    <row r="1273" spans="39:39" x14ac:dyDescent="0.3">
      <c r="AM1273" s="8"/>
    </row>
    <row r="1274" spans="39:39" x14ac:dyDescent="0.3">
      <c r="AM1274" s="8"/>
    </row>
    <row r="1275" spans="39:39" x14ac:dyDescent="0.3">
      <c r="AM1275" s="8"/>
    </row>
    <row r="1276" spans="39:39" x14ac:dyDescent="0.3">
      <c r="AM1276" s="8"/>
    </row>
    <row r="1277" spans="39:39" x14ac:dyDescent="0.3">
      <c r="AM1277" s="8"/>
    </row>
    <row r="1278" spans="39:39" x14ac:dyDescent="0.3">
      <c r="AM1278" s="8"/>
    </row>
    <row r="1279" spans="39:39" x14ac:dyDescent="0.3">
      <c r="AM1279" s="8"/>
    </row>
    <row r="1280" spans="39:39" x14ac:dyDescent="0.3">
      <c r="AM1280" s="8"/>
    </row>
    <row r="1281" spans="11:39" x14ac:dyDescent="0.3">
      <c r="AM1281" s="8"/>
    </row>
    <row r="1282" spans="11:39" x14ac:dyDescent="0.3">
      <c r="AM1282" s="8"/>
    </row>
    <row r="1283" spans="11:39" x14ac:dyDescent="0.3">
      <c r="AM1283" s="8"/>
    </row>
    <row r="1284" spans="11:39" x14ac:dyDescent="0.3">
      <c r="K1284" s="11"/>
      <c r="AM1284" s="8"/>
    </row>
    <row r="1285" spans="11:39" x14ac:dyDescent="0.3">
      <c r="AM1285" s="8"/>
    </row>
    <row r="1286" spans="11:39" x14ac:dyDescent="0.3">
      <c r="AM1286" s="8"/>
    </row>
    <row r="1287" spans="11:39" x14ac:dyDescent="0.3">
      <c r="AM1287" s="8"/>
    </row>
    <row r="1288" spans="11:39" x14ac:dyDescent="0.3">
      <c r="AM1288" s="8"/>
    </row>
    <row r="1289" spans="11:39" x14ac:dyDescent="0.3">
      <c r="AM1289" s="8"/>
    </row>
    <row r="1290" spans="11:39" x14ac:dyDescent="0.3">
      <c r="AM1290" s="8"/>
    </row>
    <row r="1291" spans="11:39" x14ac:dyDescent="0.3">
      <c r="AM1291" s="8"/>
    </row>
    <row r="1292" spans="11:39" x14ac:dyDescent="0.3">
      <c r="K1292" s="11"/>
      <c r="AM1292" s="8"/>
    </row>
    <row r="1293" spans="11:39" x14ac:dyDescent="0.3">
      <c r="AM1293" s="8"/>
    </row>
    <row r="1294" spans="11:39" x14ac:dyDescent="0.3">
      <c r="AM1294" s="8"/>
    </row>
    <row r="1295" spans="11:39" x14ac:dyDescent="0.3">
      <c r="AM1295" s="8"/>
    </row>
    <row r="1296" spans="11:39" x14ac:dyDescent="0.3">
      <c r="AM1296" s="8"/>
    </row>
    <row r="1297" spans="11:39" x14ac:dyDescent="0.3">
      <c r="AM1297" s="8"/>
    </row>
    <row r="1298" spans="11:39" x14ac:dyDescent="0.3">
      <c r="K1298" s="11"/>
      <c r="AM1298" s="8"/>
    </row>
    <row r="1299" spans="11:39" x14ac:dyDescent="0.3">
      <c r="AM1299" s="8"/>
    </row>
    <row r="1300" spans="11:39" x14ac:dyDescent="0.3">
      <c r="AM1300" s="8"/>
    </row>
    <row r="1301" spans="11:39" x14ac:dyDescent="0.3">
      <c r="AM1301" s="8"/>
    </row>
    <row r="1302" spans="11:39" x14ac:dyDescent="0.3">
      <c r="AM1302" s="8"/>
    </row>
    <row r="1303" spans="11:39" x14ac:dyDescent="0.3">
      <c r="AM1303" s="8"/>
    </row>
    <row r="1304" spans="11:39" x14ac:dyDescent="0.3">
      <c r="AM1304" s="8"/>
    </row>
    <row r="1305" spans="11:39" x14ac:dyDescent="0.3">
      <c r="AM1305" s="8"/>
    </row>
    <row r="1306" spans="11:39" x14ac:dyDescent="0.3">
      <c r="AM1306" s="8"/>
    </row>
    <row r="1307" spans="11:39" x14ac:dyDescent="0.3">
      <c r="K1307" s="11"/>
      <c r="AM1307" s="8"/>
    </row>
    <row r="1308" spans="11:39" x14ac:dyDescent="0.3">
      <c r="AM1308" s="8"/>
    </row>
    <row r="1309" spans="11:39" x14ac:dyDescent="0.3">
      <c r="K1309" s="11"/>
      <c r="AM1309" s="8"/>
    </row>
    <row r="1310" spans="11:39" x14ac:dyDescent="0.3">
      <c r="AM1310" s="8"/>
    </row>
    <row r="1311" spans="11:39" x14ac:dyDescent="0.3">
      <c r="AM1311" s="8"/>
    </row>
    <row r="1312" spans="11:39" x14ac:dyDescent="0.3">
      <c r="AM1312" s="8"/>
    </row>
    <row r="1313" spans="11:39" x14ac:dyDescent="0.3">
      <c r="AM1313" s="8"/>
    </row>
    <row r="1314" spans="11:39" x14ac:dyDescent="0.3">
      <c r="AM1314" s="8"/>
    </row>
    <row r="1315" spans="11:39" x14ac:dyDescent="0.3">
      <c r="AM1315" s="8"/>
    </row>
    <row r="1316" spans="11:39" x14ac:dyDescent="0.3">
      <c r="K1316" s="11"/>
      <c r="AM1316" s="8"/>
    </row>
    <row r="1317" spans="11:39" x14ac:dyDescent="0.3">
      <c r="AM1317" s="8"/>
    </row>
    <row r="1318" spans="11:39" x14ac:dyDescent="0.3">
      <c r="AM1318" s="8"/>
    </row>
    <row r="1319" spans="11:39" x14ac:dyDescent="0.3">
      <c r="AM1319" s="8"/>
    </row>
    <row r="1320" spans="11:39" x14ac:dyDescent="0.3">
      <c r="K1320" s="11"/>
      <c r="AM1320" s="8"/>
    </row>
    <row r="1321" spans="11:39" x14ac:dyDescent="0.3">
      <c r="AM1321" s="8"/>
    </row>
    <row r="1322" spans="11:39" x14ac:dyDescent="0.3">
      <c r="K1322" s="11"/>
      <c r="AM1322" s="8"/>
    </row>
    <row r="1323" spans="11:39" x14ac:dyDescent="0.3">
      <c r="AM1323" s="8"/>
    </row>
    <row r="1324" spans="11:39" x14ac:dyDescent="0.3">
      <c r="AM1324" s="8"/>
    </row>
    <row r="1325" spans="11:39" x14ac:dyDescent="0.3">
      <c r="AM1325" s="8"/>
    </row>
    <row r="1326" spans="11:39" x14ac:dyDescent="0.3">
      <c r="AM1326" s="8"/>
    </row>
    <row r="1327" spans="11:39" x14ac:dyDescent="0.3">
      <c r="AM1327" s="8"/>
    </row>
    <row r="1328" spans="11:39" x14ac:dyDescent="0.3">
      <c r="AM1328" s="8"/>
    </row>
    <row r="1329" spans="11:39" x14ac:dyDescent="0.3">
      <c r="K1329" s="11"/>
      <c r="AM1329" s="8"/>
    </row>
    <row r="1330" spans="11:39" x14ac:dyDescent="0.3">
      <c r="AM1330" s="8"/>
    </row>
    <row r="1331" spans="11:39" x14ac:dyDescent="0.3">
      <c r="AM1331" s="8"/>
    </row>
    <row r="1332" spans="11:39" x14ac:dyDescent="0.3">
      <c r="AM1332" s="8"/>
    </row>
    <row r="1333" spans="11:39" x14ac:dyDescent="0.3">
      <c r="AM1333" s="8"/>
    </row>
    <row r="1334" spans="11:39" x14ac:dyDescent="0.3">
      <c r="AM1334" s="8"/>
    </row>
    <row r="1335" spans="11:39" x14ac:dyDescent="0.3">
      <c r="AM1335" s="8"/>
    </row>
    <row r="1336" spans="11:39" x14ac:dyDescent="0.3">
      <c r="AM1336" s="8"/>
    </row>
    <row r="1337" spans="11:39" x14ac:dyDescent="0.3">
      <c r="AM1337" s="8"/>
    </row>
    <row r="1338" spans="11:39" x14ac:dyDescent="0.3">
      <c r="AM1338" s="8"/>
    </row>
    <row r="1339" spans="11:39" x14ac:dyDescent="0.3">
      <c r="AM1339" s="8"/>
    </row>
    <row r="1340" spans="11:39" x14ac:dyDescent="0.3">
      <c r="AM1340" s="8"/>
    </row>
    <row r="1341" spans="11:39" x14ac:dyDescent="0.3">
      <c r="AM1341" s="8"/>
    </row>
    <row r="1342" spans="11:39" x14ac:dyDescent="0.3">
      <c r="K1342" s="11"/>
      <c r="AM1342" s="8"/>
    </row>
    <row r="1343" spans="11:39" x14ac:dyDescent="0.3">
      <c r="AM1343" s="8"/>
    </row>
    <row r="1344" spans="11:39" x14ac:dyDescent="0.3">
      <c r="AM1344" s="8"/>
    </row>
    <row r="1345" spans="11:39" x14ac:dyDescent="0.3">
      <c r="AM1345" s="8"/>
    </row>
    <row r="1346" spans="11:39" x14ac:dyDescent="0.3">
      <c r="K1346" s="11"/>
      <c r="AM1346" s="8"/>
    </row>
    <row r="1347" spans="11:39" x14ac:dyDescent="0.3">
      <c r="AM1347" s="8"/>
    </row>
    <row r="1348" spans="11:39" x14ac:dyDescent="0.3">
      <c r="K1348" s="11"/>
      <c r="AM1348" s="8"/>
    </row>
    <row r="1349" spans="11:39" x14ac:dyDescent="0.3">
      <c r="AM1349" s="8"/>
    </row>
    <row r="1350" spans="11:39" x14ac:dyDescent="0.3">
      <c r="K1350" s="11"/>
      <c r="AM1350" s="8"/>
    </row>
    <row r="1351" spans="11:39" x14ac:dyDescent="0.3">
      <c r="AM1351" s="8"/>
    </row>
    <row r="1352" spans="11:39" x14ac:dyDescent="0.3">
      <c r="AM1352" s="8"/>
    </row>
    <row r="1353" spans="11:39" x14ac:dyDescent="0.3">
      <c r="K1353" s="11"/>
      <c r="AM1353" s="8"/>
    </row>
    <row r="1354" spans="11:39" x14ac:dyDescent="0.3">
      <c r="AM1354" s="8"/>
    </row>
    <row r="1355" spans="11:39" x14ac:dyDescent="0.3">
      <c r="AM1355" s="8"/>
    </row>
    <row r="1356" spans="11:39" x14ac:dyDescent="0.3">
      <c r="AM1356" s="8"/>
    </row>
    <row r="1357" spans="11:39" x14ac:dyDescent="0.3">
      <c r="K1357" s="11"/>
      <c r="AM1357" s="8"/>
    </row>
    <row r="1358" spans="11:39" x14ac:dyDescent="0.3">
      <c r="AM1358" s="8"/>
    </row>
    <row r="1359" spans="11:39" x14ac:dyDescent="0.3">
      <c r="AM1359" s="8"/>
    </row>
    <row r="1360" spans="11:39" x14ac:dyDescent="0.3">
      <c r="K1360" s="11"/>
      <c r="AM1360" s="8"/>
    </row>
    <row r="1361" spans="11:39" x14ac:dyDescent="0.3">
      <c r="AM1361" s="8"/>
    </row>
    <row r="1362" spans="11:39" x14ac:dyDescent="0.3">
      <c r="AM1362" s="8"/>
    </row>
    <row r="1363" spans="11:39" x14ac:dyDescent="0.3">
      <c r="AM1363" s="8"/>
    </row>
    <row r="1364" spans="11:39" x14ac:dyDescent="0.3">
      <c r="AM1364" s="8"/>
    </row>
    <row r="1365" spans="11:39" x14ac:dyDescent="0.3">
      <c r="AM1365" s="8"/>
    </row>
    <row r="1366" spans="11:39" x14ac:dyDescent="0.3">
      <c r="AM1366" s="8"/>
    </row>
    <row r="1367" spans="11:39" x14ac:dyDescent="0.3">
      <c r="AM1367" s="8"/>
    </row>
    <row r="1368" spans="11:39" x14ac:dyDescent="0.3">
      <c r="AM1368" s="8"/>
    </row>
    <row r="1369" spans="11:39" x14ac:dyDescent="0.3">
      <c r="AM1369" s="8"/>
    </row>
    <row r="1370" spans="11:39" x14ac:dyDescent="0.3">
      <c r="AM1370" s="8"/>
    </row>
    <row r="1371" spans="11:39" x14ac:dyDescent="0.3">
      <c r="K1371" s="11"/>
      <c r="AM1371" s="8"/>
    </row>
    <row r="1372" spans="11:39" x14ac:dyDescent="0.3">
      <c r="AM1372" s="8"/>
    </row>
    <row r="1373" spans="11:39" x14ac:dyDescent="0.3">
      <c r="AM1373" s="8"/>
    </row>
    <row r="1374" spans="11:39" x14ac:dyDescent="0.3">
      <c r="K1374" s="11"/>
      <c r="AM1374" s="8"/>
    </row>
    <row r="1375" spans="11:39" x14ac:dyDescent="0.3">
      <c r="AM1375" s="8"/>
    </row>
    <row r="1376" spans="11:39" x14ac:dyDescent="0.3">
      <c r="AM1376" s="8"/>
    </row>
    <row r="1377" spans="11:39" x14ac:dyDescent="0.3">
      <c r="AM1377" s="8"/>
    </row>
    <row r="1378" spans="11:39" x14ac:dyDescent="0.3">
      <c r="AM1378" s="8"/>
    </row>
    <row r="1379" spans="11:39" x14ac:dyDescent="0.3">
      <c r="AM1379" s="8"/>
    </row>
    <row r="1380" spans="11:39" x14ac:dyDescent="0.3">
      <c r="AM1380" s="8"/>
    </row>
    <row r="1381" spans="11:39" x14ac:dyDescent="0.3">
      <c r="AM1381" s="8"/>
    </row>
    <row r="1382" spans="11:39" x14ac:dyDescent="0.3">
      <c r="AM1382" s="8"/>
    </row>
    <row r="1383" spans="11:39" x14ac:dyDescent="0.3">
      <c r="AM1383" s="8"/>
    </row>
    <row r="1384" spans="11:39" x14ac:dyDescent="0.3">
      <c r="AM1384" s="8"/>
    </row>
    <row r="1385" spans="11:39" x14ac:dyDescent="0.3">
      <c r="AM1385" s="8"/>
    </row>
    <row r="1386" spans="11:39" x14ac:dyDescent="0.3">
      <c r="K1386" s="11"/>
      <c r="AM1386" s="8"/>
    </row>
    <row r="1387" spans="11:39" x14ac:dyDescent="0.3">
      <c r="AM1387" s="8"/>
    </row>
    <row r="1388" spans="11:39" x14ac:dyDescent="0.3">
      <c r="AM1388" s="8"/>
    </row>
    <row r="1389" spans="11:39" x14ac:dyDescent="0.3">
      <c r="AM1389" s="8"/>
    </row>
    <row r="1390" spans="11:39" x14ac:dyDescent="0.3">
      <c r="AM1390" s="8"/>
    </row>
    <row r="1391" spans="11:39" x14ac:dyDescent="0.3">
      <c r="AM1391" s="8"/>
    </row>
    <row r="1392" spans="11:39" x14ac:dyDescent="0.3">
      <c r="AM1392" s="8"/>
    </row>
    <row r="1393" spans="11:39" x14ac:dyDescent="0.3">
      <c r="AM1393" s="8"/>
    </row>
    <row r="1394" spans="11:39" x14ac:dyDescent="0.3">
      <c r="AM1394" s="8"/>
    </row>
    <row r="1395" spans="11:39" x14ac:dyDescent="0.3">
      <c r="AM1395" s="8"/>
    </row>
    <row r="1396" spans="11:39" x14ac:dyDescent="0.3">
      <c r="AM1396" s="8"/>
    </row>
    <row r="1397" spans="11:39" x14ac:dyDescent="0.3">
      <c r="AM1397" s="8"/>
    </row>
    <row r="1398" spans="11:39" x14ac:dyDescent="0.3">
      <c r="AM1398" s="8"/>
    </row>
    <row r="1399" spans="11:39" x14ac:dyDescent="0.3">
      <c r="AM1399" s="8"/>
    </row>
    <row r="1400" spans="11:39" x14ac:dyDescent="0.3">
      <c r="AM1400" s="8"/>
    </row>
    <row r="1401" spans="11:39" x14ac:dyDescent="0.3">
      <c r="AM1401" s="8"/>
    </row>
    <row r="1402" spans="11:39" x14ac:dyDescent="0.3">
      <c r="AM1402" s="8"/>
    </row>
    <row r="1403" spans="11:39" x14ac:dyDescent="0.3">
      <c r="K1403" s="11"/>
      <c r="AM1403" s="8"/>
    </row>
    <row r="1404" spans="11:39" x14ac:dyDescent="0.3">
      <c r="AM1404" s="8"/>
    </row>
    <row r="1405" spans="11:39" x14ac:dyDescent="0.3">
      <c r="AM1405" s="8"/>
    </row>
    <row r="1406" spans="11:39" x14ac:dyDescent="0.3">
      <c r="AM1406" s="8"/>
    </row>
    <row r="1407" spans="11:39" x14ac:dyDescent="0.3">
      <c r="AM1407" s="8"/>
    </row>
    <row r="1408" spans="11:39" x14ac:dyDescent="0.3">
      <c r="AM1408" s="8"/>
    </row>
    <row r="1409" spans="11:39" x14ac:dyDescent="0.3">
      <c r="AM1409" s="8"/>
    </row>
    <row r="1410" spans="11:39" x14ac:dyDescent="0.3">
      <c r="AM1410" s="8"/>
    </row>
    <row r="1411" spans="11:39" x14ac:dyDescent="0.3">
      <c r="AM1411" s="8"/>
    </row>
    <row r="1412" spans="11:39" x14ac:dyDescent="0.3">
      <c r="AM1412" s="8"/>
    </row>
    <row r="1413" spans="11:39" x14ac:dyDescent="0.3">
      <c r="AM1413" s="8"/>
    </row>
    <row r="1414" spans="11:39" x14ac:dyDescent="0.3">
      <c r="AM1414" s="8"/>
    </row>
    <row r="1415" spans="11:39" x14ac:dyDescent="0.3">
      <c r="AM1415" s="8"/>
    </row>
    <row r="1416" spans="11:39" x14ac:dyDescent="0.3">
      <c r="AM1416" s="8"/>
    </row>
    <row r="1417" spans="11:39" x14ac:dyDescent="0.3">
      <c r="AM1417" s="8"/>
    </row>
    <row r="1418" spans="11:39" x14ac:dyDescent="0.3">
      <c r="AM1418" s="8"/>
    </row>
    <row r="1419" spans="11:39" x14ac:dyDescent="0.3">
      <c r="AM1419" s="8"/>
    </row>
    <row r="1420" spans="11:39" x14ac:dyDescent="0.3">
      <c r="K1420" s="11"/>
      <c r="AM1420" s="8"/>
    </row>
    <row r="1421" spans="11:39" x14ac:dyDescent="0.3">
      <c r="AM1421" s="8"/>
    </row>
    <row r="1422" spans="11:39" x14ac:dyDescent="0.3">
      <c r="AM1422" s="8"/>
    </row>
    <row r="1423" spans="11:39" x14ac:dyDescent="0.3">
      <c r="AM1423" s="8"/>
    </row>
    <row r="1424" spans="11:39" x14ac:dyDescent="0.3">
      <c r="AM1424" s="8"/>
    </row>
    <row r="1425" spans="11:39" x14ac:dyDescent="0.3">
      <c r="AM1425" s="8"/>
    </row>
    <row r="1426" spans="11:39" x14ac:dyDescent="0.3">
      <c r="AM1426" s="8"/>
    </row>
    <row r="1427" spans="11:39" x14ac:dyDescent="0.3">
      <c r="AM1427" s="8"/>
    </row>
    <row r="1428" spans="11:39" x14ac:dyDescent="0.3">
      <c r="AM1428" s="8"/>
    </row>
    <row r="1429" spans="11:39" x14ac:dyDescent="0.3">
      <c r="AM1429" s="8"/>
    </row>
    <row r="1430" spans="11:39" x14ac:dyDescent="0.3">
      <c r="AM1430" s="8"/>
    </row>
    <row r="1431" spans="11:39" x14ac:dyDescent="0.3">
      <c r="AM1431" s="8"/>
    </row>
    <row r="1432" spans="11:39" x14ac:dyDescent="0.3">
      <c r="K1432" s="11"/>
      <c r="AM1432" s="8"/>
    </row>
    <row r="1433" spans="11:39" x14ac:dyDescent="0.3">
      <c r="AM1433" s="8"/>
    </row>
    <row r="1434" spans="11:39" x14ac:dyDescent="0.3">
      <c r="AM1434" s="8"/>
    </row>
    <row r="1435" spans="11:39" x14ac:dyDescent="0.3">
      <c r="AM1435" s="8"/>
    </row>
    <row r="1436" spans="11:39" x14ac:dyDescent="0.3">
      <c r="AM1436" s="8"/>
    </row>
    <row r="1437" spans="11:39" x14ac:dyDescent="0.3">
      <c r="K1437" s="11"/>
      <c r="AM1437" s="8"/>
    </row>
    <row r="1438" spans="11:39" x14ac:dyDescent="0.3">
      <c r="AM1438" s="8"/>
    </row>
    <row r="1439" spans="11:39" x14ac:dyDescent="0.3">
      <c r="AM1439" s="8"/>
    </row>
    <row r="1440" spans="11:39" x14ac:dyDescent="0.3">
      <c r="AM1440" s="8"/>
    </row>
    <row r="1441" spans="11:39" x14ac:dyDescent="0.3">
      <c r="AM1441" s="8"/>
    </row>
    <row r="1442" spans="11:39" x14ac:dyDescent="0.3">
      <c r="AM1442" s="8"/>
    </row>
    <row r="1443" spans="11:39" x14ac:dyDescent="0.3">
      <c r="AM1443" s="8"/>
    </row>
    <row r="1444" spans="11:39" x14ac:dyDescent="0.3">
      <c r="K1444" s="11"/>
      <c r="AM1444" s="8"/>
    </row>
    <row r="1445" spans="11:39" x14ac:dyDescent="0.3">
      <c r="AM1445" s="8"/>
    </row>
    <row r="1446" spans="11:39" x14ac:dyDescent="0.3">
      <c r="AM1446" s="8"/>
    </row>
    <row r="1447" spans="11:39" x14ac:dyDescent="0.3">
      <c r="AM1447" s="8"/>
    </row>
    <row r="1448" spans="11:39" x14ac:dyDescent="0.3">
      <c r="AM1448" s="8"/>
    </row>
    <row r="1449" spans="11:39" x14ac:dyDescent="0.3">
      <c r="K1449" s="11"/>
      <c r="AM1449" s="8"/>
    </row>
    <row r="1450" spans="11:39" x14ac:dyDescent="0.3">
      <c r="AM1450" s="8"/>
    </row>
    <row r="1451" spans="11:39" x14ac:dyDescent="0.3">
      <c r="AM1451" s="8"/>
    </row>
    <row r="1452" spans="11:39" x14ac:dyDescent="0.3">
      <c r="AM1452" s="8"/>
    </row>
    <row r="1453" spans="11:39" x14ac:dyDescent="0.3">
      <c r="AM1453" s="8"/>
    </row>
    <row r="1454" spans="11:39" x14ac:dyDescent="0.3">
      <c r="AM1454" s="8"/>
    </row>
    <row r="1455" spans="11:39" x14ac:dyDescent="0.3">
      <c r="AM1455" s="8"/>
    </row>
    <row r="1456" spans="11:39" x14ac:dyDescent="0.3">
      <c r="AM1456" s="8"/>
    </row>
    <row r="1457" spans="11:39" x14ac:dyDescent="0.3">
      <c r="AM1457" s="8"/>
    </row>
    <row r="1458" spans="11:39" x14ac:dyDescent="0.3">
      <c r="AM1458" s="8"/>
    </row>
    <row r="1459" spans="11:39" x14ac:dyDescent="0.3">
      <c r="AM1459" s="8"/>
    </row>
    <row r="1460" spans="11:39" x14ac:dyDescent="0.3">
      <c r="AM1460" s="8"/>
    </row>
    <row r="1461" spans="11:39" x14ac:dyDescent="0.3">
      <c r="AM1461" s="8"/>
    </row>
    <row r="1462" spans="11:39" x14ac:dyDescent="0.3">
      <c r="AM1462" s="8"/>
    </row>
    <row r="1463" spans="11:39" x14ac:dyDescent="0.3">
      <c r="AM1463" s="8"/>
    </row>
    <row r="1464" spans="11:39" x14ac:dyDescent="0.3">
      <c r="AM1464" s="8"/>
    </row>
    <row r="1465" spans="11:39" x14ac:dyDescent="0.3">
      <c r="AM1465" s="8"/>
    </row>
    <row r="1466" spans="11:39" x14ac:dyDescent="0.3">
      <c r="AM1466" s="8"/>
    </row>
    <row r="1467" spans="11:39" x14ac:dyDescent="0.3">
      <c r="AM1467" s="8"/>
    </row>
    <row r="1468" spans="11:39" x14ac:dyDescent="0.3">
      <c r="AM1468" s="8"/>
    </row>
    <row r="1469" spans="11:39" x14ac:dyDescent="0.3">
      <c r="AM1469" s="8"/>
    </row>
    <row r="1470" spans="11:39" x14ac:dyDescent="0.3">
      <c r="K1470" s="11"/>
      <c r="AM1470" s="8"/>
    </row>
    <row r="1471" spans="11:39" x14ac:dyDescent="0.3">
      <c r="AM1471" s="8"/>
    </row>
    <row r="1472" spans="11:39" x14ac:dyDescent="0.3">
      <c r="AM1472" s="8"/>
    </row>
    <row r="1473" spans="11:39" x14ac:dyDescent="0.3">
      <c r="K1473" s="11"/>
      <c r="AM1473" s="8"/>
    </row>
    <row r="1474" spans="11:39" x14ac:dyDescent="0.3">
      <c r="AM1474" s="8"/>
    </row>
    <row r="1475" spans="11:39" x14ac:dyDescent="0.3">
      <c r="AM1475" s="8"/>
    </row>
    <row r="1476" spans="11:39" x14ac:dyDescent="0.3">
      <c r="AM1476" s="8"/>
    </row>
    <row r="1477" spans="11:39" x14ac:dyDescent="0.3">
      <c r="K1477" s="11"/>
      <c r="AM1477" s="8"/>
    </row>
    <row r="1478" spans="11:39" x14ac:dyDescent="0.3">
      <c r="AM1478" s="8"/>
    </row>
    <row r="1479" spans="11:39" x14ac:dyDescent="0.3">
      <c r="AM1479" s="8"/>
    </row>
    <row r="1480" spans="11:39" x14ac:dyDescent="0.3">
      <c r="AM1480" s="8"/>
    </row>
    <row r="1481" spans="11:39" x14ac:dyDescent="0.3">
      <c r="AM1481" s="8"/>
    </row>
    <row r="1482" spans="11:39" x14ac:dyDescent="0.3">
      <c r="AM1482" s="8"/>
    </row>
    <row r="1483" spans="11:39" x14ac:dyDescent="0.3">
      <c r="AM1483" s="8"/>
    </row>
    <row r="1484" spans="11:39" x14ac:dyDescent="0.3">
      <c r="K1484" s="11"/>
      <c r="AM1484" s="8"/>
    </row>
    <row r="1485" spans="11:39" x14ac:dyDescent="0.3">
      <c r="AM1485" s="8"/>
    </row>
    <row r="1486" spans="11:39" x14ac:dyDescent="0.3">
      <c r="AM1486" s="8"/>
    </row>
    <row r="1487" spans="11:39" x14ac:dyDescent="0.3">
      <c r="K1487" s="11"/>
      <c r="AM1487" s="8"/>
    </row>
    <row r="1488" spans="11:39" x14ac:dyDescent="0.3">
      <c r="AM1488" s="8"/>
    </row>
    <row r="1489" spans="11:39" x14ac:dyDescent="0.3">
      <c r="K1489" s="11"/>
      <c r="AM1489" s="8"/>
    </row>
    <row r="1490" spans="11:39" x14ac:dyDescent="0.3">
      <c r="AM1490" s="8"/>
    </row>
    <row r="1491" spans="11:39" x14ac:dyDescent="0.3">
      <c r="AM1491" s="8"/>
    </row>
    <row r="1492" spans="11:39" x14ac:dyDescent="0.3">
      <c r="AM1492" s="8"/>
    </row>
    <row r="1493" spans="11:39" x14ac:dyDescent="0.3">
      <c r="K1493" s="11"/>
      <c r="AM1493" s="8"/>
    </row>
    <row r="1494" spans="11:39" x14ac:dyDescent="0.3">
      <c r="AM1494" s="8"/>
    </row>
    <row r="1495" spans="11:39" x14ac:dyDescent="0.3">
      <c r="AM1495" s="8"/>
    </row>
    <row r="1496" spans="11:39" x14ac:dyDescent="0.3">
      <c r="AM1496" s="8"/>
    </row>
    <row r="1497" spans="11:39" x14ac:dyDescent="0.3">
      <c r="AM1497" s="8"/>
    </row>
    <row r="1498" spans="11:39" x14ac:dyDescent="0.3">
      <c r="K1498" s="11"/>
      <c r="AM1498" s="8"/>
    </row>
    <row r="1499" spans="11:39" x14ac:dyDescent="0.3">
      <c r="AM1499" s="8"/>
    </row>
    <row r="1500" spans="11:39" x14ac:dyDescent="0.3">
      <c r="AM1500" s="8"/>
    </row>
    <row r="1501" spans="11:39" x14ac:dyDescent="0.3">
      <c r="AM1501" s="8"/>
    </row>
    <row r="1502" spans="11:39" x14ac:dyDescent="0.3">
      <c r="AM1502" s="8"/>
    </row>
    <row r="1503" spans="11:39" x14ac:dyDescent="0.3">
      <c r="AM1503" s="8"/>
    </row>
    <row r="1504" spans="11:39" x14ac:dyDescent="0.3">
      <c r="AM1504" s="8"/>
    </row>
    <row r="1505" spans="11:39" x14ac:dyDescent="0.3">
      <c r="K1505" s="11"/>
      <c r="AM1505" s="8"/>
    </row>
    <row r="1506" spans="11:39" x14ac:dyDescent="0.3">
      <c r="K1506" s="11"/>
      <c r="AM1506" s="8"/>
    </row>
    <row r="1507" spans="11:39" x14ac:dyDescent="0.3">
      <c r="AM1507" s="8"/>
    </row>
    <row r="1508" spans="11:39" x14ac:dyDescent="0.3">
      <c r="AM1508" s="8"/>
    </row>
    <row r="1509" spans="11:39" x14ac:dyDescent="0.3">
      <c r="AM1509" s="8"/>
    </row>
    <row r="1510" spans="11:39" x14ac:dyDescent="0.3">
      <c r="AM1510" s="8"/>
    </row>
    <row r="1511" spans="11:39" x14ac:dyDescent="0.3">
      <c r="AM1511" s="8"/>
    </row>
    <row r="1512" spans="11:39" x14ac:dyDescent="0.3">
      <c r="AM1512" s="8"/>
    </row>
    <row r="1513" spans="11:39" x14ac:dyDescent="0.3">
      <c r="AM1513" s="8"/>
    </row>
    <row r="1514" spans="11:39" x14ac:dyDescent="0.3">
      <c r="AM1514" s="8"/>
    </row>
    <row r="1515" spans="11:39" x14ac:dyDescent="0.3">
      <c r="AM1515" s="8"/>
    </row>
    <row r="1516" spans="11:39" x14ac:dyDescent="0.3">
      <c r="K1516" s="11"/>
      <c r="AM1516" s="8"/>
    </row>
    <row r="1517" spans="11:39" x14ac:dyDescent="0.3">
      <c r="AM1517" s="8"/>
    </row>
    <row r="1518" spans="11:39" x14ac:dyDescent="0.3">
      <c r="AM1518" s="8"/>
    </row>
    <row r="1519" spans="11:39" x14ac:dyDescent="0.3">
      <c r="AM1519" s="8"/>
    </row>
    <row r="1520" spans="11:39" x14ac:dyDescent="0.3">
      <c r="AM1520" s="8"/>
    </row>
    <row r="1521" spans="11:39" x14ac:dyDescent="0.3">
      <c r="AM1521" s="8"/>
    </row>
    <row r="1522" spans="11:39" x14ac:dyDescent="0.3">
      <c r="AM1522" s="8"/>
    </row>
    <row r="1523" spans="11:39" x14ac:dyDescent="0.3">
      <c r="AM1523" s="8"/>
    </row>
    <row r="1524" spans="11:39" x14ac:dyDescent="0.3">
      <c r="AM1524" s="8"/>
    </row>
    <row r="1525" spans="11:39" x14ac:dyDescent="0.3">
      <c r="AM1525" s="8"/>
    </row>
    <row r="1526" spans="11:39" x14ac:dyDescent="0.3">
      <c r="AM1526" s="8"/>
    </row>
    <row r="1527" spans="11:39" x14ac:dyDescent="0.3">
      <c r="AM1527" s="8"/>
    </row>
    <row r="1528" spans="11:39" x14ac:dyDescent="0.3">
      <c r="AM1528" s="8"/>
    </row>
    <row r="1529" spans="11:39" x14ac:dyDescent="0.3">
      <c r="K1529" s="11"/>
      <c r="AM1529" s="8"/>
    </row>
    <row r="1530" spans="11:39" x14ac:dyDescent="0.3">
      <c r="AM1530" s="8"/>
    </row>
    <row r="1531" spans="11:39" x14ac:dyDescent="0.3">
      <c r="K1531" s="11"/>
      <c r="AM1531" s="8"/>
    </row>
    <row r="1532" spans="11:39" x14ac:dyDescent="0.3">
      <c r="AM1532" s="8"/>
    </row>
    <row r="1533" spans="11:39" x14ac:dyDescent="0.3">
      <c r="K1533" s="11"/>
      <c r="AM1533" s="8"/>
    </row>
    <row r="1534" spans="11:39" x14ac:dyDescent="0.3">
      <c r="AM1534" s="8"/>
    </row>
    <row r="1535" spans="11:39" x14ac:dyDescent="0.3">
      <c r="AM1535" s="8"/>
    </row>
    <row r="1536" spans="11:39" x14ac:dyDescent="0.3">
      <c r="AM1536" s="8"/>
    </row>
    <row r="1537" spans="11:39" x14ac:dyDescent="0.3">
      <c r="K1537" s="11"/>
      <c r="AM1537" s="8"/>
    </row>
    <row r="1538" spans="11:39" x14ac:dyDescent="0.3">
      <c r="AM1538" s="8"/>
    </row>
    <row r="1539" spans="11:39" x14ac:dyDescent="0.3">
      <c r="AM1539" s="8"/>
    </row>
    <row r="1540" spans="11:39" x14ac:dyDescent="0.3">
      <c r="AM1540" s="8"/>
    </row>
    <row r="1541" spans="11:39" x14ac:dyDescent="0.3">
      <c r="K1541" s="11"/>
      <c r="AM1541" s="8"/>
    </row>
    <row r="1542" spans="11:39" x14ac:dyDescent="0.3">
      <c r="K1542" s="11"/>
      <c r="AM1542" s="8"/>
    </row>
    <row r="1543" spans="11:39" x14ac:dyDescent="0.3">
      <c r="AM1543" s="8"/>
    </row>
    <row r="1544" spans="11:39" x14ac:dyDescent="0.3">
      <c r="AM1544" s="8"/>
    </row>
    <row r="1545" spans="11:39" x14ac:dyDescent="0.3">
      <c r="AM1545" s="8"/>
    </row>
    <row r="1546" spans="11:39" x14ac:dyDescent="0.3">
      <c r="AM1546" s="8"/>
    </row>
    <row r="1547" spans="11:39" x14ac:dyDescent="0.3">
      <c r="AM1547" s="8"/>
    </row>
    <row r="1548" spans="11:39" x14ac:dyDescent="0.3">
      <c r="AM1548" s="8"/>
    </row>
    <row r="1549" spans="11:39" x14ac:dyDescent="0.3">
      <c r="K1549" s="11"/>
      <c r="AM1549" s="8"/>
    </row>
    <row r="1550" spans="11:39" x14ac:dyDescent="0.3">
      <c r="AM1550" s="8"/>
    </row>
    <row r="1551" spans="11:39" x14ac:dyDescent="0.3">
      <c r="AM1551" s="8"/>
    </row>
    <row r="1552" spans="11:39" x14ac:dyDescent="0.3">
      <c r="AM1552" s="8"/>
    </row>
    <row r="1553" spans="11:39" x14ac:dyDescent="0.3">
      <c r="AM1553" s="8"/>
    </row>
    <row r="1554" spans="11:39" x14ac:dyDescent="0.3">
      <c r="AM1554" s="8"/>
    </row>
    <row r="1555" spans="11:39" x14ac:dyDescent="0.3">
      <c r="K1555" s="11"/>
      <c r="AM1555" s="8"/>
    </row>
    <row r="1556" spans="11:39" x14ac:dyDescent="0.3">
      <c r="AM1556" s="8"/>
    </row>
    <row r="1557" spans="11:39" x14ac:dyDescent="0.3">
      <c r="AM1557" s="8"/>
    </row>
    <row r="1558" spans="11:39" x14ac:dyDescent="0.3">
      <c r="K1558" s="11"/>
      <c r="AM1558" s="8"/>
    </row>
    <row r="1559" spans="11:39" x14ac:dyDescent="0.3">
      <c r="AM1559" s="8"/>
    </row>
    <row r="1560" spans="11:39" x14ac:dyDescent="0.3">
      <c r="AM1560" s="8"/>
    </row>
    <row r="1561" spans="11:39" x14ac:dyDescent="0.3">
      <c r="AM1561" s="8"/>
    </row>
    <row r="1562" spans="11:39" x14ac:dyDescent="0.3">
      <c r="K1562" s="11"/>
      <c r="AM1562" s="8"/>
    </row>
    <row r="1563" spans="11:39" x14ac:dyDescent="0.3">
      <c r="AM1563" s="8"/>
    </row>
    <row r="1564" spans="11:39" x14ac:dyDescent="0.3">
      <c r="AM1564" s="8"/>
    </row>
    <row r="1565" spans="11:39" x14ac:dyDescent="0.3">
      <c r="AM1565" s="8"/>
    </row>
    <row r="1566" spans="11:39" x14ac:dyDescent="0.3">
      <c r="AM1566" s="8"/>
    </row>
    <row r="1567" spans="11:39" x14ac:dyDescent="0.3">
      <c r="AM1567" s="8"/>
    </row>
    <row r="1568" spans="11:39" x14ac:dyDescent="0.3">
      <c r="AM1568" s="8"/>
    </row>
    <row r="1569" spans="11:39" x14ac:dyDescent="0.3">
      <c r="AM1569" s="8"/>
    </row>
    <row r="1570" spans="11:39" x14ac:dyDescent="0.3">
      <c r="AM1570" s="8"/>
    </row>
    <row r="1571" spans="11:39" x14ac:dyDescent="0.3">
      <c r="AM1571" s="8"/>
    </row>
    <row r="1572" spans="11:39" x14ac:dyDescent="0.3">
      <c r="AM1572" s="8"/>
    </row>
    <row r="1573" spans="11:39" x14ac:dyDescent="0.3">
      <c r="AM1573" s="8"/>
    </row>
    <row r="1574" spans="11:39" x14ac:dyDescent="0.3">
      <c r="K1574" s="11"/>
      <c r="AM1574" s="8"/>
    </row>
    <row r="1575" spans="11:39" x14ac:dyDescent="0.3">
      <c r="AM1575" s="8"/>
    </row>
    <row r="1576" spans="11:39" x14ac:dyDescent="0.3">
      <c r="AM1576" s="8"/>
    </row>
    <row r="1577" spans="11:39" x14ac:dyDescent="0.3">
      <c r="AM1577" s="8"/>
    </row>
    <row r="1578" spans="11:39" x14ac:dyDescent="0.3">
      <c r="AM1578" s="8"/>
    </row>
    <row r="1579" spans="11:39" x14ac:dyDescent="0.3">
      <c r="AM1579" s="8"/>
    </row>
    <row r="1580" spans="11:39" x14ac:dyDescent="0.3">
      <c r="AM1580" s="8"/>
    </row>
    <row r="1581" spans="11:39" x14ac:dyDescent="0.3">
      <c r="AM1581" s="8"/>
    </row>
    <row r="1582" spans="11:39" x14ac:dyDescent="0.3">
      <c r="AM1582" s="8"/>
    </row>
    <row r="1583" spans="11:39" x14ac:dyDescent="0.3">
      <c r="AM1583" s="8"/>
    </row>
    <row r="1584" spans="11:39" x14ac:dyDescent="0.3">
      <c r="AM1584" s="8"/>
    </row>
    <row r="1585" spans="11:39" x14ac:dyDescent="0.3">
      <c r="AM1585" s="8"/>
    </row>
    <row r="1586" spans="11:39" x14ac:dyDescent="0.3">
      <c r="AM1586" s="8"/>
    </row>
    <row r="1587" spans="11:39" x14ac:dyDescent="0.3">
      <c r="AM1587" s="8"/>
    </row>
    <row r="1588" spans="11:39" x14ac:dyDescent="0.3">
      <c r="AM1588" s="8"/>
    </row>
    <row r="1589" spans="11:39" x14ac:dyDescent="0.3">
      <c r="AM1589" s="8"/>
    </row>
    <row r="1590" spans="11:39" x14ac:dyDescent="0.3">
      <c r="AM1590" s="8"/>
    </row>
    <row r="1591" spans="11:39" x14ac:dyDescent="0.3">
      <c r="AM1591" s="8"/>
    </row>
    <row r="1592" spans="11:39" x14ac:dyDescent="0.3">
      <c r="AM1592" s="8"/>
    </row>
    <row r="1593" spans="11:39" x14ac:dyDescent="0.3">
      <c r="K1593" s="11"/>
      <c r="AM1593" s="8"/>
    </row>
    <row r="1594" spans="11:39" x14ac:dyDescent="0.3">
      <c r="K1594" s="11"/>
      <c r="AM1594" s="8"/>
    </row>
    <row r="1595" spans="11:39" x14ac:dyDescent="0.3">
      <c r="AM1595" s="8"/>
    </row>
    <row r="1596" spans="11:39" x14ac:dyDescent="0.3">
      <c r="AM1596" s="8"/>
    </row>
    <row r="1597" spans="11:39" x14ac:dyDescent="0.3">
      <c r="AM1597" s="8"/>
    </row>
    <row r="1598" spans="11:39" x14ac:dyDescent="0.3">
      <c r="AM1598" s="8"/>
    </row>
    <row r="1599" spans="11:39" x14ac:dyDescent="0.3">
      <c r="AM1599" s="8"/>
    </row>
    <row r="1600" spans="11:39" x14ac:dyDescent="0.3">
      <c r="AM1600" s="8"/>
    </row>
    <row r="1601" spans="11:39" x14ac:dyDescent="0.3">
      <c r="AM1601" s="8"/>
    </row>
    <row r="1602" spans="11:39" x14ac:dyDescent="0.3">
      <c r="AM1602" s="8"/>
    </row>
    <row r="1603" spans="11:39" x14ac:dyDescent="0.3">
      <c r="AM1603" s="8"/>
    </row>
    <row r="1604" spans="11:39" x14ac:dyDescent="0.3">
      <c r="AM1604" s="8"/>
    </row>
    <row r="1605" spans="11:39" x14ac:dyDescent="0.3">
      <c r="AM1605" s="8"/>
    </row>
    <row r="1606" spans="11:39" x14ac:dyDescent="0.3">
      <c r="K1606" s="11"/>
      <c r="AM1606" s="8"/>
    </row>
    <row r="1607" spans="11:39" x14ac:dyDescent="0.3">
      <c r="K1607" s="11"/>
      <c r="AM1607" s="8"/>
    </row>
    <row r="1608" spans="11:39" x14ac:dyDescent="0.3">
      <c r="K1608" s="11"/>
      <c r="AM1608" s="8"/>
    </row>
    <row r="1609" spans="11:39" x14ac:dyDescent="0.3">
      <c r="AM1609" s="8"/>
    </row>
    <row r="1610" spans="11:39" x14ac:dyDescent="0.3">
      <c r="AM1610" s="8"/>
    </row>
    <row r="1611" spans="11:39" x14ac:dyDescent="0.3">
      <c r="AM1611" s="8"/>
    </row>
    <row r="1612" spans="11:39" x14ac:dyDescent="0.3">
      <c r="AM1612" s="8"/>
    </row>
    <row r="1613" spans="11:39" x14ac:dyDescent="0.3">
      <c r="AM1613" s="8"/>
    </row>
    <row r="1614" spans="11:39" x14ac:dyDescent="0.3">
      <c r="AM1614" s="8"/>
    </row>
    <row r="1615" spans="11:39" x14ac:dyDescent="0.3">
      <c r="AM1615" s="8"/>
    </row>
    <row r="1616" spans="11:39" x14ac:dyDescent="0.3">
      <c r="AM1616" s="8"/>
    </row>
    <row r="1617" spans="11:39" x14ac:dyDescent="0.3">
      <c r="AM1617" s="8"/>
    </row>
    <row r="1618" spans="11:39" x14ac:dyDescent="0.3">
      <c r="AM1618" s="8"/>
    </row>
    <row r="1619" spans="11:39" x14ac:dyDescent="0.3">
      <c r="AM1619" s="8"/>
    </row>
    <row r="1620" spans="11:39" x14ac:dyDescent="0.3">
      <c r="AM1620" s="8"/>
    </row>
    <row r="1621" spans="11:39" x14ac:dyDescent="0.3">
      <c r="AM1621" s="8"/>
    </row>
    <row r="1622" spans="11:39" x14ac:dyDescent="0.3">
      <c r="AM1622" s="8"/>
    </row>
    <row r="1623" spans="11:39" x14ac:dyDescent="0.3">
      <c r="AM1623" s="8"/>
    </row>
    <row r="1624" spans="11:39" x14ac:dyDescent="0.3">
      <c r="AM1624" s="8"/>
    </row>
    <row r="1625" spans="11:39" x14ac:dyDescent="0.3">
      <c r="AM1625" s="8"/>
    </row>
    <row r="1626" spans="11:39" x14ac:dyDescent="0.3">
      <c r="AM1626" s="8"/>
    </row>
    <row r="1627" spans="11:39" x14ac:dyDescent="0.3">
      <c r="AM1627" s="8"/>
    </row>
    <row r="1628" spans="11:39" x14ac:dyDescent="0.3">
      <c r="AM1628" s="8"/>
    </row>
    <row r="1629" spans="11:39" x14ac:dyDescent="0.3">
      <c r="K1629" s="11"/>
      <c r="AM1629" s="8"/>
    </row>
    <row r="1630" spans="11:39" x14ac:dyDescent="0.3">
      <c r="AM1630" s="8"/>
    </row>
    <row r="1631" spans="11:39" x14ac:dyDescent="0.3">
      <c r="AM1631" s="8"/>
    </row>
    <row r="1632" spans="11:39" x14ac:dyDescent="0.3">
      <c r="AM1632" s="8"/>
    </row>
    <row r="1633" spans="11:39" x14ac:dyDescent="0.3">
      <c r="AM1633" s="8"/>
    </row>
    <row r="1634" spans="11:39" x14ac:dyDescent="0.3">
      <c r="AM1634" s="8"/>
    </row>
    <row r="1635" spans="11:39" x14ac:dyDescent="0.3">
      <c r="AM1635" s="8"/>
    </row>
    <row r="1636" spans="11:39" x14ac:dyDescent="0.3">
      <c r="K1636" s="11"/>
      <c r="AM1636" s="8"/>
    </row>
    <row r="1637" spans="11:39" x14ac:dyDescent="0.3">
      <c r="AM1637" s="8"/>
    </row>
    <row r="1638" spans="11:39" x14ac:dyDescent="0.3">
      <c r="AM1638" s="8"/>
    </row>
    <row r="1639" spans="11:39" x14ac:dyDescent="0.3">
      <c r="AM1639" s="8"/>
    </row>
    <row r="1640" spans="11:39" x14ac:dyDescent="0.3">
      <c r="AM1640" s="8"/>
    </row>
    <row r="1641" spans="11:39" x14ac:dyDescent="0.3">
      <c r="AM1641" s="8"/>
    </row>
    <row r="1642" spans="11:39" x14ac:dyDescent="0.3">
      <c r="K1642" s="11"/>
      <c r="AM1642" s="8"/>
    </row>
    <row r="1643" spans="11:39" x14ac:dyDescent="0.3">
      <c r="AM1643" s="8"/>
    </row>
    <row r="1644" spans="11:39" x14ac:dyDescent="0.3">
      <c r="AM1644" s="8"/>
    </row>
    <row r="1645" spans="11:39" x14ac:dyDescent="0.3">
      <c r="AM1645" s="8"/>
    </row>
    <row r="1646" spans="11:39" x14ac:dyDescent="0.3">
      <c r="AM1646" s="8"/>
    </row>
    <row r="1647" spans="11:39" x14ac:dyDescent="0.3">
      <c r="AM1647" s="8"/>
    </row>
    <row r="1648" spans="11:39" x14ac:dyDescent="0.3">
      <c r="AM1648" s="8"/>
    </row>
    <row r="1649" spans="11:39" x14ac:dyDescent="0.3">
      <c r="AM1649" s="8"/>
    </row>
    <row r="1650" spans="11:39" x14ac:dyDescent="0.3">
      <c r="AM1650" s="8"/>
    </row>
    <row r="1651" spans="11:39" x14ac:dyDescent="0.3">
      <c r="K1651" s="11"/>
      <c r="AM1651" s="8"/>
    </row>
    <row r="1652" spans="11:39" x14ac:dyDescent="0.3">
      <c r="AM1652" s="8"/>
    </row>
    <row r="1653" spans="11:39" x14ac:dyDescent="0.3">
      <c r="AM1653" s="8"/>
    </row>
    <row r="1654" spans="11:39" x14ac:dyDescent="0.3">
      <c r="AM1654" s="8"/>
    </row>
    <row r="1655" spans="11:39" x14ac:dyDescent="0.3">
      <c r="AM1655" s="8"/>
    </row>
    <row r="1656" spans="11:39" x14ac:dyDescent="0.3">
      <c r="AM1656" s="8"/>
    </row>
    <row r="1657" spans="11:39" x14ac:dyDescent="0.3">
      <c r="AM1657" s="8"/>
    </row>
    <row r="1658" spans="11:39" x14ac:dyDescent="0.3">
      <c r="AM1658" s="8"/>
    </row>
    <row r="1659" spans="11:39" x14ac:dyDescent="0.3">
      <c r="K1659" s="11"/>
      <c r="AM1659" s="8"/>
    </row>
    <row r="1660" spans="11:39" x14ac:dyDescent="0.3">
      <c r="AM1660" s="8"/>
    </row>
    <row r="1661" spans="11:39" x14ac:dyDescent="0.3">
      <c r="AM1661" s="8"/>
    </row>
    <row r="1662" spans="11:39" x14ac:dyDescent="0.3">
      <c r="K1662" s="11"/>
      <c r="AM1662" s="8"/>
    </row>
    <row r="1663" spans="11:39" x14ac:dyDescent="0.3">
      <c r="AM1663" s="8"/>
    </row>
    <row r="1664" spans="11:39" x14ac:dyDescent="0.3">
      <c r="K1664" s="11"/>
      <c r="AM1664" s="8"/>
    </row>
    <row r="1665" spans="11:39" x14ac:dyDescent="0.3">
      <c r="AM1665" s="8"/>
    </row>
    <row r="1666" spans="11:39" x14ac:dyDescent="0.3">
      <c r="AM1666" s="8"/>
    </row>
    <row r="1667" spans="11:39" x14ac:dyDescent="0.3">
      <c r="K1667" s="11"/>
      <c r="AM1667" s="8"/>
    </row>
    <row r="1668" spans="11:39" x14ac:dyDescent="0.3">
      <c r="AM1668" s="8"/>
    </row>
    <row r="1669" spans="11:39" x14ac:dyDescent="0.3">
      <c r="AM1669" s="8"/>
    </row>
    <row r="1670" spans="11:39" x14ac:dyDescent="0.3">
      <c r="AM1670" s="8"/>
    </row>
    <row r="1671" spans="11:39" x14ac:dyDescent="0.3">
      <c r="AM1671" s="8"/>
    </row>
    <row r="1672" spans="11:39" x14ac:dyDescent="0.3">
      <c r="AM1672" s="8"/>
    </row>
    <row r="1673" spans="11:39" x14ac:dyDescent="0.3">
      <c r="AM1673" s="8"/>
    </row>
    <row r="1674" spans="11:39" x14ac:dyDescent="0.3">
      <c r="K1674" s="11"/>
      <c r="AM1674" s="8"/>
    </row>
    <row r="1675" spans="11:39" x14ac:dyDescent="0.3">
      <c r="K1675" s="11"/>
      <c r="AM1675" s="8"/>
    </row>
    <row r="1676" spans="11:39" x14ac:dyDescent="0.3">
      <c r="AM1676" s="8"/>
    </row>
    <row r="1677" spans="11:39" x14ac:dyDescent="0.3">
      <c r="AM1677" s="8"/>
    </row>
    <row r="1678" spans="11:39" x14ac:dyDescent="0.3">
      <c r="AM1678" s="8"/>
    </row>
    <row r="1679" spans="11:39" x14ac:dyDescent="0.3">
      <c r="AM1679" s="8"/>
    </row>
    <row r="1680" spans="11:39" x14ac:dyDescent="0.3">
      <c r="K1680" s="11"/>
      <c r="AM1680" s="8"/>
    </row>
    <row r="1681" spans="11:39" x14ac:dyDescent="0.3">
      <c r="AM1681" s="8"/>
    </row>
    <row r="1682" spans="11:39" x14ac:dyDescent="0.3">
      <c r="AM1682" s="8"/>
    </row>
    <row r="1683" spans="11:39" x14ac:dyDescent="0.3">
      <c r="AM1683" s="8"/>
    </row>
    <row r="1684" spans="11:39" x14ac:dyDescent="0.3">
      <c r="AM1684" s="8"/>
    </row>
    <row r="1685" spans="11:39" x14ac:dyDescent="0.3">
      <c r="K1685" s="11"/>
      <c r="AM1685" s="8"/>
    </row>
    <row r="1686" spans="11:39" x14ac:dyDescent="0.3">
      <c r="AM1686" s="8"/>
    </row>
    <row r="1687" spans="11:39" x14ac:dyDescent="0.3">
      <c r="AM1687" s="8"/>
    </row>
    <row r="1688" spans="11:39" x14ac:dyDescent="0.3">
      <c r="K1688" s="11"/>
      <c r="AM1688" s="8"/>
    </row>
    <row r="1689" spans="11:39" x14ac:dyDescent="0.3">
      <c r="AM1689" s="8"/>
    </row>
    <row r="1690" spans="11:39" x14ac:dyDescent="0.3">
      <c r="AM1690" s="8"/>
    </row>
    <row r="1691" spans="11:39" x14ac:dyDescent="0.3">
      <c r="AM1691" s="8"/>
    </row>
    <row r="1692" spans="11:39" x14ac:dyDescent="0.3">
      <c r="K1692" s="11"/>
      <c r="AM1692" s="8"/>
    </row>
    <row r="1693" spans="11:39" x14ac:dyDescent="0.3">
      <c r="AM1693" s="8"/>
    </row>
    <row r="1694" spans="11:39" x14ac:dyDescent="0.3">
      <c r="AM1694" s="8"/>
    </row>
    <row r="1695" spans="11:39" x14ac:dyDescent="0.3">
      <c r="AM1695" s="8"/>
    </row>
    <row r="1696" spans="11:39" x14ac:dyDescent="0.3">
      <c r="AM1696" s="8"/>
    </row>
    <row r="1697" spans="11:39" x14ac:dyDescent="0.3">
      <c r="AM1697" s="8"/>
    </row>
    <row r="1698" spans="11:39" x14ac:dyDescent="0.3">
      <c r="AM1698" s="8"/>
    </row>
    <row r="1699" spans="11:39" x14ac:dyDescent="0.3">
      <c r="AM1699" s="8"/>
    </row>
    <row r="1700" spans="11:39" x14ac:dyDescent="0.3">
      <c r="AM1700" s="8"/>
    </row>
    <row r="1701" spans="11:39" x14ac:dyDescent="0.3">
      <c r="AM1701" s="8"/>
    </row>
    <row r="1702" spans="11:39" x14ac:dyDescent="0.3">
      <c r="AM1702" s="8"/>
    </row>
    <row r="1703" spans="11:39" x14ac:dyDescent="0.3">
      <c r="K1703" s="11"/>
      <c r="AM1703" s="8"/>
    </row>
    <row r="1704" spans="11:39" x14ac:dyDescent="0.3">
      <c r="AM1704" s="8"/>
    </row>
    <row r="1705" spans="11:39" x14ac:dyDescent="0.3">
      <c r="AM1705" s="8"/>
    </row>
    <row r="1706" spans="11:39" x14ac:dyDescent="0.3">
      <c r="AM1706" s="8"/>
    </row>
    <row r="1707" spans="11:39" x14ac:dyDescent="0.3">
      <c r="AM1707" s="8"/>
    </row>
    <row r="1708" spans="11:39" x14ac:dyDescent="0.3">
      <c r="AM1708" s="8"/>
    </row>
    <row r="1709" spans="11:39" x14ac:dyDescent="0.3">
      <c r="AM1709" s="8"/>
    </row>
    <row r="1710" spans="11:39" x14ac:dyDescent="0.3">
      <c r="AM1710" s="8"/>
    </row>
    <row r="1711" spans="11:39" x14ac:dyDescent="0.3">
      <c r="AM1711" s="8"/>
    </row>
    <row r="1712" spans="11:39" x14ac:dyDescent="0.3">
      <c r="AM1712" s="8"/>
    </row>
    <row r="1713" spans="11:39" x14ac:dyDescent="0.3">
      <c r="AM1713" s="8"/>
    </row>
    <row r="1714" spans="11:39" x14ac:dyDescent="0.3">
      <c r="AM1714" s="8"/>
    </row>
    <row r="1715" spans="11:39" x14ac:dyDescent="0.3">
      <c r="AM1715" s="8"/>
    </row>
    <row r="1716" spans="11:39" x14ac:dyDescent="0.3">
      <c r="AM1716" s="8"/>
    </row>
    <row r="1717" spans="11:39" x14ac:dyDescent="0.3">
      <c r="AM1717" s="8"/>
    </row>
    <row r="1718" spans="11:39" x14ac:dyDescent="0.3">
      <c r="AM1718" s="8"/>
    </row>
    <row r="1719" spans="11:39" x14ac:dyDescent="0.3">
      <c r="AM1719" s="8"/>
    </row>
    <row r="1720" spans="11:39" x14ac:dyDescent="0.3">
      <c r="AM1720" s="8"/>
    </row>
    <row r="1721" spans="11:39" x14ac:dyDescent="0.3">
      <c r="AM1721" s="8"/>
    </row>
    <row r="1722" spans="11:39" x14ac:dyDescent="0.3">
      <c r="AM1722" s="8"/>
    </row>
    <row r="1723" spans="11:39" x14ac:dyDescent="0.3">
      <c r="AM1723" s="8"/>
    </row>
    <row r="1724" spans="11:39" x14ac:dyDescent="0.3">
      <c r="K1724" s="11"/>
      <c r="AM1724" s="8"/>
    </row>
    <row r="1725" spans="11:39" x14ac:dyDescent="0.3">
      <c r="AM1725" s="8"/>
    </row>
    <row r="1726" spans="11:39" x14ac:dyDescent="0.3">
      <c r="AM1726" s="8"/>
    </row>
    <row r="1727" spans="11:39" x14ac:dyDescent="0.3">
      <c r="AM1727" s="8"/>
    </row>
    <row r="1728" spans="11:39" x14ac:dyDescent="0.3">
      <c r="AM1728" s="8"/>
    </row>
    <row r="1729" spans="11:39" x14ac:dyDescent="0.3">
      <c r="K1729" s="11"/>
      <c r="AM1729" s="8"/>
    </row>
    <row r="1730" spans="11:39" x14ac:dyDescent="0.3">
      <c r="AM1730" s="8"/>
    </row>
    <row r="1731" spans="11:39" x14ac:dyDescent="0.3">
      <c r="AM1731" s="8"/>
    </row>
    <row r="1732" spans="11:39" x14ac:dyDescent="0.3">
      <c r="AM1732" s="8"/>
    </row>
    <row r="1733" spans="11:39" x14ac:dyDescent="0.3">
      <c r="AM1733" s="8"/>
    </row>
    <row r="1734" spans="11:39" x14ac:dyDescent="0.3">
      <c r="AM1734" s="8"/>
    </row>
    <row r="1735" spans="11:39" x14ac:dyDescent="0.3">
      <c r="AM1735" s="8"/>
    </row>
    <row r="1736" spans="11:39" x14ac:dyDescent="0.3">
      <c r="AM1736" s="8"/>
    </row>
    <row r="1737" spans="11:39" x14ac:dyDescent="0.3">
      <c r="AM1737" s="8"/>
    </row>
    <row r="1738" spans="11:39" x14ac:dyDescent="0.3">
      <c r="AM1738" s="8"/>
    </row>
    <row r="1739" spans="11:39" x14ac:dyDescent="0.3">
      <c r="AM1739" s="8"/>
    </row>
    <row r="1740" spans="11:39" x14ac:dyDescent="0.3">
      <c r="AM1740" s="8"/>
    </row>
    <row r="1741" spans="11:39" x14ac:dyDescent="0.3">
      <c r="AM1741" s="8"/>
    </row>
    <row r="1742" spans="11:39" x14ac:dyDescent="0.3">
      <c r="AM1742" s="8"/>
    </row>
    <row r="1743" spans="11:39" x14ac:dyDescent="0.3">
      <c r="K1743" s="11"/>
      <c r="AM1743" s="8"/>
    </row>
    <row r="1744" spans="11:39" x14ac:dyDescent="0.3">
      <c r="AM1744" s="8"/>
    </row>
    <row r="1745" spans="11:39" x14ac:dyDescent="0.3">
      <c r="AM1745" s="8"/>
    </row>
    <row r="1746" spans="11:39" x14ac:dyDescent="0.3">
      <c r="AM1746" s="8"/>
    </row>
    <row r="1747" spans="11:39" x14ac:dyDescent="0.3">
      <c r="AM1747" s="8"/>
    </row>
    <row r="1748" spans="11:39" x14ac:dyDescent="0.3">
      <c r="AM1748" s="8"/>
    </row>
    <row r="1749" spans="11:39" x14ac:dyDescent="0.3">
      <c r="AM1749" s="8"/>
    </row>
    <row r="1750" spans="11:39" x14ac:dyDescent="0.3">
      <c r="AM1750" s="8"/>
    </row>
    <row r="1751" spans="11:39" x14ac:dyDescent="0.3">
      <c r="AM1751" s="8"/>
    </row>
    <row r="1752" spans="11:39" x14ac:dyDescent="0.3">
      <c r="K1752" s="11"/>
      <c r="AM1752" s="8"/>
    </row>
    <row r="1753" spans="11:39" x14ac:dyDescent="0.3">
      <c r="K1753" s="11"/>
      <c r="AM1753" s="8"/>
    </row>
    <row r="1754" spans="11:39" x14ac:dyDescent="0.3">
      <c r="AM1754" s="8"/>
    </row>
    <row r="1755" spans="11:39" x14ac:dyDescent="0.3">
      <c r="K1755" s="11"/>
      <c r="AM1755" s="8"/>
    </row>
    <row r="1756" spans="11:39" x14ac:dyDescent="0.3">
      <c r="AM1756" s="8"/>
    </row>
    <row r="1757" spans="11:39" x14ac:dyDescent="0.3">
      <c r="K1757" s="11"/>
      <c r="AM1757" s="8"/>
    </row>
    <row r="1758" spans="11:39" x14ac:dyDescent="0.3">
      <c r="AM1758" s="8"/>
    </row>
    <row r="1759" spans="11:39" x14ac:dyDescent="0.3">
      <c r="AM1759" s="8"/>
    </row>
    <row r="1760" spans="11:39" x14ac:dyDescent="0.3">
      <c r="AM1760" s="8"/>
    </row>
    <row r="1761" spans="11:39" x14ac:dyDescent="0.3">
      <c r="AM1761" s="8"/>
    </row>
    <row r="1762" spans="11:39" x14ac:dyDescent="0.3">
      <c r="AM1762" s="8"/>
    </row>
    <row r="1763" spans="11:39" x14ac:dyDescent="0.3">
      <c r="AM1763" s="8"/>
    </row>
    <row r="1764" spans="11:39" x14ac:dyDescent="0.3">
      <c r="AM1764" s="8"/>
    </row>
    <row r="1765" spans="11:39" x14ac:dyDescent="0.3">
      <c r="AM1765" s="8"/>
    </row>
    <row r="1766" spans="11:39" x14ac:dyDescent="0.3">
      <c r="AM1766" s="8"/>
    </row>
    <row r="1767" spans="11:39" x14ac:dyDescent="0.3">
      <c r="AM1767" s="8"/>
    </row>
    <row r="1768" spans="11:39" x14ac:dyDescent="0.3">
      <c r="AM1768" s="8"/>
    </row>
    <row r="1769" spans="11:39" x14ac:dyDescent="0.3">
      <c r="AM1769" s="8"/>
    </row>
    <row r="1770" spans="11:39" x14ac:dyDescent="0.3">
      <c r="AM1770" s="8"/>
    </row>
    <row r="1771" spans="11:39" x14ac:dyDescent="0.3">
      <c r="AM1771" s="8"/>
    </row>
    <row r="1772" spans="11:39" x14ac:dyDescent="0.3">
      <c r="AM1772" s="8"/>
    </row>
    <row r="1773" spans="11:39" x14ac:dyDescent="0.3">
      <c r="AM1773" s="8"/>
    </row>
    <row r="1774" spans="11:39" x14ac:dyDescent="0.3">
      <c r="AM1774" s="8"/>
    </row>
    <row r="1775" spans="11:39" x14ac:dyDescent="0.3">
      <c r="K1775" s="11"/>
      <c r="AM1775" s="8"/>
    </row>
    <row r="1776" spans="11:39" x14ac:dyDescent="0.3">
      <c r="AM1776" s="8"/>
    </row>
    <row r="1777" spans="11:39" x14ac:dyDescent="0.3">
      <c r="AM1777" s="8"/>
    </row>
    <row r="1778" spans="11:39" x14ac:dyDescent="0.3">
      <c r="AM1778" s="8"/>
    </row>
    <row r="1779" spans="11:39" x14ac:dyDescent="0.3">
      <c r="AM1779" s="8"/>
    </row>
    <row r="1780" spans="11:39" x14ac:dyDescent="0.3">
      <c r="AM1780" s="8"/>
    </row>
    <row r="1781" spans="11:39" x14ac:dyDescent="0.3">
      <c r="AM1781" s="8"/>
    </row>
    <row r="1782" spans="11:39" x14ac:dyDescent="0.3">
      <c r="AM1782" s="8"/>
    </row>
    <row r="1783" spans="11:39" x14ac:dyDescent="0.3">
      <c r="AM1783" s="8"/>
    </row>
    <row r="1784" spans="11:39" x14ac:dyDescent="0.3">
      <c r="K1784" s="11"/>
      <c r="AM1784" s="8"/>
    </row>
    <row r="1785" spans="11:39" x14ac:dyDescent="0.3">
      <c r="K1785" s="11"/>
      <c r="AM1785" s="8"/>
    </row>
    <row r="1786" spans="11:39" x14ac:dyDescent="0.3">
      <c r="AM1786" s="8"/>
    </row>
    <row r="1787" spans="11:39" x14ac:dyDescent="0.3">
      <c r="AM1787" s="8"/>
    </row>
    <row r="1788" spans="11:39" x14ac:dyDescent="0.3">
      <c r="K1788" s="11"/>
      <c r="AM1788" s="8"/>
    </row>
    <row r="1789" spans="11:39" x14ac:dyDescent="0.3">
      <c r="AM1789" s="8"/>
    </row>
    <row r="1790" spans="11:39" x14ac:dyDescent="0.3">
      <c r="AM1790" s="8"/>
    </row>
    <row r="1791" spans="11:39" x14ac:dyDescent="0.3">
      <c r="AM1791" s="8"/>
    </row>
    <row r="1792" spans="11:39" x14ac:dyDescent="0.3">
      <c r="AM1792" s="8"/>
    </row>
    <row r="1793" spans="11:39" x14ac:dyDescent="0.3">
      <c r="AM1793" s="8"/>
    </row>
    <row r="1794" spans="11:39" x14ac:dyDescent="0.3">
      <c r="AM1794" s="8"/>
    </row>
    <row r="1795" spans="11:39" x14ac:dyDescent="0.3">
      <c r="AM1795" s="8"/>
    </row>
    <row r="1796" spans="11:39" x14ac:dyDescent="0.3">
      <c r="AM1796" s="8"/>
    </row>
    <row r="1797" spans="11:39" x14ac:dyDescent="0.3">
      <c r="AM1797" s="8"/>
    </row>
    <row r="1798" spans="11:39" x14ac:dyDescent="0.3">
      <c r="AM1798" s="8"/>
    </row>
    <row r="1799" spans="11:39" x14ac:dyDescent="0.3">
      <c r="AM1799" s="8"/>
    </row>
    <row r="1800" spans="11:39" x14ac:dyDescent="0.3">
      <c r="AM1800" s="8"/>
    </row>
    <row r="1801" spans="11:39" x14ac:dyDescent="0.3">
      <c r="AM1801" s="8"/>
    </row>
    <row r="1802" spans="11:39" x14ac:dyDescent="0.3">
      <c r="K1802" s="11"/>
      <c r="AM1802" s="8"/>
    </row>
    <row r="1803" spans="11:39" x14ac:dyDescent="0.3">
      <c r="AM1803" s="8"/>
    </row>
    <row r="1804" spans="11:39" x14ac:dyDescent="0.3">
      <c r="AM1804" s="8"/>
    </row>
    <row r="1805" spans="11:39" x14ac:dyDescent="0.3">
      <c r="AM1805" s="8"/>
    </row>
    <row r="1806" spans="11:39" x14ac:dyDescent="0.3">
      <c r="AM1806" s="8"/>
    </row>
    <row r="1807" spans="11:39" x14ac:dyDescent="0.3">
      <c r="AM1807" s="8"/>
    </row>
    <row r="1808" spans="11:39" x14ac:dyDescent="0.3">
      <c r="AM1808" s="8"/>
    </row>
    <row r="1809" spans="11:39" x14ac:dyDescent="0.3">
      <c r="AM1809" s="8"/>
    </row>
    <row r="1810" spans="11:39" x14ac:dyDescent="0.3">
      <c r="AM1810" s="8"/>
    </row>
    <row r="1811" spans="11:39" x14ac:dyDescent="0.3">
      <c r="AM1811" s="8"/>
    </row>
    <row r="1812" spans="11:39" x14ac:dyDescent="0.3">
      <c r="AM1812" s="8"/>
    </row>
    <row r="1813" spans="11:39" x14ac:dyDescent="0.3">
      <c r="AM1813" s="8"/>
    </row>
    <row r="1814" spans="11:39" x14ac:dyDescent="0.3">
      <c r="AM1814" s="8"/>
    </row>
    <row r="1815" spans="11:39" x14ac:dyDescent="0.3">
      <c r="AM1815" s="8"/>
    </row>
    <row r="1816" spans="11:39" x14ac:dyDescent="0.3">
      <c r="AM1816" s="8"/>
    </row>
    <row r="1817" spans="11:39" x14ac:dyDescent="0.3">
      <c r="AM1817" s="8"/>
    </row>
    <row r="1818" spans="11:39" x14ac:dyDescent="0.3">
      <c r="AM1818" s="8"/>
    </row>
    <row r="1819" spans="11:39" x14ac:dyDescent="0.3">
      <c r="AM1819" s="8"/>
    </row>
    <row r="1820" spans="11:39" x14ac:dyDescent="0.3">
      <c r="K1820" s="11"/>
      <c r="AM1820" s="8"/>
    </row>
    <row r="1821" spans="11:39" x14ac:dyDescent="0.3">
      <c r="AM1821" s="8"/>
    </row>
    <row r="1822" spans="11:39" x14ac:dyDescent="0.3">
      <c r="K1822" s="11"/>
      <c r="AM1822" s="8"/>
    </row>
    <row r="1823" spans="11:39" x14ac:dyDescent="0.3">
      <c r="AM1823" s="8"/>
    </row>
    <row r="1824" spans="11:39" x14ac:dyDescent="0.3">
      <c r="AM1824" s="8"/>
    </row>
    <row r="1825" spans="11:39" x14ac:dyDescent="0.3">
      <c r="AM1825" s="8"/>
    </row>
    <row r="1826" spans="11:39" x14ac:dyDescent="0.3">
      <c r="AM1826" s="8"/>
    </row>
    <row r="1827" spans="11:39" x14ac:dyDescent="0.3">
      <c r="AM1827" s="8"/>
    </row>
    <row r="1828" spans="11:39" x14ac:dyDescent="0.3">
      <c r="AM1828" s="8"/>
    </row>
    <row r="1829" spans="11:39" x14ac:dyDescent="0.3">
      <c r="AM1829" s="8"/>
    </row>
    <row r="1830" spans="11:39" x14ac:dyDescent="0.3">
      <c r="K1830" s="11"/>
      <c r="AM1830" s="8"/>
    </row>
    <row r="1831" spans="11:39" x14ac:dyDescent="0.3">
      <c r="AM1831" s="8"/>
    </row>
    <row r="1832" spans="11:39" x14ac:dyDescent="0.3">
      <c r="K1832" s="11"/>
      <c r="AM1832" s="8"/>
    </row>
    <row r="1833" spans="11:39" x14ac:dyDescent="0.3">
      <c r="AM1833" s="8"/>
    </row>
    <row r="1834" spans="11:39" x14ac:dyDescent="0.3">
      <c r="K1834" s="11"/>
      <c r="AM1834" s="8"/>
    </row>
    <row r="1835" spans="11:39" x14ac:dyDescent="0.3">
      <c r="AM1835" s="8"/>
    </row>
    <row r="1836" spans="11:39" x14ac:dyDescent="0.3">
      <c r="K1836" s="11"/>
      <c r="AM1836" s="8"/>
    </row>
    <row r="1837" spans="11:39" x14ac:dyDescent="0.3">
      <c r="AM1837" s="8"/>
    </row>
    <row r="1838" spans="11:39" x14ac:dyDescent="0.3">
      <c r="AM1838" s="8"/>
    </row>
    <row r="1839" spans="11:39" x14ac:dyDescent="0.3">
      <c r="AM1839" s="8"/>
    </row>
    <row r="1840" spans="11:39" x14ac:dyDescent="0.3">
      <c r="AM1840" s="8"/>
    </row>
    <row r="1841" spans="11:39" x14ac:dyDescent="0.3">
      <c r="AM1841" s="8"/>
    </row>
    <row r="1842" spans="11:39" x14ac:dyDescent="0.3">
      <c r="AM1842" s="8"/>
    </row>
    <row r="1843" spans="11:39" x14ac:dyDescent="0.3">
      <c r="AM1843" s="8"/>
    </row>
    <row r="1844" spans="11:39" x14ac:dyDescent="0.3">
      <c r="AM1844" s="8"/>
    </row>
    <row r="1845" spans="11:39" x14ac:dyDescent="0.3">
      <c r="K1845" s="11"/>
      <c r="AM1845" s="8"/>
    </row>
    <row r="1846" spans="11:39" x14ac:dyDescent="0.3">
      <c r="AM1846" s="8"/>
    </row>
    <row r="1847" spans="11:39" x14ac:dyDescent="0.3">
      <c r="AM1847" s="8"/>
    </row>
    <row r="1848" spans="11:39" x14ac:dyDescent="0.3">
      <c r="AM1848" s="8"/>
    </row>
    <row r="1849" spans="11:39" x14ac:dyDescent="0.3">
      <c r="AM1849" s="8"/>
    </row>
    <row r="1850" spans="11:39" x14ac:dyDescent="0.3">
      <c r="K1850" s="11"/>
      <c r="AM1850" s="8"/>
    </row>
    <row r="1851" spans="11:39" x14ac:dyDescent="0.3">
      <c r="AM1851" s="8"/>
    </row>
    <row r="1852" spans="11:39" x14ac:dyDescent="0.3">
      <c r="AM1852" s="8"/>
    </row>
    <row r="1853" spans="11:39" x14ac:dyDescent="0.3">
      <c r="K1853" s="11"/>
      <c r="AM1853" s="8"/>
    </row>
    <row r="1854" spans="11:39" x14ac:dyDescent="0.3">
      <c r="AM1854" s="8"/>
    </row>
    <row r="1855" spans="11:39" x14ac:dyDescent="0.3">
      <c r="AM1855" s="8"/>
    </row>
    <row r="1856" spans="11:39" x14ac:dyDescent="0.3">
      <c r="AM1856" s="8"/>
    </row>
    <row r="1857" spans="11:39" x14ac:dyDescent="0.3">
      <c r="AM1857" s="8"/>
    </row>
    <row r="1858" spans="11:39" x14ac:dyDescent="0.3">
      <c r="AM1858" s="8"/>
    </row>
    <row r="1859" spans="11:39" x14ac:dyDescent="0.3">
      <c r="AM1859" s="8"/>
    </row>
    <row r="1860" spans="11:39" x14ac:dyDescent="0.3">
      <c r="AM1860" s="8"/>
    </row>
    <row r="1861" spans="11:39" x14ac:dyDescent="0.3">
      <c r="AM1861" s="8"/>
    </row>
    <row r="1862" spans="11:39" x14ac:dyDescent="0.3">
      <c r="K1862" s="11"/>
      <c r="AM1862" s="8"/>
    </row>
    <row r="1863" spans="11:39" x14ac:dyDescent="0.3">
      <c r="AM1863" s="8"/>
    </row>
    <row r="1864" spans="11:39" x14ac:dyDescent="0.3">
      <c r="AM1864" s="8"/>
    </row>
    <row r="1865" spans="11:39" x14ac:dyDescent="0.3">
      <c r="AM1865" s="8"/>
    </row>
    <row r="1866" spans="11:39" x14ac:dyDescent="0.3">
      <c r="K1866" s="11"/>
      <c r="AM1866" s="8"/>
    </row>
    <row r="1867" spans="11:39" x14ac:dyDescent="0.3">
      <c r="AM1867" s="8"/>
    </row>
    <row r="1868" spans="11:39" x14ac:dyDescent="0.3">
      <c r="AM1868" s="8"/>
    </row>
    <row r="1869" spans="11:39" x14ac:dyDescent="0.3">
      <c r="AM1869" s="8"/>
    </row>
    <row r="1870" spans="11:39" x14ac:dyDescent="0.3">
      <c r="AM1870" s="8"/>
    </row>
    <row r="1871" spans="11:39" x14ac:dyDescent="0.3">
      <c r="AM1871" s="8"/>
    </row>
    <row r="1872" spans="11:39" x14ac:dyDescent="0.3">
      <c r="AM1872" s="8"/>
    </row>
    <row r="1873" spans="11:39" x14ac:dyDescent="0.3">
      <c r="AM1873" s="8"/>
    </row>
    <row r="1874" spans="11:39" x14ac:dyDescent="0.3">
      <c r="AM1874" s="8"/>
    </row>
    <row r="1875" spans="11:39" x14ac:dyDescent="0.3">
      <c r="K1875" s="11"/>
      <c r="AM1875" s="8"/>
    </row>
    <row r="1876" spans="11:39" x14ac:dyDescent="0.3">
      <c r="AM1876" s="8"/>
    </row>
    <row r="1877" spans="11:39" x14ac:dyDescent="0.3">
      <c r="AM1877" s="8"/>
    </row>
    <row r="1878" spans="11:39" x14ac:dyDescent="0.3">
      <c r="AM1878" s="8"/>
    </row>
    <row r="1879" spans="11:39" x14ac:dyDescent="0.3">
      <c r="AM1879" s="8"/>
    </row>
    <row r="1880" spans="11:39" x14ac:dyDescent="0.3">
      <c r="AM1880" s="8"/>
    </row>
    <row r="1881" spans="11:39" x14ac:dyDescent="0.3">
      <c r="AM1881" s="8"/>
    </row>
    <row r="1882" spans="11:39" x14ac:dyDescent="0.3">
      <c r="AM1882" s="8"/>
    </row>
    <row r="1883" spans="11:39" x14ac:dyDescent="0.3">
      <c r="AM1883" s="8"/>
    </row>
    <row r="1884" spans="11:39" x14ac:dyDescent="0.3">
      <c r="AM1884" s="8"/>
    </row>
    <row r="1885" spans="11:39" x14ac:dyDescent="0.3">
      <c r="AM1885" s="8"/>
    </row>
    <row r="1886" spans="11:39" x14ac:dyDescent="0.3">
      <c r="AM1886" s="8"/>
    </row>
    <row r="1887" spans="11:39" x14ac:dyDescent="0.3">
      <c r="AM1887" s="8"/>
    </row>
    <row r="1888" spans="11:39" x14ac:dyDescent="0.3">
      <c r="AM1888" s="8"/>
    </row>
    <row r="1889" spans="11:39" x14ac:dyDescent="0.3">
      <c r="AM1889" s="8"/>
    </row>
    <row r="1890" spans="11:39" x14ac:dyDescent="0.3">
      <c r="AM1890" s="8"/>
    </row>
    <row r="1891" spans="11:39" x14ac:dyDescent="0.3">
      <c r="AM1891" s="8"/>
    </row>
    <row r="1892" spans="11:39" x14ac:dyDescent="0.3">
      <c r="K1892" s="11"/>
      <c r="AM1892" s="8"/>
    </row>
    <row r="1893" spans="11:39" x14ac:dyDescent="0.3">
      <c r="AM1893" s="8"/>
    </row>
    <row r="1894" spans="11:39" x14ac:dyDescent="0.3">
      <c r="AM1894" s="8"/>
    </row>
    <row r="1895" spans="11:39" x14ac:dyDescent="0.3">
      <c r="AM1895" s="8"/>
    </row>
    <row r="1896" spans="11:39" x14ac:dyDescent="0.3">
      <c r="AM1896" s="8"/>
    </row>
    <row r="1897" spans="11:39" x14ac:dyDescent="0.3">
      <c r="AM1897" s="8"/>
    </row>
    <row r="1898" spans="11:39" x14ac:dyDescent="0.3">
      <c r="AM1898" s="8"/>
    </row>
    <row r="1899" spans="11:39" x14ac:dyDescent="0.3">
      <c r="AM1899" s="8"/>
    </row>
    <row r="1900" spans="11:39" x14ac:dyDescent="0.3">
      <c r="AM1900" s="8"/>
    </row>
    <row r="1901" spans="11:39" x14ac:dyDescent="0.3">
      <c r="AM1901" s="8"/>
    </row>
    <row r="1902" spans="11:39" x14ac:dyDescent="0.3">
      <c r="AM1902" s="8"/>
    </row>
    <row r="1903" spans="11:39" x14ac:dyDescent="0.3">
      <c r="AM1903" s="8"/>
    </row>
    <row r="1904" spans="11:39" x14ac:dyDescent="0.3">
      <c r="AM1904" s="8"/>
    </row>
    <row r="1905" spans="11:39" x14ac:dyDescent="0.3">
      <c r="AM1905" s="8"/>
    </row>
    <row r="1906" spans="11:39" x14ac:dyDescent="0.3">
      <c r="AM1906" s="8"/>
    </row>
    <row r="1907" spans="11:39" x14ac:dyDescent="0.3">
      <c r="AM1907" s="8"/>
    </row>
    <row r="1908" spans="11:39" x14ac:dyDescent="0.3">
      <c r="AM1908" s="8"/>
    </row>
    <row r="1909" spans="11:39" x14ac:dyDescent="0.3">
      <c r="AM1909" s="8"/>
    </row>
    <row r="1910" spans="11:39" x14ac:dyDescent="0.3">
      <c r="AM1910" s="8"/>
    </row>
    <row r="1911" spans="11:39" x14ac:dyDescent="0.3">
      <c r="AM1911" s="8"/>
    </row>
    <row r="1912" spans="11:39" x14ac:dyDescent="0.3">
      <c r="AM1912" s="8"/>
    </row>
    <row r="1913" spans="11:39" x14ac:dyDescent="0.3">
      <c r="AM1913" s="8"/>
    </row>
    <row r="1914" spans="11:39" x14ac:dyDescent="0.3">
      <c r="AM1914" s="8"/>
    </row>
    <row r="1915" spans="11:39" x14ac:dyDescent="0.3">
      <c r="AM1915" s="8"/>
    </row>
    <row r="1916" spans="11:39" x14ac:dyDescent="0.3">
      <c r="AM1916" s="8"/>
    </row>
    <row r="1917" spans="11:39" x14ac:dyDescent="0.3">
      <c r="AM1917" s="8"/>
    </row>
    <row r="1918" spans="11:39" x14ac:dyDescent="0.3">
      <c r="AM1918" s="8"/>
    </row>
    <row r="1919" spans="11:39" x14ac:dyDescent="0.3">
      <c r="AM1919" s="8"/>
    </row>
    <row r="1920" spans="11:39" x14ac:dyDescent="0.3">
      <c r="K1920" s="11"/>
      <c r="AM1920" s="8"/>
    </row>
    <row r="1921" spans="11:39" x14ac:dyDescent="0.3">
      <c r="AM1921" s="8"/>
    </row>
    <row r="1922" spans="11:39" x14ac:dyDescent="0.3">
      <c r="AM1922" s="8"/>
    </row>
    <row r="1923" spans="11:39" x14ac:dyDescent="0.3">
      <c r="AM1923" s="8"/>
    </row>
    <row r="1924" spans="11:39" x14ac:dyDescent="0.3">
      <c r="AM1924" s="8"/>
    </row>
    <row r="1925" spans="11:39" x14ac:dyDescent="0.3">
      <c r="AM1925" s="8"/>
    </row>
    <row r="1926" spans="11:39" x14ac:dyDescent="0.3">
      <c r="AM1926" s="8"/>
    </row>
    <row r="1927" spans="11:39" x14ac:dyDescent="0.3">
      <c r="AM1927" s="8"/>
    </row>
    <row r="1928" spans="11:39" x14ac:dyDescent="0.3">
      <c r="AM1928" s="8"/>
    </row>
    <row r="1929" spans="11:39" x14ac:dyDescent="0.3">
      <c r="K1929" s="11"/>
      <c r="AM1929" s="8"/>
    </row>
    <row r="1930" spans="11:39" x14ac:dyDescent="0.3">
      <c r="AM1930" s="8"/>
    </row>
    <row r="1931" spans="11:39" x14ac:dyDescent="0.3">
      <c r="K1931" s="11"/>
      <c r="AM1931" s="8"/>
    </row>
    <row r="1932" spans="11:39" x14ac:dyDescent="0.3">
      <c r="K1932" s="11"/>
      <c r="AM1932" s="8"/>
    </row>
    <row r="1933" spans="11:39" x14ac:dyDescent="0.3">
      <c r="K1933" s="11"/>
      <c r="AM1933" s="8"/>
    </row>
    <row r="1934" spans="11:39" x14ac:dyDescent="0.3">
      <c r="AM1934" s="8"/>
    </row>
    <row r="1935" spans="11:39" x14ac:dyDescent="0.3">
      <c r="AM1935" s="8"/>
    </row>
    <row r="1936" spans="11:39" x14ac:dyDescent="0.3">
      <c r="K1936" s="11"/>
      <c r="AM1936" s="8"/>
    </row>
    <row r="1937" spans="11:39" x14ac:dyDescent="0.3">
      <c r="K1937" s="11"/>
      <c r="AM1937" s="8"/>
    </row>
    <row r="1938" spans="11:39" x14ac:dyDescent="0.3">
      <c r="AM1938" s="8"/>
    </row>
    <row r="1939" spans="11:39" x14ac:dyDescent="0.3">
      <c r="AM1939" s="8"/>
    </row>
    <row r="1940" spans="11:39" x14ac:dyDescent="0.3">
      <c r="AM1940" s="8"/>
    </row>
    <row r="1941" spans="11:39" x14ac:dyDescent="0.3">
      <c r="AM1941" s="8"/>
    </row>
    <row r="1942" spans="11:39" x14ac:dyDescent="0.3">
      <c r="K1942" s="11"/>
      <c r="AM1942" s="8"/>
    </row>
    <row r="1943" spans="11:39" x14ac:dyDescent="0.3">
      <c r="AM1943" s="8"/>
    </row>
    <row r="1944" spans="11:39" x14ac:dyDescent="0.3">
      <c r="AM1944" s="8"/>
    </row>
    <row r="1945" spans="11:39" x14ac:dyDescent="0.3">
      <c r="AM1945" s="8"/>
    </row>
    <row r="1946" spans="11:39" x14ac:dyDescent="0.3">
      <c r="AM1946" s="8"/>
    </row>
    <row r="1947" spans="11:39" x14ac:dyDescent="0.3">
      <c r="AM1947" s="8"/>
    </row>
    <row r="1948" spans="11:39" x14ac:dyDescent="0.3">
      <c r="K1948" s="11"/>
      <c r="AM1948" s="8"/>
    </row>
    <row r="1949" spans="11:39" x14ac:dyDescent="0.3">
      <c r="AM1949" s="8"/>
    </row>
    <row r="1950" spans="11:39" x14ac:dyDescent="0.3">
      <c r="AM1950" s="8"/>
    </row>
    <row r="1951" spans="11:39" x14ac:dyDescent="0.3">
      <c r="AM1951" s="8"/>
    </row>
    <row r="1952" spans="11:39" x14ac:dyDescent="0.3">
      <c r="AM1952" s="8"/>
    </row>
    <row r="1953" spans="11:39" x14ac:dyDescent="0.3">
      <c r="AM1953" s="8"/>
    </row>
    <row r="1954" spans="11:39" x14ac:dyDescent="0.3">
      <c r="AM1954" s="8"/>
    </row>
    <row r="1955" spans="11:39" x14ac:dyDescent="0.3">
      <c r="AM1955" s="8"/>
    </row>
    <row r="1956" spans="11:39" x14ac:dyDescent="0.3">
      <c r="AM1956" s="8"/>
    </row>
    <row r="1957" spans="11:39" x14ac:dyDescent="0.3">
      <c r="AM1957" s="8"/>
    </row>
    <row r="1958" spans="11:39" x14ac:dyDescent="0.3">
      <c r="AM1958" s="8"/>
    </row>
    <row r="1959" spans="11:39" x14ac:dyDescent="0.3">
      <c r="AM1959" s="8"/>
    </row>
    <row r="1960" spans="11:39" x14ac:dyDescent="0.3">
      <c r="AM1960" s="8"/>
    </row>
    <row r="1961" spans="11:39" x14ac:dyDescent="0.3">
      <c r="AM1961" s="8"/>
    </row>
    <row r="1962" spans="11:39" x14ac:dyDescent="0.3">
      <c r="AM1962" s="8"/>
    </row>
    <row r="1963" spans="11:39" x14ac:dyDescent="0.3">
      <c r="AM1963" s="8"/>
    </row>
    <row r="1964" spans="11:39" x14ac:dyDescent="0.3">
      <c r="K1964" s="11"/>
      <c r="AM1964" s="8"/>
    </row>
    <row r="1965" spans="11:39" x14ac:dyDescent="0.3">
      <c r="AM1965" s="8"/>
    </row>
    <row r="1966" spans="11:39" x14ac:dyDescent="0.3">
      <c r="AM1966" s="8"/>
    </row>
    <row r="1967" spans="11:39" x14ac:dyDescent="0.3">
      <c r="AM1967" s="8"/>
    </row>
    <row r="1968" spans="11:39" x14ac:dyDescent="0.3">
      <c r="K1968" s="11"/>
      <c r="AM1968" s="8"/>
    </row>
    <row r="1969" spans="11:39" x14ac:dyDescent="0.3">
      <c r="AM1969" s="8"/>
    </row>
    <row r="1970" spans="11:39" x14ac:dyDescent="0.3">
      <c r="AM1970" s="8"/>
    </row>
    <row r="1971" spans="11:39" x14ac:dyDescent="0.3">
      <c r="AM1971" s="8"/>
    </row>
    <row r="1972" spans="11:39" x14ac:dyDescent="0.3">
      <c r="AM1972" s="8"/>
    </row>
    <row r="1973" spans="11:39" x14ac:dyDescent="0.3">
      <c r="K1973" s="11"/>
      <c r="AM1973" s="8"/>
    </row>
    <row r="1974" spans="11:39" x14ac:dyDescent="0.3">
      <c r="AM1974" s="8"/>
    </row>
    <row r="1975" spans="11:39" x14ac:dyDescent="0.3">
      <c r="AM1975" s="8"/>
    </row>
    <row r="1976" spans="11:39" x14ac:dyDescent="0.3">
      <c r="AM1976" s="8"/>
    </row>
    <row r="1977" spans="11:39" x14ac:dyDescent="0.3">
      <c r="K1977" s="11"/>
      <c r="AM1977" s="8"/>
    </row>
    <row r="1978" spans="11:39" x14ac:dyDescent="0.3">
      <c r="AM1978" s="8"/>
    </row>
    <row r="1979" spans="11:39" x14ac:dyDescent="0.3">
      <c r="AM1979" s="8"/>
    </row>
    <row r="1980" spans="11:39" x14ac:dyDescent="0.3">
      <c r="AM1980" s="8"/>
    </row>
    <row r="1981" spans="11:39" x14ac:dyDescent="0.3">
      <c r="AM1981" s="8"/>
    </row>
    <row r="1982" spans="11:39" x14ac:dyDescent="0.3">
      <c r="AM1982" s="8"/>
    </row>
    <row r="1983" spans="11:39" x14ac:dyDescent="0.3">
      <c r="AM1983" s="8"/>
    </row>
    <row r="1984" spans="11:39" x14ac:dyDescent="0.3">
      <c r="AM1984" s="8"/>
    </row>
    <row r="1985" spans="11:39" x14ac:dyDescent="0.3">
      <c r="AM1985" s="8"/>
    </row>
    <row r="1986" spans="11:39" x14ac:dyDescent="0.3">
      <c r="AM1986" s="8"/>
    </row>
    <row r="1987" spans="11:39" x14ac:dyDescent="0.3">
      <c r="AM1987" s="8"/>
    </row>
    <row r="1988" spans="11:39" x14ac:dyDescent="0.3">
      <c r="K1988" s="11"/>
      <c r="AM1988" s="8"/>
    </row>
    <row r="1989" spans="11:39" x14ac:dyDescent="0.3">
      <c r="K1989" s="11"/>
      <c r="AM1989" s="8"/>
    </row>
    <row r="1990" spans="11:39" x14ac:dyDescent="0.3">
      <c r="AM1990" s="8"/>
    </row>
    <row r="1991" spans="11:39" x14ac:dyDescent="0.3">
      <c r="K1991" s="11"/>
      <c r="AM1991" s="8"/>
    </row>
    <row r="1992" spans="11:39" x14ac:dyDescent="0.3">
      <c r="AM1992" s="8"/>
    </row>
    <row r="1993" spans="11:39" x14ac:dyDescent="0.3">
      <c r="AM1993" s="8"/>
    </row>
    <row r="1994" spans="11:39" x14ac:dyDescent="0.3">
      <c r="AM1994" s="8"/>
    </row>
    <row r="1995" spans="11:39" x14ac:dyDescent="0.3">
      <c r="AM1995" s="8"/>
    </row>
    <row r="1996" spans="11:39" x14ac:dyDescent="0.3">
      <c r="AM1996" s="8"/>
    </row>
    <row r="1997" spans="11:39" x14ac:dyDescent="0.3">
      <c r="K1997" s="11"/>
      <c r="AM1997" s="8"/>
    </row>
    <row r="1998" spans="11:39" x14ac:dyDescent="0.3">
      <c r="AM1998" s="8"/>
    </row>
    <row r="1999" spans="11:39" x14ac:dyDescent="0.3">
      <c r="K1999" s="11"/>
      <c r="AM1999" s="8"/>
    </row>
    <row r="2000" spans="11:39" x14ac:dyDescent="0.3">
      <c r="AM2000" s="8"/>
    </row>
    <row r="2001" spans="39:39" x14ac:dyDescent="0.3">
      <c r="AM2001" s="8"/>
    </row>
  </sheetData>
  <phoneticPr fontId="1"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C684C-4DEB-4DC1-A0F4-E88A02A4DD24}">
  <dimension ref="A1:BV2001"/>
  <sheetViews>
    <sheetView topLeftCell="Q1" zoomScale="53" workbookViewId="0">
      <selection activeCell="U57" sqref="U57"/>
    </sheetView>
  </sheetViews>
  <sheetFormatPr defaultRowHeight="14.4" x14ac:dyDescent="0.3"/>
  <cols>
    <col min="1" max="1" width="11.33203125" bestFit="1" customWidth="1"/>
    <col min="2" max="2" width="22.21875" bestFit="1" customWidth="1"/>
    <col min="3" max="3" width="17.33203125" bestFit="1" customWidth="1"/>
    <col min="4" max="4" width="18.88671875" bestFit="1" customWidth="1"/>
    <col min="5" max="5" width="12.5546875" style="5" bestFit="1" customWidth="1"/>
    <col min="6" max="6" width="65.88671875" bestFit="1" customWidth="1"/>
    <col min="7" max="7" width="30.109375" bestFit="1" customWidth="1"/>
    <col min="8" max="8" width="15.109375" customWidth="1"/>
    <col min="10" max="10" width="18.109375" bestFit="1" customWidth="1"/>
    <col min="11" max="11" width="21.6640625" bestFit="1" customWidth="1"/>
    <col min="12" max="12" width="12.109375" bestFit="1" customWidth="1"/>
    <col min="13" max="13" width="13.33203125" bestFit="1" customWidth="1"/>
    <col min="14" max="14" width="10.5546875" bestFit="1" customWidth="1"/>
    <col min="15" max="15" width="15.44140625" bestFit="1" customWidth="1"/>
    <col min="16" max="16" width="24.109375" bestFit="1" customWidth="1"/>
    <col min="17" max="17" width="33" bestFit="1" customWidth="1"/>
    <col min="18" max="18" width="23.21875" bestFit="1" customWidth="1"/>
    <col min="19" max="19" width="6.21875" bestFit="1" customWidth="1"/>
    <col min="20" max="20" width="9.33203125" bestFit="1" customWidth="1"/>
    <col min="21" max="21" width="15.44140625" bestFit="1" customWidth="1"/>
    <col min="22" max="22" width="10.77734375" bestFit="1" customWidth="1"/>
    <col min="23" max="23" width="20.88671875" bestFit="1" customWidth="1"/>
    <col min="24" max="24" width="19.21875" bestFit="1" customWidth="1"/>
    <col min="25" max="25" width="28.21875" bestFit="1" customWidth="1"/>
    <col min="26" max="26" width="8.33203125" bestFit="1" customWidth="1"/>
    <col min="27" max="27" width="9.5546875" bestFit="1" customWidth="1"/>
    <col min="28" max="28" width="7.5546875" bestFit="1" customWidth="1"/>
    <col min="29" max="29" width="33" bestFit="1" customWidth="1"/>
    <col min="30" max="30" width="23.21875" bestFit="1" customWidth="1"/>
    <col min="31" max="31" width="6.21875" bestFit="1" customWidth="1"/>
    <col min="32" max="32" width="9.33203125" bestFit="1" customWidth="1"/>
    <col min="33" max="33" width="15.44140625" bestFit="1" customWidth="1"/>
    <col min="34" max="34" width="54.6640625" bestFit="1" customWidth="1"/>
    <col min="35" max="35" width="33.44140625" bestFit="1" customWidth="1"/>
    <col min="36" max="36" width="23.21875" bestFit="1" customWidth="1"/>
    <col min="37" max="37" width="12.109375" bestFit="1" customWidth="1"/>
    <col min="38" max="38" width="13.33203125" bestFit="1" customWidth="1"/>
    <col min="39" max="39" width="10.5546875" bestFit="1" customWidth="1"/>
    <col min="40" max="41" width="15.44140625" bestFit="1" customWidth="1"/>
    <col min="42" max="42" width="22.109375" bestFit="1" customWidth="1"/>
    <col min="43" max="43" width="25.109375" bestFit="1" customWidth="1"/>
    <col min="44" max="44" width="18.33203125" bestFit="1" customWidth="1"/>
    <col min="45" max="45" width="32.21875" bestFit="1" customWidth="1"/>
    <col min="46" max="46" width="16.44140625" bestFit="1" customWidth="1"/>
    <col min="47" max="47" width="18.33203125" bestFit="1" customWidth="1"/>
    <col min="48" max="48" width="16" bestFit="1" customWidth="1"/>
    <col min="49" max="49" width="17.6640625" bestFit="1" customWidth="1"/>
    <col min="50" max="50" width="23.33203125" bestFit="1" customWidth="1"/>
    <col min="51" max="51" width="15.44140625" bestFit="1" customWidth="1"/>
    <col min="52" max="52" width="4.77734375" bestFit="1" customWidth="1"/>
    <col min="53" max="53" width="30.33203125" bestFit="1" customWidth="1"/>
    <col min="54" max="54" width="15.44140625" bestFit="1" customWidth="1"/>
    <col min="55" max="55" width="6.77734375" bestFit="1" customWidth="1"/>
    <col min="56" max="56" width="15" bestFit="1" customWidth="1"/>
    <col min="57" max="57" width="15.44140625" bestFit="1" customWidth="1"/>
    <col min="58" max="58" width="26.88671875" bestFit="1" customWidth="1"/>
    <col min="59" max="59" width="12.5546875" bestFit="1" customWidth="1"/>
    <col min="60" max="60" width="39.6640625" bestFit="1" customWidth="1"/>
    <col min="61" max="61" width="22.77734375" bestFit="1" customWidth="1"/>
    <col min="62" max="62" width="29.44140625" bestFit="1" customWidth="1"/>
    <col min="63" max="63" width="23.21875" bestFit="1" customWidth="1"/>
    <col min="64" max="64" width="6.21875" bestFit="1" customWidth="1"/>
    <col min="65" max="65" width="10.33203125" bestFit="1" customWidth="1"/>
    <col min="66" max="66" width="15.44140625" bestFit="1" customWidth="1"/>
    <col min="67" max="67" width="16.109375" bestFit="1" customWidth="1"/>
    <col min="68" max="68" width="7.88671875" bestFit="1" customWidth="1"/>
    <col min="69" max="69" width="10.33203125" bestFit="1" customWidth="1"/>
    <col min="70" max="70" width="33" bestFit="1" customWidth="1"/>
    <col min="71" max="71" width="23.21875" bestFit="1" customWidth="1"/>
    <col min="72" max="72" width="6.21875" bestFit="1" customWidth="1"/>
    <col min="73" max="73" width="9.33203125" bestFit="1" customWidth="1"/>
    <col min="74" max="74" width="15.44140625" bestFit="1" customWidth="1"/>
    <col min="75" max="75" width="7.21875" bestFit="1" customWidth="1"/>
    <col min="76" max="76" width="7.109375" bestFit="1" customWidth="1"/>
    <col min="77" max="77" width="8.44140625" bestFit="1" customWidth="1"/>
    <col min="78" max="78" width="7.109375" bestFit="1" customWidth="1"/>
    <col min="79" max="79" width="7.88671875" bestFit="1" customWidth="1"/>
    <col min="80" max="80" width="3" bestFit="1" customWidth="1"/>
    <col min="81" max="81" width="21.44140625" bestFit="1" customWidth="1"/>
    <col min="82" max="82" width="10.33203125" bestFit="1" customWidth="1"/>
    <col min="83" max="83" width="4.21875" bestFit="1" customWidth="1"/>
    <col min="84" max="84" width="10.5546875" bestFit="1" customWidth="1"/>
    <col min="85" max="85" width="10.77734375" bestFit="1" customWidth="1"/>
    <col min="86" max="86" width="4.21875" bestFit="1" customWidth="1"/>
    <col min="87" max="87" width="10.5546875" bestFit="1" customWidth="1"/>
    <col min="88" max="88" width="10.77734375" bestFit="1" customWidth="1"/>
    <col min="89" max="89" width="25.88671875" bestFit="1" customWidth="1"/>
    <col min="90" max="90" width="28.5546875" bestFit="1" customWidth="1"/>
    <col min="91" max="91" width="18" bestFit="1" customWidth="1"/>
    <col min="92" max="92" width="26.88671875" bestFit="1" customWidth="1"/>
    <col min="93" max="93" width="23.5546875" bestFit="1" customWidth="1"/>
    <col min="94" max="94" width="28" bestFit="1" customWidth="1"/>
    <col min="95" max="95" width="25.5546875" bestFit="1" customWidth="1"/>
    <col min="96" max="96" width="26.109375" bestFit="1" customWidth="1"/>
    <col min="97" max="97" width="5.44140625" bestFit="1" customWidth="1"/>
    <col min="98" max="98" width="14.21875" bestFit="1" customWidth="1"/>
    <col min="99" max="99" width="21.6640625" bestFit="1" customWidth="1"/>
    <col min="100" max="100" width="24.21875" bestFit="1" customWidth="1"/>
    <col min="101" max="101" width="21.77734375" bestFit="1" customWidth="1"/>
    <col min="102" max="102" width="22.33203125" bestFit="1" customWidth="1"/>
    <col min="103" max="103" width="24.77734375" bestFit="1" customWidth="1"/>
    <col min="104" max="104" width="12.6640625" bestFit="1" customWidth="1"/>
    <col min="105" max="105" width="21.6640625" bestFit="1" customWidth="1"/>
    <col min="106" max="106" width="22.77734375" bestFit="1" customWidth="1"/>
    <col min="107" max="107" width="20.21875" bestFit="1" customWidth="1"/>
    <col min="108" max="108" width="20.77734375" bestFit="1" customWidth="1"/>
    <col min="109" max="109" width="23.33203125" bestFit="1" customWidth="1"/>
    <col min="110" max="110" width="23.5546875" bestFit="1" customWidth="1"/>
    <col min="111" max="111" width="15.33203125" bestFit="1" customWidth="1"/>
    <col min="112" max="112" width="24.21875" bestFit="1" customWidth="1"/>
    <col min="113" max="113" width="22.88671875" bestFit="1" customWidth="1"/>
    <col min="114" max="114" width="23.44140625" bestFit="1" customWidth="1"/>
    <col min="115" max="115" width="26" bestFit="1" customWidth="1"/>
    <col min="116" max="116" width="26.21875" bestFit="1" customWidth="1"/>
    <col min="117" max="117" width="12.77734375" bestFit="1" customWidth="1"/>
    <col min="118" max="118" width="21.77734375" bestFit="1" customWidth="1"/>
    <col min="119" max="119" width="20.21875" bestFit="1" customWidth="1"/>
    <col min="120" max="120" width="20.88671875" bestFit="1" customWidth="1"/>
    <col min="121" max="121" width="23.44140625" bestFit="1" customWidth="1"/>
    <col min="122" max="122" width="23.6640625" bestFit="1" customWidth="1"/>
    <col min="123" max="123" width="13.44140625" bestFit="1" customWidth="1"/>
    <col min="124" max="124" width="22.33203125" bestFit="1" customWidth="1"/>
    <col min="125" max="125" width="20.77734375" bestFit="1" customWidth="1"/>
    <col min="126" max="126" width="20.88671875" bestFit="1" customWidth="1"/>
    <col min="127" max="127" width="24" bestFit="1" customWidth="1"/>
    <col min="128" max="128" width="24.21875" bestFit="1" customWidth="1"/>
    <col min="129" max="129" width="15.88671875" bestFit="1" customWidth="1"/>
    <col min="130" max="130" width="23.33203125" bestFit="1" customWidth="1"/>
    <col min="131" max="131" width="26" bestFit="1" customWidth="1"/>
    <col min="132" max="132" width="23.44140625" bestFit="1" customWidth="1"/>
    <col min="133" max="133" width="24" bestFit="1" customWidth="1"/>
    <col min="134" max="134" width="26.77734375" bestFit="1" customWidth="1"/>
    <col min="135" max="135" width="16.109375" bestFit="1" customWidth="1"/>
    <col min="136" max="136" width="23.5546875" bestFit="1" customWidth="1"/>
    <col min="137" max="137" width="26.21875" bestFit="1" customWidth="1"/>
    <col min="138" max="138" width="24.21875" bestFit="1" customWidth="1"/>
    <col min="139" max="139" width="26.77734375" bestFit="1" customWidth="1"/>
    <col min="140" max="140" width="9.77734375" bestFit="1" customWidth="1"/>
    <col min="141" max="141" width="18.6640625" bestFit="1" customWidth="1"/>
    <col min="142" max="142" width="26.109375" bestFit="1" customWidth="1"/>
    <col min="143" max="143" width="24.21875" bestFit="1" customWidth="1"/>
    <col min="144" max="144" width="26.21875" bestFit="1" customWidth="1"/>
    <col min="145" max="145" width="29.21875" bestFit="1" customWidth="1"/>
    <col min="146" max="146" width="29.5546875" bestFit="1" customWidth="1"/>
    <col min="147" max="147" width="17.21875" bestFit="1" customWidth="1"/>
    <col min="148" max="148" width="22.77734375" bestFit="1" customWidth="1"/>
    <col min="149" max="149" width="24.6640625" bestFit="1" customWidth="1"/>
    <col min="150" max="150" width="25.21875" bestFit="1" customWidth="1"/>
    <col min="151" max="151" width="27.77734375" bestFit="1" customWidth="1"/>
    <col min="152" max="152" width="28" bestFit="1" customWidth="1"/>
    <col min="153" max="153" width="15.33203125" bestFit="1" customWidth="1"/>
    <col min="154" max="154" width="24.21875" bestFit="1" customWidth="1"/>
    <col min="155" max="155" width="22.77734375" bestFit="1" customWidth="1"/>
    <col min="156" max="156" width="22.88671875" bestFit="1" customWidth="1"/>
    <col min="157" max="157" width="23.44140625" bestFit="1" customWidth="1"/>
    <col min="158" max="158" width="26" bestFit="1" customWidth="1"/>
    <col min="159" max="159" width="17.33203125" bestFit="1" customWidth="1"/>
    <col min="160" max="160" width="24.6640625" bestFit="1" customWidth="1"/>
    <col min="161" max="161" width="22.88671875" bestFit="1" customWidth="1"/>
    <col min="162" max="162" width="25.44140625" bestFit="1" customWidth="1"/>
    <col min="163" max="163" width="27.88671875" bestFit="1" customWidth="1"/>
    <col min="164" max="164" width="28.109375" bestFit="1" customWidth="1"/>
    <col min="165" max="165" width="17.88671875" bestFit="1" customWidth="1"/>
    <col min="166" max="166" width="26.77734375" bestFit="1" customWidth="1"/>
    <col min="167" max="167" width="25.21875" bestFit="1" customWidth="1"/>
    <col min="168" max="168" width="23.44140625" bestFit="1" customWidth="1"/>
    <col min="169" max="169" width="25.44140625" bestFit="1" customWidth="1"/>
    <col min="170" max="170" width="28.44140625" bestFit="1" customWidth="1"/>
    <col min="171" max="171" width="20.33203125" bestFit="1" customWidth="1"/>
    <col min="172" max="172" width="29.21875" bestFit="1" customWidth="1"/>
    <col min="173" max="173" width="27.77734375" bestFit="1" customWidth="1"/>
    <col min="174" max="174" width="26" bestFit="1" customWidth="1"/>
    <col min="175" max="175" width="27.88671875" bestFit="1" customWidth="1"/>
    <col min="176" max="176" width="28.44140625" bestFit="1" customWidth="1"/>
    <col min="177" max="177" width="20.5546875" bestFit="1" customWidth="1"/>
    <col min="178" max="178" width="29.5546875" bestFit="1" customWidth="1"/>
    <col min="179" max="179" width="28" bestFit="1" customWidth="1"/>
    <col min="180" max="180" width="26.21875" bestFit="1" customWidth="1"/>
    <col min="181" max="181" width="28.109375" bestFit="1" customWidth="1"/>
    <col min="182" max="182" width="28.6640625" bestFit="1" customWidth="1"/>
    <col min="183" max="183" width="31.21875" bestFit="1" customWidth="1"/>
    <col min="184" max="184" width="7.33203125" bestFit="1" customWidth="1"/>
    <col min="185" max="185" width="16.109375" bestFit="1" customWidth="1"/>
    <col min="186" max="186" width="23.5546875" bestFit="1" customWidth="1"/>
    <col min="187" max="187" width="21.77734375" bestFit="1" customWidth="1"/>
    <col min="188" max="188" width="26.21875" bestFit="1" customWidth="1"/>
    <col min="189" max="189" width="24.21875" bestFit="1" customWidth="1"/>
    <col min="190" max="190" width="26.77734375" bestFit="1" customWidth="1"/>
    <col min="191" max="191" width="14.6640625" bestFit="1" customWidth="1"/>
    <col min="192" max="192" width="23.5546875" bestFit="1" customWidth="1"/>
    <col min="193" max="193" width="24.6640625" bestFit="1" customWidth="1"/>
    <col min="194" max="194" width="22.77734375" bestFit="1" customWidth="1"/>
    <col min="195" max="195" width="25.21875" bestFit="1" customWidth="1"/>
    <col min="196" max="196" width="25.5546875" bestFit="1" customWidth="1"/>
    <col min="197" max="197" width="12.77734375" bestFit="1" customWidth="1"/>
    <col min="198" max="198" width="21.77734375" bestFit="1" customWidth="1"/>
    <col min="199" max="199" width="20.21875" bestFit="1" customWidth="1"/>
    <col min="200" max="200" width="22.88671875" bestFit="1" customWidth="1"/>
    <col min="201" max="201" width="20.88671875" bestFit="1" customWidth="1"/>
    <col min="202" max="202" width="23.44140625" bestFit="1" customWidth="1"/>
    <col min="203" max="203" width="23.6640625" bestFit="1" customWidth="1"/>
    <col min="204" max="204" width="17.33203125" bestFit="1" customWidth="1"/>
    <col min="205" max="205" width="26.21875" bestFit="1" customWidth="1"/>
    <col min="206" max="206" width="24.6640625" bestFit="1" customWidth="1"/>
    <col min="207" max="207" width="22.88671875" bestFit="1" customWidth="1"/>
    <col min="208" max="208" width="25.44140625" bestFit="1" customWidth="1"/>
    <col min="209" max="209" width="27.88671875" bestFit="1" customWidth="1"/>
    <col min="210" max="210" width="28.109375" bestFit="1" customWidth="1"/>
    <col min="211" max="211" width="15.33203125" bestFit="1" customWidth="1"/>
    <col min="212" max="212" width="24.21875" bestFit="1" customWidth="1"/>
    <col min="213" max="213" width="22.77734375" bestFit="1" customWidth="1"/>
    <col min="214" max="214" width="20.88671875" bestFit="1" customWidth="1"/>
    <col min="215" max="215" width="25.44140625" bestFit="1" customWidth="1"/>
    <col min="216" max="216" width="26" bestFit="1" customWidth="1"/>
    <col min="217" max="217" width="26.21875" bestFit="1" customWidth="1"/>
    <col min="218" max="218" width="17.88671875" bestFit="1" customWidth="1"/>
    <col min="219" max="219" width="26.77734375" bestFit="1" customWidth="1"/>
    <col min="220" max="220" width="25.21875" bestFit="1" customWidth="1"/>
    <col min="221" max="221" width="23.44140625" bestFit="1" customWidth="1"/>
    <col min="222" max="222" width="27.88671875" bestFit="1" customWidth="1"/>
    <col min="223" max="223" width="18.109375" bestFit="1" customWidth="1"/>
    <col min="224" max="224" width="27" bestFit="1" customWidth="1"/>
    <col min="225" max="225" width="25.5546875" bestFit="1" customWidth="1"/>
    <col min="226" max="226" width="23.6640625" bestFit="1" customWidth="1"/>
    <col min="227" max="227" width="26.21875" bestFit="1" customWidth="1"/>
    <col min="228" max="228" width="28.6640625" bestFit="1" customWidth="1"/>
    <col min="229" max="229" width="7.88671875" bestFit="1" customWidth="1"/>
    <col min="230" max="230" width="16.6640625" bestFit="1" customWidth="1"/>
    <col min="231" max="231" width="24.109375" bestFit="1" customWidth="1"/>
    <col min="232" max="232" width="27.33203125" bestFit="1" customWidth="1"/>
    <col min="233" max="233" width="27.5546875" bestFit="1" customWidth="1"/>
    <col min="234" max="234" width="15.21875" bestFit="1" customWidth="1"/>
    <col min="235" max="235" width="24.109375" bestFit="1" customWidth="1"/>
    <col min="236" max="236" width="20.77734375" bestFit="1" customWidth="1"/>
    <col min="237" max="237" width="25.21875" bestFit="1" customWidth="1"/>
    <col min="238" max="238" width="22.77734375" bestFit="1" customWidth="1"/>
    <col min="239" max="239" width="25.88671875" bestFit="1" customWidth="1"/>
    <col min="240" max="240" width="26.109375" bestFit="1" customWidth="1"/>
    <col min="241" max="241" width="13.44140625" bestFit="1" customWidth="1"/>
    <col min="242" max="242" width="22.33203125" bestFit="1" customWidth="1"/>
    <col min="243" max="243" width="23.44140625" bestFit="1" customWidth="1"/>
    <col min="244" max="244" width="20.88671875" bestFit="1" customWidth="1"/>
    <col min="245" max="245" width="24.21875" bestFit="1" customWidth="1"/>
    <col min="246" max="246" width="17.88671875" bestFit="1" customWidth="1"/>
    <col min="247" max="247" width="26.77734375" bestFit="1" customWidth="1"/>
    <col min="248" max="248" width="23.44140625" bestFit="1" customWidth="1"/>
    <col min="249" max="249" width="25.44140625" bestFit="1" customWidth="1"/>
    <col min="250" max="250" width="28.44140625" bestFit="1" customWidth="1"/>
    <col min="251" max="251" width="28.6640625" bestFit="1" customWidth="1"/>
    <col min="252" max="252" width="15.33203125" bestFit="1" customWidth="1"/>
    <col min="253" max="253" width="24.21875" bestFit="1" customWidth="1"/>
    <col min="254" max="254" width="20.88671875" bestFit="1" customWidth="1"/>
    <col min="255" max="255" width="25.44140625" bestFit="1" customWidth="1"/>
    <col min="256" max="256" width="26" bestFit="1" customWidth="1"/>
    <col min="257" max="257" width="26.21875" bestFit="1" customWidth="1"/>
    <col min="258" max="258" width="18.44140625" bestFit="1" customWidth="1"/>
    <col min="259" max="259" width="27.33203125" bestFit="1" customWidth="1"/>
    <col min="260" max="260" width="25.88671875" bestFit="1" customWidth="1"/>
    <col min="261" max="261" width="24" bestFit="1" customWidth="1"/>
    <col min="262" max="262" width="28.44140625" bestFit="1" customWidth="1"/>
    <col min="263" max="263" width="26" bestFit="1" customWidth="1"/>
    <col min="264" max="264" width="29.21875" bestFit="1" customWidth="1"/>
    <col min="265" max="265" width="18.6640625" bestFit="1" customWidth="1"/>
    <col min="266" max="266" width="26.109375" bestFit="1" customWidth="1"/>
    <col min="267" max="267" width="24.21875" bestFit="1" customWidth="1"/>
    <col min="268" max="268" width="28.6640625" bestFit="1" customWidth="1"/>
    <col min="269" max="269" width="26.21875" bestFit="1" customWidth="1"/>
    <col min="270" max="270" width="29.21875" bestFit="1" customWidth="1"/>
    <col min="271" max="271" width="10.33203125" bestFit="1" customWidth="1"/>
    <col min="272" max="272" width="19.21875" bestFit="1" customWidth="1"/>
    <col min="273" max="273" width="26.6640625" bestFit="1" customWidth="1"/>
    <col min="274" max="274" width="24.77734375" bestFit="1" customWidth="1"/>
    <col min="275" max="275" width="29.21875" bestFit="1" customWidth="1"/>
    <col min="276" max="276" width="26.77734375" bestFit="1" customWidth="1"/>
    <col min="277" max="277" width="27.33203125" bestFit="1" customWidth="1"/>
    <col min="278" max="278" width="17.77734375" bestFit="1" customWidth="1"/>
    <col min="279" max="279" width="26.6640625" bestFit="1" customWidth="1"/>
    <col min="280" max="280" width="23.33203125" bestFit="1" customWidth="1"/>
    <col min="281" max="281" width="27.77734375" bestFit="1" customWidth="1"/>
    <col min="282" max="282" width="25.21875" bestFit="1" customWidth="1"/>
    <col min="283" max="283" width="25.88671875" bestFit="1" customWidth="1"/>
    <col min="284" max="284" width="28.5546875" bestFit="1" customWidth="1"/>
    <col min="285" max="285" width="15.88671875" bestFit="1" customWidth="1"/>
    <col min="286" max="286" width="24.77734375" bestFit="1" customWidth="1"/>
    <col min="287" max="287" width="23.33203125" bestFit="1" customWidth="1"/>
    <col min="288" max="288" width="26" bestFit="1" customWidth="1"/>
    <col min="289" max="289" width="23.44140625" bestFit="1" customWidth="1"/>
    <col min="290" max="290" width="24" bestFit="1" customWidth="1"/>
    <col min="291" max="291" width="26.77734375" bestFit="1" customWidth="1"/>
    <col min="292" max="292" width="20.33203125" bestFit="1" customWidth="1"/>
    <col min="293" max="293" width="29.21875" bestFit="1" customWidth="1"/>
    <col min="294" max="294" width="27.77734375" bestFit="1" customWidth="1"/>
    <col min="295" max="295" width="26" bestFit="1" customWidth="1"/>
    <col min="296" max="296" width="27.88671875" bestFit="1" customWidth="1"/>
    <col min="297" max="297" width="31.21875" bestFit="1" customWidth="1"/>
    <col min="298" max="298" width="17.88671875" bestFit="1" customWidth="1"/>
    <col min="299" max="299" width="26.77734375" bestFit="1" customWidth="1"/>
    <col min="300" max="300" width="25.21875" bestFit="1" customWidth="1"/>
    <col min="301" max="301" width="23.44140625" bestFit="1" customWidth="1"/>
    <col min="302" max="302" width="27.88671875" bestFit="1" customWidth="1"/>
    <col min="303" max="303" width="26" bestFit="1" customWidth="1"/>
    <col min="304" max="304" width="18.44140625" bestFit="1" customWidth="1"/>
    <col min="305" max="305" width="27.33203125" bestFit="1" customWidth="1"/>
    <col min="306" max="306" width="25.88671875" bestFit="1" customWidth="1"/>
    <col min="307" max="307" width="28.44140625" bestFit="1" customWidth="1"/>
    <col min="308" max="308" width="26" bestFit="1" customWidth="1"/>
    <col min="309" max="309" width="29.21875" bestFit="1" customWidth="1"/>
    <col min="310" max="310" width="21.109375" bestFit="1" customWidth="1"/>
    <col min="311" max="311" width="30.109375" bestFit="1" customWidth="1"/>
    <col min="312" max="312" width="28.5546875" bestFit="1" customWidth="1"/>
    <col min="313" max="313" width="26.77734375" bestFit="1" customWidth="1"/>
    <col min="314" max="314" width="28.6640625" bestFit="1" customWidth="1"/>
    <col min="315" max="315" width="29.21875" bestFit="1" customWidth="1"/>
    <col min="316" max="316" width="10.5546875" bestFit="1" customWidth="1"/>
    <col min="317" max="317" width="19.44140625" bestFit="1" customWidth="1"/>
    <col min="318" max="318" width="26.88671875" bestFit="1" customWidth="1"/>
    <col min="319" max="319" width="25" bestFit="1" customWidth="1"/>
    <col min="320" max="320" width="29.5546875" bestFit="1" customWidth="1"/>
    <col min="321" max="321" width="27" bestFit="1" customWidth="1"/>
    <col min="322" max="322" width="30.109375" bestFit="1" customWidth="1"/>
    <col min="323" max="323" width="18" bestFit="1" customWidth="1"/>
    <col min="324" max="324" width="26.88671875" bestFit="1" customWidth="1"/>
    <col min="325" max="325" width="23.5546875" bestFit="1" customWidth="1"/>
    <col min="326" max="326" width="28" bestFit="1" customWidth="1"/>
    <col min="327" max="327" width="25.5546875" bestFit="1" customWidth="1"/>
    <col min="328" max="328" width="26.109375" bestFit="1" customWidth="1"/>
    <col min="329" max="329" width="28.5546875" bestFit="1" customWidth="1"/>
    <col min="330" max="330" width="16.109375" bestFit="1" customWidth="1"/>
    <col min="331" max="331" width="25" bestFit="1" customWidth="1"/>
    <col min="332" max="332" width="23.5546875" bestFit="1" customWidth="1"/>
    <col min="333" max="333" width="23.6640625" bestFit="1" customWidth="1"/>
    <col min="334" max="334" width="24.21875" bestFit="1" customWidth="1"/>
    <col min="335" max="335" width="26.77734375" bestFit="1" customWidth="1"/>
    <col min="336" max="336" width="20.5546875" bestFit="1" customWidth="1"/>
    <col min="337" max="337" width="29.5546875" bestFit="1" customWidth="1"/>
    <col min="338" max="338" width="28" bestFit="1" customWidth="1"/>
    <col min="339" max="339" width="28.109375" bestFit="1" customWidth="1"/>
    <col min="340" max="340" width="28.6640625" bestFit="1" customWidth="1"/>
    <col min="341" max="341" width="31.21875" bestFit="1" customWidth="1"/>
    <col min="342" max="342" width="18.109375" bestFit="1" customWidth="1"/>
    <col min="343" max="343" width="27" bestFit="1" customWidth="1"/>
    <col min="344" max="344" width="25.5546875" bestFit="1" customWidth="1"/>
    <col min="345" max="345" width="23.6640625" bestFit="1" customWidth="1"/>
    <col min="346" max="346" width="28.109375" bestFit="1" customWidth="1"/>
    <col min="347" max="347" width="26.21875" bestFit="1" customWidth="1"/>
    <col min="348" max="348" width="28.6640625" bestFit="1" customWidth="1"/>
    <col min="349" max="349" width="18.6640625" bestFit="1" customWidth="1"/>
    <col min="350" max="350" width="27.5546875" bestFit="1" customWidth="1"/>
    <col min="351" max="351" width="26.109375" bestFit="1" customWidth="1"/>
    <col min="352" max="352" width="24.21875" bestFit="1" customWidth="1"/>
    <col min="353" max="353" width="28.6640625" bestFit="1" customWidth="1"/>
    <col min="354" max="354" width="26.21875" bestFit="1" customWidth="1"/>
    <col min="355" max="355" width="29.21875" bestFit="1" customWidth="1"/>
    <col min="356" max="356" width="21.109375" bestFit="1" customWidth="1"/>
    <col min="357" max="357" width="30.109375" bestFit="1" customWidth="1"/>
    <col min="358" max="358" width="28.5546875" bestFit="1" customWidth="1"/>
    <col min="359" max="359" width="26.77734375" bestFit="1" customWidth="1"/>
    <col min="360" max="360" width="31.21875" bestFit="1" customWidth="1"/>
    <col min="361" max="361" width="28.6640625" bestFit="1" customWidth="1"/>
    <col min="362" max="362" width="29.21875" bestFit="1" customWidth="1"/>
    <col min="363" max="363" width="10.77734375" bestFit="1" customWidth="1"/>
  </cols>
  <sheetData>
    <row r="1" spans="1:74" x14ac:dyDescent="0.3">
      <c r="A1" t="s">
        <v>2</v>
      </c>
      <c r="B1" t="s">
        <v>3</v>
      </c>
      <c r="C1" t="s">
        <v>5</v>
      </c>
      <c r="D1" t="s">
        <v>6</v>
      </c>
      <c r="E1" s="6" t="s">
        <v>6335</v>
      </c>
      <c r="F1" t="s">
        <v>4</v>
      </c>
      <c r="G1" t="s">
        <v>9</v>
      </c>
      <c r="H1" t="s">
        <v>8</v>
      </c>
    </row>
    <row r="2" spans="1:74" x14ac:dyDescent="0.3">
      <c r="A2" t="s">
        <v>19</v>
      </c>
      <c r="B2" t="s">
        <v>35</v>
      </c>
      <c r="C2" t="s">
        <v>27</v>
      </c>
      <c r="D2" t="s">
        <v>51</v>
      </c>
      <c r="E2" s="5">
        <v>126160</v>
      </c>
      <c r="F2" t="s">
        <v>4251</v>
      </c>
      <c r="G2" t="s">
        <v>450</v>
      </c>
      <c r="H2" t="s">
        <v>69</v>
      </c>
      <c r="J2" s="3" t="s">
        <v>4277</v>
      </c>
      <c r="K2" s="3" t="s">
        <v>4274</v>
      </c>
      <c r="Q2" s="3" t="s">
        <v>4276</v>
      </c>
      <c r="R2" s="3" t="s">
        <v>4274</v>
      </c>
      <c r="X2" s="3" t="s">
        <v>4272</v>
      </c>
      <c r="Y2" t="s">
        <v>6336</v>
      </c>
      <c r="AC2" s="3" t="s">
        <v>4276</v>
      </c>
      <c r="AD2" s="3" t="s">
        <v>4274</v>
      </c>
      <c r="AI2" s="3" t="s">
        <v>4277</v>
      </c>
      <c r="AJ2" s="3" t="s">
        <v>4274</v>
      </c>
      <c r="AP2" s="3" t="s">
        <v>6338</v>
      </c>
      <c r="AQ2" s="3" t="s">
        <v>4274</v>
      </c>
      <c r="BA2" t="s">
        <v>6361</v>
      </c>
      <c r="BE2" s="3" t="s">
        <v>6362</v>
      </c>
      <c r="BJ2" s="3" t="s">
        <v>6337</v>
      </c>
      <c r="BK2" s="3" t="s">
        <v>4274</v>
      </c>
      <c r="BR2" s="3" t="s">
        <v>4276</v>
      </c>
      <c r="BS2" s="3" t="s">
        <v>4274</v>
      </c>
    </row>
    <row r="3" spans="1:74" x14ac:dyDescent="0.3">
      <c r="A3" t="s">
        <v>49</v>
      </c>
      <c r="B3" t="s">
        <v>54</v>
      </c>
      <c r="C3" t="s">
        <v>22</v>
      </c>
      <c r="D3" t="s">
        <v>51</v>
      </c>
      <c r="E3" s="5">
        <v>186495</v>
      </c>
      <c r="F3" t="s">
        <v>3401</v>
      </c>
      <c r="G3" t="s">
        <v>2165</v>
      </c>
      <c r="H3" t="s">
        <v>69</v>
      </c>
      <c r="J3" s="3" t="s">
        <v>4272</v>
      </c>
      <c r="K3" t="s">
        <v>37</v>
      </c>
      <c r="L3" t="s">
        <v>15</v>
      </c>
      <c r="M3" t="s">
        <v>51</v>
      </c>
      <c r="N3" t="s">
        <v>42</v>
      </c>
      <c r="O3" t="s">
        <v>4273</v>
      </c>
      <c r="Q3" s="3" t="s">
        <v>6341</v>
      </c>
      <c r="R3" t="s">
        <v>27</v>
      </c>
      <c r="S3" t="s">
        <v>14</v>
      </c>
      <c r="T3" t="s">
        <v>22</v>
      </c>
      <c r="U3" t="s">
        <v>4273</v>
      </c>
      <c r="X3" s="4" t="s">
        <v>45</v>
      </c>
      <c r="Y3" s="5">
        <v>124546.02166666667</v>
      </c>
      <c r="AC3" s="3" t="s">
        <v>4272</v>
      </c>
      <c r="AD3" t="s">
        <v>27</v>
      </c>
      <c r="AE3" t="s">
        <v>14</v>
      </c>
      <c r="AF3" t="s">
        <v>22</v>
      </c>
      <c r="AG3" t="s">
        <v>4273</v>
      </c>
      <c r="AI3" s="3" t="s">
        <v>4272</v>
      </c>
      <c r="AJ3" t="s">
        <v>37</v>
      </c>
      <c r="AK3" t="s">
        <v>15</v>
      </c>
      <c r="AL3" t="s">
        <v>51</v>
      </c>
      <c r="AM3" t="s">
        <v>42</v>
      </c>
      <c r="AN3" t="s">
        <v>4273</v>
      </c>
      <c r="AP3" s="3" t="s">
        <v>4272</v>
      </c>
      <c r="AQ3" t="s">
        <v>30</v>
      </c>
      <c r="AR3" t="s">
        <v>135</v>
      </c>
      <c r="AS3" t="s">
        <v>20</v>
      </c>
      <c r="AT3" t="s">
        <v>12</v>
      </c>
      <c r="AU3" t="s">
        <v>35</v>
      </c>
      <c r="AV3" t="s">
        <v>54</v>
      </c>
      <c r="AW3" t="s">
        <v>67</v>
      </c>
      <c r="AX3" t="s">
        <v>25</v>
      </c>
      <c r="AY3" t="s">
        <v>4273</v>
      </c>
      <c r="BA3">
        <v>2000</v>
      </c>
      <c r="BD3" s="4" t="s">
        <v>45</v>
      </c>
      <c r="BE3" s="4" t="s">
        <v>52</v>
      </c>
      <c r="BJ3" s="3" t="s">
        <v>4272</v>
      </c>
      <c r="BK3" t="s">
        <v>16</v>
      </c>
      <c r="BL3" t="s">
        <v>14</v>
      </c>
      <c r="BM3" t="s">
        <v>69</v>
      </c>
      <c r="BN3" t="s">
        <v>4273</v>
      </c>
      <c r="BR3" s="3" t="s">
        <v>4272</v>
      </c>
      <c r="BS3" t="s">
        <v>27</v>
      </c>
      <c r="BT3" t="s">
        <v>14</v>
      </c>
      <c r="BU3" t="s">
        <v>22</v>
      </c>
      <c r="BV3" t="s">
        <v>4273</v>
      </c>
    </row>
    <row r="4" spans="1:74" x14ac:dyDescent="0.3">
      <c r="A4" t="s">
        <v>34</v>
      </c>
      <c r="B4" t="s">
        <v>54</v>
      </c>
      <c r="C4" t="s">
        <v>22</v>
      </c>
      <c r="D4" t="s">
        <v>37</v>
      </c>
      <c r="E4" s="5">
        <v>73378.5</v>
      </c>
      <c r="F4" t="s">
        <v>1520</v>
      </c>
      <c r="G4" t="s">
        <v>23</v>
      </c>
      <c r="H4" t="s">
        <v>69</v>
      </c>
      <c r="J4" s="4" t="s">
        <v>45</v>
      </c>
      <c r="K4">
        <v>72</v>
      </c>
      <c r="L4">
        <v>72</v>
      </c>
      <c r="M4">
        <v>90</v>
      </c>
      <c r="N4">
        <v>66</v>
      </c>
      <c r="O4">
        <v>300</v>
      </c>
      <c r="Q4" s="4" t="s">
        <v>45</v>
      </c>
      <c r="R4">
        <v>109</v>
      </c>
      <c r="S4">
        <v>93</v>
      </c>
      <c r="T4">
        <v>98</v>
      </c>
      <c r="U4">
        <v>300</v>
      </c>
      <c r="X4" s="4" t="s">
        <v>40</v>
      </c>
      <c r="Y4" s="5">
        <v>124745.30240549828</v>
      </c>
      <c r="AC4" s="4" t="s">
        <v>16</v>
      </c>
      <c r="AD4">
        <v>232</v>
      </c>
      <c r="AE4">
        <v>244</v>
      </c>
      <c r="AF4">
        <v>181</v>
      </c>
      <c r="AG4">
        <v>657</v>
      </c>
      <c r="AI4" s="4" t="s">
        <v>45</v>
      </c>
      <c r="AJ4">
        <v>72</v>
      </c>
      <c r="AK4">
        <v>72</v>
      </c>
      <c r="AL4">
        <v>90</v>
      </c>
      <c r="AM4">
        <v>66</v>
      </c>
      <c r="AN4">
        <v>300</v>
      </c>
      <c r="AP4" s="4" t="s">
        <v>45</v>
      </c>
      <c r="AQ4">
        <v>33</v>
      </c>
      <c r="AR4">
        <v>43</v>
      </c>
      <c r="AS4">
        <v>43</v>
      </c>
      <c r="AT4">
        <v>49</v>
      </c>
      <c r="AU4">
        <v>29</v>
      </c>
      <c r="AV4">
        <v>30</v>
      </c>
      <c r="AW4">
        <v>40</v>
      </c>
      <c r="AX4">
        <v>33</v>
      </c>
      <c r="AY4">
        <v>300</v>
      </c>
      <c r="BD4" s="4" t="s">
        <v>40</v>
      </c>
      <c r="BE4" s="4" t="s">
        <v>77</v>
      </c>
      <c r="BJ4" s="4" t="s">
        <v>6352</v>
      </c>
      <c r="BK4">
        <v>32</v>
      </c>
      <c r="BL4">
        <v>34</v>
      </c>
      <c r="BM4">
        <v>31</v>
      </c>
      <c r="BN4">
        <v>97</v>
      </c>
      <c r="BR4" s="4" t="s">
        <v>16</v>
      </c>
      <c r="BS4">
        <v>232</v>
      </c>
      <c r="BT4">
        <v>244</v>
      </c>
      <c r="BU4">
        <v>181</v>
      </c>
      <c r="BV4">
        <v>657</v>
      </c>
    </row>
    <row r="5" spans="1:74" x14ac:dyDescent="0.3">
      <c r="A5" t="s">
        <v>11</v>
      </c>
      <c r="B5" t="s">
        <v>35</v>
      </c>
      <c r="C5" t="s">
        <v>22</v>
      </c>
      <c r="D5" t="s">
        <v>42</v>
      </c>
      <c r="E5" s="5">
        <v>130295</v>
      </c>
      <c r="F5" t="s">
        <v>86</v>
      </c>
      <c r="G5" t="s">
        <v>87</v>
      </c>
      <c r="H5" t="s">
        <v>14</v>
      </c>
      <c r="J5" s="4" t="s">
        <v>40</v>
      </c>
      <c r="K5">
        <v>73</v>
      </c>
      <c r="L5">
        <v>59</v>
      </c>
      <c r="M5">
        <v>81</v>
      </c>
      <c r="N5">
        <v>78</v>
      </c>
      <c r="O5">
        <v>291</v>
      </c>
      <c r="Q5" s="4" t="s">
        <v>40</v>
      </c>
      <c r="R5">
        <v>116</v>
      </c>
      <c r="S5">
        <v>79</v>
      </c>
      <c r="T5">
        <v>96</v>
      </c>
      <c r="U5">
        <v>291</v>
      </c>
      <c r="X5" s="4" t="s">
        <v>49</v>
      </c>
      <c r="Y5" s="5">
        <v>121796.69047619047</v>
      </c>
      <c r="AC5" s="4" t="s">
        <v>14</v>
      </c>
      <c r="AD5">
        <v>250</v>
      </c>
      <c r="AE5">
        <v>217</v>
      </c>
      <c r="AF5">
        <v>204</v>
      </c>
      <c r="AG5">
        <v>671</v>
      </c>
      <c r="AI5" s="4" t="s">
        <v>40</v>
      </c>
      <c r="AJ5">
        <v>73</v>
      </c>
      <c r="AK5">
        <v>59</v>
      </c>
      <c r="AL5">
        <v>81</v>
      </c>
      <c r="AM5">
        <v>78</v>
      </c>
      <c r="AN5">
        <v>291</v>
      </c>
      <c r="AP5" s="4" t="s">
        <v>40</v>
      </c>
      <c r="AQ5">
        <v>43</v>
      </c>
      <c r="AR5">
        <v>27</v>
      </c>
      <c r="AS5">
        <v>34</v>
      </c>
      <c r="AT5">
        <v>41</v>
      </c>
      <c r="AU5">
        <v>38</v>
      </c>
      <c r="AV5">
        <v>37</v>
      </c>
      <c r="AW5">
        <v>41</v>
      </c>
      <c r="AX5">
        <v>30</v>
      </c>
      <c r="AY5">
        <v>291</v>
      </c>
      <c r="BD5" s="4" t="s">
        <v>49</v>
      </c>
      <c r="BE5" s="4" t="s">
        <v>157</v>
      </c>
      <c r="BJ5" s="4" t="s">
        <v>6355</v>
      </c>
      <c r="BK5">
        <v>36</v>
      </c>
      <c r="BL5">
        <v>31</v>
      </c>
      <c r="BM5">
        <v>23</v>
      </c>
      <c r="BN5">
        <v>90</v>
      </c>
      <c r="BR5" s="4" t="s">
        <v>14</v>
      </c>
      <c r="BS5">
        <v>250</v>
      </c>
      <c r="BT5">
        <v>217</v>
      </c>
      <c r="BU5">
        <v>204</v>
      </c>
      <c r="BV5">
        <v>671</v>
      </c>
    </row>
    <row r="6" spans="1:74" x14ac:dyDescent="0.3">
      <c r="A6" t="s">
        <v>19</v>
      </c>
      <c r="B6" t="s">
        <v>54</v>
      </c>
      <c r="C6" t="s">
        <v>22</v>
      </c>
      <c r="D6" t="s">
        <v>51</v>
      </c>
      <c r="E6" s="5">
        <v>121703.5</v>
      </c>
      <c r="F6" t="s">
        <v>4247</v>
      </c>
      <c r="G6" t="s">
        <v>3969</v>
      </c>
      <c r="H6" t="s">
        <v>16</v>
      </c>
      <c r="J6" s="4" t="s">
        <v>49</v>
      </c>
      <c r="K6">
        <v>69</v>
      </c>
      <c r="L6">
        <v>70</v>
      </c>
      <c r="M6">
        <v>91</v>
      </c>
      <c r="N6">
        <v>64</v>
      </c>
      <c r="O6">
        <v>294</v>
      </c>
      <c r="Q6" s="4" t="s">
        <v>49</v>
      </c>
      <c r="R6">
        <v>94</v>
      </c>
      <c r="S6">
        <v>105</v>
      </c>
      <c r="T6">
        <v>95</v>
      </c>
      <c r="U6">
        <v>294</v>
      </c>
      <c r="X6" s="4" t="s">
        <v>34</v>
      </c>
      <c r="Y6" s="5">
        <v>123040.45161290323</v>
      </c>
      <c r="AC6" s="4" t="s">
        <v>69</v>
      </c>
      <c r="AD6">
        <v>220</v>
      </c>
      <c r="AE6">
        <v>207</v>
      </c>
      <c r="AF6">
        <v>245</v>
      </c>
      <c r="AG6">
        <v>672</v>
      </c>
      <c r="AI6" s="4" t="s">
        <v>49</v>
      </c>
      <c r="AJ6">
        <v>69</v>
      </c>
      <c r="AK6">
        <v>70</v>
      </c>
      <c r="AL6">
        <v>91</v>
      </c>
      <c r="AM6">
        <v>64</v>
      </c>
      <c r="AN6">
        <v>294</v>
      </c>
      <c r="AP6" s="4" t="s">
        <v>49</v>
      </c>
      <c r="AQ6">
        <v>36</v>
      </c>
      <c r="AR6">
        <v>36</v>
      </c>
      <c r="AS6">
        <v>23</v>
      </c>
      <c r="AT6">
        <v>42</v>
      </c>
      <c r="AU6">
        <v>38</v>
      </c>
      <c r="AV6">
        <v>33</v>
      </c>
      <c r="AW6">
        <v>41</v>
      </c>
      <c r="AX6">
        <v>45</v>
      </c>
      <c r="AY6">
        <v>294</v>
      </c>
      <c r="BD6" s="4" t="s">
        <v>34</v>
      </c>
      <c r="BE6" s="4" t="s">
        <v>70</v>
      </c>
      <c r="BJ6" s="4" t="s">
        <v>6350</v>
      </c>
      <c r="BK6">
        <v>30</v>
      </c>
      <c r="BL6">
        <v>31</v>
      </c>
      <c r="BM6">
        <v>23</v>
      </c>
      <c r="BN6">
        <v>84</v>
      </c>
      <c r="BR6" s="4" t="s">
        <v>69</v>
      </c>
      <c r="BS6">
        <v>220</v>
      </c>
      <c r="BT6">
        <v>207</v>
      </c>
      <c r="BU6">
        <v>245</v>
      </c>
      <c r="BV6">
        <v>672</v>
      </c>
    </row>
    <row r="7" spans="1:74" x14ac:dyDescent="0.3">
      <c r="A7" t="s">
        <v>49</v>
      </c>
      <c r="B7" t="s">
        <v>67</v>
      </c>
      <c r="C7" t="s">
        <v>27</v>
      </c>
      <c r="D7" t="s">
        <v>51</v>
      </c>
      <c r="E7" s="5">
        <v>150052.5</v>
      </c>
      <c r="F7" t="s">
        <v>4115</v>
      </c>
      <c r="G7" t="s">
        <v>378</v>
      </c>
      <c r="H7" t="s">
        <v>69</v>
      </c>
      <c r="J7" s="4" t="s">
        <v>34</v>
      </c>
      <c r="K7">
        <v>71</v>
      </c>
      <c r="L7">
        <v>67</v>
      </c>
      <c r="M7">
        <v>66</v>
      </c>
      <c r="N7">
        <v>75</v>
      </c>
      <c r="O7">
        <v>279</v>
      </c>
      <c r="Q7" s="4" t="s">
        <v>34</v>
      </c>
      <c r="R7">
        <v>99</v>
      </c>
      <c r="S7">
        <v>98</v>
      </c>
      <c r="T7">
        <v>82</v>
      </c>
      <c r="U7">
        <v>279</v>
      </c>
      <c r="X7" s="4" t="s">
        <v>11</v>
      </c>
      <c r="Y7" s="5">
        <v>120964.23977695167</v>
      </c>
      <c r="AC7" s="4" t="s">
        <v>4273</v>
      </c>
      <c r="AD7">
        <v>702</v>
      </c>
      <c r="AE7">
        <v>668</v>
      </c>
      <c r="AF7">
        <v>630</v>
      </c>
      <c r="AG7">
        <v>2000</v>
      </c>
      <c r="AI7" s="4" t="s">
        <v>34</v>
      </c>
      <c r="AJ7">
        <v>71</v>
      </c>
      <c r="AK7">
        <v>67</v>
      </c>
      <c r="AL7">
        <v>66</v>
      </c>
      <c r="AM7">
        <v>75</v>
      </c>
      <c r="AN7">
        <v>279</v>
      </c>
      <c r="AP7" s="4" t="s">
        <v>34</v>
      </c>
      <c r="AQ7">
        <v>34</v>
      </c>
      <c r="AR7">
        <v>33</v>
      </c>
      <c r="AS7">
        <v>32</v>
      </c>
      <c r="AT7">
        <v>31</v>
      </c>
      <c r="AU7">
        <v>37</v>
      </c>
      <c r="AV7">
        <v>34</v>
      </c>
      <c r="AW7">
        <v>39</v>
      </c>
      <c r="AX7">
        <v>39</v>
      </c>
      <c r="AY7">
        <v>279</v>
      </c>
      <c r="BD7" s="4" t="s">
        <v>11</v>
      </c>
      <c r="BE7" s="4" t="s">
        <v>90</v>
      </c>
      <c r="BJ7" s="4" t="s">
        <v>6354</v>
      </c>
      <c r="BK7">
        <v>21</v>
      </c>
      <c r="BL7">
        <v>28</v>
      </c>
      <c r="BM7">
        <v>26</v>
      </c>
      <c r="BN7">
        <v>75</v>
      </c>
      <c r="BR7" s="4" t="s">
        <v>4273</v>
      </c>
      <c r="BS7">
        <v>702</v>
      </c>
      <c r="BT7">
        <v>668</v>
      </c>
      <c r="BU7">
        <v>630</v>
      </c>
      <c r="BV7">
        <v>2000</v>
      </c>
    </row>
    <row r="8" spans="1:74" x14ac:dyDescent="0.3">
      <c r="A8" t="s">
        <v>45</v>
      </c>
      <c r="B8" t="s">
        <v>54</v>
      </c>
      <c r="C8" t="s">
        <v>22</v>
      </c>
      <c r="D8" t="s">
        <v>37</v>
      </c>
      <c r="E8" s="5">
        <v>97847</v>
      </c>
      <c r="F8" t="s">
        <v>3063</v>
      </c>
      <c r="G8" t="s">
        <v>70</v>
      </c>
      <c r="H8" t="s">
        <v>69</v>
      </c>
      <c r="J8" s="4" t="s">
        <v>11</v>
      </c>
      <c r="K8">
        <v>56</v>
      </c>
      <c r="L8">
        <v>84</v>
      </c>
      <c r="M8">
        <v>75</v>
      </c>
      <c r="N8">
        <v>54</v>
      </c>
      <c r="O8">
        <v>269</v>
      </c>
      <c r="Q8" s="4" t="s">
        <v>11</v>
      </c>
      <c r="R8">
        <v>89</v>
      </c>
      <c r="S8">
        <v>90</v>
      </c>
      <c r="T8">
        <v>90</v>
      </c>
      <c r="U8">
        <v>269</v>
      </c>
      <c r="X8" s="4" t="s">
        <v>72</v>
      </c>
      <c r="Y8" s="5">
        <v>122791.28327645051</v>
      </c>
      <c r="AI8" s="4" t="s">
        <v>11</v>
      </c>
      <c r="AJ8">
        <v>56</v>
      </c>
      <c r="AK8">
        <v>84</v>
      </c>
      <c r="AL8">
        <v>75</v>
      </c>
      <c r="AM8">
        <v>54</v>
      </c>
      <c r="AN8">
        <v>269</v>
      </c>
      <c r="AP8" s="4" t="s">
        <v>11</v>
      </c>
      <c r="AQ8">
        <v>35</v>
      </c>
      <c r="AR8">
        <v>36</v>
      </c>
      <c r="AS8">
        <v>27</v>
      </c>
      <c r="AT8">
        <v>39</v>
      </c>
      <c r="AU8">
        <v>28</v>
      </c>
      <c r="AV8">
        <v>40</v>
      </c>
      <c r="AW8">
        <v>30</v>
      </c>
      <c r="AX8">
        <v>34</v>
      </c>
      <c r="AY8">
        <v>269</v>
      </c>
      <c r="BD8" s="4" t="s">
        <v>72</v>
      </c>
      <c r="BE8" s="4" t="s">
        <v>128</v>
      </c>
      <c r="BJ8" s="4" t="s">
        <v>6345</v>
      </c>
      <c r="BK8">
        <v>27</v>
      </c>
      <c r="BL8">
        <v>39</v>
      </c>
      <c r="BM8">
        <v>35</v>
      </c>
      <c r="BN8">
        <v>101</v>
      </c>
    </row>
    <row r="9" spans="1:74" x14ac:dyDescent="0.3">
      <c r="A9" t="s">
        <v>45</v>
      </c>
      <c r="B9" t="s">
        <v>12</v>
      </c>
      <c r="C9" t="s">
        <v>22</v>
      </c>
      <c r="D9" t="s">
        <v>51</v>
      </c>
      <c r="E9" s="5">
        <v>125483.5</v>
      </c>
      <c r="F9" t="s">
        <v>2719</v>
      </c>
      <c r="G9" t="s">
        <v>450</v>
      </c>
      <c r="H9" t="s">
        <v>69</v>
      </c>
      <c r="J9" s="4" t="s">
        <v>72</v>
      </c>
      <c r="K9">
        <v>59</v>
      </c>
      <c r="L9">
        <v>84</v>
      </c>
      <c r="M9">
        <v>82</v>
      </c>
      <c r="N9">
        <v>68</v>
      </c>
      <c r="O9">
        <v>293</v>
      </c>
      <c r="Q9" s="4" t="s">
        <v>72</v>
      </c>
      <c r="R9">
        <v>109</v>
      </c>
      <c r="S9">
        <v>95</v>
      </c>
      <c r="T9">
        <v>89</v>
      </c>
      <c r="U9">
        <v>293</v>
      </c>
      <c r="X9" s="4" t="s">
        <v>19</v>
      </c>
      <c r="Y9" s="5">
        <v>123217.42335766423</v>
      </c>
      <c r="AI9" s="4" t="s">
        <v>72</v>
      </c>
      <c r="AJ9">
        <v>59</v>
      </c>
      <c r="AK9">
        <v>84</v>
      </c>
      <c r="AL9">
        <v>82</v>
      </c>
      <c r="AM9">
        <v>68</v>
      </c>
      <c r="AN9">
        <v>293</v>
      </c>
      <c r="AP9" s="4" t="s">
        <v>72</v>
      </c>
      <c r="AQ9">
        <v>33</v>
      </c>
      <c r="AR9">
        <v>33</v>
      </c>
      <c r="AS9">
        <v>43</v>
      </c>
      <c r="AT9">
        <v>34</v>
      </c>
      <c r="AU9">
        <v>38</v>
      </c>
      <c r="AV9">
        <v>38</v>
      </c>
      <c r="AW9">
        <v>40</v>
      </c>
      <c r="AX9">
        <v>34</v>
      </c>
      <c r="AY9">
        <v>293</v>
      </c>
      <c r="BD9" s="4" t="s">
        <v>19</v>
      </c>
      <c r="BE9" s="4" t="s">
        <v>101</v>
      </c>
      <c r="BJ9" s="4" t="s">
        <v>77</v>
      </c>
      <c r="BK9">
        <v>32</v>
      </c>
      <c r="BL9">
        <v>42</v>
      </c>
      <c r="BM9">
        <v>37</v>
      </c>
      <c r="BN9">
        <v>111</v>
      </c>
    </row>
    <row r="10" spans="1:74" x14ac:dyDescent="0.3">
      <c r="A10" t="s">
        <v>11</v>
      </c>
      <c r="B10" t="s">
        <v>67</v>
      </c>
      <c r="C10" t="s">
        <v>27</v>
      </c>
      <c r="D10" t="s">
        <v>15</v>
      </c>
      <c r="E10" s="5">
        <v>165886</v>
      </c>
      <c r="F10" t="s">
        <v>1516</v>
      </c>
      <c r="G10" t="s">
        <v>90</v>
      </c>
      <c r="H10" t="s">
        <v>16</v>
      </c>
      <c r="J10" s="4" t="s">
        <v>19</v>
      </c>
      <c r="K10">
        <v>65</v>
      </c>
      <c r="L10">
        <v>73</v>
      </c>
      <c r="M10">
        <v>89</v>
      </c>
      <c r="N10">
        <v>47</v>
      </c>
      <c r="O10">
        <v>274</v>
      </c>
      <c r="Q10" s="4" t="s">
        <v>19</v>
      </c>
      <c r="R10">
        <v>86</v>
      </c>
      <c r="S10">
        <v>108</v>
      </c>
      <c r="T10">
        <v>80</v>
      </c>
      <c r="U10">
        <v>274</v>
      </c>
      <c r="X10" s="4" t="s">
        <v>4273</v>
      </c>
      <c r="Y10" s="5">
        <v>123040.0015</v>
      </c>
      <c r="AI10" s="4" t="s">
        <v>19</v>
      </c>
      <c r="AJ10">
        <v>65</v>
      </c>
      <c r="AK10">
        <v>73</v>
      </c>
      <c r="AL10">
        <v>89</v>
      </c>
      <c r="AM10">
        <v>47</v>
      </c>
      <c r="AN10">
        <v>274</v>
      </c>
      <c r="AP10" s="4" t="s">
        <v>19</v>
      </c>
      <c r="AQ10">
        <v>44</v>
      </c>
      <c r="AR10">
        <v>29</v>
      </c>
      <c r="AS10">
        <v>28</v>
      </c>
      <c r="AT10">
        <v>35</v>
      </c>
      <c r="AU10">
        <v>30</v>
      </c>
      <c r="AV10">
        <v>38</v>
      </c>
      <c r="AW10">
        <v>34</v>
      </c>
      <c r="AX10">
        <v>36</v>
      </c>
      <c r="AY10">
        <v>274</v>
      </c>
      <c r="BE10" s="4" t="s">
        <v>80</v>
      </c>
      <c r="BJ10" s="4" t="s">
        <v>6356</v>
      </c>
      <c r="BK10">
        <v>26</v>
      </c>
      <c r="BL10">
        <v>33</v>
      </c>
      <c r="BM10">
        <v>27</v>
      </c>
      <c r="BN10">
        <v>86</v>
      </c>
    </row>
    <row r="11" spans="1:74" x14ac:dyDescent="0.3">
      <c r="A11" t="s">
        <v>72</v>
      </c>
      <c r="B11" t="s">
        <v>25</v>
      </c>
      <c r="C11" t="s">
        <v>14</v>
      </c>
      <c r="D11" t="s">
        <v>37</v>
      </c>
      <c r="E11" s="5">
        <v>173019.5</v>
      </c>
      <c r="F11" t="s">
        <v>2292</v>
      </c>
      <c r="G11" t="s">
        <v>985</v>
      </c>
      <c r="H11" t="s">
        <v>69</v>
      </c>
      <c r="J11" s="4" t="s">
        <v>4273</v>
      </c>
      <c r="K11">
        <v>465</v>
      </c>
      <c r="L11">
        <v>509</v>
      </c>
      <c r="M11">
        <v>574</v>
      </c>
      <c r="N11">
        <v>452</v>
      </c>
      <c r="O11">
        <v>2000</v>
      </c>
      <c r="Q11" s="4" t="s">
        <v>4273</v>
      </c>
      <c r="R11">
        <v>702</v>
      </c>
      <c r="S11">
        <v>668</v>
      </c>
      <c r="T11">
        <v>630</v>
      </c>
      <c r="U11">
        <v>2000</v>
      </c>
      <c r="AI11" s="4" t="s">
        <v>4273</v>
      </c>
      <c r="AJ11">
        <v>465</v>
      </c>
      <c r="AK11">
        <v>509</v>
      </c>
      <c r="AL11">
        <v>574</v>
      </c>
      <c r="AM11">
        <v>452</v>
      </c>
      <c r="AN11">
        <v>2000</v>
      </c>
      <c r="AP11" s="4" t="s">
        <v>4273</v>
      </c>
      <c r="AQ11">
        <v>258</v>
      </c>
      <c r="AR11">
        <v>237</v>
      </c>
      <c r="AS11">
        <v>230</v>
      </c>
      <c r="AT11">
        <v>271</v>
      </c>
      <c r="AU11">
        <v>238</v>
      </c>
      <c r="AV11">
        <v>250</v>
      </c>
      <c r="AW11">
        <v>265</v>
      </c>
      <c r="AX11">
        <v>251</v>
      </c>
      <c r="AY11">
        <v>2000</v>
      </c>
      <c r="BE11" s="4" t="s">
        <v>4273</v>
      </c>
      <c r="BJ11" s="4" t="s">
        <v>6346</v>
      </c>
      <c r="BK11">
        <v>28</v>
      </c>
      <c r="BL11">
        <v>23</v>
      </c>
      <c r="BM11">
        <v>27</v>
      </c>
      <c r="BN11">
        <v>78</v>
      </c>
    </row>
    <row r="12" spans="1:74" x14ac:dyDescent="0.3">
      <c r="A12" t="s">
        <v>34</v>
      </c>
      <c r="B12" t="s">
        <v>135</v>
      </c>
      <c r="C12" t="s">
        <v>14</v>
      </c>
      <c r="D12" t="s">
        <v>51</v>
      </c>
      <c r="E12" s="5">
        <v>169804</v>
      </c>
      <c r="F12" t="s">
        <v>1172</v>
      </c>
      <c r="G12" t="s">
        <v>407</v>
      </c>
      <c r="H12" t="s">
        <v>16</v>
      </c>
      <c r="BJ12" s="4" t="s">
        <v>6351</v>
      </c>
      <c r="BK12">
        <v>35</v>
      </c>
      <c r="BL12">
        <v>24</v>
      </c>
      <c r="BM12">
        <v>30</v>
      </c>
      <c r="BN12">
        <v>89</v>
      </c>
    </row>
    <row r="13" spans="1:74" x14ac:dyDescent="0.3">
      <c r="A13" t="s">
        <v>49</v>
      </c>
      <c r="B13" t="s">
        <v>35</v>
      </c>
      <c r="C13" t="s">
        <v>22</v>
      </c>
      <c r="D13" t="s">
        <v>51</v>
      </c>
      <c r="E13" s="5">
        <v>63829.5</v>
      </c>
      <c r="F13" t="s">
        <v>1204</v>
      </c>
      <c r="G13" t="s">
        <v>931</v>
      </c>
      <c r="H13" t="s">
        <v>14</v>
      </c>
      <c r="J13" s="18" t="s">
        <v>6340</v>
      </c>
      <c r="K13" s="18" t="s">
        <v>4275</v>
      </c>
      <c r="L13" s="9" t="s">
        <v>6339</v>
      </c>
      <c r="BJ13" s="4" t="s">
        <v>6349</v>
      </c>
      <c r="BK13">
        <v>36</v>
      </c>
      <c r="BL13">
        <v>31</v>
      </c>
      <c r="BM13">
        <v>29</v>
      </c>
      <c r="BN13">
        <v>96</v>
      </c>
    </row>
    <row r="14" spans="1:74" ht="18.600000000000001" x14ac:dyDescent="0.3">
      <c r="A14" t="s">
        <v>49</v>
      </c>
      <c r="B14" t="s">
        <v>12</v>
      </c>
      <c r="C14" t="s">
        <v>27</v>
      </c>
      <c r="D14" t="s">
        <v>51</v>
      </c>
      <c r="E14" s="5">
        <v>89922.5</v>
      </c>
      <c r="F14" t="s">
        <v>190</v>
      </c>
      <c r="G14" t="s">
        <v>191</v>
      </c>
      <c r="H14" t="s">
        <v>14</v>
      </c>
      <c r="J14" s="20" t="s">
        <v>45</v>
      </c>
      <c r="K14" s="18">
        <v>300</v>
      </c>
      <c r="L14" s="10">
        <f>GETPIVOTDATA("industry",$J$13,"industry","Automotive")/GETPIVOTDATA("industry",$J$13)</f>
        <v>0.15</v>
      </c>
      <c r="BJ14" s="4" t="s">
        <v>70</v>
      </c>
      <c r="BK14">
        <v>28</v>
      </c>
      <c r="BL14">
        <v>29</v>
      </c>
      <c r="BM14">
        <v>43</v>
      </c>
      <c r="BN14">
        <v>100</v>
      </c>
    </row>
    <row r="15" spans="1:74" ht="18.600000000000001" x14ac:dyDescent="0.3">
      <c r="A15" t="s">
        <v>11</v>
      </c>
      <c r="B15" t="s">
        <v>54</v>
      </c>
      <c r="C15" t="s">
        <v>14</v>
      </c>
      <c r="D15" t="s">
        <v>15</v>
      </c>
      <c r="E15" s="5">
        <v>152448</v>
      </c>
      <c r="F15" t="s">
        <v>2420</v>
      </c>
      <c r="G15" t="s">
        <v>101</v>
      </c>
      <c r="H15" t="s">
        <v>14</v>
      </c>
      <c r="J15" s="20" t="s">
        <v>40</v>
      </c>
      <c r="K15" s="18">
        <v>291</v>
      </c>
      <c r="L15" s="10">
        <f>GETPIVOTDATA("industry",$J$13,"industry","E-commerce")/GETPIVOTDATA("industry",$J$13)</f>
        <v>0.14549999999999999</v>
      </c>
      <c r="BJ15" s="4" t="s">
        <v>90</v>
      </c>
      <c r="BK15">
        <v>26</v>
      </c>
      <c r="BL15">
        <v>22</v>
      </c>
      <c r="BM15">
        <v>32</v>
      </c>
      <c r="BN15">
        <v>80</v>
      </c>
    </row>
    <row r="16" spans="1:74" ht="18.600000000000001" x14ac:dyDescent="0.3">
      <c r="A16" t="s">
        <v>45</v>
      </c>
      <c r="B16" t="s">
        <v>20</v>
      </c>
      <c r="C16" t="s">
        <v>22</v>
      </c>
      <c r="D16" t="s">
        <v>51</v>
      </c>
      <c r="E16" s="5">
        <v>112513.5</v>
      </c>
      <c r="F16" t="s">
        <v>3348</v>
      </c>
      <c r="G16" t="s">
        <v>293</v>
      </c>
      <c r="H16" t="s">
        <v>16</v>
      </c>
      <c r="J16" s="20" t="s">
        <v>49</v>
      </c>
      <c r="K16" s="18">
        <v>294</v>
      </c>
      <c r="L16" s="10">
        <f>GETPIVOTDATA("industry",$J$13,"industry","Education")/GETPIVOTDATA("industry",$J$13)</f>
        <v>0.14699999999999999</v>
      </c>
      <c r="BJ16" s="4" t="s">
        <v>6344</v>
      </c>
      <c r="BK16">
        <v>35</v>
      </c>
      <c r="BL16">
        <v>40</v>
      </c>
      <c r="BM16">
        <v>29</v>
      </c>
      <c r="BN16">
        <v>104</v>
      </c>
    </row>
    <row r="17" spans="1:66" ht="18.600000000000001" x14ac:dyDescent="0.3">
      <c r="A17" t="s">
        <v>19</v>
      </c>
      <c r="B17" t="s">
        <v>67</v>
      </c>
      <c r="C17" t="s">
        <v>22</v>
      </c>
      <c r="D17" t="s">
        <v>15</v>
      </c>
      <c r="E17" s="5">
        <v>70060</v>
      </c>
      <c r="F17" t="s">
        <v>3945</v>
      </c>
      <c r="G17" t="s">
        <v>546</v>
      </c>
      <c r="H17" t="s">
        <v>16</v>
      </c>
      <c r="J17" s="20" t="s">
        <v>34</v>
      </c>
      <c r="K17" s="18">
        <v>279</v>
      </c>
      <c r="L17" s="10">
        <f>GETPIVOTDATA("industry",$J$13,"industry","Finance")/GETPIVOTDATA("industry",$J$13)</f>
        <v>0.13950000000000001</v>
      </c>
      <c r="BJ17" s="4" t="s">
        <v>6348</v>
      </c>
      <c r="BK17">
        <v>17</v>
      </c>
      <c r="BL17">
        <v>24</v>
      </c>
      <c r="BM17">
        <v>37</v>
      </c>
      <c r="BN17">
        <v>78</v>
      </c>
    </row>
    <row r="18" spans="1:66" ht="18.600000000000001" x14ac:dyDescent="0.3">
      <c r="A18" t="s">
        <v>72</v>
      </c>
      <c r="B18" t="s">
        <v>12</v>
      </c>
      <c r="C18" t="s">
        <v>22</v>
      </c>
      <c r="D18" t="s">
        <v>42</v>
      </c>
      <c r="E18" s="5">
        <v>134659.5</v>
      </c>
      <c r="F18" t="s">
        <v>2443</v>
      </c>
      <c r="G18" t="s">
        <v>789</v>
      </c>
      <c r="H18" t="s">
        <v>69</v>
      </c>
      <c r="J18" s="20" t="s">
        <v>11</v>
      </c>
      <c r="K18" s="18">
        <v>269</v>
      </c>
      <c r="L18" s="10">
        <f>GETPIVOTDATA("industry",$J$13,"industry","Healthcare")/GETPIVOTDATA("industry",$J$13)</f>
        <v>0.13450000000000001</v>
      </c>
      <c r="BJ18" s="4" t="s">
        <v>6358</v>
      </c>
      <c r="BK18">
        <v>36</v>
      </c>
      <c r="BL18">
        <v>35</v>
      </c>
      <c r="BM18">
        <v>25</v>
      </c>
      <c r="BN18">
        <v>96</v>
      </c>
    </row>
    <row r="19" spans="1:66" ht="18.600000000000001" x14ac:dyDescent="0.3">
      <c r="A19" t="s">
        <v>49</v>
      </c>
      <c r="B19" t="s">
        <v>30</v>
      </c>
      <c r="C19" t="s">
        <v>22</v>
      </c>
      <c r="D19" t="s">
        <v>37</v>
      </c>
      <c r="E19" s="5">
        <v>67704</v>
      </c>
      <c r="F19" t="s">
        <v>2088</v>
      </c>
      <c r="G19" t="s">
        <v>80</v>
      </c>
      <c r="H19" t="s">
        <v>14</v>
      </c>
      <c r="J19" s="20" t="s">
        <v>72</v>
      </c>
      <c r="K19" s="18">
        <v>293</v>
      </c>
      <c r="L19" s="10">
        <f>GETPIVOTDATA("industry",$J$13,"industry","Retail")/GETPIVOTDATA("industry",$J$13)</f>
        <v>0.14649999999999999</v>
      </c>
      <c r="BJ19" s="4" t="s">
        <v>6347</v>
      </c>
      <c r="BK19">
        <v>33</v>
      </c>
      <c r="BL19">
        <v>31</v>
      </c>
      <c r="BM19">
        <v>30</v>
      </c>
      <c r="BN19">
        <v>94</v>
      </c>
    </row>
    <row r="20" spans="1:66" ht="18.600000000000001" x14ac:dyDescent="0.3">
      <c r="A20" t="s">
        <v>72</v>
      </c>
      <c r="B20" t="s">
        <v>12</v>
      </c>
      <c r="C20" t="s">
        <v>27</v>
      </c>
      <c r="D20" t="s">
        <v>51</v>
      </c>
      <c r="E20" s="5">
        <v>141099.5</v>
      </c>
      <c r="F20" t="s">
        <v>1844</v>
      </c>
      <c r="G20" t="s">
        <v>507</v>
      </c>
      <c r="H20" t="s">
        <v>69</v>
      </c>
      <c r="J20" s="20" t="s">
        <v>19</v>
      </c>
      <c r="K20" s="18">
        <v>274</v>
      </c>
      <c r="L20" s="10">
        <f>GETPIVOTDATA("industry",$J$13,"industry","Tech")/GETPIVOTDATA("industry",$J$13)</f>
        <v>0.13700000000000001</v>
      </c>
      <c r="BJ20" s="4" t="s">
        <v>128</v>
      </c>
      <c r="BK20">
        <v>28</v>
      </c>
      <c r="BL20">
        <v>32</v>
      </c>
      <c r="BM20">
        <v>32</v>
      </c>
      <c r="BN20">
        <v>92</v>
      </c>
    </row>
    <row r="21" spans="1:66" x14ac:dyDescent="0.3">
      <c r="A21" t="s">
        <v>72</v>
      </c>
      <c r="B21" t="s">
        <v>35</v>
      </c>
      <c r="C21" t="s">
        <v>22</v>
      </c>
      <c r="D21" t="s">
        <v>15</v>
      </c>
      <c r="E21" s="5">
        <v>82701.5</v>
      </c>
      <c r="F21" t="s">
        <v>4148</v>
      </c>
      <c r="G21" t="s">
        <v>70</v>
      </c>
      <c r="H21" t="s">
        <v>16</v>
      </c>
      <c r="J21" s="19" t="s">
        <v>4273</v>
      </c>
      <c r="K21" s="18">
        <v>2000</v>
      </c>
      <c r="L21" s="9"/>
      <c r="BJ21" s="4" t="s">
        <v>6353</v>
      </c>
      <c r="BK21">
        <v>35</v>
      </c>
      <c r="BL21">
        <v>26</v>
      </c>
      <c r="BM21">
        <v>25</v>
      </c>
      <c r="BN21">
        <v>86</v>
      </c>
    </row>
    <row r="22" spans="1:66" x14ac:dyDescent="0.3">
      <c r="A22" t="s">
        <v>45</v>
      </c>
      <c r="B22" t="s">
        <v>135</v>
      </c>
      <c r="C22" t="s">
        <v>27</v>
      </c>
      <c r="D22" t="s">
        <v>51</v>
      </c>
      <c r="E22" s="5">
        <v>90786</v>
      </c>
      <c r="F22" t="s">
        <v>1163</v>
      </c>
      <c r="G22" t="s">
        <v>90</v>
      </c>
      <c r="H22" t="s">
        <v>14</v>
      </c>
      <c r="K22">
        <f>SUM(K14:K20)</f>
        <v>2000</v>
      </c>
      <c r="BJ22" s="4" t="s">
        <v>6359</v>
      </c>
      <c r="BK22">
        <v>36</v>
      </c>
      <c r="BL22">
        <v>26</v>
      </c>
      <c r="BM22">
        <v>42</v>
      </c>
      <c r="BN22">
        <v>104</v>
      </c>
    </row>
    <row r="23" spans="1:66" x14ac:dyDescent="0.3">
      <c r="A23" t="s">
        <v>19</v>
      </c>
      <c r="B23" t="s">
        <v>54</v>
      </c>
      <c r="C23" t="s">
        <v>22</v>
      </c>
      <c r="D23" t="s">
        <v>15</v>
      </c>
      <c r="E23" s="5">
        <v>114475.5</v>
      </c>
      <c r="F23" t="s">
        <v>2449</v>
      </c>
      <c r="G23" t="s">
        <v>2450</v>
      </c>
      <c r="H23" t="s">
        <v>69</v>
      </c>
      <c r="BJ23" s="4" t="s">
        <v>101</v>
      </c>
      <c r="BK23">
        <v>22</v>
      </c>
      <c r="BL23">
        <v>28</v>
      </c>
      <c r="BM23">
        <v>26</v>
      </c>
      <c r="BN23">
        <v>76</v>
      </c>
    </row>
    <row r="24" spans="1:66" x14ac:dyDescent="0.3">
      <c r="A24" t="s">
        <v>72</v>
      </c>
      <c r="B24" t="s">
        <v>20</v>
      </c>
      <c r="C24" t="s">
        <v>27</v>
      </c>
      <c r="D24" t="s">
        <v>37</v>
      </c>
      <c r="E24" s="5">
        <v>132648</v>
      </c>
      <c r="F24" t="s">
        <v>4055</v>
      </c>
      <c r="G24" t="s">
        <v>221</v>
      </c>
      <c r="H24" t="s">
        <v>14</v>
      </c>
      <c r="BJ24" s="4" t="s">
        <v>6357</v>
      </c>
      <c r="BK24">
        <v>26</v>
      </c>
      <c r="BL24">
        <v>25</v>
      </c>
      <c r="BM24">
        <v>37</v>
      </c>
      <c r="BN24">
        <v>88</v>
      </c>
    </row>
    <row r="25" spans="1:66" x14ac:dyDescent="0.3">
      <c r="A25" t="s">
        <v>72</v>
      </c>
      <c r="B25" t="s">
        <v>54</v>
      </c>
      <c r="C25" t="s">
        <v>14</v>
      </c>
      <c r="D25" t="s">
        <v>37</v>
      </c>
      <c r="E25" s="5">
        <v>91510.5</v>
      </c>
      <c r="F25" t="s">
        <v>2983</v>
      </c>
      <c r="G25" t="s">
        <v>439</v>
      </c>
      <c r="H25" t="s">
        <v>14</v>
      </c>
      <c r="BJ25" s="4" t="s">
        <v>80</v>
      </c>
      <c r="BK25">
        <v>32</v>
      </c>
      <c r="BL25">
        <v>37</v>
      </c>
      <c r="BM25">
        <v>26</v>
      </c>
      <c r="BN25">
        <v>95</v>
      </c>
    </row>
    <row r="26" spans="1:66" x14ac:dyDescent="0.3">
      <c r="A26" t="s">
        <v>40</v>
      </c>
      <c r="B26" t="s">
        <v>20</v>
      </c>
      <c r="C26" t="s">
        <v>14</v>
      </c>
      <c r="D26" t="s">
        <v>42</v>
      </c>
      <c r="E26" s="5">
        <v>149923</v>
      </c>
      <c r="F26" t="s">
        <v>704</v>
      </c>
      <c r="G26" t="s">
        <v>90</v>
      </c>
      <c r="H26" t="s">
        <v>16</v>
      </c>
      <c r="BJ26" s="4" t="s">
        <v>4273</v>
      </c>
      <c r="BK26">
        <v>657</v>
      </c>
      <c r="BL26">
        <v>671</v>
      </c>
      <c r="BM26">
        <v>672</v>
      </c>
      <c r="BN26">
        <v>2000</v>
      </c>
    </row>
    <row r="27" spans="1:66" x14ac:dyDescent="0.3">
      <c r="A27" t="s">
        <v>34</v>
      </c>
      <c r="B27" t="s">
        <v>12</v>
      </c>
      <c r="C27" t="s">
        <v>22</v>
      </c>
      <c r="D27" t="s">
        <v>15</v>
      </c>
      <c r="E27" s="5">
        <v>118949</v>
      </c>
      <c r="F27" t="s">
        <v>2120</v>
      </c>
      <c r="G27" t="s">
        <v>270</v>
      </c>
      <c r="H27" t="s">
        <v>14</v>
      </c>
    </row>
    <row r="28" spans="1:66" x14ac:dyDescent="0.3">
      <c r="A28" t="s">
        <v>45</v>
      </c>
      <c r="B28" t="s">
        <v>30</v>
      </c>
      <c r="C28" t="s">
        <v>22</v>
      </c>
      <c r="D28" t="s">
        <v>37</v>
      </c>
      <c r="E28" s="5">
        <v>134423</v>
      </c>
      <c r="F28" t="s">
        <v>2841</v>
      </c>
      <c r="G28" t="s">
        <v>1010</v>
      </c>
      <c r="H28" t="s">
        <v>69</v>
      </c>
    </row>
    <row r="29" spans="1:66" x14ac:dyDescent="0.3">
      <c r="A29" t="s">
        <v>72</v>
      </c>
      <c r="B29" t="s">
        <v>35</v>
      </c>
      <c r="C29" t="s">
        <v>22</v>
      </c>
      <c r="D29" t="s">
        <v>51</v>
      </c>
      <c r="E29" s="5">
        <v>166578.5</v>
      </c>
      <c r="F29" t="s">
        <v>1684</v>
      </c>
      <c r="G29" t="s">
        <v>70</v>
      </c>
      <c r="H29" t="s">
        <v>16</v>
      </c>
    </row>
    <row r="30" spans="1:66" x14ac:dyDescent="0.3">
      <c r="A30" t="s">
        <v>34</v>
      </c>
      <c r="B30" t="s">
        <v>25</v>
      </c>
      <c r="C30" t="s">
        <v>22</v>
      </c>
      <c r="D30" t="s">
        <v>42</v>
      </c>
      <c r="E30" s="5">
        <v>174940</v>
      </c>
      <c r="F30" t="s">
        <v>2571</v>
      </c>
      <c r="G30" t="s">
        <v>122</v>
      </c>
      <c r="H30" t="s">
        <v>16</v>
      </c>
    </row>
    <row r="31" spans="1:66" x14ac:dyDescent="0.3">
      <c r="A31" t="s">
        <v>19</v>
      </c>
      <c r="B31" t="s">
        <v>135</v>
      </c>
      <c r="C31" t="s">
        <v>22</v>
      </c>
      <c r="D31" t="s">
        <v>37</v>
      </c>
      <c r="E31" s="5">
        <v>173848</v>
      </c>
      <c r="F31" t="s">
        <v>2051</v>
      </c>
      <c r="G31" t="s">
        <v>101</v>
      </c>
      <c r="H31" t="s">
        <v>14</v>
      </c>
    </row>
    <row r="32" spans="1:66" x14ac:dyDescent="0.3">
      <c r="A32" t="s">
        <v>19</v>
      </c>
      <c r="B32" t="s">
        <v>35</v>
      </c>
      <c r="C32" t="s">
        <v>22</v>
      </c>
      <c r="D32" t="s">
        <v>51</v>
      </c>
      <c r="E32" s="5">
        <v>184544</v>
      </c>
      <c r="F32" t="s">
        <v>3324</v>
      </c>
      <c r="G32" t="s">
        <v>1411</v>
      </c>
      <c r="H32" t="s">
        <v>14</v>
      </c>
    </row>
    <row r="33" spans="1:57" x14ac:dyDescent="0.3">
      <c r="A33" t="s">
        <v>72</v>
      </c>
      <c r="B33" t="s">
        <v>54</v>
      </c>
      <c r="C33" t="s">
        <v>22</v>
      </c>
      <c r="D33" t="s">
        <v>42</v>
      </c>
      <c r="E33" s="5">
        <v>167681.5</v>
      </c>
      <c r="F33" t="s">
        <v>3447</v>
      </c>
      <c r="G33" t="s">
        <v>1967</v>
      </c>
      <c r="H33" t="s">
        <v>69</v>
      </c>
    </row>
    <row r="34" spans="1:57" x14ac:dyDescent="0.3">
      <c r="A34" t="s">
        <v>45</v>
      </c>
      <c r="B34" t="s">
        <v>135</v>
      </c>
      <c r="C34" t="s">
        <v>27</v>
      </c>
      <c r="D34" t="s">
        <v>37</v>
      </c>
      <c r="E34" s="5">
        <v>148416</v>
      </c>
      <c r="F34" t="s">
        <v>2660</v>
      </c>
      <c r="G34" t="s">
        <v>235</v>
      </c>
      <c r="H34" t="s">
        <v>69</v>
      </c>
    </row>
    <row r="35" spans="1:57" x14ac:dyDescent="0.3">
      <c r="A35" t="s">
        <v>40</v>
      </c>
      <c r="B35" t="s">
        <v>67</v>
      </c>
      <c r="C35" t="s">
        <v>27</v>
      </c>
      <c r="D35" t="s">
        <v>42</v>
      </c>
      <c r="E35" s="5">
        <v>127050</v>
      </c>
      <c r="F35" t="s">
        <v>2535</v>
      </c>
      <c r="G35" t="s">
        <v>612</v>
      </c>
      <c r="H35" t="s">
        <v>16</v>
      </c>
    </row>
    <row r="36" spans="1:57" x14ac:dyDescent="0.3">
      <c r="A36" t="s">
        <v>34</v>
      </c>
      <c r="B36" t="s">
        <v>25</v>
      </c>
      <c r="C36" t="s">
        <v>14</v>
      </c>
      <c r="D36" t="s">
        <v>51</v>
      </c>
      <c r="E36" s="5">
        <v>101060</v>
      </c>
      <c r="F36" t="s">
        <v>1009</v>
      </c>
      <c r="G36" t="s">
        <v>1010</v>
      </c>
      <c r="H36" t="s">
        <v>14</v>
      </c>
    </row>
    <row r="37" spans="1:57" x14ac:dyDescent="0.3">
      <c r="A37" t="s">
        <v>11</v>
      </c>
      <c r="B37" t="s">
        <v>20</v>
      </c>
      <c r="C37" t="s">
        <v>22</v>
      </c>
      <c r="D37" t="s">
        <v>15</v>
      </c>
      <c r="E37" s="5">
        <v>179130.5</v>
      </c>
      <c r="F37" t="s">
        <v>3509</v>
      </c>
      <c r="G37" t="s">
        <v>177</v>
      </c>
      <c r="H37" t="s">
        <v>69</v>
      </c>
    </row>
    <row r="38" spans="1:57" x14ac:dyDescent="0.3">
      <c r="A38" t="s">
        <v>34</v>
      </c>
      <c r="B38" t="s">
        <v>25</v>
      </c>
      <c r="C38" t="s">
        <v>27</v>
      </c>
      <c r="D38" t="s">
        <v>15</v>
      </c>
      <c r="E38" s="5">
        <v>88346</v>
      </c>
      <c r="F38" t="s">
        <v>2739</v>
      </c>
      <c r="G38" t="s">
        <v>420</v>
      </c>
      <c r="H38" t="s">
        <v>16</v>
      </c>
    </row>
    <row r="39" spans="1:57" x14ac:dyDescent="0.3">
      <c r="A39" t="s">
        <v>11</v>
      </c>
      <c r="B39" t="s">
        <v>67</v>
      </c>
      <c r="C39" t="s">
        <v>27</v>
      </c>
      <c r="D39" t="s">
        <v>51</v>
      </c>
      <c r="E39" s="5">
        <v>52736</v>
      </c>
      <c r="F39" t="s">
        <v>4129</v>
      </c>
      <c r="G39" t="s">
        <v>4130</v>
      </c>
      <c r="H39" t="s">
        <v>16</v>
      </c>
    </row>
    <row r="40" spans="1:57" x14ac:dyDescent="0.3">
      <c r="A40" t="s">
        <v>72</v>
      </c>
      <c r="B40" t="s">
        <v>35</v>
      </c>
      <c r="C40" t="s">
        <v>27</v>
      </c>
      <c r="D40" t="s">
        <v>15</v>
      </c>
      <c r="E40" s="5">
        <v>89640</v>
      </c>
      <c r="F40" t="s">
        <v>2777</v>
      </c>
      <c r="G40" t="s">
        <v>2778</v>
      </c>
      <c r="H40" t="s">
        <v>69</v>
      </c>
      <c r="AH40" s="3" t="s">
        <v>6399</v>
      </c>
      <c r="AI40" s="3" t="s">
        <v>4274</v>
      </c>
    </row>
    <row r="41" spans="1:57" x14ac:dyDescent="0.3">
      <c r="A41" t="s">
        <v>34</v>
      </c>
      <c r="B41" t="s">
        <v>30</v>
      </c>
      <c r="C41" t="s">
        <v>22</v>
      </c>
      <c r="D41" t="s">
        <v>37</v>
      </c>
      <c r="E41" s="5">
        <v>161282</v>
      </c>
      <c r="F41" t="s">
        <v>393</v>
      </c>
      <c r="G41" t="s">
        <v>394</v>
      </c>
      <c r="H41" t="s">
        <v>69</v>
      </c>
      <c r="AH41" s="3" t="s">
        <v>4272</v>
      </c>
      <c r="AI41" t="s">
        <v>6352</v>
      </c>
      <c r="AJ41" t="s">
        <v>6355</v>
      </c>
      <c r="AK41" t="s">
        <v>6350</v>
      </c>
      <c r="AL41" t="s">
        <v>6354</v>
      </c>
      <c r="AM41" t="s">
        <v>6345</v>
      </c>
      <c r="AN41" t="s">
        <v>77</v>
      </c>
      <c r="AO41" t="s">
        <v>6356</v>
      </c>
      <c r="AP41" t="s">
        <v>6346</v>
      </c>
      <c r="AQ41" t="s">
        <v>6351</v>
      </c>
      <c r="AR41" t="s">
        <v>6349</v>
      </c>
      <c r="AS41" t="s">
        <v>70</v>
      </c>
      <c r="AT41" t="s">
        <v>90</v>
      </c>
      <c r="AU41" t="s">
        <v>6344</v>
      </c>
      <c r="AV41" t="s">
        <v>6348</v>
      </c>
      <c r="AW41" t="s">
        <v>6358</v>
      </c>
      <c r="AX41" t="s">
        <v>6347</v>
      </c>
      <c r="AY41" t="s">
        <v>128</v>
      </c>
      <c r="AZ41" t="s">
        <v>6353</v>
      </c>
      <c r="BA41" t="s">
        <v>6359</v>
      </c>
      <c r="BB41" t="s">
        <v>101</v>
      </c>
      <c r="BC41" t="s">
        <v>6357</v>
      </c>
      <c r="BD41" t="s">
        <v>80</v>
      </c>
      <c r="BE41" t="s">
        <v>4273</v>
      </c>
    </row>
    <row r="42" spans="1:57" x14ac:dyDescent="0.3">
      <c r="A42" t="s">
        <v>34</v>
      </c>
      <c r="B42" t="s">
        <v>54</v>
      </c>
      <c r="C42" t="s">
        <v>27</v>
      </c>
      <c r="D42" t="s">
        <v>15</v>
      </c>
      <c r="E42" s="5">
        <v>122222.5</v>
      </c>
      <c r="F42" t="s">
        <v>1804</v>
      </c>
      <c r="G42" t="s">
        <v>70</v>
      </c>
      <c r="H42" t="s">
        <v>14</v>
      </c>
      <c r="AH42" s="4" t="s">
        <v>45</v>
      </c>
      <c r="AI42">
        <v>16</v>
      </c>
      <c r="AJ42">
        <v>13</v>
      </c>
      <c r="AK42">
        <v>13</v>
      </c>
      <c r="AL42">
        <v>16</v>
      </c>
      <c r="AM42">
        <v>14</v>
      </c>
      <c r="AN42">
        <v>11</v>
      </c>
      <c r="AO42">
        <v>7</v>
      </c>
      <c r="AP42">
        <v>15</v>
      </c>
      <c r="AQ42">
        <v>17</v>
      </c>
      <c r="AR42">
        <v>16</v>
      </c>
      <c r="AS42">
        <v>14</v>
      </c>
      <c r="AT42">
        <v>13</v>
      </c>
      <c r="AU42">
        <v>17</v>
      </c>
      <c r="AV42">
        <v>12</v>
      </c>
      <c r="AW42">
        <v>11</v>
      </c>
      <c r="AX42">
        <v>15</v>
      </c>
      <c r="AY42">
        <v>19</v>
      </c>
      <c r="AZ42">
        <v>10</v>
      </c>
      <c r="BA42">
        <v>15</v>
      </c>
      <c r="BB42">
        <v>7</v>
      </c>
      <c r="BC42">
        <v>20</v>
      </c>
      <c r="BD42">
        <v>9</v>
      </c>
      <c r="BE42">
        <v>300</v>
      </c>
    </row>
    <row r="43" spans="1:57" x14ac:dyDescent="0.3">
      <c r="A43" t="s">
        <v>49</v>
      </c>
      <c r="B43" t="s">
        <v>54</v>
      </c>
      <c r="C43" t="s">
        <v>14</v>
      </c>
      <c r="D43" t="s">
        <v>37</v>
      </c>
      <c r="E43" s="5">
        <v>138258</v>
      </c>
      <c r="F43" t="s">
        <v>324</v>
      </c>
      <c r="G43" t="s">
        <v>52</v>
      </c>
      <c r="H43" t="s">
        <v>16</v>
      </c>
      <c r="AH43" s="4" t="s">
        <v>40</v>
      </c>
      <c r="AI43">
        <v>13</v>
      </c>
      <c r="AJ43">
        <v>15</v>
      </c>
      <c r="AK43">
        <v>9</v>
      </c>
      <c r="AL43">
        <v>8</v>
      </c>
      <c r="AM43">
        <v>19</v>
      </c>
      <c r="AN43">
        <v>23</v>
      </c>
      <c r="AO43">
        <v>15</v>
      </c>
      <c r="AP43">
        <v>12</v>
      </c>
      <c r="AQ43">
        <v>9</v>
      </c>
      <c r="AR43">
        <v>15</v>
      </c>
      <c r="AS43">
        <v>21</v>
      </c>
      <c r="AT43">
        <v>8</v>
      </c>
      <c r="AU43">
        <v>16</v>
      </c>
      <c r="AV43">
        <v>14</v>
      </c>
      <c r="AW43">
        <v>11</v>
      </c>
      <c r="AX43">
        <v>13</v>
      </c>
      <c r="AY43">
        <v>11</v>
      </c>
      <c r="AZ43">
        <v>19</v>
      </c>
      <c r="BA43">
        <v>14</v>
      </c>
      <c r="BB43">
        <v>7</v>
      </c>
      <c r="BC43">
        <v>5</v>
      </c>
      <c r="BD43">
        <v>14</v>
      </c>
      <c r="BE43">
        <v>291</v>
      </c>
    </row>
    <row r="44" spans="1:57" x14ac:dyDescent="0.3">
      <c r="A44" t="s">
        <v>72</v>
      </c>
      <c r="B44" t="s">
        <v>135</v>
      </c>
      <c r="C44" t="s">
        <v>14</v>
      </c>
      <c r="D44" t="s">
        <v>51</v>
      </c>
      <c r="E44" s="5">
        <v>145066.5</v>
      </c>
      <c r="F44" t="s">
        <v>1686</v>
      </c>
      <c r="G44" t="s">
        <v>1687</v>
      </c>
      <c r="H44" t="s">
        <v>16</v>
      </c>
      <c r="AH44" s="4" t="s">
        <v>49</v>
      </c>
      <c r="AI44">
        <v>14</v>
      </c>
      <c r="AJ44">
        <v>19</v>
      </c>
      <c r="AK44">
        <v>15</v>
      </c>
      <c r="AL44">
        <v>7</v>
      </c>
      <c r="AM44">
        <v>10</v>
      </c>
      <c r="AN44">
        <v>22</v>
      </c>
      <c r="AO44">
        <v>13</v>
      </c>
      <c r="AP44">
        <v>8</v>
      </c>
      <c r="AQ44">
        <v>15</v>
      </c>
      <c r="AR44">
        <v>9</v>
      </c>
      <c r="AS44">
        <v>13</v>
      </c>
      <c r="AT44">
        <v>16</v>
      </c>
      <c r="AU44">
        <v>16</v>
      </c>
      <c r="AV44">
        <v>13</v>
      </c>
      <c r="AW44">
        <v>18</v>
      </c>
      <c r="AX44">
        <v>14</v>
      </c>
      <c r="AY44">
        <v>11</v>
      </c>
      <c r="AZ44">
        <v>11</v>
      </c>
      <c r="BA44">
        <v>14</v>
      </c>
      <c r="BB44">
        <v>9</v>
      </c>
      <c r="BC44">
        <v>14</v>
      </c>
      <c r="BD44">
        <v>13</v>
      </c>
      <c r="BE44">
        <v>294</v>
      </c>
    </row>
    <row r="45" spans="1:57" x14ac:dyDescent="0.3">
      <c r="A45" t="s">
        <v>34</v>
      </c>
      <c r="B45" t="s">
        <v>20</v>
      </c>
      <c r="C45" t="s">
        <v>27</v>
      </c>
      <c r="D45" t="s">
        <v>51</v>
      </c>
      <c r="E45" s="5">
        <v>123097</v>
      </c>
      <c r="F45" t="s">
        <v>2212</v>
      </c>
      <c r="G45" t="s">
        <v>28</v>
      </c>
      <c r="H45" t="s">
        <v>16</v>
      </c>
      <c r="AH45" s="4" t="s">
        <v>34</v>
      </c>
      <c r="AI45">
        <v>14</v>
      </c>
      <c r="AJ45">
        <v>9</v>
      </c>
      <c r="AK45">
        <v>9</v>
      </c>
      <c r="AL45">
        <v>11</v>
      </c>
      <c r="AM45">
        <v>15</v>
      </c>
      <c r="AN45">
        <v>16</v>
      </c>
      <c r="AO45">
        <v>16</v>
      </c>
      <c r="AP45">
        <v>10</v>
      </c>
      <c r="AQ45">
        <v>14</v>
      </c>
      <c r="AR45">
        <v>11</v>
      </c>
      <c r="AS45">
        <v>12</v>
      </c>
      <c r="AT45">
        <v>11</v>
      </c>
      <c r="AU45">
        <v>17</v>
      </c>
      <c r="AV45">
        <v>12</v>
      </c>
      <c r="AW45">
        <v>17</v>
      </c>
      <c r="AX45">
        <v>15</v>
      </c>
      <c r="AY45">
        <v>12</v>
      </c>
      <c r="AZ45">
        <v>12</v>
      </c>
      <c r="BA45">
        <v>13</v>
      </c>
      <c r="BB45">
        <v>11</v>
      </c>
      <c r="BC45">
        <v>13</v>
      </c>
      <c r="BD45">
        <v>9</v>
      </c>
      <c r="BE45">
        <v>279</v>
      </c>
    </row>
    <row r="46" spans="1:57" x14ac:dyDescent="0.3">
      <c r="A46" t="s">
        <v>40</v>
      </c>
      <c r="B46" t="s">
        <v>67</v>
      </c>
      <c r="C46" t="s">
        <v>27</v>
      </c>
      <c r="D46" t="s">
        <v>51</v>
      </c>
      <c r="E46" s="5">
        <v>123539.5</v>
      </c>
      <c r="F46" t="s">
        <v>375</v>
      </c>
      <c r="G46" t="s">
        <v>52</v>
      </c>
      <c r="H46" t="s">
        <v>16</v>
      </c>
      <c r="AH46" s="4" t="s">
        <v>11</v>
      </c>
      <c r="AI46">
        <v>10</v>
      </c>
      <c r="AJ46">
        <v>12</v>
      </c>
      <c r="AK46">
        <v>13</v>
      </c>
      <c r="AL46">
        <v>10</v>
      </c>
      <c r="AM46">
        <v>13</v>
      </c>
      <c r="AN46">
        <v>13</v>
      </c>
      <c r="AO46">
        <v>10</v>
      </c>
      <c r="AP46">
        <v>11</v>
      </c>
      <c r="AQ46">
        <v>14</v>
      </c>
      <c r="AR46">
        <v>15</v>
      </c>
      <c r="AS46">
        <v>14</v>
      </c>
      <c r="AT46">
        <v>12</v>
      </c>
      <c r="AU46">
        <v>15</v>
      </c>
      <c r="AV46">
        <v>17</v>
      </c>
      <c r="AW46">
        <v>14</v>
      </c>
      <c r="AX46">
        <v>14</v>
      </c>
      <c r="AY46">
        <v>9</v>
      </c>
      <c r="AZ46">
        <v>7</v>
      </c>
      <c r="BA46">
        <v>13</v>
      </c>
      <c r="BB46">
        <v>11</v>
      </c>
      <c r="BC46">
        <v>8</v>
      </c>
      <c r="BD46">
        <v>14</v>
      </c>
      <c r="BE46">
        <v>269</v>
      </c>
    </row>
    <row r="47" spans="1:57" x14ac:dyDescent="0.3">
      <c r="A47" t="s">
        <v>11</v>
      </c>
      <c r="B47" t="s">
        <v>25</v>
      </c>
      <c r="C47" t="s">
        <v>27</v>
      </c>
      <c r="D47" t="s">
        <v>42</v>
      </c>
      <c r="E47" s="5">
        <v>158002</v>
      </c>
      <c r="F47" t="s">
        <v>3376</v>
      </c>
      <c r="G47" t="s">
        <v>70</v>
      </c>
      <c r="H47" t="s">
        <v>16</v>
      </c>
      <c r="AH47" s="4" t="s">
        <v>72</v>
      </c>
      <c r="AI47">
        <v>15</v>
      </c>
      <c r="AJ47">
        <v>12</v>
      </c>
      <c r="AK47">
        <v>15</v>
      </c>
      <c r="AL47">
        <v>12</v>
      </c>
      <c r="AM47">
        <v>14</v>
      </c>
      <c r="AN47">
        <v>15</v>
      </c>
      <c r="AO47">
        <v>11</v>
      </c>
      <c r="AP47">
        <v>13</v>
      </c>
      <c r="AQ47">
        <v>13</v>
      </c>
      <c r="AR47">
        <v>14</v>
      </c>
      <c r="AS47">
        <v>12</v>
      </c>
      <c r="AT47">
        <v>9</v>
      </c>
      <c r="AU47">
        <v>8</v>
      </c>
      <c r="AV47">
        <v>5</v>
      </c>
      <c r="AW47">
        <v>9</v>
      </c>
      <c r="AX47">
        <v>14</v>
      </c>
      <c r="AY47">
        <v>12</v>
      </c>
      <c r="AZ47">
        <v>16</v>
      </c>
      <c r="BA47">
        <v>20</v>
      </c>
      <c r="BB47">
        <v>21</v>
      </c>
      <c r="BC47">
        <v>15</v>
      </c>
      <c r="BD47">
        <v>18</v>
      </c>
      <c r="BE47">
        <v>293</v>
      </c>
    </row>
    <row r="48" spans="1:57" x14ac:dyDescent="0.3">
      <c r="A48" t="s">
        <v>40</v>
      </c>
      <c r="B48" t="s">
        <v>30</v>
      </c>
      <c r="C48" t="s">
        <v>22</v>
      </c>
      <c r="D48" t="s">
        <v>15</v>
      </c>
      <c r="E48" s="5">
        <v>92565.5</v>
      </c>
      <c r="F48" t="s">
        <v>1469</v>
      </c>
      <c r="G48" t="s">
        <v>386</v>
      </c>
      <c r="H48" t="s">
        <v>14</v>
      </c>
      <c r="AH48" s="4" t="s">
        <v>19</v>
      </c>
      <c r="AI48">
        <v>15</v>
      </c>
      <c r="AJ48">
        <v>10</v>
      </c>
      <c r="AK48">
        <v>10</v>
      </c>
      <c r="AL48">
        <v>11</v>
      </c>
      <c r="AM48">
        <v>16</v>
      </c>
      <c r="AN48">
        <v>11</v>
      </c>
      <c r="AO48">
        <v>14</v>
      </c>
      <c r="AP48">
        <v>9</v>
      </c>
      <c r="AQ48">
        <v>7</v>
      </c>
      <c r="AR48">
        <v>16</v>
      </c>
      <c r="AS48">
        <v>14</v>
      </c>
      <c r="AT48">
        <v>11</v>
      </c>
      <c r="AU48">
        <v>15</v>
      </c>
      <c r="AV48">
        <v>5</v>
      </c>
      <c r="AW48">
        <v>16</v>
      </c>
      <c r="AX48">
        <v>9</v>
      </c>
      <c r="AY48">
        <v>18</v>
      </c>
      <c r="AZ48">
        <v>11</v>
      </c>
      <c r="BA48">
        <v>15</v>
      </c>
      <c r="BB48">
        <v>10</v>
      </c>
      <c r="BC48">
        <v>13</v>
      </c>
      <c r="BD48">
        <v>18</v>
      </c>
      <c r="BE48">
        <v>274</v>
      </c>
    </row>
    <row r="49" spans="1:57" x14ac:dyDescent="0.3">
      <c r="A49" t="s">
        <v>19</v>
      </c>
      <c r="B49" t="s">
        <v>20</v>
      </c>
      <c r="C49" t="s">
        <v>14</v>
      </c>
      <c r="D49" t="s">
        <v>51</v>
      </c>
      <c r="E49" s="5">
        <v>143040</v>
      </c>
      <c r="F49" t="s">
        <v>3994</v>
      </c>
      <c r="G49" t="s">
        <v>70</v>
      </c>
      <c r="H49" t="s">
        <v>69</v>
      </c>
      <c r="AH49" s="4" t="s">
        <v>4273</v>
      </c>
      <c r="AI49">
        <v>97</v>
      </c>
      <c r="AJ49">
        <v>90</v>
      </c>
      <c r="AK49">
        <v>84</v>
      </c>
      <c r="AL49">
        <v>75</v>
      </c>
      <c r="AM49">
        <v>101</v>
      </c>
      <c r="AN49">
        <v>111</v>
      </c>
      <c r="AO49">
        <v>86</v>
      </c>
      <c r="AP49">
        <v>78</v>
      </c>
      <c r="AQ49">
        <v>89</v>
      </c>
      <c r="AR49">
        <v>96</v>
      </c>
      <c r="AS49">
        <v>100</v>
      </c>
      <c r="AT49">
        <v>80</v>
      </c>
      <c r="AU49">
        <v>104</v>
      </c>
      <c r="AV49">
        <v>78</v>
      </c>
      <c r="AW49">
        <v>96</v>
      </c>
      <c r="AX49">
        <v>94</v>
      </c>
      <c r="AY49">
        <v>92</v>
      </c>
      <c r="AZ49">
        <v>86</v>
      </c>
      <c r="BA49">
        <v>104</v>
      </c>
      <c r="BB49">
        <v>76</v>
      </c>
      <c r="BC49">
        <v>88</v>
      </c>
      <c r="BD49">
        <v>95</v>
      </c>
      <c r="BE49">
        <v>2000</v>
      </c>
    </row>
    <row r="50" spans="1:57" x14ac:dyDescent="0.3">
      <c r="A50" t="s">
        <v>34</v>
      </c>
      <c r="B50" t="s">
        <v>30</v>
      </c>
      <c r="C50" t="s">
        <v>27</v>
      </c>
      <c r="D50" t="s">
        <v>15</v>
      </c>
      <c r="E50" s="5">
        <v>172099</v>
      </c>
      <c r="F50" t="s">
        <v>2105</v>
      </c>
      <c r="G50" t="s">
        <v>2106</v>
      </c>
      <c r="H50" t="s">
        <v>69</v>
      </c>
    </row>
    <row r="51" spans="1:57" x14ac:dyDescent="0.3">
      <c r="A51" t="s">
        <v>72</v>
      </c>
      <c r="B51" t="s">
        <v>54</v>
      </c>
      <c r="C51" t="s">
        <v>27</v>
      </c>
      <c r="D51" t="s">
        <v>42</v>
      </c>
      <c r="E51" s="5">
        <v>124594.5</v>
      </c>
      <c r="F51" t="s">
        <v>4085</v>
      </c>
      <c r="G51" t="s">
        <v>70</v>
      </c>
      <c r="H51" t="s">
        <v>16</v>
      </c>
    </row>
    <row r="52" spans="1:57" x14ac:dyDescent="0.3">
      <c r="A52" t="s">
        <v>49</v>
      </c>
      <c r="B52" t="s">
        <v>135</v>
      </c>
      <c r="C52" t="s">
        <v>14</v>
      </c>
      <c r="D52" t="s">
        <v>15</v>
      </c>
      <c r="E52" s="5">
        <v>82588</v>
      </c>
      <c r="F52" t="s">
        <v>3051</v>
      </c>
      <c r="G52" t="s">
        <v>507</v>
      </c>
      <c r="H52" t="s">
        <v>69</v>
      </c>
    </row>
    <row r="53" spans="1:57" x14ac:dyDescent="0.3">
      <c r="A53" t="s">
        <v>72</v>
      </c>
      <c r="B53" t="s">
        <v>30</v>
      </c>
      <c r="C53" t="s">
        <v>22</v>
      </c>
      <c r="D53" t="s">
        <v>15</v>
      </c>
      <c r="E53" s="5">
        <v>70297.5</v>
      </c>
      <c r="F53" t="s">
        <v>1715</v>
      </c>
      <c r="G53" t="s">
        <v>520</v>
      </c>
      <c r="H53" t="s">
        <v>16</v>
      </c>
    </row>
    <row r="54" spans="1:57" x14ac:dyDescent="0.3">
      <c r="A54" t="s">
        <v>45</v>
      </c>
      <c r="B54" t="s">
        <v>35</v>
      </c>
      <c r="C54" t="s">
        <v>14</v>
      </c>
      <c r="D54" t="s">
        <v>37</v>
      </c>
      <c r="E54" s="5">
        <v>115116.5</v>
      </c>
      <c r="F54" t="s">
        <v>3363</v>
      </c>
      <c r="G54" t="s">
        <v>52</v>
      </c>
      <c r="H54" t="s">
        <v>14</v>
      </c>
    </row>
    <row r="55" spans="1:57" x14ac:dyDescent="0.3">
      <c r="A55" t="s">
        <v>49</v>
      </c>
      <c r="B55" t="s">
        <v>12</v>
      </c>
      <c r="C55" t="s">
        <v>14</v>
      </c>
      <c r="D55" t="s">
        <v>51</v>
      </c>
      <c r="E55" s="5">
        <v>159274.5</v>
      </c>
      <c r="F55" t="s">
        <v>753</v>
      </c>
      <c r="G55" t="s">
        <v>754</v>
      </c>
      <c r="H55" t="s">
        <v>16</v>
      </c>
    </row>
    <row r="56" spans="1:57" x14ac:dyDescent="0.3">
      <c r="A56" t="s">
        <v>45</v>
      </c>
      <c r="B56" t="s">
        <v>67</v>
      </c>
      <c r="C56" t="s">
        <v>27</v>
      </c>
      <c r="D56" t="s">
        <v>42</v>
      </c>
      <c r="E56" s="5">
        <v>155414.5</v>
      </c>
      <c r="F56" t="s">
        <v>3035</v>
      </c>
      <c r="G56" t="s">
        <v>1590</v>
      </c>
      <c r="H56" t="s">
        <v>14</v>
      </c>
    </row>
    <row r="57" spans="1:57" x14ac:dyDescent="0.3">
      <c r="A57" t="s">
        <v>45</v>
      </c>
      <c r="B57" t="s">
        <v>67</v>
      </c>
      <c r="C57" t="s">
        <v>14</v>
      </c>
      <c r="D57" t="s">
        <v>15</v>
      </c>
      <c r="E57" s="5">
        <v>132422.5</v>
      </c>
      <c r="F57" t="s">
        <v>3544</v>
      </c>
      <c r="G57" t="s">
        <v>497</v>
      </c>
      <c r="H57" t="s">
        <v>14</v>
      </c>
    </row>
    <row r="58" spans="1:57" x14ac:dyDescent="0.3">
      <c r="A58" t="s">
        <v>45</v>
      </c>
      <c r="B58" t="s">
        <v>30</v>
      </c>
      <c r="C58" t="s">
        <v>27</v>
      </c>
      <c r="D58" t="s">
        <v>15</v>
      </c>
      <c r="E58" s="5">
        <v>126715.5</v>
      </c>
      <c r="F58" t="s">
        <v>3039</v>
      </c>
      <c r="G58" t="s">
        <v>163</v>
      </c>
      <c r="H58" t="s">
        <v>14</v>
      </c>
    </row>
    <row r="59" spans="1:57" x14ac:dyDescent="0.3">
      <c r="A59" t="s">
        <v>49</v>
      </c>
      <c r="B59" t="s">
        <v>54</v>
      </c>
      <c r="C59" t="s">
        <v>14</v>
      </c>
      <c r="D59" t="s">
        <v>51</v>
      </c>
      <c r="E59" s="5">
        <v>127838.5</v>
      </c>
      <c r="F59" t="s">
        <v>2268</v>
      </c>
      <c r="G59" t="s">
        <v>2269</v>
      </c>
      <c r="H59" t="s">
        <v>69</v>
      </c>
    </row>
    <row r="60" spans="1:57" x14ac:dyDescent="0.3">
      <c r="A60" t="s">
        <v>34</v>
      </c>
      <c r="B60" t="s">
        <v>135</v>
      </c>
      <c r="C60" t="s">
        <v>22</v>
      </c>
      <c r="D60" t="s">
        <v>42</v>
      </c>
      <c r="E60" s="5">
        <v>147662</v>
      </c>
      <c r="F60" t="s">
        <v>2671</v>
      </c>
      <c r="G60" t="s">
        <v>941</v>
      </c>
      <c r="H60" t="s">
        <v>14</v>
      </c>
    </row>
    <row r="61" spans="1:57" x14ac:dyDescent="0.3">
      <c r="A61" t="s">
        <v>11</v>
      </c>
      <c r="B61" t="s">
        <v>135</v>
      </c>
      <c r="C61" t="s">
        <v>22</v>
      </c>
      <c r="D61" t="s">
        <v>15</v>
      </c>
      <c r="E61" s="5">
        <v>108481</v>
      </c>
      <c r="F61" t="s">
        <v>2838</v>
      </c>
      <c r="G61" t="s">
        <v>2839</v>
      </c>
      <c r="H61" t="s">
        <v>14</v>
      </c>
    </row>
    <row r="62" spans="1:57" x14ac:dyDescent="0.3">
      <c r="A62" t="s">
        <v>11</v>
      </c>
      <c r="B62" t="s">
        <v>25</v>
      </c>
      <c r="C62" t="s">
        <v>14</v>
      </c>
      <c r="D62" t="s">
        <v>15</v>
      </c>
      <c r="E62" s="5">
        <v>182144.5</v>
      </c>
      <c r="F62" t="s">
        <v>1495</v>
      </c>
      <c r="G62" t="s">
        <v>1496</v>
      </c>
      <c r="H62" t="s">
        <v>16</v>
      </c>
    </row>
    <row r="63" spans="1:57" x14ac:dyDescent="0.3">
      <c r="A63" t="s">
        <v>45</v>
      </c>
      <c r="B63" t="s">
        <v>25</v>
      </c>
      <c r="C63" t="s">
        <v>27</v>
      </c>
      <c r="D63" t="s">
        <v>37</v>
      </c>
      <c r="E63" s="5">
        <v>85621.5</v>
      </c>
      <c r="F63" t="s">
        <v>400</v>
      </c>
      <c r="G63" t="s">
        <v>338</v>
      </c>
      <c r="H63" t="s">
        <v>16</v>
      </c>
    </row>
    <row r="64" spans="1:57" x14ac:dyDescent="0.3">
      <c r="A64" t="s">
        <v>49</v>
      </c>
      <c r="B64" t="s">
        <v>30</v>
      </c>
      <c r="C64" t="s">
        <v>27</v>
      </c>
      <c r="D64" t="s">
        <v>37</v>
      </c>
      <c r="E64" s="5">
        <v>103433.5</v>
      </c>
      <c r="F64" t="s">
        <v>3530</v>
      </c>
      <c r="G64" t="s">
        <v>714</v>
      </c>
      <c r="H64" t="s">
        <v>14</v>
      </c>
    </row>
    <row r="65" spans="1:43" x14ac:dyDescent="0.3">
      <c r="A65" t="s">
        <v>40</v>
      </c>
      <c r="B65" t="s">
        <v>67</v>
      </c>
      <c r="C65" t="s">
        <v>22</v>
      </c>
      <c r="D65" t="s">
        <v>42</v>
      </c>
      <c r="E65" s="5">
        <v>98847</v>
      </c>
      <c r="F65" t="s">
        <v>674</v>
      </c>
      <c r="G65" t="s">
        <v>293</v>
      </c>
      <c r="H65" t="s">
        <v>14</v>
      </c>
    </row>
    <row r="66" spans="1:43" x14ac:dyDescent="0.3">
      <c r="A66" t="s">
        <v>40</v>
      </c>
      <c r="B66" t="s">
        <v>35</v>
      </c>
      <c r="C66" t="s">
        <v>22</v>
      </c>
      <c r="D66" t="s">
        <v>15</v>
      </c>
      <c r="E66" s="5">
        <v>100543.5</v>
      </c>
      <c r="F66" t="s">
        <v>3466</v>
      </c>
      <c r="G66" t="s">
        <v>90</v>
      </c>
      <c r="H66" t="s">
        <v>14</v>
      </c>
    </row>
    <row r="67" spans="1:43" x14ac:dyDescent="0.3">
      <c r="A67" t="s">
        <v>45</v>
      </c>
      <c r="B67" t="s">
        <v>25</v>
      </c>
      <c r="C67" t="s">
        <v>27</v>
      </c>
      <c r="D67" t="s">
        <v>51</v>
      </c>
      <c r="E67" s="5">
        <v>103429.5</v>
      </c>
      <c r="F67" t="s">
        <v>1383</v>
      </c>
      <c r="G67" t="s">
        <v>1384</v>
      </c>
      <c r="H67" t="s">
        <v>16</v>
      </c>
    </row>
    <row r="68" spans="1:43" x14ac:dyDescent="0.3">
      <c r="A68" t="s">
        <v>49</v>
      </c>
      <c r="B68" t="s">
        <v>67</v>
      </c>
      <c r="C68" t="s">
        <v>14</v>
      </c>
      <c r="D68" t="s">
        <v>15</v>
      </c>
      <c r="E68" s="5">
        <v>128952</v>
      </c>
      <c r="F68" t="s">
        <v>2887</v>
      </c>
      <c r="G68" t="s">
        <v>2717</v>
      </c>
      <c r="H68" t="s">
        <v>16</v>
      </c>
    </row>
    <row r="69" spans="1:43" x14ac:dyDescent="0.3">
      <c r="A69" t="s">
        <v>72</v>
      </c>
      <c r="B69" t="s">
        <v>35</v>
      </c>
      <c r="C69" t="s">
        <v>22</v>
      </c>
      <c r="D69" t="s">
        <v>51</v>
      </c>
      <c r="E69" s="5">
        <v>80437.5</v>
      </c>
      <c r="F69" t="s">
        <v>841</v>
      </c>
      <c r="G69" t="s">
        <v>842</v>
      </c>
      <c r="H69" t="s">
        <v>69</v>
      </c>
      <c r="AH69" s="3" t="s">
        <v>6398</v>
      </c>
      <c r="AI69" s="3" t="s">
        <v>4274</v>
      </c>
    </row>
    <row r="70" spans="1:43" x14ac:dyDescent="0.3">
      <c r="A70" t="s">
        <v>72</v>
      </c>
      <c r="B70" t="s">
        <v>20</v>
      </c>
      <c r="C70" t="s">
        <v>14</v>
      </c>
      <c r="D70" t="s">
        <v>42</v>
      </c>
      <c r="E70" s="5">
        <v>135905.5</v>
      </c>
      <c r="F70" t="s">
        <v>3061</v>
      </c>
      <c r="G70" t="s">
        <v>799</v>
      </c>
      <c r="H70" t="s">
        <v>14</v>
      </c>
      <c r="AH70" s="3" t="s">
        <v>4272</v>
      </c>
      <c r="AI70" t="s">
        <v>52</v>
      </c>
      <c r="AJ70" t="s">
        <v>77</v>
      </c>
      <c r="AK70" t="s">
        <v>157</v>
      </c>
      <c r="AL70" t="s">
        <v>70</v>
      </c>
      <c r="AM70" t="s">
        <v>90</v>
      </c>
      <c r="AN70" t="s">
        <v>128</v>
      </c>
      <c r="AO70" t="s">
        <v>101</v>
      </c>
      <c r="AP70" t="s">
        <v>80</v>
      </c>
      <c r="AQ70" t="s">
        <v>4273</v>
      </c>
    </row>
    <row r="71" spans="1:43" x14ac:dyDescent="0.3">
      <c r="A71" t="s">
        <v>40</v>
      </c>
      <c r="B71" t="s">
        <v>20</v>
      </c>
      <c r="C71" t="s">
        <v>27</v>
      </c>
      <c r="D71" t="s">
        <v>51</v>
      </c>
      <c r="E71" s="5">
        <v>153083.5</v>
      </c>
      <c r="F71" t="s">
        <v>578</v>
      </c>
      <c r="G71" t="s">
        <v>101</v>
      </c>
      <c r="H71" t="s">
        <v>69</v>
      </c>
      <c r="AH71" s="4" t="s">
        <v>30</v>
      </c>
      <c r="AI71">
        <v>25</v>
      </c>
      <c r="AJ71">
        <v>32</v>
      </c>
      <c r="AK71">
        <v>38</v>
      </c>
      <c r="AL71">
        <v>30</v>
      </c>
      <c r="AM71">
        <v>33</v>
      </c>
      <c r="AN71">
        <v>34</v>
      </c>
      <c r="AO71">
        <v>34</v>
      </c>
      <c r="AP71">
        <v>32</v>
      </c>
      <c r="AQ71">
        <v>258</v>
      </c>
    </row>
    <row r="72" spans="1:43" x14ac:dyDescent="0.3">
      <c r="A72" t="s">
        <v>19</v>
      </c>
      <c r="B72" t="s">
        <v>25</v>
      </c>
      <c r="C72" t="s">
        <v>22</v>
      </c>
      <c r="D72" t="s">
        <v>42</v>
      </c>
      <c r="E72" s="5">
        <v>152503.5</v>
      </c>
      <c r="F72" t="s">
        <v>337</v>
      </c>
      <c r="G72" t="s">
        <v>338</v>
      </c>
      <c r="H72" t="s">
        <v>69</v>
      </c>
      <c r="AH72" s="4" t="s">
        <v>135</v>
      </c>
      <c r="AI72">
        <v>31</v>
      </c>
      <c r="AJ72">
        <v>28</v>
      </c>
      <c r="AK72">
        <v>24</v>
      </c>
      <c r="AL72">
        <v>35</v>
      </c>
      <c r="AM72">
        <v>32</v>
      </c>
      <c r="AN72">
        <v>28</v>
      </c>
      <c r="AO72">
        <v>30</v>
      </c>
      <c r="AP72">
        <v>29</v>
      </c>
      <c r="AQ72">
        <v>237</v>
      </c>
    </row>
    <row r="73" spans="1:43" x14ac:dyDescent="0.3">
      <c r="A73" t="s">
        <v>19</v>
      </c>
      <c r="B73" t="s">
        <v>135</v>
      </c>
      <c r="C73" t="s">
        <v>27</v>
      </c>
      <c r="D73" t="s">
        <v>37</v>
      </c>
      <c r="E73" s="5">
        <v>120750</v>
      </c>
      <c r="F73" t="s">
        <v>2367</v>
      </c>
      <c r="G73" t="s">
        <v>80</v>
      </c>
      <c r="H73" t="s">
        <v>69</v>
      </c>
      <c r="AH73" s="4" t="s">
        <v>20</v>
      </c>
      <c r="AI73">
        <v>27</v>
      </c>
      <c r="AJ73">
        <v>26</v>
      </c>
      <c r="AK73">
        <v>25</v>
      </c>
      <c r="AL73">
        <v>32</v>
      </c>
      <c r="AM73">
        <v>30</v>
      </c>
      <c r="AN73">
        <v>26</v>
      </c>
      <c r="AO73">
        <v>29</v>
      </c>
      <c r="AP73">
        <v>35</v>
      </c>
      <c r="AQ73">
        <v>230</v>
      </c>
    </row>
    <row r="74" spans="1:43" x14ac:dyDescent="0.3">
      <c r="A74" t="s">
        <v>49</v>
      </c>
      <c r="B74" t="s">
        <v>25</v>
      </c>
      <c r="C74" t="s">
        <v>22</v>
      </c>
      <c r="D74" t="s">
        <v>37</v>
      </c>
      <c r="E74" s="5">
        <v>72463.5</v>
      </c>
      <c r="F74" t="s">
        <v>4269</v>
      </c>
      <c r="G74" t="s">
        <v>909</v>
      </c>
      <c r="H74" t="s">
        <v>16</v>
      </c>
      <c r="AH74" s="4" t="s">
        <v>12</v>
      </c>
      <c r="AI74">
        <v>39</v>
      </c>
      <c r="AJ74">
        <v>31</v>
      </c>
      <c r="AK74">
        <v>38</v>
      </c>
      <c r="AL74">
        <v>41</v>
      </c>
      <c r="AM74">
        <v>31</v>
      </c>
      <c r="AN74">
        <v>30</v>
      </c>
      <c r="AO74">
        <v>32</v>
      </c>
      <c r="AP74">
        <v>29</v>
      </c>
      <c r="AQ74">
        <v>271</v>
      </c>
    </row>
    <row r="75" spans="1:43" x14ac:dyDescent="0.3">
      <c r="A75" t="s">
        <v>45</v>
      </c>
      <c r="B75" t="s">
        <v>12</v>
      </c>
      <c r="C75" t="s">
        <v>22</v>
      </c>
      <c r="D75" t="s">
        <v>15</v>
      </c>
      <c r="E75" s="5">
        <v>117426.5</v>
      </c>
      <c r="F75" t="s">
        <v>3726</v>
      </c>
      <c r="G75" t="s">
        <v>2890</v>
      </c>
      <c r="H75" t="s">
        <v>16</v>
      </c>
      <c r="AH75" s="4" t="s">
        <v>35</v>
      </c>
      <c r="AI75">
        <v>32</v>
      </c>
      <c r="AJ75">
        <v>30</v>
      </c>
      <c r="AK75">
        <v>29</v>
      </c>
      <c r="AL75">
        <v>32</v>
      </c>
      <c r="AM75">
        <v>30</v>
      </c>
      <c r="AN75">
        <v>23</v>
      </c>
      <c r="AO75">
        <v>31</v>
      </c>
      <c r="AP75">
        <v>31</v>
      </c>
      <c r="AQ75">
        <v>238</v>
      </c>
    </row>
    <row r="76" spans="1:43" x14ac:dyDescent="0.3">
      <c r="A76" t="s">
        <v>40</v>
      </c>
      <c r="B76" t="s">
        <v>54</v>
      </c>
      <c r="C76" t="s">
        <v>22</v>
      </c>
      <c r="D76" t="s">
        <v>42</v>
      </c>
      <c r="E76" s="5">
        <v>144286.5</v>
      </c>
      <c r="F76" t="s">
        <v>3014</v>
      </c>
      <c r="G76" t="s">
        <v>101</v>
      </c>
      <c r="H76" t="s">
        <v>69</v>
      </c>
      <c r="AH76" s="4" t="s">
        <v>54</v>
      </c>
      <c r="AI76">
        <v>34</v>
      </c>
      <c r="AJ76">
        <v>32</v>
      </c>
      <c r="AK76">
        <v>31</v>
      </c>
      <c r="AL76">
        <v>35</v>
      </c>
      <c r="AM76">
        <v>28</v>
      </c>
      <c r="AN76">
        <v>22</v>
      </c>
      <c r="AO76">
        <v>36</v>
      </c>
      <c r="AP76">
        <v>32</v>
      </c>
      <c r="AQ76">
        <v>250</v>
      </c>
    </row>
    <row r="77" spans="1:43" x14ac:dyDescent="0.3">
      <c r="A77" t="s">
        <v>40</v>
      </c>
      <c r="B77" t="s">
        <v>20</v>
      </c>
      <c r="C77" t="s">
        <v>22</v>
      </c>
      <c r="D77" t="s">
        <v>42</v>
      </c>
      <c r="E77" s="5">
        <v>191996.5</v>
      </c>
      <c r="F77" t="s">
        <v>3012</v>
      </c>
      <c r="G77" t="s">
        <v>194</v>
      </c>
      <c r="H77" t="s">
        <v>69</v>
      </c>
      <c r="AH77" s="4" t="s">
        <v>67</v>
      </c>
      <c r="AI77">
        <v>27</v>
      </c>
      <c r="AJ77">
        <v>45</v>
      </c>
      <c r="AK77">
        <v>25</v>
      </c>
      <c r="AL77">
        <v>27</v>
      </c>
      <c r="AM77">
        <v>46</v>
      </c>
      <c r="AN77">
        <v>40</v>
      </c>
      <c r="AO77">
        <v>27</v>
      </c>
      <c r="AP77">
        <v>28</v>
      </c>
      <c r="AQ77">
        <v>265</v>
      </c>
    </row>
    <row r="78" spans="1:43" x14ac:dyDescent="0.3">
      <c r="A78" t="s">
        <v>19</v>
      </c>
      <c r="B78" t="s">
        <v>35</v>
      </c>
      <c r="C78" t="s">
        <v>14</v>
      </c>
      <c r="D78" t="s">
        <v>42</v>
      </c>
      <c r="E78" s="5">
        <v>153008</v>
      </c>
      <c r="F78" t="s">
        <v>3256</v>
      </c>
      <c r="G78" t="s">
        <v>80</v>
      </c>
      <c r="H78" t="s">
        <v>14</v>
      </c>
      <c r="AH78" s="4" t="s">
        <v>25</v>
      </c>
      <c r="AI78">
        <v>23</v>
      </c>
      <c r="AJ78">
        <v>27</v>
      </c>
      <c r="AK78">
        <v>37</v>
      </c>
      <c r="AL78">
        <v>36</v>
      </c>
      <c r="AM78">
        <v>29</v>
      </c>
      <c r="AN78">
        <v>30</v>
      </c>
      <c r="AO78">
        <v>36</v>
      </c>
      <c r="AP78">
        <v>33</v>
      </c>
      <c r="AQ78">
        <v>251</v>
      </c>
    </row>
    <row r="79" spans="1:43" x14ac:dyDescent="0.3">
      <c r="A79" t="s">
        <v>19</v>
      </c>
      <c r="B79" t="s">
        <v>67</v>
      </c>
      <c r="C79" t="s">
        <v>14</v>
      </c>
      <c r="D79" t="s">
        <v>51</v>
      </c>
      <c r="E79" s="5">
        <v>131979.5</v>
      </c>
      <c r="F79" t="s">
        <v>3966</v>
      </c>
      <c r="G79" t="s">
        <v>17</v>
      </c>
      <c r="H79" t="s">
        <v>14</v>
      </c>
      <c r="AH79" s="4" t="s">
        <v>4273</v>
      </c>
      <c r="AI79">
        <v>238</v>
      </c>
      <c r="AJ79">
        <v>251</v>
      </c>
      <c r="AK79">
        <v>247</v>
      </c>
      <c r="AL79">
        <v>268</v>
      </c>
      <c r="AM79">
        <v>259</v>
      </c>
      <c r="AN79">
        <v>233</v>
      </c>
      <c r="AO79">
        <v>255</v>
      </c>
      <c r="AP79">
        <v>249</v>
      </c>
      <c r="AQ79">
        <v>2000</v>
      </c>
    </row>
    <row r="80" spans="1:43" x14ac:dyDescent="0.3">
      <c r="A80" t="s">
        <v>72</v>
      </c>
      <c r="B80" t="s">
        <v>12</v>
      </c>
      <c r="C80" t="s">
        <v>14</v>
      </c>
      <c r="D80" t="s">
        <v>42</v>
      </c>
      <c r="E80" s="5">
        <v>182573.5</v>
      </c>
      <c r="F80" t="s">
        <v>2654</v>
      </c>
      <c r="G80" t="s">
        <v>56</v>
      </c>
      <c r="H80" t="s">
        <v>14</v>
      </c>
    </row>
    <row r="81" spans="1:8" x14ac:dyDescent="0.3">
      <c r="A81" t="s">
        <v>40</v>
      </c>
      <c r="B81" t="s">
        <v>25</v>
      </c>
      <c r="C81" t="s">
        <v>22</v>
      </c>
      <c r="D81" t="s">
        <v>42</v>
      </c>
      <c r="E81" s="5">
        <v>101626</v>
      </c>
      <c r="F81" t="s">
        <v>1586</v>
      </c>
      <c r="G81" t="s">
        <v>1587</v>
      </c>
      <c r="H81" t="s">
        <v>69</v>
      </c>
    </row>
    <row r="82" spans="1:8" x14ac:dyDescent="0.3">
      <c r="A82" t="s">
        <v>34</v>
      </c>
      <c r="B82" t="s">
        <v>54</v>
      </c>
      <c r="C82" t="s">
        <v>14</v>
      </c>
      <c r="D82" t="s">
        <v>51</v>
      </c>
      <c r="E82" s="5">
        <v>152612.5</v>
      </c>
      <c r="F82" t="s">
        <v>3684</v>
      </c>
      <c r="G82" t="s">
        <v>128</v>
      </c>
      <c r="H82" t="s">
        <v>16</v>
      </c>
    </row>
    <row r="83" spans="1:8" x14ac:dyDescent="0.3">
      <c r="A83" t="s">
        <v>11</v>
      </c>
      <c r="B83" t="s">
        <v>135</v>
      </c>
      <c r="C83" t="s">
        <v>27</v>
      </c>
      <c r="D83" t="s">
        <v>37</v>
      </c>
      <c r="E83" s="5">
        <v>96217.5</v>
      </c>
      <c r="F83" t="s">
        <v>3919</v>
      </c>
      <c r="G83" t="s">
        <v>378</v>
      </c>
      <c r="H83" t="s">
        <v>16</v>
      </c>
    </row>
    <row r="84" spans="1:8" x14ac:dyDescent="0.3">
      <c r="A84" t="s">
        <v>40</v>
      </c>
      <c r="B84" t="s">
        <v>35</v>
      </c>
      <c r="C84" t="s">
        <v>22</v>
      </c>
      <c r="D84" t="s">
        <v>37</v>
      </c>
      <c r="E84" s="5">
        <v>131966.5</v>
      </c>
      <c r="F84" t="s">
        <v>2359</v>
      </c>
      <c r="G84" t="s">
        <v>80</v>
      </c>
      <c r="H84" t="s">
        <v>14</v>
      </c>
    </row>
    <row r="85" spans="1:8" x14ac:dyDescent="0.3">
      <c r="A85" t="s">
        <v>49</v>
      </c>
      <c r="B85" t="s">
        <v>25</v>
      </c>
      <c r="C85" t="s">
        <v>22</v>
      </c>
      <c r="D85" t="s">
        <v>15</v>
      </c>
      <c r="E85" s="5">
        <v>167854.5</v>
      </c>
      <c r="F85" t="s">
        <v>2809</v>
      </c>
      <c r="G85" t="s">
        <v>128</v>
      </c>
      <c r="H85" t="s">
        <v>14</v>
      </c>
    </row>
    <row r="86" spans="1:8" x14ac:dyDescent="0.3">
      <c r="A86" t="s">
        <v>45</v>
      </c>
      <c r="B86" t="s">
        <v>35</v>
      </c>
      <c r="C86" t="s">
        <v>14</v>
      </c>
      <c r="D86" t="s">
        <v>37</v>
      </c>
      <c r="E86" s="5">
        <v>154216.5</v>
      </c>
      <c r="F86" t="s">
        <v>4022</v>
      </c>
      <c r="G86" t="s">
        <v>157</v>
      </c>
      <c r="H86" t="s">
        <v>16</v>
      </c>
    </row>
    <row r="87" spans="1:8" x14ac:dyDescent="0.3">
      <c r="A87" t="s">
        <v>40</v>
      </c>
      <c r="B87" t="s">
        <v>12</v>
      </c>
      <c r="C87" t="s">
        <v>27</v>
      </c>
      <c r="D87" t="s">
        <v>51</v>
      </c>
      <c r="E87" s="5">
        <v>166850</v>
      </c>
      <c r="F87" t="s">
        <v>2328</v>
      </c>
      <c r="G87" t="s">
        <v>680</v>
      </c>
      <c r="H87" t="s">
        <v>16</v>
      </c>
    </row>
    <row r="88" spans="1:8" x14ac:dyDescent="0.3">
      <c r="A88" t="s">
        <v>19</v>
      </c>
      <c r="B88" t="s">
        <v>67</v>
      </c>
      <c r="C88" t="s">
        <v>27</v>
      </c>
      <c r="D88" t="s">
        <v>37</v>
      </c>
      <c r="E88" s="5">
        <v>130427.5</v>
      </c>
      <c r="F88" t="s">
        <v>720</v>
      </c>
      <c r="G88" t="s">
        <v>523</v>
      </c>
      <c r="H88" t="s">
        <v>69</v>
      </c>
    </row>
    <row r="89" spans="1:8" x14ac:dyDescent="0.3">
      <c r="A89" t="s">
        <v>34</v>
      </c>
      <c r="B89" t="s">
        <v>67</v>
      </c>
      <c r="C89" t="s">
        <v>27</v>
      </c>
      <c r="D89" t="s">
        <v>15</v>
      </c>
      <c r="E89" s="5">
        <v>190425.5</v>
      </c>
      <c r="F89" t="s">
        <v>2003</v>
      </c>
      <c r="G89" t="s">
        <v>497</v>
      </c>
      <c r="H89" t="s">
        <v>16</v>
      </c>
    </row>
    <row r="90" spans="1:8" x14ac:dyDescent="0.3">
      <c r="A90" t="s">
        <v>40</v>
      </c>
      <c r="B90" t="s">
        <v>30</v>
      </c>
      <c r="C90" t="s">
        <v>14</v>
      </c>
      <c r="D90" t="s">
        <v>42</v>
      </c>
      <c r="E90" s="5">
        <v>157977</v>
      </c>
      <c r="F90" t="s">
        <v>3462</v>
      </c>
      <c r="G90" t="s">
        <v>677</v>
      </c>
      <c r="H90" t="s">
        <v>69</v>
      </c>
    </row>
    <row r="91" spans="1:8" x14ac:dyDescent="0.3">
      <c r="A91" t="s">
        <v>49</v>
      </c>
      <c r="B91" t="s">
        <v>35</v>
      </c>
      <c r="C91" t="s">
        <v>14</v>
      </c>
      <c r="D91" t="s">
        <v>51</v>
      </c>
      <c r="E91" s="5">
        <v>125589.5</v>
      </c>
      <c r="F91" t="s">
        <v>3479</v>
      </c>
      <c r="G91" t="s">
        <v>101</v>
      </c>
      <c r="H91" t="s">
        <v>69</v>
      </c>
    </row>
    <row r="92" spans="1:8" x14ac:dyDescent="0.3">
      <c r="A92" t="s">
        <v>19</v>
      </c>
      <c r="B92" t="s">
        <v>67</v>
      </c>
      <c r="C92" t="s">
        <v>27</v>
      </c>
      <c r="D92" t="s">
        <v>15</v>
      </c>
      <c r="E92" s="5">
        <v>173018</v>
      </c>
      <c r="F92" t="s">
        <v>4111</v>
      </c>
      <c r="G92" t="s">
        <v>938</v>
      </c>
      <c r="H92" t="s">
        <v>14</v>
      </c>
    </row>
    <row r="93" spans="1:8" x14ac:dyDescent="0.3">
      <c r="A93" t="s">
        <v>19</v>
      </c>
      <c r="B93" t="s">
        <v>30</v>
      </c>
      <c r="C93" t="s">
        <v>14</v>
      </c>
      <c r="D93" t="s">
        <v>51</v>
      </c>
      <c r="E93" s="5">
        <v>78289.5</v>
      </c>
      <c r="F93" t="s">
        <v>2422</v>
      </c>
      <c r="G93" t="s">
        <v>194</v>
      </c>
      <c r="H93" t="s">
        <v>14</v>
      </c>
    </row>
    <row r="94" spans="1:8" x14ac:dyDescent="0.3">
      <c r="A94" t="s">
        <v>45</v>
      </c>
      <c r="B94" t="s">
        <v>20</v>
      </c>
      <c r="C94" t="s">
        <v>22</v>
      </c>
      <c r="D94" t="s">
        <v>42</v>
      </c>
      <c r="E94" s="5">
        <v>108823.5</v>
      </c>
      <c r="F94" t="s">
        <v>2617</v>
      </c>
      <c r="G94" t="s">
        <v>394</v>
      </c>
      <c r="H94" t="s">
        <v>14</v>
      </c>
    </row>
    <row r="95" spans="1:8" x14ac:dyDescent="0.3">
      <c r="A95" t="s">
        <v>45</v>
      </c>
      <c r="B95" t="s">
        <v>12</v>
      </c>
      <c r="C95" t="s">
        <v>14</v>
      </c>
      <c r="D95" t="s">
        <v>51</v>
      </c>
      <c r="E95" s="5">
        <v>172441.5</v>
      </c>
      <c r="F95" t="s">
        <v>4092</v>
      </c>
      <c r="G95" t="s">
        <v>77</v>
      </c>
      <c r="H95" t="s">
        <v>14</v>
      </c>
    </row>
    <row r="96" spans="1:8" x14ac:dyDescent="0.3">
      <c r="A96" t="s">
        <v>19</v>
      </c>
      <c r="B96" t="s">
        <v>12</v>
      </c>
      <c r="C96" t="s">
        <v>27</v>
      </c>
      <c r="D96" t="s">
        <v>42</v>
      </c>
      <c r="E96" s="5">
        <v>170633</v>
      </c>
      <c r="F96" t="s">
        <v>2186</v>
      </c>
      <c r="G96" t="s">
        <v>316</v>
      </c>
      <c r="H96" t="s">
        <v>14</v>
      </c>
    </row>
    <row r="97" spans="1:8" x14ac:dyDescent="0.3">
      <c r="A97" t="s">
        <v>11</v>
      </c>
      <c r="B97" t="s">
        <v>54</v>
      </c>
      <c r="C97" t="s">
        <v>22</v>
      </c>
      <c r="D97" t="s">
        <v>51</v>
      </c>
      <c r="E97" s="5">
        <v>151712</v>
      </c>
      <c r="F97" t="s">
        <v>249</v>
      </c>
      <c r="G97" t="s">
        <v>157</v>
      </c>
      <c r="H97" t="s">
        <v>16</v>
      </c>
    </row>
    <row r="98" spans="1:8" x14ac:dyDescent="0.3">
      <c r="A98" t="s">
        <v>34</v>
      </c>
      <c r="B98" t="s">
        <v>20</v>
      </c>
      <c r="C98" t="s">
        <v>14</v>
      </c>
      <c r="D98" t="s">
        <v>37</v>
      </c>
      <c r="E98" s="5">
        <v>134575.5</v>
      </c>
      <c r="F98" t="s">
        <v>2781</v>
      </c>
      <c r="G98" t="s">
        <v>213</v>
      </c>
      <c r="H98" t="s">
        <v>69</v>
      </c>
    </row>
    <row r="99" spans="1:8" x14ac:dyDescent="0.3">
      <c r="A99" t="s">
        <v>11</v>
      </c>
      <c r="B99" t="s">
        <v>67</v>
      </c>
      <c r="C99" t="s">
        <v>14</v>
      </c>
      <c r="D99" t="s">
        <v>15</v>
      </c>
      <c r="E99" s="5">
        <v>107349</v>
      </c>
      <c r="F99" t="s">
        <v>3929</v>
      </c>
      <c r="G99" t="s">
        <v>90</v>
      </c>
      <c r="H99" t="s">
        <v>14</v>
      </c>
    </row>
    <row r="100" spans="1:8" x14ac:dyDescent="0.3">
      <c r="A100" t="s">
        <v>40</v>
      </c>
      <c r="B100" t="s">
        <v>35</v>
      </c>
      <c r="C100" t="s">
        <v>27</v>
      </c>
      <c r="D100" t="s">
        <v>51</v>
      </c>
      <c r="E100" s="5">
        <v>90819.5</v>
      </c>
      <c r="F100" t="s">
        <v>783</v>
      </c>
      <c r="G100" t="s">
        <v>784</v>
      </c>
      <c r="H100" t="s">
        <v>16</v>
      </c>
    </row>
    <row r="101" spans="1:8" x14ac:dyDescent="0.3">
      <c r="A101" t="s">
        <v>11</v>
      </c>
      <c r="B101" t="s">
        <v>20</v>
      </c>
      <c r="C101" t="s">
        <v>27</v>
      </c>
      <c r="D101" t="s">
        <v>51</v>
      </c>
      <c r="E101" s="5">
        <v>88122</v>
      </c>
      <c r="F101" t="s">
        <v>2173</v>
      </c>
      <c r="G101" t="s">
        <v>101</v>
      </c>
      <c r="H101" t="s">
        <v>69</v>
      </c>
    </row>
    <row r="102" spans="1:8" x14ac:dyDescent="0.3">
      <c r="A102" t="s">
        <v>40</v>
      </c>
      <c r="B102" t="s">
        <v>12</v>
      </c>
      <c r="C102" t="s">
        <v>22</v>
      </c>
      <c r="D102" t="s">
        <v>42</v>
      </c>
      <c r="E102" s="5">
        <v>165785</v>
      </c>
      <c r="F102" t="s">
        <v>2130</v>
      </c>
      <c r="G102" t="s">
        <v>77</v>
      </c>
      <c r="H102" t="s">
        <v>14</v>
      </c>
    </row>
    <row r="103" spans="1:8" x14ac:dyDescent="0.3">
      <c r="A103" t="s">
        <v>19</v>
      </c>
      <c r="B103" t="s">
        <v>67</v>
      </c>
      <c r="C103" t="s">
        <v>22</v>
      </c>
      <c r="D103" t="s">
        <v>51</v>
      </c>
      <c r="E103" s="5">
        <v>191729</v>
      </c>
      <c r="F103" t="s">
        <v>4259</v>
      </c>
      <c r="G103" t="s">
        <v>70</v>
      </c>
      <c r="H103" t="s">
        <v>14</v>
      </c>
    </row>
    <row r="104" spans="1:8" x14ac:dyDescent="0.3">
      <c r="A104" t="s">
        <v>72</v>
      </c>
      <c r="B104" t="s">
        <v>25</v>
      </c>
      <c r="C104" t="s">
        <v>27</v>
      </c>
      <c r="D104" t="s">
        <v>37</v>
      </c>
      <c r="E104" s="5">
        <v>73922.5</v>
      </c>
      <c r="F104" t="s">
        <v>602</v>
      </c>
      <c r="G104" t="s">
        <v>603</v>
      </c>
      <c r="H104" t="s">
        <v>14</v>
      </c>
    </row>
    <row r="105" spans="1:8" x14ac:dyDescent="0.3">
      <c r="A105" t="s">
        <v>40</v>
      </c>
      <c r="B105" t="s">
        <v>20</v>
      </c>
      <c r="C105" t="s">
        <v>22</v>
      </c>
      <c r="D105" t="s">
        <v>51</v>
      </c>
      <c r="E105" s="5">
        <v>189827</v>
      </c>
      <c r="F105" t="s">
        <v>3585</v>
      </c>
      <c r="G105" t="s">
        <v>80</v>
      </c>
      <c r="H105" t="s">
        <v>16</v>
      </c>
    </row>
    <row r="106" spans="1:8" x14ac:dyDescent="0.3">
      <c r="A106" t="s">
        <v>11</v>
      </c>
      <c r="B106" t="s">
        <v>135</v>
      </c>
      <c r="C106" t="s">
        <v>22</v>
      </c>
      <c r="D106" t="s">
        <v>15</v>
      </c>
      <c r="E106" s="5">
        <v>122985</v>
      </c>
      <c r="F106" t="s">
        <v>3429</v>
      </c>
      <c r="G106" t="s">
        <v>157</v>
      </c>
      <c r="H106" t="s">
        <v>16</v>
      </c>
    </row>
    <row r="107" spans="1:8" x14ac:dyDescent="0.3">
      <c r="A107" t="s">
        <v>49</v>
      </c>
      <c r="B107" t="s">
        <v>35</v>
      </c>
      <c r="C107" t="s">
        <v>14</v>
      </c>
      <c r="D107" t="s">
        <v>51</v>
      </c>
      <c r="E107" s="5">
        <v>111537.5</v>
      </c>
      <c r="F107" t="s">
        <v>1925</v>
      </c>
      <c r="G107" t="s">
        <v>1254</v>
      </c>
      <c r="H107" t="s">
        <v>16</v>
      </c>
    </row>
    <row r="108" spans="1:8" x14ac:dyDescent="0.3">
      <c r="A108" t="s">
        <v>45</v>
      </c>
      <c r="B108" t="s">
        <v>20</v>
      </c>
      <c r="C108" t="s">
        <v>14</v>
      </c>
      <c r="D108" t="s">
        <v>37</v>
      </c>
      <c r="E108" s="5">
        <v>81006.5</v>
      </c>
      <c r="F108" t="s">
        <v>3358</v>
      </c>
      <c r="G108" t="s">
        <v>101</v>
      </c>
      <c r="H108" t="s">
        <v>16</v>
      </c>
    </row>
    <row r="109" spans="1:8" x14ac:dyDescent="0.3">
      <c r="A109" t="s">
        <v>72</v>
      </c>
      <c r="B109" t="s">
        <v>35</v>
      </c>
      <c r="C109" t="s">
        <v>22</v>
      </c>
      <c r="D109" t="s">
        <v>37</v>
      </c>
      <c r="E109" s="5">
        <v>131547.5</v>
      </c>
      <c r="F109" t="s">
        <v>2258</v>
      </c>
      <c r="G109" t="s">
        <v>2259</v>
      </c>
      <c r="H109" t="s">
        <v>69</v>
      </c>
    </row>
    <row r="110" spans="1:8" x14ac:dyDescent="0.3">
      <c r="A110" t="s">
        <v>40</v>
      </c>
      <c r="B110" t="s">
        <v>25</v>
      </c>
      <c r="C110" t="s">
        <v>14</v>
      </c>
      <c r="D110" t="s">
        <v>51</v>
      </c>
      <c r="E110" s="5">
        <v>151443.5</v>
      </c>
      <c r="F110" t="s">
        <v>3539</v>
      </c>
      <c r="G110" t="s">
        <v>3344</v>
      </c>
      <c r="H110" t="s">
        <v>14</v>
      </c>
    </row>
    <row r="111" spans="1:8" x14ac:dyDescent="0.3">
      <c r="A111" t="s">
        <v>49</v>
      </c>
      <c r="B111" t="s">
        <v>67</v>
      </c>
      <c r="C111" t="s">
        <v>27</v>
      </c>
      <c r="D111" t="s">
        <v>15</v>
      </c>
      <c r="E111" s="5">
        <v>63059</v>
      </c>
      <c r="F111" t="s">
        <v>1420</v>
      </c>
      <c r="G111" t="s">
        <v>808</v>
      </c>
      <c r="H111" t="s">
        <v>69</v>
      </c>
    </row>
    <row r="112" spans="1:8" x14ac:dyDescent="0.3">
      <c r="A112" t="s">
        <v>40</v>
      </c>
      <c r="B112" t="s">
        <v>35</v>
      </c>
      <c r="C112" t="s">
        <v>22</v>
      </c>
      <c r="D112" t="s">
        <v>51</v>
      </c>
      <c r="E112" s="5">
        <v>143228.5</v>
      </c>
      <c r="F112" t="s">
        <v>1420</v>
      </c>
      <c r="G112" t="s">
        <v>101</v>
      </c>
      <c r="H112" t="s">
        <v>16</v>
      </c>
    </row>
    <row r="113" spans="1:8" x14ac:dyDescent="0.3">
      <c r="A113" t="s">
        <v>49</v>
      </c>
      <c r="B113" t="s">
        <v>12</v>
      </c>
      <c r="C113" t="s">
        <v>22</v>
      </c>
      <c r="D113" t="s">
        <v>42</v>
      </c>
      <c r="E113" s="5">
        <v>128014</v>
      </c>
      <c r="F113" t="s">
        <v>231</v>
      </c>
      <c r="G113" t="s">
        <v>232</v>
      </c>
      <c r="H113" t="s">
        <v>16</v>
      </c>
    </row>
    <row r="114" spans="1:8" x14ac:dyDescent="0.3">
      <c r="A114" t="s">
        <v>49</v>
      </c>
      <c r="B114" t="s">
        <v>25</v>
      </c>
      <c r="C114" t="s">
        <v>14</v>
      </c>
      <c r="D114" t="s">
        <v>42</v>
      </c>
      <c r="E114" s="5">
        <v>155312.5</v>
      </c>
      <c r="F114" t="s">
        <v>4198</v>
      </c>
      <c r="G114" t="s">
        <v>2790</v>
      </c>
      <c r="H114" t="s">
        <v>16</v>
      </c>
    </row>
    <row r="115" spans="1:8" x14ac:dyDescent="0.3">
      <c r="A115" t="s">
        <v>45</v>
      </c>
      <c r="B115" t="s">
        <v>35</v>
      </c>
      <c r="C115" t="s">
        <v>14</v>
      </c>
      <c r="D115" t="s">
        <v>37</v>
      </c>
      <c r="E115" s="5">
        <v>139896</v>
      </c>
      <c r="F115" t="s">
        <v>2062</v>
      </c>
      <c r="G115" t="s">
        <v>439</v>
      </c>
      <c r="H115" t="s">
        <v>69</v>
      </c>
    </row>
    <row r="116" spans="1:8" x14ac:dyDescent="0.3">
      <c r="A116" t="s">
        <v>34</v>
      </c>
      <c r="B116" t="s">
        <v>12</v>
      </c>
      <c r="C116" t="s">
        <v>27</v>
      </c>
      <c r="D116" t="s">
        <v>15</v>
      </c>
      <c r="E116" s="5">
        <v>78700.5</v>
      </c>
      <c r="F116" t="s">
        <v>676</v>
      </c>
      <c r="G116" t="s">
        <v>677</v>
      </c>
      <c r="H116" t="s">
        <v>16</v>
      </c>
    </row>
    <row r="117" spans="1:8" x14ac:dyDescent="0.3">
      <c r="A117" t="s">
        <v>49</v>
      </c>
      <c r="B117" t="s">
        <v>25</v>
      </c>
      <c r="C117" t="s">
        <v>22</v>
      </c>
      <c r="D117" t="s">
        <v>51</v>
      </c>
      <c r="E117" s="5">
        <v>60796.5</v>
      </c>
      <c r="F117" t="s">
        <v>108</v>
      </c>
      <c r="G117" t="s">
        <v>109</v>
      </c>
      <c r="H117" t="s">
        <v>16</v>
      </c>
    </row>
    <row r="118" spans="1:8" x14ac:dyDescent="0.3">
      <c r="A118" t="s">
        <v>49</v>
      </c>
      <c r="B118" t="s">
        <v>30</v>
      </c>
      <c r="C118" t="s">
        <v>14</v>
      </c>
      <c r="D118" t="s">
        <v>15</v>
      </c>
      <c r="E118" s="5">
        <v>120475</v>
      </c>
      <c r="F118" t="s">
        <v>1644</v>
      </c>
      <c r="G118" t="s">
        <v>1645</v>
      </c>
      <c r="H118" t="s">
        <v>69</v>
      </c>
    </row>
    <row r="119" spans="1:8" x14ac:dyDescent="0.3">
      <c r="A119" t="s">
        <v>11</v>
      </c>
      <c r="B119" t="s">
        <v>25</v>
      </c>
      <c r="C119" t="s">
        <v>22</v>
      </c>
      <c r="D119" t="s">
        <v>15</v>
      </c>
      <c r="E119" s="5">
        <v>87487.5</v>
      </c>
      <c r="F119" t="s">
        <v>1200</v>
      </c>
      <c r="G119" t="s">
        <v>520</v>
      </c>
      <c r="H119" t="s">
        <v>16</v>
      </c>
    </row>
    <row r="120" spans="1:8" x14ac:dyDescent="0.3">
      <c r="A120" t="s">
        <v>45</v>
      </c>
      <c r="B120" t="s">
        <v>20</v>
      </c>
      <c r="C120" t="s">
        <v>27</v>
      </c>
      <c r="D120" t="s">
        <v>42</v>
      </c>
      <c r="E120" s="5">
        <v>76485</v>
      </c>
      <c r="F120" t="s">
        <v>2459</v>
      </c>
      <c r="G120" t="s">
        <v>959</v>
      </c>
      <c r="H120" t="s">
        <v>14</v>
      </c>
    </row>
    <row r="121" spans="1:8" x14ac:dyDescent="0.3">
      <c r="A121" t="s">
        <v>19</v>
      </c>
      <c r="B121" t="s">
        <v>135</v>
      </c>
      <c r="C121" t="s">
        <v>14</v>
      </c>
      <c r="D121" t="s">
        <v>37</v>
      </c>
      <c r="E121" s="5">
        <v>164670.5</v>
      </c>
      <c r="F121" t="s">
        <v>3558</v>
      </c>
      <c r="G121" t="s">
        <v>2692</v>
      </c>
      <c r="H121" t="s">
        <v>69</v>
      </c>
    </row>
    <row r="122" spans="1:8" x14ac:dyDescent="0.3">
      <c r="A122" t="s">
        <v>19</v>
      </c>
      <c r="B122" t="s">
        <v>35</v>
      </c>
      <c r="C122" t="s">
        <v>27</v>
      </c>
      <c r="D122" t="s">
        <v>37</v>
      </c>
      <c r="E122" s="5">
        <v>166314</v>
      </c>
      <c r="F122" t="s">
        <v>2015</v>
      </c>
      <c r="G122" t="s">
        <v>1029</v>
      </c>
      <c r="H122" t="s">
        <v>14</v>
      </c>
    </row>
    <row r="123" spans="1:8" x14ac:dyDescent="0.3">
      <c r="A123" t="s">
        <v>40</v>
      </c>
      <c r="B123" t="s">
        <v>25</v>
      </c>
      <c r="C123" t="s">
        <v>14</v>
      </c>
      <c r="D123" t="s">
        <v>42</v>
      </c>
      <c r="E123" s="5">
        <v>87962.5</v>
      </c>
      <c r="F123" t="s">
        <v>3846</v>
      </c>
      <c r="G123" t="s">
        <v>77</v>
      </c>
      <c r="H123" t="s">
        <v>14</v>
      </c>
    </row>
    <row r="124" spans="1:8" x14ac:dyDescent="0.3">
      <c r="A124" t="s">
        <v>11</v>
      </c>
      <c r="B124" t="s">
        <v>67</v>
      </c>
      <c r="C124" t="s">
        <v>27</v>
      </c>
      <c r="D124" t="s">
        <v>15</v>
      </c>
      <c r="E124" s="5">
        <v>131722</v>
      </c>
      <c r="F124" t="s">
        <v>2037</v>
      </c>
      <c r="G124" t="s">
        <v>70</v>
      </c>
      <c r="H124" t="s">
        <v>14</v>
      </c>
    </row>
    <row r="125" spans="1:8" x14ac:dyDescent="0.3">
      <c r="A125" t="s">
        <v>45</v>
      </c>
      <c r="B125" t="s">
        <v>135</v>
      </c>
      <c r="C125" t="s">
        <v>22</v>
      </c>
      <c r="D125" t="s">
        <v>37</v>
      </c>
      <c r="E125" s="5">
        <v>56477</v>
      </c>
      <c r="F125" t="s">
        <v>2999</v>
      </c>
      <c r="G125" t="s">
        <v>1131</v>
      </c>
      <c r="H125" t="s">
        <v>69</v>
      </c>
    </row>
    <row r="126" spans="1:8" x14ac:dyDescent="0.3">
      <c r="A126" t="s">
        <v>11</v>
      </c>
      <c r="B126" t="s">
        <v>54</v>
      </c>
      <c r="C126" t="s">
        <v>14</v>
      </c>
      <c r="D126" t="s">
        <v>15</v>
      </c>
      <c r="E126" s="5">
        <v>66203</v>
      </c>
      <c r="F126" t="s">
        <v>2966</v>
      </c>
      <c r="G126" t="s">
        <v>526</v>
      </c>
      <c r="H126" t="s">
        <v>14</v>
      </c>
    </row>
    <row r="127" spans="1:8" x14ac:dyDescent="0.3">
      <c r="A127" t="s">
        <v>11</v>
      </c>
      <c r="B127" t="s">
        <v>30</v>
      </c>
      <c r="C127" t="s">
        <v>14</v>
      </c>
      <c r="D127" t="s">
        <v>15</v>
      </c>
      <c r="E127" s="5">
        <v>129108</v>
      </c>
      <c r="F127" t="s">
        <v>396</v>
      </c>
      <c r="G127" t="s">
        <v>221</v>
      </c>
      <c r="H127" t="s">
        <v>16</v>
      </c>
    </row>
    <row r="128" spans="1:8" x14ac:dyDescent="0.3">
      <c r="A128" t="s">
        <v>11</v>
      </c>
      <c r="B128" t="s">
        <v>20</v>
      </c>
      <c r="C128" t="s">
        <v>14</v>
      </c>
      <c r="D128" t="s">
        <v>37</v>
      </c>
      <c r="E128" s="5">
        <v>103692.5</v>
      </c>
      <c r="F128" t="s">
        <v>3492</v>
      </c>
      <c r="G128" t="s">
        <v>1680</v>
      </c>
      <c r="H128" t="s">
        <v>14</v>
      </c>
    </row>
    <row r="129" spans="1:8" x14ac:dyDescent="0.3">
      <c r="A129" t="s">
        <v>49</v>
      </c>
      <c r="B129" t="s">
        <v>35</v>
      </c>
      <c r="C129" t="s">
        <v>27</v>
      </c>
      <c r="D129" t="s">
        <v>51</v>
      </c>
      <c r="E129" s="5">
        <v>170353</v>
      </c>
      <c r="F129" t="s">
        <v>706</v>
      </c>
      <c r="G129" t="s">
        <v>353</v>
      </c>
      <c r="H129" t="s">
        <v>16</v>
      </c>
    </row>
    <row r="130" spans="1:8" x14ac:dyDescent="0.3">
      <c r="A130" t="s">
        <v>34</v>
      </c>
      <c r="B130" t="s">
        <v>20</v>
      </c>
      <c r="C130" t="s">
        <v>22</v>
      </c>
      <c r="D130" t="s">
        <v>51</v>
      </c>
      <c r="E130" s="5">
        <v>85215.5</v>
      </c>
      <c r="F130" t="s">
        <v>3288</v>
      </c>
      <c r="G130" t="s">
        <v>447</v>
      </c>
      <c r="H130" t="s">
        <v>16</v>
      </c>
    </row>
    <row r="131" spans="1:8" x14ac:dyDescent="0.3">
      <c r="A131" t="s">
        <v>49</v>
      </c>
      <c r="B131" t="s">
        <v>25</v>
      </c>
      <c r="C131" t="s">
        <v>22</v>
      </c>
      <c r="D131" t="s">
        <v>42</v>
      </c>
      <c r="E131" s="5">
        <v>110571.5</v>
      </c>
      <c r="F131" t="s">
        <v>2463</v>
      </c>
      <c r="G131" t="s">
        <v>299</v>
      </c>
      <c r="H131" t="s">
        <v>16</v>
      </c>
    </row>
    <row r="132" spans="1:8" x14ac:dyDescent="0.3">
      <c r="A132" t="s">
        <v>45</v>
      </c>
      <c r="B132" t="s">
        <v>12</v>
      </c>
      <c r="C132" t="s">
        <v>22</v>
      </c>
      <c r="D132" t="s">
        <v>37</v>
      </c>
      <c r="E132" s="5">
        <v>176793.5</v>
      </c>
      <c r="F132" t="s">
        <v>2779</v>
      </c>
      <c r="G132" t="s">
        <v>520</v>
      </c>
      <c r="H132" t="s">
        <v>16</v>
      </c>
    </row>
    <row r="133" spans="1:8" x14ac:dyDescent="0.3">
      <c r="A133" t="s">
        <v>40</v>
      </c>
      <c r="B133" t="s">
        <v>20</v>
      </c>
      <c r="C133" t="s">
        <v>27</v>
      </c>
      <c r="D133" t="s">
        <v>37</v>
      </c>
      <c r="E133" s="5">
        <v>118823</v>
      </c>
      <c r="F133" t="s">
        <v>176</v>
      </c>
      <c r="G133" t="s">
        <v>177</v>
      </c>
      <c r="H133" t="s">
        <v>14</v>
      </c>
    </row>
    <row r="134" spans="1:8" x14ac:dyDescent="0.3">
      <c r="A134" t="s">
        <v>45</v>
      </c>
      <c r="B134" t="s">
        <v>25</v>
      </c>
      <c r="C134" t="s">
        <v>27</v>
      </c>
      <c r="D134" t="s">
        <v>42</v>
      </c>
      <c r="E134" s="5">
        <v>107183</v>
      </c>
      <c r="F134" t="s">
        <v>4164</v>
      </c>
      <c r="G134" t="s">
        <v>157</v>
      </c>
      <c r="H134" t="s">
        <v>69</v>
      </c>
    </row>
    <row r="135" spans="1:8" x14ac:dyDescent="0.3">
      <c r="A135" t="s">
        <v>49</v>
      </c>
      <c r="B135" t="s">
        <v>30</v>
      </c>
      <c r="C135" t="s">
        <v>22</v>
      </c>
      <c r="D135" t="s">
        <v>37</v>
      </c>
      <c r="E135" s="5">
        <v>117295</v>
      </c>
      <c r="F135" t="s">
        <v>1603</v>
      </c>
      <c r="G135" t="s">
        <v>1476</v>
      </c>
      <c r="H135" t="s">
        <v>16</v>
      </c>
    </row>
    <row r="136" spans="1:8" x14ac:dyDescent="0.3">
      <c r="A136" t="s">
        <v>34</v>
      </c>
      <c r="B136" t="s">
        <v>135</v>
      </c>
      <c r="C136" t="s">
        <v>14</v>
      </c>
      <c r="D136" t="s">
        <v>37</v>
      </c>
      <c r="E136" s="5">
        <v>164629.5</v>
      </c>
      <c r="F136" t="s">
        <v>2775</v>
      </c>
      <c r="G136" t="s">
        <v>70</v>
      </c>
      <c r="H136" t="s">
        <v>16</v>
      </c>
    </row>
    <row r="137" spans="1:8" x14ac:dyDescent="0.3">
      <c r="A137" t="s">
        <v>34</v>
      </c>
      <c r="B137" t="s">
        <v>25</v>
      </c>
      <c r="C137" t="s">
        <v>22</v>
      </c>
      <c r="D137" t="s">
        <v>37</v>
      </c>
      <c r="E137" s="5">
        <v>188178.5</v>
      </c>
      <c r="F137" t="s">
        <v>2023</v>
      </c>
      <c r="G137" t="s">
        <v>90</v>
      </c>
      <c r="H137" t="s">
        <v>16</v>
      </c>
    </row>
    <row r="138" spans="1:8" x14ac:dyDescent="0.3">
      <c r="A138" t="s">
        <v>72</v>
      </c>
      <c r="B138" t="s">
        <v>54</v>
      </c>
      <c r="C138" t="s">
        <v>27</v>
      </c>
      <c r="D138" t="s">
        <v>51</v>
      </c>
      <c r="E138" s="5">
        <v>125265</v>
      </c>
      <c r="F138" t="s">
        <v>2927</v>
      </c>
      <c r="G138" t="s">
        <v>128</v>
      </c>
      <c r="H138" t="s">
        <v>16</v>
      </c>
    </row>
    <row r="139" spans="1:8" x14ac:dyDescent="0.3">
      <c r="A139" t="s">
        <v>49</v>
      </c>
      <c r="B139" t="s">
        <v>30</v>
      </c>
      <c r="C139" t="s">
        <v>14</v>
      </c>
      <c r="D139" t="s">
        <v>15</v>
      </c>
      <c r="E139" s="5">
        <v>179743.5</v>
      </c>
      <c r="F139" t="s">
        <v>663</v>
      </c>
      <c r="G139" t="s">
        <v>386</v>
      </c>
      <c r="H139" t="s">
        <v>69</v>
      </c>
    </row>
    <row r="140" spans="1:8" x14ac:dyDescent="0.3">
      <c r="A140" t="s">
        <v>11</v>
      </c>
      <c r="B140" t="s">
        <v>25</v>
      </c>
      <c r="C140" t="s">
        <v>14</v>
      </c>
      <c r="D140" t="s">
        <v>37</v>
      </c>
      <c r="E140" s="5">
        <v>64979.5</v>
      </c>
      <c r="F140" t="s">
        <v>326</v>
      </c>
      <c r="G140" t="s">
        <v>101</v>
      </c>
      <c r="H140" t="s">
        <v>14</v>
      </c>
    </row>
    <row r="141" spans="1:8" x14ac:dyDescent="0.3">
      <c r="A141" t="s">
        <v>40</v>
      </c>
      <c r="B141" t="s">
        <v>30</v>
      </c>
      <c r="C141" t="s">
        <v>27</v>
      </c>
      <c r="D141" t="s">
        <v>42</v>
      </c>
      <c r="E141" s="5">
        <v>150133.5</v>
      </c>
      <c r="F141" t="s">
        <v>4075</v>
      </c>
      <c r="G141" t="s">
        <v>3514</v>
      </c>
      <c r="H141" t="s">
        <v>14</v>
      </c>
    </row>
    <row r="142" spans="1:8" x14ac:dyDescent="0.3">
      <c r="A142" t="s">
        <v>72</v>
      </c>
      <c r="B142" t="s">
        <v>35</v>
      </c>
      <c r="C142" t="s">
        <v>27</v>
      </c>
      <c r="D142" t="s">
        <v>42</v>
      </c>
      <c r="E142" s="5">
        <v>165923</v>
      </c>
      <c r="F142" t="s">
        <v>2583</v>
      </c>
      <c r="G142" t="s">
        <v>491</v>
      </c>
      <c r="H142" t="s">
        <v>16</v>
      </c>
    </row>
    <row r="143" spans="1:8" x14ac:dyDescent="0.3">
      <c r="A143" t="s">
        <v>40</v>
      </c>
      <c r="B143" t="s">
        <v>67</v>
      </c>
      <c r="C143" t="s">
        <v>27</v>
      </c>
      <c r="D143" t="s">
        <v>37</v>
      </c>
      <c r="E143" s="5">
        <v>163559</v>
      </c>
      <c r="F143" t="s">
        <v>2943</v>
      </c>
      <c r="G143" t="s">
        <v>98</v>
      </c>
      <c r="H143" t="s">
        <v>16</v>
      </c>
    </row>
    <row r="144" spans="1:8" x14ac:dyDescent="0.3">
      <c r="A144" t="s">
        <v>19</v>
      </c>
      <c r="B144" t="s">
        <v>12</v>
      </c>
      <c r="C144" t="s">
        <v>14</v>
      </c>
      <c r="D144" t="s">
        <v>37</v>
      </c>
      <c r="E144" s="5">
        <v>161544.5</v>
      </c>
      <c r="F144" t="s">
        <v>1467</v>
      </c>
      <c r="G144" t="s">
        <v>1468</v>
      </c>
      <c r="H144" t="s">
        <v>16</v>
      </c>
    </row>
    <row r="145" spans="1:8" x14ac:dyDescent="0.3">
      <c r="A145" t="s">
        <v>19</v>
      </c>
      <c r="B145" t="s">
        <v>54</v>
      </c>
      <c r="C145" t="s">
        <v>14</v>
      </c>
      <c r="D145" t="s">
        <v>37</v>
      </c>
      <c r="E145" s="5">
        <v>146570.5</v>
      </c>
      <c r="F145" t="s">
        <v>1763</v>
      </c>
      <c r="G145" t="s">
        <v>1764</v>
      </c>
      <c r="H145" t="s">
        <v>16</v>
      </c>
    </row>
    <row r="146" spans="1:8" x14ac:dyDescent="0.3">
      <c r="A146" t="s">
        <v>45</v>
      </c>
      <c r="B146" t="s">
        <v>67</v>
      </c>
      <c r="C146" t="s">
        <v>22</v>
      </c>
      <c r="D146" t="s">
        <v>42</v>
      </c>
      <c r="E146" s="5">
        <v>163002</v>
      </c>
      <c r="F146" t="s">
        <v>576</v>
      </c>
      <c r="G146" t="s">
        <v>391</v>
      </c>
      <c r="H146" t="s">
        <v>14</v>
      </c>
    </row>
    <row r="147" spans="1:8" x14ac:dyDescent="0.3">
      <c r="A147" t="s">
        <v>34</v>
      </c>
      <c r="B147" t="s">
        <v>67</v>
      </c>
      <c r="C147" t="s">
        <v>22</v>
      </c>
      <c r="D147" t="s">
        <v>37</v>
      </c>
      <c r="E147" s="5">
        <v>102030.5</v>
      </c>
      <c r="F147" t="s">
        <v>1997</v>
      </c>
      <c r="G147" t="s">
        <v>101</v>
      </c>
      <c r="H147" t="s">
        <v>14</v>
      </c>
    </row>
    <row r="148" spans="1:8" x14ac:dyDescent="0.3">
      <c r="A148" t="s">
        <v>19</v>
      </c>
      <c r="B148" t="s">
        <v>30</v>
      </c>
      <c r="C148" t="s">
        <v>27</v>
      </c>
      <c r="D148" t="s">
        <v>51</v>
      </c>
      <c r="E148" s="5">
        <v>117034</v>
      </c>
      <c r="F148" t="s">
        <v>4098</v>
      </c>
      <c r="G148" t="s">
        <v>232</v>
      </c>
      <c r="H148" t="s">
        <v>14</v>
      </c>
    </row>
    <row r="149" spans="1:8" x14ac:dyDescent="0.3">
      <c r="A149" t="s">
        <v>72</v>
      </c>
      <c r="B149" t="s">
        <v>12</v>
      </c>
      <c r="C149" t="s">
        <v>27</v>
      </c>
      <c r="D149" t="s">
        <v>51</v>
      </c>
      <c r="E149" s="5">
        <v>109084</v>
      </c>
      <c r="F149" t="s">
        <v>4012</v>
      </c>
      <c r="G149" t="s">
        <v>90</v>
      </c>
      <c r="H149" t="s">
        <v>14</v>
      </c>
    </row>
    <row r="150" spans="1:8" x14ac:dyDescent="0.3">
      <c r="A150" t="s">
        <v>40</v>
      </c>
      <c r="B150" t="s">
        <v>135</v>
      </c>
      <c r="C150" t="s">
        <v>27</v>
      </c>
      <c r="D150" t="s">
        <v>51</v>
      </c>
      <c r="E150" s="5">
        <v>117659.5</v>
      </c>
      <c r="F150" t="s">
        <v>210</v>
      </c>
      <c r="G150" t="s">
        <v>43</v>
      </c>
      <c r="H150" t="s">
        <v>69</v>
      </c>
    </row>
    <row r="151" spans="1:8" x14ac:dyDescent="0.3">
      <c r="A151" t="s">
        <v>45</v>
      </c>
      <c r="B151" t="s">
        <v>135</v>
      </c>
      <c r="C151" t="s">
        <v>27</v>
      </c>
      <c r="D151" t="s">
        <v>42</v>
      </c>
      <c r="E151" s="5">
        <v>103877.5</v>
      </c>
      <c r="F151" t="s">
        <v>2949</v>
      </c>
      <c r="G151" t="s">
        <v>157</v>
      </c>
      <c r="H151" t="s">
        <v>16</v>
      </c>
    </row>
    <row r="152" spans="1:8" x14ac:dyDescent="0.3">
      <c r="A152" t="s">
        <v>49</v>
      </c>
      <c r="B152" t="s">
        <v>25</v>
      </c>
      <c r="C152" t="s">
        <v>14</v>
      </c>
      <c r="D152" t="s">
        <v>42</v>
      </c>
      <c r="E152" s="5">
        <v>160279.5</v>
      </c>
      <c r="F152" t="s">
        <v>1242</v>
      </c>
      <c r="G152" t="s">
        <v>1243</v>
      </c>
      <c r="H152" t="s">
        <v>16</v>
      </c>
    </row>
    <row r="153" spans="1:8" x14ac:dyDescent="0.3">
      <c r="A153" t="s">
        <v>49</v>
      </c>
      <c r="B153" t="s">
        <v>20</v>
      </c>
      <c r="C153" t="s">
        <v>14</v>
      </c>
      <c r="D153" t="s">
        <v>15</v>
      </c>
      <c r="E153" s="5">
        <v>106946</v>
      </c>
      <c r="F153" t="s">
        <v>3850</v>
      </c>
      <c r="G153" t="s">
        <v>1979</v>
      </c>
      <c r="H153" t="s">
        <v>16</v>
      </c>
    </row>
    <row r="154" spans="1:8" x14ac:dyDescent="0.3">
      <c r="A154" t="s">
        <v>72</v>
      </c>
      <c r="B154" t="s">
        <v>30</v>
      </c>
      <c r="C154" t="s">
        <v>27</v>
      </c>
      <c r="D154" t="s">
        <v>51</v>
      </c>
      <c r="E154" s="5">
        <v>98893.5</v>
      </c>
      <c r="F154" t="s">
        <v>2112</v>
      </c>
      <c r="G154" t="s">
        <v>154</v>
      </c>
      <c r="H154" t="s">
        <v>16</v>
      </c>
    </row>
    <row r="155" spans="1:8" x14ac:dyDescent="0.3">
      <c r="A155" t="s">
        <v>49</v>
      </c>
      <c r="B155" t="s">
        <v>67</v>
      </c>
      <c r="C155" t="s">
        <v>27</v>
      </c>
      <c r="D155" t="s">
        <v>51</v>
      </c>
      <c r="E155" s="5">
        <v>143409</v>
      </c>
      <c r="F155" t="s">
        <v>2112</v>
      </c>
      <c r="G155" t="s">
        <v>1437</v>
      </c>
      <c r="H155" t="s">
        <v>14</v>
      </c>
    </row>
    <row r="156" spans="1:8" x14ac:dyDescent="0.3">
      <c r="A156" t="s">
        <v>49</v>
      </c>
      <c r="B156" t="s">
        <v>30</v>
      </c>
      <c r="C156" t="s">
        <v>27</v>
      </c>
      <c r="D156" t="s">
        <v>42</v>
      </c>
      <c r="E156" s="5">
        <v>130580.5</v>
      </c>
      <c r="F156" t="s">
        <v>2562</v>
      </c>
      <c r="G156" t="s">
        <v>52</v>
      </c>
      <c r="H156" t="s">
        <v>69</v>
      </c>
    </row>
    <row r="157" spans="1:8" x14ac:dyDescent="0.3">
      <c r="A157" t="s">
        <v>49</v>
      </c>
      <c r="B157" t="s">
        <v>25</v>
      </c>
      <c r="C157" t="s">
        <v>22</v>
      </c>
      <c r="D157" t="s">
        <v>42</v>
      </c>
      <c r="E157" s="5">
        <v>137810.5</v>
      </c>
      <c r="F157" t="s">
        <v>2167</v>
      </c>
      <c r="G157" t="s">
        <v>70</v>
      </c>
      <c r="H157" t="s">
        <v>69</v>
      </c>
    </row>
    <row r="158" spans="1:8" x14ac:dyDescent="0.3">
      <c r="A158" t="s">
        <v>72</v>
      </c>
      <c r="B158" t="s">
        <v>54</v>
      </c>
      <c r="C158" t="s">
        <v>14</v>
      </c>
      <c r="D158" t="s">
        <v>37</v>
      </c>
      <c r="E158" s="5">
        <v>82727</v>
      </c>
      <c r="F158" t="s">
        <v>528</v>
      </c>
      <c r="G158" t="s">
        <v>410</v>
      </c>
      <c r="H158" t="s">
        <v>14</v>
      </c>
    </row>
    <row r="159" spans="1:8" x14ac:dyDescent="0.3">
      <c r="A159" t="s">
        <v>40</v>
      </c>
      <c r="B159" t="s">
        <v>54</v>
      </c>
      <c r="C159" t="s">
        <v>27</v>
      </c>
      <c r="D159" t="s">
        <v>51</v>
      </c>
      <c r="E159" s="5">
        <v>128946</v>
      </c>
      <c r="F159" t="s">
        <v>733</v>
      </c>
      <c r="G159" t="s">
        <v>734</v>
      </c>
      <c r="H159" t="s">
        <v>69</v>
      </c>
    </row>
    <row r="160" spans="1:8" x14ac:dyDescent="0.3">
      <c r="A160" t="s">
        <v>11</v>
      </c>
      <c r="B160" t="s">
        <v>25</v>
      </c>
      <c r="C160" t="s">
        <v>22</v>
      </c>
      <c r="D160" t="s">
        <v>51</v>
      </c>
      <c r="E160" s="5">
        <v>124161</v>
      </c>
      <c r="F160" t="s">
        <v>1707</v>
      </c>
      <c r="G160" t="s">
        <v>779</v>
      </c>
      <c r="H160" t="s">
        <v>14</v>
      </c>
    </row>
    <row r="161" spans="1:8" x14ac:dyDescent="0.3">
      <c r="A161" t="s">
        <v>45</v>
      </c>
      <c r="B161" t="s">
        <v>35</v>
      </c>
      <c r="C161" t="s">
        <v>27</v>
      </c>
      <c r="D161" t="s">
        <v>42</v>
      </c>
      <c r="E161" s="5">
        <v>79436.5</v>
      </c>
      <c r="F161" t="s">
        <v>1582</v>
      </c>
      <c r="G161" t="s">
        <v>98</v>
      </c>
      <c r="H161" t="s">
        <v>69</v>
      </c>
    </row>
    <row r="162" spans="1:8" x14ac:dyDescent="0.3">
      <c r="A162" t="s">
        <v>19</v>
      </c>
      <c r="B162" t="s">
        <v>25</v>
      </c>
      <c r="C162" t="s">
        <v>14</v>
      </c>
      <c r="D162" t="s">
        <v>15</v>
      </c>
      <c r="E162" s="5">
        <v>139935.5</v>
      </c>
      <c r="F162" t="s">
        <v>836</v>
      </c>
      <c r="G162" t="s">
        <v>837</v>
      </c>
      <c r="H162" t="s">
        <v>14</v>
      </c>
    </row>
    <row r="163" spans="1:8" x14ac:dyDescent="0.3">
      <c r="A163" t="s">
        <v>72</v>
      </c>
      <c r="B163" t="s">
        <v>67</v>
      </c>
      <c r="C163" t="s">
        <v>27</v>
      </c>
      <c r="D163" t="s">
        <v>51</v>
      </c>
      <c r="E163" s="5">
        <v>169207</v>
      </c>
      <c r="F163" t="s">
        <v>2741</v>
      </c>
      <c r="G163" t="s">
        <v>270</v>
      </c>
      <c r="H163" t="s">
        <v>14</v>
      </c>
    </row>
    <row r="164" spans="1:8" x14ac:dyDescent="0.3">
      <c r="A164" t="s">
        <v>72</v>
      </c>
      <c r="B164" t="s">
        <v>12</v>
      </c>
      <c r="C164" t="s">
        <v>27</v>
      </c>
      <c r="D164" t="s">
        <v>15</v>
      </c>
      <c r="E164" s="5">
        <v>171198.5</v>
      </c>
      <c r="F164" t="s">
        <v>984</v>
      </c>
      <c r="G164" t="s">
        <v>985</v>
      </c>
      <c r="H164" t="s">
        <v>16</v>
      </c>
    </row>
    <row r="165" spans="1:8" x14ac:dyDescent="0.3">
      <c r="A165" t="s">
        <v>11</v>
      </c>
      <c r="B165" t="s">
        <v>20</v>
      </c>
      <c r="C165" t="s">
        <v>14</v>
      </c>
      <c r="D165" t="s">
        <v>15</v>
      </c>
      <c r="E165" s="5">
        <v>76979.5</v>
      </c>
      <c r="F165" t="s">
        <v>849</v>
      </c>
      <c r="G165" t="s">
        <v>101</v>
      </c>
      <c r="H165" t="s">
        <v>14</v>
      </c>
    </row>
    <row r="166" spans="1:8" x14ac:dyDescent="0.3">
      <c r="A166" t="s">
        <v>49</v>
      </c>
      <c r="B166" t="s">
        <v>54</v>
      </c>
      <c r="C166" t="s">
        <v>14</v>
      </c>
      <c r="D166" t="s">
        <v>51</v>
      </c>
      <c r="E166" s="5">
        <v>120895.5</v>
      </c>
      <c r="F166" t="s">
        <v>1562</v>
      </c>
      <c r="G166" t="s">
        <v>52</v>
      </c>
      <c r="H166" t="s">
        <v>69</v>
      </c>
    </row>
    <row r="167" spans="1:8" x14ac:dyDescent="0.3">
      <c r="A167" t="s">
        <v>45</v>
      </c>
      <c r="B167" t="s">
        <v>67</v>
      </c>
      <c r="C167" t="s">
        <v>22</v>
      </c>
      <c r="D167" t="s">
        <v>15</v>
      </c>
      <c r="E167" s="5">
        <v>109009</v>
      </c>
      <c r="F167" t="s">
        <v>820</v>
      </c>
      <c r="G167" t="s">
        <v>347</v>
      </c>
      <c r="H167" t="s">
        <v>16</v>
      </c>
    </row>
    <row r="168" spans="1:8" x14ac:dyDescent="0.3">
      <c r="A168" t="s">
        <v>45</v>
      </c>
      <c r="B168" t="s">
        <v>54</v>
      </c>
      <c r="C168" t="s">
        <v>27</v>
      </c>
      <c r="D168" t="s">
        <v>51</v>
      </c>
      <c r="E168" s="5">
        <v>138483.5</v>
      </c>
      <c r="F168" t="s">
        <v>2478</v>
      </c>
      <c r="G168" t="s">
        <v>206</v>
      </c>
      <c r="H168" t="s">
        <v>16</v>
      </c>
    </row>
    <row r="169" spans="1:8" x14ac:dyDescent="0.3">
      <c r="A169" t="s">
        <v>45</v>
      </c>
      <c r="B169" t="s">
        <v>30</v>
      </c>
      <c r="C169" t="s">
        <v>27</v>
      </c>
      <c r="D169" t="s">
        <v>15</v>
      </c>
      <c r="E169" s="5">
        <v>96634.5</v>
      </c>
      <c r="F169" t="s">
        <v>3041</v>
      </c>
      <c r="G169" t="s">
        <v>268</v>
      </c>
      <c r="H169" t="s">
        <v>14</v>
      </c>
    </row>
    <row r="170" spans="1:8" x14ac:dyDescent="0.3">
      <c r="A170" t="s">
        <v>40</v>
      </c>
      <c r="B170" t="s">
        <v>20</v>
      </c>
      <c r="C170" t="s">
        <v>27</v>
      </c>
      <c r="D170" t="s">
        <v>37</v>
      </c>
      <c r="E170" s="5">
        <v>110871.5</v>
      </c>
      <c r="F170" t="s">
        <v>2138</v>
      </c>
      <c r="G170" t="s">
        <v>128</v>
      </c>
      <c r="H170" t="s">
        <v>16</v>
      </c>
    </row>
    <row r="171" spans="1:8" x14ac:dyDescent="0.3">
      <c r="A171" t="s">
        <v>34</v>
      </c>
      <c r="B171" t="s">
        <v>20</v>
      </c>
      <c r="C171" t="s">
        <v>14</v>
      </c>
      <c r="D171" t="s">
        <v>42</v>
      </c>
      <c r="E171" s="5">
        <v>163336.5</v>
      </c>
      <c r="F171" t="s">
        <v>3270</v>
      </c>
      <c r="G171" t="s">
        <v>1131</v>
      </c>
      <c r="H171" t="s">
        <v>14</v>
      </c>
    </row>
    <row r="172" spans="1:8" x14ac:dyDescent="0.3">
      <c r="A172" t="s">
        <v>49</v>
      </c>
      <c r="B172" t="s">
        <v>30</v>
      </c>
      <c r="C172" t="s">
        <v>14</v>
      </c>
      <c r="D172" t="s">
        <v>42</v>
      </c>
      <c r="E172" s="5">
        <v>174384.5</v>
      </c>
      <c r="F172" t="s">
        <v>2219</v>
      </c>
      <c r="G172" t="s">
        <v>268</v>
      </c>
      <c r="H172" t="s">
        <v>14</v>
      </c>
    </row>
    <row r="173" spans="1:8" x14ac:dyDescent="0.3">
      <c r="A173" t="s">
        <v>72</v>
      </c>
      <c r="B173" t="s">
        <v>54</v>
      </c>
      <c r="C173" t="s">
        <v>27</v>
      </c>
      <c r="D173" t="s">
        <v>37</v>
      </c>
      <c r="E173" s="5">
        <v>187984.5</v>
      </c>
      <c r="F173" t="s">
        <v>3852</v>
      </c>
      <c r="G173" t="s">
        <v>462</v>
      </c>
      <c r="H173" t="s">
        <v>14</v>
      </c>
    </row>
    <row r="174" spans="1:8" x14ac:dyDescent="0.3">
      <c r="A174" t="s">
        <v>49</v>
      </c>
      <c r="B174" t="s">
        <v>135</v>
      </c>
      <c r="C174" t="s">
        <v>27</v>
      </c>
      <c r="D174" t="s">
        <v>42</v>
      </c>
      <c r="E174" s="5">
        <v>149251.5</v>
      </c>
      <c r="F174" t="s">
        <v>1677</v>
      </c>
      <c r="G174" t="s">
        <v>714</v>
      </c>
      <c r="H174" t="s">
        <v>69</v>
      </c>
    </row>
    <row r="175" spans="1:8" x14ac:dyDescent="0.3">
      <c r="A175" t="s">
        <v>40</v>
      </c>
      <c r="B175" t="s">
        <v>25</v>
      </c>
      <c r="C175" t="s">
        <v>14</v>
      </c>
      <c r="D175" t="s">
        <v>42</v>
      </c>
      <c r="E175" s="5">
        <v>79176</v>
      </c>
      <c r="F175" t="s">
        <v>2997</v>
      </c>
      <c r="G175" t="s">
        <v>128</v>
      </c>
      <c r="H175" t="s">
        <v>69</v>
      </c>
    </row>
    <row r="176" spans="1:8" x14ac:dyDescent="0.3">
      <c r="A176" t="s">
        <v>19</v>
      </c>
      <c r="B176" t="s">
        <v>25</v>
      </c>
      <c r="C176" t="s">
        <v>14</v>
      </c>
      <c r="D176" t="s">
        <v>37</v>
      </c>
      <c r="E176" s="5">
        <v>70078.5</v>
      </c>
      <c r="F176" t="s">
        <v>541</v>
      </c>
      <c r="G176" t="s">
        <v>216</v>
      </c>
      <c r="H176" t="s">
        <v>14</v>
      </c>
    </row>
    <row r="177" spans="1:8" x14ac:dyDescent="0.3">
      <c r="A177" t="s">
        <v>45</v>
      </c>
      <c r="B177" t="s">
        <v>135</v>
      </c>
      <c r="C177" t="s">
        <v>27</v>
      </c>
      <c r="D177" t="s">
        <v>15</v>
      </c>
      <c r="E177" s="5">
        <v>119475</v>
      </c>
      <c r="F177" t="s">
        <v>1569</v>
      </c>
      <c r="G177" t="s">
        <v>80</v>
      </c>
      <c r="H177" t="s">
        <v>69</v>
      </c>
    </row>
    <row r="178" spans="1:8" x14ac:dyDescent="0.3">
      <c r="A178" t="s">
        <v>49</v>
      </c>
      <c r="B178" t="s">
        <v>20</v>
      </c>
      <c r="C178" t="s">
        <v>27</v>
      </c>
      <c r="D178" t="s">
        <v>51</v>
      </c>
      <c r="E178" s="5">
        <v>140420</v>
      </c>
      <c r="F178" t="s">
        <v>2991</v>
      </c>
      <c r="G178" t="s">
        <v>90</v>
      </c>
      <c r="H178" t="s">
        <v>69</v>
      </c>
    </row>
    <row r="179" spans="1:8" x14ac:dyDescent="0.3">
      <c r="A179" t="s">
        <v>72</v>
      </c>
      <c r="B179" t="s">
        <v>30</v>
      </c>
      <c r="C179" t="s">
        <v>14</v>
      </c>
      <c r="D179" t="s">
        <v>42</v>
      </c>
      <c r="E179" s="5">
        <v>113454.5</v>
      </c>
      <c r="F179" t="s">
        <v>778</v>
      </c>
      <c r="G179" t="s">
        <v>779</v>
      </c>
      <c r="H179" t="s">
        <v>16</v>
      </c>
    </row>
    <row r="180" spans="1:8" x14ac:dyDescent="0.3">
      <c r="A180" t="s">
        <v>40</v>
      </c>
      <c r="B180" t="s">
        <v>35</v>
      </c>
      <c r="C180" t="s">
        <v>27</v>
      </c>
      <c r="D180" t="s">
        <v>42</v>
      </c>
      <c r="E180" s="5">
        <v>122116</v>
      </c>
      <c r="F180" t="s">
        <v>4160</v>
      </c>
      <c r="G180" t="s">
        <v>80</v>
      </c>
      <c r="H180" t="s">
        <v>16</v>
      </c>
    </row>
    <row r="181" spans="1:8" x14ac:dyDescent="0.3">
      <c r="A181" t="s">
        <v>19</v>
      </c>
      <c r="B181" t="s">
        <v>12</v>
      </c>
      <c r="C181" t="s">
        <v>14</v>
      </c>
      <c r="D181" t="s">
        <v>51</v>
      </c>
      <c r="E181" s="5">
        <v>107699.5</v>
      </c>
      <c r="F181" t="s">
        <v>4037</v>
      </c>
      <c r="G181" t="s">
        <v>507</v>
      </c>
      <c r="H181" t="s">
        <v>16</v>
      </c>
    </row>
    <row r="182" spans="1:8" x14ac:dyDescent="0.3">
      <c r="A182" t="s">
        <v>34</v>
      </c>
      <c r="B182" t="s">
        <v>54</v>
      </c>
      <c r="C182" t="s">
        <v>14</v>
      </c>
      <c r="D182" t="s">
        <v>15</v>
      </c>
      <c r="E182" s="5">
        <v>164294.5</v>
      </c>
      <c r="F182" t="s">
        <v>3710</v>
      </c>
      <c r="G182" t="s">
        <v>938</v>
      </c>
      <c r="H182" t="s">
        <v>69</v>
      </c>
    </row>
    <row r="183" spans="1:8" x14ac:dyDescent="0.3">
      <c r="A183" t="s">
        <v>72</v>
      </c>
      <c r="B183" t="s">
        <v>25</v>
      </c>
      <c r="C183" t="s">
        <v>14</v>
      </c>
      <c r="D183" t="s">
        <v>42</v>
      </c>
      <c r="E183" s="5">
        <v>104560</v>
      </c>
      <c r="F183" t="s">
        <v>3577</v>
      </c>
      <c r="G183" t="s">
        <v>450</v>
      </c>
      <c r="H183" t="s">
        <v>14</v>
      </c>
    </row>
    <row r="184" spans="1:8" x14ac:dyDescent="0.3">
      <c r="A184" t="s">
        <v>11</v>
      </c>
      <c r="B184" t="s">
        <v>35</v>
      </c>
      <c r="C184" t="s">
        <v>22</v>
      </c>
      <c r="D184" t="s">
        <v>51</v>
      </c>
      <c r="E184" s="5">
        <v>170542</v>
      </c>
      <c r="F184" t="s">
        <v>2951</v>
      </c>
      <c r="G184" t="s">
        <v>80</v>
      </c>
      <c r="H184" t="s">
        <v>16</v>
      </c>
    </row>
    <row r="185" spans="1:8" x14ac:dyDescent="0.3">
      <c r="A185" t="s">
        <v>34</v>
      </c>
      <c r="B185" t="s">
        <v>35</v>
      </c>
      <c r="C185" t="s">
        <v>14</v>
      </c>
      <c r="D185" t="s">
        <v>15</v>
      </c>
      <c r="E185" s="5">
        <v>141250.5</v>
      </c>
      <c r="F185" t="s">
        <v>1226</v>
      </c>
      <c r="G185" t="s">
        <v>80</v>
      </c>
      <c r="H185" t="s">
        <v>69</v>
      </c>
    </row>
    <row r="186" spans="1:8" x14ac:dyDescent="0.3">
      <c r="A186" t="s">
        <v>40</v>
      </c>
      <c r="B186" t="s">
        <v>20</v>
      </c>
      <c r="C186" t="s">
        <v>22</v>
      </c>
      <c r="D186" t="s">
        <v>37</v>
      </c>
      <c r="E186" s="5">
        <v>165443</v>
      </c>
      <c r="F186" t="s">
        <v>3031</v>
      </c>
      <c r="G186" t="s">
        <v>101</v>
      </c>
      <c r="H186" t="s">
        <v>69</v>
      </c>
    </row>
    <row r="187" spans="1:8" x14ac:dyDescent="0.3">
      <c r="A187" t="s">
        <v>19</v>
      </c>
      <c r="B187" t="s">
        <v>12</v>
      </c>
      <c r="C187" t="s">
        <v>14</v>
      </c>
      <c r="D187" t="s">
        <v>37</v>
      </c>
      <c r="E187" s="5">
        <v>74439</v>
      </c>
      <c r="F187" t="s">
        <v>724</v>
      </c>
      <c r="G187" t="s">
        <v>306</v>
      </c>
      <c r="H187" t="s">
        <v>14</v>
      </c>
    </row>
    <row r="188" spans="1:8" x14ac:dyDescent="0.3">
      <c r="A188" t="s">
        <v>34</v>
      </c>
      <c r="B188" t="s">
        <v>20</v>
      </c>
      <c r="C188" t="s">
        <v>22</v>
      </c>
      <c r="D188" t="s">
        <v>37</v>
      </c>
      <c r="E188" s="5">
        <v>115498</v>
      </c>
      <c r="F188" t="s">
        <v>357</v>
      </c>
      <c r="G188" t="s">
        <v>316</v>
      </c>
      <c r="H188" t="s">
        <v>69</v>
      </c>
    </row>
    <row r="189" spans="1:8" x14ac:dyDescent="0.3">
      <c r="A189" t="s">
        <v>40</v>
      </c>
      <c r="B189" t="s">
        <v>35</v>
      </c>
      <c r="C189" t="s">
        <v>22</v>
      </c>
      <c r="D189" t="s">
        <v>42</v>
      </c>
      <c r="E189" s="5">
        <v>90102.5</v>
      </c>
      <c r="F189" t="s">
        <v>844</v>
      </c>
      <c r="G189" t="s">
        <v>70</v>
      </c>
      <c r="H189" t="s">
        <v>69</v>
      </c>
    </row>
    <row r="190" spans="1:8" x14ac:dyDescent="0.3">
      <c r="A190" t="s">
        <v>45</v>
      </c>
      <c r="B190" t="s">
        <v>67</v>
      </c>
      <c r="C190" t="s">
        <v>14</v>
      </c>
      <c r="D190" t="s">
        <v>42</v>
      </c>
      <c r="E190" s="5">
        <v>99415</v>
      </c>
      <c r="F190" t="s">
        <v>2686</v>
      </c>
      <c r="G190" t="s">
        <v>157</v>
      </c>
      <c r="H190" t="s">
        <v>69</v>
      </c>
    </row>
    <row r="191" spans="1:8" x14ac:dyDescent="0.3">
      <c r="A191" t="s">
        <v>11</v>
      </c>
      <c r="B191" t="s">
        <v>30</v>
      </c>
      <c r="C191" t="s">
        <v>14</v>
      </c>
      <c r="D191" t="s">
        <v>42</v>
      </c>
      <c r="E191" s="5">
        <v>90494</v>
      </c>
      <c r="F191" t="s">
        <v>3001</v>
      </c>
      <c r="G191" t="s">
        <v>1398</v>
      </c>
      <c r="H191" t="s">
        <v>69</v>
      </c>
    </row>
    <row r="192" spans="1:8" x14ac:dyDescent="0.3">
      <c r="A192" t="s">
        <v>72</v>
      </c>
      <c r="B192" t="s">
        <v>12</v>
      </c>
      <c r="C192" t="s">
        <v>14</v>
      </c>
      <c r="D192" t="s">
        <v>42</v>
      </c>
      <c r="E192" s="5">
        <v>160023</v>
      </c>
      <c r="F192" t="s">
        <v>3094</v>
      </c>
      <c r="G192" t="s">
        <v>3095</v>
      </c>
      <c r="H192" t="s">
        <v>14</v>
      </c>
    </row>
    <row r="193" spans="1:8" x14ac:dyDescent="0.3">
      <c r="A193" t="s">
        <v>72</v>
      </c>
      <c r="B193" t="s">
        <v>67</v>
      </c>
      <c r="C193" t="s">
        <v>27</v>
      </c>
      <c r="D193" t="s">
        <v>51</v>
      </c>
      <c r="E193" s="5">
        <v>172666</v>
      </c>
      <c r="F193" t="s">
        <v>2913</v>
      </c>
      <c r="G193" t="s">
        <v>157</v>
      </c>
      <c r="H193" t="s">
        <v>69</v>
      </c>
    </row>
    <row r="194" spans="1:8" x14ac:dyDescent="0.3">
      <c r="A194" t="s">
        <v>49</v>
      </c>
      <c r="B194" t="s">
        <v>54</v>
      </c>
      <c r="C194" t="s">
        <v>27</v>
      </c>
      <c r="D194" t="s">
        <v>42</v>
      </c>
      <c r="E194" s="5">
        <v>155360</v>
      </c>
      <c r="F194" t="s">
        <v>1272</v>
      </c>
      <c r="G194" t="s">
        <v>270</v>
      </c>
      <c r="H194" t="s">
        <v>69</v>
      </c>
    </row>
    <row r="195" spans="1:8" x14ac:dyDescent="0.3">
      <c r="A195" t="s">
        <v>11</v>
      </c>
      <c r="B195" t="s">
        <v>20</v>
      </c>
      <c r="C195" t="s">
        <v>14</v>
      </c>
      <c r="D195" t="s">
        <v>37</v>
      </c>
      <c r="E195" s="5">
        <v>179113.5</v>
      </c>
      <c r="F195" t="s">
        <v>2648</v>
      </c>
      <c r="G195" t="s">
        <v>488</v>
      </c>
      <c r="H195" t="s">
        <v>14</v>
      </c>
    </row>
    <row r="196" spans="1:8" x14ac:dyDescent="0.3">
      <c r="A196" t="s">
        <v>72</v>
      </c>
      <c r="B196" t="s">
        <v>25</v>
      </c>
      <c r="C196" t="s">
        <v>27</v>
      </c>
      <c r="D196" t="s">
        <v>51</v>
      </c>
      <c r="E196" s="5">
        <v>60868</v>
      </c>
      <c r="F196" t="s">
        <v>969</v>
      </c>
      <c r="G196" t="s">
        <v>157</v>
      </c>
      <c r="H196" t="s">
        <v>14</v>
      </c>
    </row>
    <row r="197" spans="1:8" x14ac:dyDescent="0.3">
      <c r="A197" t="s">
        <v>45</v>
      </c>
      <c r="B197" t="s">
        <v>67</v>
      </c>
      <c r="C197" t="s">
        <v>22</v>
      </c>
      <c r="D197" t="s">
        <v>51</v>
      </c>
      <c r="E197" s="5">
        <v>182145</v>
      </c>
      <c r="F197" t="s">
        <v>2516</v>
      </c>
      <c r="G197" t="s">
        <v>338</v>
      </c>
      <c r="H197" t="s">
        <v>14</v>
      </c>
    </row>
    <row r="198" spans="1:8" x14ac:dyDescent="0.3">
      <c r="A198" t="s">
        <v>19</v>
      </c>
      <c r="B198" t="s">
        <v>12</v>
      </c>
      <c r="C198" t="s">
        <v>27</v>
      </c>
      <c r="D198" t="s">
        <v>51</v>
      </c>
      <c r="E198" s="5">
        <v>157180</v>
      </c>
      <c r="F198" t="s">
        <v>3494</v>
      </c>
      <c r="G198" t="s">
        <v>450</v>
      </c>
      <c r="H198" t="s">
        <v>14</v>
      </c>
    </row>
    <row r="199" spans="1:8" x14ac:dyDescent="0.3">
      <c r="A199" t="s">
        <v>19</v>
      </c>
      <c r="B199" t="s">
        <v>35</v>
      </c>
      <c r="C199" t="s">
        <v>14</v>
      </c>
      <c r="D199" t="s">
        <v>37</v>
      </c>
      <c r="E199" s="5">
        <v>116551.5</v>
      </c>
      <c r="F199" t="s">
        <v>858</v>
      </c>
      <c r="G199" t="s">
        <v>163</v>
      </c>
      <c r="H199" t="s">
        <v>16</v>
      </c>
    </row>
    <row r="200" spans="1:8" x14ac:dyDescent="0.3">
      <c r="A200" t="s">
        <v>72</v>
      </c>
      <c r="B200" t="s">
        <v>67</v>
      </c>
      <c r="C200" t="s">
        <v>27</v>
      </c>
      <c r="D200" t="s">
        <v>15</v>
      </c>
      <c r="E200" s="5">
        <v>115690</v>
      </c>
      <c r="F200" t="s">
        <v>1983</v>
      </c>
      <c r="G200" t="s">
        <v>221</v>
      </c>
      <c r="H200" t="s">
        <v>16</v>
      </c>
    </row>
    <row r="201" spans="1:8" x14ac:dyDescent="0.3">
      <c r="A201" t="s">
        <v>11</v>
      </c>
      <c r="B201" t="s">
        <v>12</v>
      </c>
      <c r="C201" t="s">
        <v>27</v>
      </c>
      <c r="D201" t="s">
        <v>42</v>
      </c>
      <c r="E201" s="5">
        <v>60149</v>
      </c>
      <c r="F201" t="s">
        <v>3186</v>
      </c>
      <c r="G201" t="s">
        <v>80</v>
      </c>
      <c r="H201" t="s">
        <v>69</v>
      </c>
    </row>
    <row r="202" spans="1:8" x14ac:dyDescent="0.3">
      <c r="A202" t="s">
        <v>11</v>
      </c>
      <c r="B202" t="s">
        <v>67</v>
      </c>
      <c r="C202" t="s">
        <v>14</v>
      </c>
      <c r="D202" t="s">
        <v>15</v>
      </c>
      <c r="E202" s="5">
        <v>173883</v>
      </c>
      <c r="F202" t="s">
        <v>967</v>
      </c>
      <c r="G202" t="s">
        <v>938</v>
      </c>
      <c r="H202" t="s">
        <v>16</v>
      </c>
    </row>
    <row r="203" spans="1:8" x14ac:dyDescent="0.3">
      <c r="A203" t="s">
        <v>45</v>
      </c>
      <c r="B203" t="s">
        <v>54</v>
      </c>
      <c r="C203" t="s">
        <v>27</v>
      </c>
      <c r="D203" t="s">
        <v>51</v>
      </c>
      <c r="E203" s="5">
        <v>180726.5</v>
      </c>
      <c r="F203" t="s">
        <v>2589</v>
      </c>
      <c r="G203" t="s">
        <v>77</v>
      </c>
      <c r="H203" t="s">
        <v>69</v>
      </c>
    </row>
    <row r="204" spans="1:8" x14ac:dyDescent="0.3">
      <c r="A204" t="s">
        <v>34</v>
      </c>
      <c r="B204" t="s">
        <v>135</v>
      </c>
      <c r="C204" t="s">
        <v>22</v>
      </c>
      <c r="D204" t="s">
        <v>15</v>
      </c>
      <c r="E204" s="5">
        <v>134551.5</v>
      </c>
      <c r="F204" t="s">
        <v>1956</v>
      </c>
      <c r="G204" t="s">
        <v>77</v>
      </c>
      <c r="H204" t="s">
        <v>14</v>
      </c>
    </row>
    <row r="205" spans="1:8" x14ac:dyDescent="0.3">
      <c r="A205" t="s">
        <v>72</v>
      </c>
      <c r="B205" t="s">
        <v>54</v>
      </c>
      <c r="C205" t="s">
        <v>22</v>
      </c>
      <c r="D205" t="s">
        <v>42</v>
      </c>
      <c r="E205" s="5">
        <v>104716</v>
      </c>
      <c r="F205" t="s">
        <v>1442</v>
      </c>
      <c r="G205" t="s">
        <v>232</v>
      </c>
      <c r="H205" t="s">
        <v>14</v>
      </c>
    </row>
    <row r="206" spans="1:8" x14ac:dyDescent="0.3">
      <c r="A206" t="s">
        <v>11</v>
      </c>
      <c r="B206" t="s">
        <v>54</v>
      </c>
      <c r="C206" t="s">
        <v>22</v>
      </c>
      <c r="D206" t="s">
        <v>15</v>
      </c>
      <c r="E206" s="5">
        <v>136210.5</v>
      </c>
      <c r="F206" t="s">
        <v>3874</v>
      </c>
      <c r="G206" t="s">
        <v>3875</v>
      </c>
      <c r="H206" t="s">
        <v>16</v>
      </c>
    </row>
    <row r="207" spans="1:8" x14ac:dyDescent="0.3">
      <c r="A207" t="s">
        <v>49</v>
      </c>
      <c r="B207" t="s">
        <v>67</v>
      </c>
      <c r="C207" t="s">
        <v>14</v>
      </c>
      <c r="D207" t="s">
        <v>37</v>
      </c>
      <c r="E207" s="5">
        <v>125660</v>
      </c>
      <c r="F207" t="s">
        <v>1434</v>
      </c>
      <c r="G207" t="s">
        <v>213</v>
      </c>
      <c r="H207" t="s">
        <v>69</v>
      </c>
    </row>
    <row r="208" spans="1:8" x14ac:dyDescent="0.3">
      <c r="A208" t="s">
        <v>34</v>
      </c>
      <c r="B208" t="s">
        <v>25</v>
      </c>
      <c r="C208" t="s">
        <v>22</v>
      </c>
      <c r="D208" t="s">
        <v>42</v>
      </c>
      <c r="E208" s="5">
        <v>178010.5</v>
      </c>
      <c r="F208" t="s">
        <v>3714</v>
      </c>
      <c r="G208" t="s">
        <v>876</v>
      </c>
      <c r="H208" t="s">
        <v>16</v>
      </c>
    </row>
    <row r="209" spans="1:8" x14ac:dyDescent="0.3">
      <c r="A209" t="s">
        <v>72</v>
      </c>
      <c r="B209" t="s">
        <v>67</v>
      </c>
      <c r="C209" t="s">
        <v>22</v>
      </c>
      <c r="D209" t="s">
        <v>15</v>
      </c>
      <c r="E209" s="5">
        <v>96135</v>
      </c>
      <c r="F209" t="s">
        <v>1623</v>
      </c>
      <c r="G209" t="s">
        <v>80</v>
      </c>
      <c r="H209" t="s">
        <v>16</v>
      </c>
    </row>
    <row r="210" spans="1:8" x14ac:dyDescent="0.3">
      <c r="A210" t="s">
        <v>45</v>
      </c>
      <c r="B210" t="s">
        <v>12</v>
      </c>
      <c r="C210" t="s">
        <v>22</v>
      </c>
      <c r="D210" t="s">
        <v>37</v>
      </c>
      <c r="E210" s="5">
        <v>136380</v>
      </c>
      <c r="F210" t="s">
        <v>2411</v>
      </c>
      <c r="G210" t="s">
        <v>70</v>
      </c>
      <c r="H210" t="s">
        <v>14</v>
      </c>
    </row>
    <row r="211" spans="1:8" x14ac:dyDescent="0.3">
      <c r="A211" t="s">
        <v>49</v>
      </c>
      <c r="B211" t="s">
        <v>35</v>
      </c>
      <c r="C211" t="s">
        <v>27</v>
      </c>
      <c r="D211" t="s">
        <v>15</v>
      </c>
      <c r="E211" s="5">
        <v>62955</v>
      </c>
      <c r="F211" t="s">
        <v>997</v>
      </c>
      <c r="G211" t="s">
        <v>371</v>
      </c>
      <c r="H211" t="s">
        <v>69</v>
      </c>
    </row>
    <row r="212" spans="1:8" x14ac:dyDescent="0.3">
      <c r="A212" t="s">
        <v>49</v>
      </c>
      <c r="B212" t="s">
        <v>54</v>
      </c>
      <c r="C212" t="s">
        <v>14</v>
      </c>
      <c r="D212" t="s">
        <v>37</v>
      </c>
      <c r="E212" s="5">
        <v>85812.5</v>
      </c>
      <c r="F212" t="s">
        <v>2579</v>
      </c>
      <c r="G212" t="s">
        <v>316</v>
      </c>
      <c r="H212" t="s">
        <v>14</v>
      </c>
    </row>
    <row r="213" spans="1:8" x14ac:dyDescent="0.3">
      <c r="A213" t="s">
        <v>49</v>
      </c>
      <c r="B213" t="s">
        <v>20</v>
      </c>
      <c r="C213" t="s">
        <v>22</v>
      </c>
      <c r="D213" t="s">
        <v>42</v>
      </c>
      <c r="E213" s="5">
        <v>175832</v>
      </c>
      <c r="F213" t="s">
        <v>2539</v>
      </c>
      <c r="G213" t="s">
        <v>163</v>
      </c>
      <c r="H213" t="s">
        <v>16</v>
      </c>
    </row>
    <row r="214" spans="1:8" x14ac:dyDescent="0.3">
      <c r="A214" t="s">
        <v>49</v>
      </c>
      <c r="B214" t="s">
        <v>20</v>
      </c>
      <c r="C214" t="s">
        <v>22</v>
      </c>
      <c r="D214" t="s">
        <v>15</v>
      </c>
      <c r="E214" s="5">
        <v>114040.5</v>
      </c>
      <c r="F214" t="s">
        <v>1321</v>
      </c>
      <c r="G214" t="s">
        <v>114</v>
      </c>
      <c r="H214" t="s">
        <v>16</v>
      </c>
    </row>
    <row r="215" spans="1:8" x14ac:dyDescent="0.3">
      <c r="A215" t="s">
        <v>40</v>
      </c>
      <c r="B215" t="s">
        <v>67</v>
      </c>
      <c r="C215" t="s">
        <v>27</v>
      </c>
      <c r="D215" t="s">
        <v>15</v>
      </c>
      <c r="E215" s="5">
        <v>109898</v>
      </c>
      <c r="F215" t="s">
        <v>68</v>
      </c>
      <c r="G215" t="s">
        <v>70</v>
      </c>
      <c r="H215" t="s">
        <v>69</v>
      </c>
    </row>
    <row r="216" spans="1:8" x14ac:dyDescent="0.3">
      <c r="A216" t="s">
        <v>19</v>
      </c>
      <c r="B216" t="s">
        <v>20</v>
      </c>
      <c r="C216" t="s">
        <v>14</v>
      </c>
      <c r="D216" t="s">
        <v>15</v>
      </c>
      <c r="E216" s="5">
        <v>108206</v>
      </c>
      <c r="F216" t="s">
        <v>1428</v>
      </c>
      <c r="G216" t="s">
        <v>260</v>
      </c>
      <c r="H216" t="s">
        <v>16</v>
      </c>
    </row>
    <row r="217" spans="1:8" x14ac:dyDescent="0.3">
      <c r="A217" t="s">
        <v>34</v>
      </c>
      <c r="B217" t="s">
        <v>20</v>
      </c>
      <c r="C217" t="s">
        <v>22</v>
      </c>
      <c r="D217" t="s">
        <v>15</v>
      </c>
      <c r="E217" s="5">
        <v>147768.5</v>
      </c>
      <c r="F217" t="s">
        <v>3883</v>
      </c>
      <c r="G217" t="s">
        <v>47</v>
      </c>
      <c r="H217" t="s">
        <v>69</v>
      </c>
    </row>
    <row r="218" spans="1:8" x14ac:dyDescent="0.3">
      <c r="A218" t="s">
        <v>11</v>
      </c>
      <c r="B218" t="s">
        <v>30</v>
      </c>
      <c r="C218" t="s">
        <v>22</v>
      </c>
      <c r="D218" t="s">
        <v>37</v>
      </c>
      <c r="E218" s="5">
        <v>122663</v>
      </c>
      <c r="F218" t="s">
        <v>4025</v>
      </c>
      <c r="G218" t="s">
        <v>80</v>
      </c>
      <c r="H218" t="s">
        <v>16</v>
      </c>
    </row>
    <row r="219" spans="1:8" x14ac:dyDescent="0.3">
      <c r="A219" t="s">
        <v>45</v>
      </c>
      <c r="B219" t="s">
        <v>35</v>
      </c>
      <c r="C219" t="s">
        <v>27</v>
      </c>
      <c r="D219" t="s">
        <v>37</v>
      </c>
      <c r="E219" s="5">
        <v>177054.5</v>
      </c>
      <c r="F219" t="s">
        <v>2512</v>
      </c>
      <c r="G219" t="s">
        <v>1391</v>
      </c>
      <c r="H219" t="s">
        <v>14</v>
      </c>
    </row>
    <row r="220" spans="1:8" x14ac:dyDescent="0.3">
      <c r="A220" t="s">
        <v>72</v>
      </c>
      <c r="B220" t="s">
        <v>135</v>
      </c>
      <c r="C220" t="s">
        <v>22</v>
      </c>
      <c r="D220" t="s">
        <v>37</v>
      </c>
      <c r="E220" s="5">
        <v>80668.5</v>
      </c>
      <c r="F220" t="s">
        <v>1751</v>
      </c>
      <c r="G220" t="s">
        <v>794</v>
      </c>
      <c r="H220" t="s">
        <v>14</v>
      </c>
    </row>
    <row r="221" spans="1:8" x14ac:dyDescent="0.3">
      <c r="A221" t="s">
        <v>34</v>
      </c>
      <c r="B221" t="s">
        <v>35</v>
      </c>
      <c r="C221" t="s">
        <v>14</v>
      </c>
      <c r="D221" t="s">
        <v>42</v>
      </c>
      <c r="E221" s="5">
        <v>112385</v>
      </c>
      <c r="F221" t="s">
        <v>4210</v>
      </c>
      <c r="G221" t="s">
        <v>1830</v>
      </c>
      <c r="H221" t="s">
        <v>14</v>
      </c>
    </row>
    <row r="222" spans="1:8" x14ac:dyDescent="0.3">
      <c r="A222" t="s">
        <v>49</v>
      </c>
      <c r="B222" t="s">
        <v>30</v>
      </c>
      <c r="C222" t="s">
        <v>27</v>
      </c>
      <c r="D222" t="s">
        <v>51</v>
      </c>
      <c r="E222" s="5">
        <v>130991</v>
      </c>
      <c r="F222" t="s">
        <v>3006</v>
      </c>
      <c r="G222" t="s">
        <v>157</v>
      </c>
      <c r="H222" t="s">
        <v>16</v>
      </c>
    </row>
    <row r="223" spans="1:8" x14ac:dyDescent="0.3">
      <c r="A223" t="s">
        <v>40</v>
      </c>
      <c r="B223" t="s">
        <v>25</v>
      </c>
      <c r="C223" t="s">
        <v>22</v>
      </c>
      <c r="D223" t="s">
        <v>42</v>
      </c>
      <c r="E223" s="5">
        <v>66503</v>
      </c>
      <c r="F223" t="s">
        <v>896</v>
      </c>
      <c r="G223" t="s">
        <v>77</v>
      </c>
      <c r="H223" t="s">
        <v>69</v>
      </c>
    </row>
    <row r="224" spans="1:8" x14ac:dyDescent="0.3">
      <c r="A224" t="s">
        <v>45</v>
      </c>
      <c r="B224" t="s">
        <v>67</v>
      </c>
      <c r="C224" t="s">
        <v>14</v>
      </c>
      <c r="D224" t="s">
        <v>51</v>
      </c>
      <c r="E224" s="5">
        <v>128355</v>
      </c>
      <c r="F224" t="s">
        <v>234</v>
      </c>
      <c r="G224" t="s">
        <v>235</v>
      </c>
      <c r="H224" t="s">
        <v>16</v>
      </c>
    </row>
    <row r="225" spans="1:8" x14ac:dyDescent="0.3">
      <c r="A225" t="s">
        <v>34</v>
      </c>
      <c r="B225" t="s">
        <v>67</v>
      </c>
      <c r="C225" t="s">
        <v>22</v>
      </c>
      <c r="D225" t="s">
        <v>51</v>
      </c>
      <c r="E225" s="5">
        <v>139167.5</v>
      </c>
      <c r="F225" t="s">
        <v>1941</v>
      </c>
      <c r="G225" t="s">
        <v>413</v>
      </c>
      <c r="H225" t="s">
        <v>69</v>
      </c>
    </row>
    <row r="226" spans="1:8" x14ac:dyDescent="0.3">
      <c r="A226" t="s">
        <v>11</v>
      </c>
      <c r="B226" t="s">
        <v>12</v>
      </c>
      <c r="C226" t="s">
        <v>27</v>
      </c>
      <c r="D226" t="s">
        <v>15</v>
      </c>
      <c r="E226" s="5">
        <v>157674</v>
      </c>
      <c r="F226" t="s">
        <v>385</v>
      </c>
      <c r="G226" t="s">
        <v>386</v>
      </c>
      <c r="H226" t="s">
        <v>14</v>
      </c>
    </row>
    <row r="227" spans="1:8" x14ac:dyDescent="0.3">
      <c r="A227" t="s">
        <v>11</v>
      </c>
      <c r="B227" t="s">
        <v>12</v>
      </c>
      <c r="C227" t="s">
        <v>27</v>
      </c>
      <c r="D227" t="s">
        <v>15</v>
      </c>
      <c r="E227" s="5">
        <v>85793</v>
      </c>
      <c r="F227" t="s">
        <v>940</v>
      </c>
      <c r="G227" t="s">
        <v>941</v>
      </c>
      <c r="H227" t="s">
        <v>14</v>
      </c>
    </row>
    <row r="228" spans="1:8" x14ac:dyDescent="0.3">
      <c r="A228" t="s">
        <v>45</v>
      </c>
      <c r="B228" t="s">
        <v>12</v>
      </c>
      <c r="C228" t="s">
        <v>27</v>
      </c>
      <c r="D228" t="s">
        <v>51</v>
      </c>
      <c r="E228" s="5">
        <v>117509.5</v>
      </c>
      <c r="F228" t="s">
        <v>2395</v>
      </c>
      <c r="G228" t="s">
        <v>985</v>
      </c>
      <c r="H228" t="s">
        <v>16</v>
      </c>
    </row>
    <row r="229" spans="1:8" x14ac:dyDescent="0.3">
      <c r="A229" t="s">
        <v>45</v>
      </c>
      <c r="B229" t="s">
        <v>12</v>
      </c>
      <c r="C229" t="s">
        <v>22</v>
      </c>
      <c r="D229" t="s">
        <v>37</v>
      </c>
      <c r="E229" s="5">
        <v>113216</v>
      </c>
      <c r="F229" t="s">
        <v>595</v>
      </c>
      <c r="G229" t="s">
        <v>362</v>
      </c>
      <c r="H229" t="s">
        <v>16</v>
      </c>
    </row>
    <row r="230" spans="1:8" x14ac:dyDescent="0.3">
      <c r="A230" t="s">
        <v>49</v>
      </c>
      <c r="B230" t="s">
        <v>12</v>
      </c>
      <c r="C230" t="s">
        <v>14</v>
      </c>
      <c r="D230" t="s">
        <v>51</v>
      </c>
      <c r="E230" s="5">
        <v>77667.5</v>
      </c>
      <c r="F230" t="s">
        <v>4173</v>
      </c>
      <c r="G230" t="s">
        <v>4102</v>
      </c>
      <c r="H230" t="s">
        <v>14</v>
      </c>
    </row>
    <row r="231" spans="1:8" x14ac:dyDescent="0.3">
      <c r="A231" t="s">
        <v>34</v>
      </c>
      <c r="B231" t="s">
        <v>25</v>
      </c>
      <c r="C231" t="s">
        <v>14</v>
      </c>
      <c r="D231" t="s">
        <v>37</v>
      </c>
      <c r="E231" s="5">
        <v>165018.5</v>
      </c>
      <c r="F231" t="s">
        <v>3452</v>
      </c>
      <c r="G231" t="s">
        <v>1921</v>
      </c>
      <c r="H231" t="s">
        <v>69</v>
      </c>
    </row>
    <row r="232" spans="1:8" x14ac:dyDescent="0.3">
      <c r="A232" t="s">
        <v>34</v>
      </c>
      <c r="B232" t="s">
        <v>67</v>
      </c>
      <c r="C232" t="s">
        <v>27</v>
      </c>
      <c r="D232" t="s">
        <v>51</v>
      </c>
      <c r="E232" s="5">
        <v>90608.5</v>
      </c>
      <c r="F232" t="s">
        <v>1682</v>
      </c>
      <c r="G232" t="s">
        <v>80</v>
      </c>
      <c r="H232" t="s">
        <v>16</v>
      </c>
    </row>
    <row r="233" spans="1:8" x14ac:dyDescent="0.3">
      <c r="A233" t="s">
        <v>11</v>
      </c>
      <c r="B233" t="s">
        <v>54</v>
      </c>
      <c r="C233" t="s">
        <v>14</v>
      </c>
      <c r="D233" t="s">
        <v>42</v>
      </c>
      <c r="E233" s="5">
        <v>108499</v>
      </c>
      <c r="F233" t="s">
        <v>1695</v>
      </c>
      <c r="G233" t="s">
        <v>714</v>
      </c>
      <c r="H233" t="s">
        <v>16</v>
      </c>
    </row>
    <row r="234" spans="1:8" x14ac:dyDescent="0.3">
      <c r="A234" t="s">
        <v>49</v>
      </c>
      <c r="B234" t="s">
        <v>20</v>
      </c>
      <c r="C234" t="s">
        <v>22</v>
      </c>
      <c r="D234" t="s">
        <v>51</v>
      </c>
      <c r="E234" s="5">
        <v>141279.5</v>
      </c>
      <c r="F234" t="s">
        <v>1151</v>
      </c>
      <c r="G234" t="s">
        <v>90</v>
      </c>
      <c r="H234" t="s">
        <v>14</v>
      </c>
    </row>
    <row r="235" spans="1:8" x14ac:dyDescent="0.3">
      <c r="A235" t="s">
        <v>40</v>
      </c>
      <c r="B235" t="s">
        <v>67</v>
      </c>
      <c r="C235" t="s">
        <v>14</v>
      </c>
      <c r="D235" t="s">
        <v>15</v>
      </c>
      <c r="E235" s="5">
        <v>145100.5</v>
      </c>
      <c r="F235" t="s">
        <v>2699</v>
      </c>
      <c r="G235" t="s">
        <v>2269</v>
      </c>
      <c r="H235" t="s">
        <v>69</v>
      </c>
    </row>
    <row r="236" spans="1:8" x14ac:dyDescent="0.3">
      <c r="A236" t="s">
        <v>45</v>
      </c>
      <c r="B236" t="s">
        <v>25</v>
      </c>
      <c r="C236" t="s">
        <v>14</v>
      </c>
      <c r="D236" t="s">
        <v>51</v>
      </c>
      <c r="E236" s="5">
        <v>138576.5</v>
      </c>
      <c r="F236" t="s">
        <v>2264</v>
      </c>
      <c r="G236" t="s">
        <v>677</v>
      </c>
      <c r="H236" t="s">
        <v>16</v>
      </c>
    </row>
    <row r="237" spans="1:8" x14ac:dyDescent="0.3">
      <c r="A237" t="s">
        <v>45</v>
      </c>
      <c r="B237" t="s">
        <v>20</v>
      </c>
      <c r="C237" t="s">
        <v>27</v>
      </c>
      <c r="D237" t="s">
        <v>15</v>
      </c>
      <c r="E237" s="5">
        <v>91853</v>
      </c>
      <c r="F237" t="s">
        <v>3729</v>
      </c>
      <c r="G237" t="s">
        <v>1437</v>
      </c>
      <c r="H237" t="s">
        <v>14</v>
      </c>
    </row>
    <row r="238" spans="1:8" x14ac:dyDescent="0.3">
      <c r="A238" t="s">
        <v>49</v>
      </c>
      <c r="B238" t="s">
        <v>30</v>
      </c>
      <c r="C238" t="s">
        <v>14</v>
      </c>
      <c r="D238" t="s">
        <v>15</v>
      </c>
      <c r="E238" s="5">
        <v>129440.5</v>
      </c>
      <c r="F238" t="s">
        <v>2155</v>
      </c>
      <c r="G238" t="s">
        <v>2156</v>
      </c>
      <c r="H238" t="s">
        <v>16</v>
      </c>
    </row>
    <row r="239" spans="1:8" x14ac:dyDescent="0.3">
      <c r="A239" t="s">
        <v>49</v>
      </c>
      <c r="B239" t="s">
        <v>25</v>
      </c>
      <c r="C239" t="s">
        <v>14</v>
      </c>
      <c r="D239" t="s">
        <v>37</v>
      </c>
      <c r="E239" s="5">
        <v>132595.5</v>
      </c>
      <c r="F239" t="s">
        <v>267</v>
      </c>
      <c r="G239" t="s">
        <v>268</v>
      </c>
      <c r="H239" t="s">
        <v>16</v>
      </c>
    </row>
    <row r="240" spans="1:8" x14ac:dyDescent="0.3">
      <c r="A240" t="s">
        <v>19</v>
      </c>
      <c r="B240" t="s">
        <v>25</v>
      </c>
      <c r="C240" t="s">
        <v>14</v>
      </c>
      <c r="D240" t="s">
        <v>15</v>
      </c>
      <c r="E240" s="5">
        <v>78434.5</v>
      </c>
      <c r="F240" t="s">
        <v>1550</v>
      </c>
      <c r="G240" t="s">
        <v>52</v>
      </c>
      <c r="H240" t="s">
        <v>16</v>
      </c>
    </row>
    <row r="241" spans="1:8" x14ac:dyDescent="0.3">
      <c r="A241" t="s">
        <v>72</v>
      </c>
      <c r="B241" t="s">
        <v>25</v>
      </c>
      <c r="C241" t="s">
        <v>27</v>
      </c>
      <c r="D241" t="s">
        <v>42</v>
      </c>
      <c r="E241" s="5">
        <v>148844.5</v>
      </c>
      <c r="F241" t="s">
        <v>92</v>
      </c>
      <c r="G241" t="s">
        <v>93</v>
      </c>
      <c r="H241" t="s">
        <v>16</v>
      </c>
    </row>
    <row r="242" spans="1:8" x14ac:dyDescent="0.3">
      <c r="A242" t="s">
        <v>19</v>
      </c>
      <c r="B242" t="s">
        <v>20</v>
      </c>
      <c r="C242" t="s">
        <v>27</v>
      </c>
      <c r="D242" t="s">
        <v>51</v>
      </c>
      <c r="E242" s="5">
        <v>191409</v>
      </c>
      <c r="F242" t="s">
        <v>1458</v>
      </c>
      <c r="G242" t="s">
        <v>1224</v>
      </c>
      <c r="H242" t="s">
        <v>16</v>
      </c>
    </row>
    <row r="243" spans="1:8" x14ac:dyDescent="0.3">
      <c r="A243" t="s">
        <v>34</v>
      </c>
      <c r="B243" t="s">
        <v>20</v>
      </c>
      <c r="C243" t="s">
        <v>27</v>
      </c>
      <c r="D243" t="s">
        <v>15</v>
      </c>
      <c r="E243" s="5">
        <v>165924</v>
      </c>
      <c r="F243" t="s">
        <v>4253</v>
      </c>
      <c r="G243" t="s">
        <v>226</v>
      </c>
      <c r="H243" t="s">
        <v>69</v>
      </c>
    </row>
    <row r="244" spans="1:8" x14ac:dyDescent="0.3">
      <c r="A244" t="s">
        <v>40</v>
      </c>
      <c r="B244" t="s">
        <v>35</v>
      </c>
      <c r="C244" t="s">
        <v>22</v>
      </c>
      <c r="D244" t="s">
        <v>51</v>
      </c>
      <c r="E244" s="5">
        <v>171255</v>
      </c>
      <c r="F244" t="s">
        <v>4194</v>
      </c>
      <c r="G244" t="s">
        <v>52</v>
      </c>
      <c r="H244" t="s">
        <v>14</v>
      </c>
    </row>
    <row r="245" spans="1:8" x14ac:dyDescent="0.3">
      <c r="A245" t="s">
        <v>72</v>
      </c>
      <c r="B245" t="s">
        <v>35</v>
      </c>
      <c r="C245" t="s">
        <v>27</v>
      </c>
      <c r="D245" t="s">
        <v>51</v>
      </c>
      <c r="E245" s="5">
        <v>139698</v>
      </c>
      <c r="F245" t="s">
        <v>2549</v>
      </c>
      <c r="G245" t="s">
        <v>157</v>
      </c>
      <c r="H245" t="s">
        <v>69</v>
      </c>
    </row>
    <row r="246" spans="1:8" x14ac:dyDescent="0.3">
      <c r="A246" t="s">
        <v>45</v>
      </c>
      <c r="B246" t="s">
        <v>135</v>
      </c>
      <c r="C246" t="s">
        <v>14</v>
      </c>
      <c r="D246" t="s">
        <v>37</v>
      </c>
      <c r="E246" s="5">
        <v>131419.5</v>
      </c>
      <c r="F246" t="s">
        <v>766</v>
      </c>
      <c r="G246" t="s">
        <v>52</v>
      </c>
      <c r="H246" t="s">
        <v>14</v>
      </c>
    </row>
    <row r="247" spans="1:8" x14ac:dyDescent="0.3">
      <c r="A247" t="s">
        <v>11</v>
      </c>
      <c r="B247" t="s">
        <v>67</v>
      </c>
      <c r="C247" t="s">
        <v>14</v>
      </c>
      <c r="D247" t="s">
        <v>42</v>
      </c>
      <c r="E247" s="5">
        <v>58430</v>
      </c>
      <c r="F247" t="s">
        <v>1005</v>
      </c>
      <c r="G247" t="s">
        <v>157</v>
      </c>
      <c r="H247" t="s">
        <v>14</v>
      </c>
    </row>
    <row r="248" spans="1:8" x14ac:dyDescent="0.3">
      <c r="A248" t="s">
        <v>34</v>
      </c>
      <c r="B248" t="s">
        <v>54</v>
      </c>
      <c r="C248" t="s">
        <v>14</v>
      </c>
      <c r="D248" t="s">
        <v>37</v>
      </c>
      <c r="E248" s="5">
        <v>113837</v>
      </c>
      <c r="F248" t="s">
        <v>4238</v>
      </c>
      <c r="G248" t="s">
        <v>77</v>
      </c>
      <c r="H248" t="s">
        <v>69</v>
      </c>
    </row>
    <row r="249" spans="1:8" x14ac:dyDescent="0.3">
      <c r="A249" t="s">
        <v>11</v>
      </c>
      <c r="B249" t="s">
        <v>54</v>
      </c>
      <c r="C249" t="s">
        <v>14</v>
      </c>
      <c r="D249" t="s">
        <v>42</v>
      </c>
      <c r="E249" s="5">
        <v>93267</v>
      </c>
      <c r="F249" t="s">
        <v>402</v>
      </c>
      <c r="G249" t="s">
        <v>80</v>
      </c>
      <c r="H249" t="s">
        <v>69</v>
      </c>
    </row>
    <row r="250" spans="1:8" x14ac:dyDescent="0.3">
      <c r="A250" t="s">
        <v>19</v>
      </c>
      <c r="B250" t="s">
        <v>135</v>
      </c>
      <c r="C250" t="s">
        <v>27</v>
      </c>
      <c r="D250" t="s">
        <v>15</v>
      </c>
      <c r="E250" s="5">
        <v>127517</v>
      </c>
      <c r="F250" t="s">
        <v>3716</v>
      </c>
      <c r="G250" t="s">
        <v>90</v>
      </c>
      <c r="H250" t="s">
        <v>14</v>
      </c>
    </row>
    <row r="251" spans="1:8" x14ac:dyDescent="0.3">
      <c r="A251" t="s">
        <v>72</v>
      </c>
      <c r="B251" t="s">
        <v>135</v>
      </c>
      <c r="C251" t="s">
        <v>27</v>
      </c>
      <c r="D251" t="s">
        <v>37</v>
      </c>
      <c r="E251" s="5">
        <v>49122.5</v>
      </c>
      <c r="F251" t="s">
        <v>3678</v>
      </c>
      <c r="G251" t="s">
        <v>394</v>
      </c>
      <c r="H251" t="s">
        <v>14</v>
      </c>
    </row>
    <row r="252" spans="1:8" x14ac:dyDescent="0.3">
      <c r="A252" t="s">
        <v>19</v>
      </c>
      <c r="B252" t="s">
        <v>67</v>
      </c>
      <c r="C252" t="s">
        <v>27</v>
      </c>
      <c r="D252" t="s">
        <v>42</v>
      </c>
      <c r="E252" s="5">
        <v>165194</v>
      </c>
      <c r="F252" t="s">
        <v>2937</v>
      </c>
      <c r="G252" t="s">
        <v>338</v>
      </c>
      <c r="H252" t="s">
        <v>16</v>
      </c>
    </row>
    <row r="253" spans="1:8" x14ac:dyDescent="0.3">
      <c r="A253" t="s">
        <v>49</v>
      </c>
      <c r="B253" t="s">
        <v>135</v>
      </c>
      <c r="C253" t="s">
        <v>14</v>
      </c>
      <c r="D253" t="s">
        <v>42</v>
      </c>
      <c r="E253" s="5">
        <v>96142</v>
      </c>
      <c r="F253" t="s">
        <v>4187</v>
      </c>
      <c r="G253" t="s">
        <v>70</v>
      </c>
      <c r="H253" t="s">
        <v>14</v>
      </c>
    </row>
    <row r="254" spans="1:8" x14ac:dyDescent="0.3">
      <c r="A254" t="s">
        <v>40</v>
      </c>
      <c r="B254" t="s">
        <v>30</v>
      </c>
      <c r="C254" t="s">
        <v>27</v>
      </c>
      <c r="D254" t="s">
        <v>42</v>
      </c>
      <c r="E254" s="5">
        <v>104372.5</v>
      </c>
      <c r="F254" t="s">
        <v>3101</v>
      </c>
      <c r="G254" t="s">
        <v>229</v>
      </c>
      <c r="H254" t="s">
        <v>14</v>
      </c>
    </row>
    <row r="255" spans="1:8" x14ac:dyDescent="0.3">
      <c r="A255" t="s">
        <v>49</v>
      </c>
      <c r="B255" t="s">
        <v>35</v>
      </c>
      <c r="C255" t="s">
        <v>27</v>
      </c>
      <c r="D255" t="s">
        <v>15</v>
      </c>
      <c r="E255" s="5">
        <v>83648.5</v>
      </c>
      <c r="F255" t="s">
        <v>1406</v>
      </c>
      <c r="G255" t="s">
        <v>52</v>
      </c>
      <c r="H255" t="s">
        <v>69</v>
      </c>
    </row>
    <row r="256" spans="1:8" x14ac:dyDescent="0.3">
      <c r="A256" t="s">
        <v>19</v>
      </c>
      <c r="B256" t="s">
        <v>30</v>
      </c>
      <c r="C256" t="s">
        <v>22</v>
      </c>
      <c r="D256" t="s">
        <v>15</v>
      </c>
      <c r="E256" s="5">
        <v>100666</v>
      </c>
      <c r="F256" t="s">
        <v>2472</v>
      </c>
      <c r="G256" t="s">
        <v>77</v>
      </c>
      <c r="H256" t="s">
        <v>14</v>
      </c>
    </row>
    <row r="257" spans="1:8" x14ac:dyDescent="0.3">
      <c r="A257" t="s">
        <v>49</v>
      </c>
      <c r="B257" t="s">
        <v>30</v>
      </c>
      <c r="C257" t="s">
        <v>27</v>
      </c>
      <c r="D257" t="s">
        <v>51</v>
      </c>
      <c r="E257" s="5">
        <v>105337</v>
      </c>
      <c r="F257" t="s">
        <v>2325</v>
      </c>
      <c r="G257" t="s">
        <v>2326</v>
      </c>
      <c r="H257" t="s">
        <v>16</v>
      </c>
    </row>
    <row r="258" spans="1:8" x14ac:dyDescent="0.3">
      <c r="A258" t="s">
        <v>72</v>
      </c>
      <c r="B258" t="s">
        <v>135</v>
      </c>
      <c r="C258" t="s">
        <v>14</v>
      </c>
      <c r="D258" t="s">
        <v>37</v>
      </c>
      <c r="E258" s="5">
        <v>152621</v>
      </c>
      <c r="F258" t="s">
        <v>212</v>
      </c>
      <c r="G258" t="s">
        <v>213</v>
      </c>
      <c r="H258" t="s">
        <v>16</v>
      </c>
    </row>
    <row r="259" spans="1:8" x14ac:dyDescent="0.3">
      <c r="A259" t="s">
        <v>11</v>
      </c>
      <c r="B259" t="s">
        <v>30</v>
      </c>
      <c r="C259" t="s">
        <v>14</v>
      </c>
      <c r="D259" t="s">
        <v>51</v>
      </c>
      <c r="E259" s="5">
        <v>121822.5</v>
      </c>
      <c r="F259" t="s">
        <v>1118</v>
      </c>
      <c r="G259" t="s">
        <v>77</v>
      </c>
      <c r="H259" t="s">
        <v>16</v>
      </c>
    </row>
    <row r="260" spans="1:8" x14ac:dyDescent="0.3">
      <c r="A260" t="s">
        <v>40</v>
      </c>
      <c r="B260" t="s">
        <v>35</v>
      </c>
      <c r="C260" t="s">
        <v>27</v>
      </c>
      <c r="D260" t="s">
        <v>51</v>
      </c>
      <c r="E260" s="5">
        <v>160398</v>
      </c>
      <c r="F260" t="s">
        <v>545</v>
      </c>
      <c r="G260" t="s">
        <v>546</v>
      </c>
      <c r="H260" t="s">
        <v>16</v>
      </c>
    </row>
    <row r="261" spans="1:8" x14ac:dyDescent="0.3">
      <c r="A261" t="s">
        <v>40</v>
      </c>
      <c r="B261" t="s">
        <v>30</v>
      </c>
      <c r="C261" t="s">
        <v>27</v>
      </c>
      <c r="D261" t="s">
        <v>42</v>
      </c>
      <c r="E261" s="5">
        <v>163237</v>
      </c>
      <c r="F261" t="s">
        <v>3278</v>
      </c>
      <c r="G261" t="s">
        <v>80</v>
      </c>
      <c r="H261" t="s">
        <v>16</v>
      </c>
    </row>
    <row r="262" spans="1:8" x14ac:dyDescent="0.3">
      <c r="A262" t="s">
        <v>40</v>
      </c>
      <c r="B262" t="s">
        <v>35</v>
      </c>
      <c r="C262" t="s">
        <v>27</v>
      </c>
      <c r="D262" t="s">
        <v>37</v>
      </c>
      <c r="E262" s="5">
        <v>155967.5</v>
      </c>
      <c r="F262" t="s">
        <v>2974</v>
      </c>
      <c r="G262" t="s">
        <v>319</v>
      </c>
      <c r="H262" t="s">
        <v>69</v>
      </c>
    </row>
    <row r="263" spans="1:8" x14ac:dyDescent="0.3">
      <c r="A263" t="s">
        <v>19</v>
      </c>
      <c r="B263" t="s">
        <v>30</v>
      </c>
      <c r="C263" t="s">
        <v>14</v>
      </c>
      <c r="D263" t="s">
        <v>37</v>
      </c>
      <c r="E263" s="5">
        <v>92363.5</v>
      </c>
      <c r="F263" t="s">
        <v>718</v>
      </c>
      <c r="G263" t="s">
        <v>90</v>
      </c>
      <c r="H263" t="s">
        <v>14</v>
      </c>
    </row>
    <row r="264" spans="1:8" x14ac:dyDescent="0.3">
      <c r="A264" t="s">
        <v>45</v>
      </c>
      <c r="B264" t="s">
        <v>30</v>
      </c>
      <c r="C264" t="s">
        <v>27</v>
      </c>
      <c r="D264" t="s">
        <v>15</v>
      </c>
      <c r="E264" s="5">
        <v>128030</v>
      </c>
      <c r="F264" t="s">
        <v>3428</v>
      </c>
      <c r="G264" t="s">
        <v>157</v>
      </c>
      <c r="H264" t="s">
        <v>14</v>
      </c>
    </row>
    <row r="265" spans="1:8" x14ac:dyDescent="0.3">
      <c r="A265" t="s">
        <v>45</v>
      </c>
      <c r="B265" t="s">
        <v>67</v>
      </c>
      <c r="C265" t="s">
        <v>27</v>
      </c>
      <c r="D265" t="s">
        <v>42</v>
      </c>
      <c r="E265" s="5">
        <v>105899.5</v>
      </c>
      <c r="F265" t="s">
        <v>4142</v>
      </c>
      <c r="G265" t="s">
        <v>128</v>
      </c>
      <c r="H265" t="s">
        <v>14</v>
      </c>
    </row>
    <row r="266" spans="1:8" x14ac:dyDescent="0.3">
      <c r="A266" t="s">
        <v>72</v>
      </c>
      <c r="B266" t="s">
        <v>20</v>
      </c>
      <c r="C266" t="s">
        <v>27</v>
      </c>
      <c r="D266" t="s">
        <v>37</v>
      </c>
      <c r="E266" s="5">
        <v>153591.5</v>
      </c>
      <c r="F266" t="s">
        <v>2397</v>
      </c>
      <c r="G266" t="s">
        <v>959</v>
      </c>
      <c r="H266" t="s">
        <v>14</v>
      </c>
    </row>
    <row r="267" spans="1:8" x14ac:dyDescent="0.3">
      <c r="A267" t="s">
        <v>72</v>
      </c>
      <c r="B267" t="s">
        <v>67</v>
      </c>
      <c r="C267" t="s">
        <v>22</v>
      </c>
      <c r="D267" t="s">
        <v>51</v>
      </c>
      <c r="E267" s="5">
        <v>136223</v>
      </c>
      <c r="F267" t="s">
        <v>4140</v>
      </c>
      <c r="G267" t="s">
        <v>2269</v>
      </c>
      <c r="H267" t="s">
        <v>69</v>
      </c>
    </row>
    <row r="268" spans="1:8" x14ac:dyDescent="0.3">
      <c r="A268" t="s">
        <v>72</v>
      </c>
      <c r="B268" t="s">
        <v>20</v>
      </c>
      <c r="C268" t="s">
        <v>14</v>
      </c>
      <c r="D268" t="s">
        <v>42</v>
      </c>
      <c r="E268" s="5">
        <v>117621</v>
      </c>
      <c r="F268" t="s">
        <v>1208</v>
      </c>
      <c r="G268" t="s">
        <v>70</v>
      </c>
      <c r="H268" t="s">
        <v>16</v>
      </c>
    </row>
    <row r="269" spans="1:8" x14ac:dyDescent="0.3">
      <c r="A269" t="s">
        <v>11</v>
      </c>
      <c r="B269" t="s">
        <v>35</v>
      </c>
      <c r="C269" t="s">
        <v>27</v>
      </c>
      <c r="D269" t="s">
        <v>15</v>
      </c>
      <c r="E269" s="5">
        <v>87394</v>
      </c>
      <c r="F269" t="s">
        <v>3477</v>
      </c>
      <c r="G269" t="s">
        <v>313</v>
      </c>
      <c r="H269" t="s">
        <v>14</v>
      </c>
    </row>
    <row r="270" spans="1:8" x14ac:dyDescent="0.3">
      <c r="A270" t="s">
        <v>49</v>
      </c>
      <c r="B270" t="s">
        <v>135</v>
      </c>
      <c r="C270" t="s">
        <v>27</v>
      </c>
      <c r="D270" t="s">
        <v>37</v>
      </c>
      <c r="E270" s="5">
        <v>152568</v>
      </c>
      <c r="F270" t="s">
        <v>3788</v>
      </c>
      <c r="G270" t="s">
        <v>47</v>
      </c>
      <c r="H270" t="s">
        <v>16</v>
      </c>
    </row>
    <row r="271" spans="1:8" x14ac:dyDescent="0.3">
      <c r="A271" t="s">
        <v>72</v>
      </c>
      <c r="B271" t="s">
        <v>54</v>
      </c>
      <c r="C271" t="s">
        <v>22</v>
      </c>
      <c r="D271" t="s">
        <v>37</v>
      </c>
      <c r="E271" s="5">
        <v>65931</v>
      </c>
      <c r="F271" t="s">
        <v>2526</v>
      </c>
      <c r="G271" t="s">
        <v>119</v>
      </c>
      <c r="H271" t="s">
        <v>69</v>
      </c>
    </row>
    <row r="272" spans="1:8" x14ac:dyDescent="0.3">
      <c r="A272" t="s">
        <v>19</v>
      </c>
      <c r="B272" t="s">
        <v>67</v>
      </c>
      <c r="C272" t="s">
        <v>27</v>
      </c>
      <c r="D272" t="s">
        <v>15</v>
      </c>
      <c r="E272" s="5">
        <v>114535.5</v>
      </c>
      <c r="F272" t="s">
        <v>3076</v>
      </c>
      <c r="G272" t="s">
        <v>52</v>
      </c>
      <c r="H272" t="s">
        <v>14</v>
      </c>
    </row>
    <row r="273" spans="1:8" x14ac:dyDescent="0.3">
      <c r="A273" t="s">
        <v>49</v>
      </c>
      <c r="B273" t="s">
        <v>35</v>
      </c>
      <c r="C273" t="s">
        <v>27</v>
      </c>
      <c r="D273" t="s">
        <v>42</v>
      </c>
      <c r="E273" s="5">
        <v>125710</v>
      </c>
      <c r="F273" t="s">
        <v>1197</v>
      </c>
      <c r="G273" t="s">
        <v>109</v>
      </c>
      <c r="H273" t="s">
        <v>16</v>
      </c>
    </row>
    <row r="274" spans="1:8" x14ac:dyDescent="0.3">
      <c r="A274" t="s">
        <v>19</v>
      </c>
      <c r="B274" t="s">
        <v>12</v>
      </c>
      <c r="C274" t="s">
        <v>14</v>
      </c>
      <c r="D274" t="s">
        <v>51</v>
      </c>
      <c r="E274" s="5">
        <v>166912.5</v>
      </c>
      <c r="F274" t="s">
        <v>1393</v>
      </c>
      <c r="G274" t="s">
        <v>90</v>
      </c>
      <c r="H274" t="s">
        <v>14</v>
      </c>
    </row>
    <row r="275" spans="1:8" x14ac:dyDescent="0.3">
      <c r="A275" t="s">
        <v>34</v>
      </c>
      <c r="B275" t="s">
        <v>54</v>
      </c>
      <c r="C275" t="s">
        <v>14</v>
      </c>
      <c r="D275" t="s">
        <v>51</v>
      </c>
      <c r="E275" s="5">
        <v>125685.5</v>
      </c>
      <c r="F275" t="s">
        <v>4016</v>
      </c>
      <c r="G275" t="s">
        <v>507</v>
      </c>
      <c r="H275" t="s">
        <v>14</v>
      </c>
    </row>
    <row r="276" spans="1:8" x14ac:dyDescent="0.3">
      <c r="A276" t="s">
        <v>34</v>
      </c>
      <c r="B276" t="s">
        <v>20</v>
      </c>
      <c r="C276" t="s">
        <v>14</v>
      </c>
      <c r="D276" t="s">
        <v>42</v>
      </c>
      <c r="E276" s="5">
        <v>81514</v>
      </c>
      <c r="F276" t="s">
        <v>3835</v>
      </c>
      <c r="G276" t="s">
        <v>985</v>
      </c>
      <c r="H276" t="s">
        <v>14</v>
      </c>
    </row>
    <row r="277" spans="1:8" x14ac:dyDescent="0.3">
      <c r="A277" t="s">
        <v>45</v>
      </c>
      <c r="B277" t="s">
        <v>30</v>
      </c>
      <c r="C277" t="s">
        <v>22</v>
      </c>
      <c r="D277" t="s">
        <v>51</v>
      </c>
      <c r="E277" s="5">
        <v>109303.5</v>
      </c>
      <c r="F277" t="s">
        <v>3933</v>
      </c>
      <c r="G277" t="s">
        <v>128</v>
      </c>
      <c r="H277" t="s">
        <v>14</v>
      </c>
    </row>
    <row r="278" spans="1:8" x14ac:dyDescent="0.3">
      <c r="A278" t="s">
        <v>34</v>
      </c>
      <c r="B278" t="s">
        <v>67</v>
      </c>
      <c r="C278" t="s">
        <v>22</v>
      </c>
      <c r="D278" t="s">
        <v>42</v>
      </c>
      <c r="E278" s="5">
        <v>172026</v>
      </c>
      <c r="F278" t="s">
        <v>3575</v>
      </c>
      <c r="G278" t="s">
        <v>52</v>
      </c>
      <c r="H278" t="s">
        <v>14</v>
      </c>
    </row>
    <row r="279" spans="1:8" x14ac:dyDescent="0.3">
      <c r="A279" t="s">
        <v>72</v>
      </c>
      <c r="B279" t="s">
        <v>54</v>
      </c>
      <c r="C279" t="s">
        <v>27</v>
      </c>
      <c r="D279" t="s">
        <v>37</v>
      </c>
      <c r="E279" s="5">
        <v>93382</v>
      </c>
      <c r="F279" t="s">
        <v>1978</v>
      </c>
      <c r="G279" t="s">
        <v>1979</v>
      </c>
      <c r="H279" t="s">
        <v>16</v>
      </c>
    </row>
    <row r="280" spans="1:8" x14ac:dyDescent="0.3">
      <c r="A280" t="s">
        <v>45</v>
      </c>
      <c r="B280" t="s">
        <v>30</v>
      </c>
      <c r="C280" t="s">
        <v>22</v>
      </c>
      <c r="D280" t="s">
        <v>15</v>
      </c>
      <c r="E280" s="5">
        <v>81549.5</v>
      </c>
      <c r="F280" t="s">
        <v>1542</v>
      </c>
      <c r="G280" t="s">
        <v>823</v>
      </c>
      <c r="H280" t="s">
        <v>14</v>
      </c>
    </row>
    <row r="281" spans="1:8" x14ac:dyDescent="0.3">
      <c r="A281" t="s">
        <v>19</v>
      </c>
      <c r="B281" t="s">
        <v>20</v>
      </c>
      <c r="C281" t="s">
        <v>22</v>
      </c>
      <c r="D281" t="s">
        <v>15</v>
      </c>
      <c r="E281" s="5">
        <v>77765</v>
      </c>
      <c r="F281" t="s">
        <v>3908</v>
      </c>
      <c r="G281" t="s">
        <v>213</v>
      </c>
      <c r="H281" t="s">
        <v>14</v>
      </c>
    </row>
    <row r="282" spans="1:8" x14ac:dyDescent="0.3">
      <c r="A282" t="s">
        <v>11</v>
      </c>
      <c r="B282" t="s">
        <v>25</v>
      </c>
      <c r="C282" t="s">
        <v>22</v>
      </c>
      <c r="D282" t="s">
        <v>51</v>
      </c>
      <c r="E282" s="5">
        <v>137389</v>
      </c>
      <c r="F282" t="s">
        <v>1649</v>
      </c>
      <c r="G282" t="s">
        <v>1650</v>
      </c>
      <c r="H282" t="s">
        <v>14</v>
      </c>
    </row>
    <row r="283" spans="1:8" x14ac:dyDescent="0.3">
      <c r="A283" t="s">
        <v>11</v>
      </c>
      <c r="B283" t="s">
        <v>54</v>
      </c>
      <c r="C283" t="s">
        <v>22</v>
      </c>
      <c r="D283" t="s">
        <v>51</v>
      </c>
      <c r="E283" s="5">
        <v>107877</v>
      </c>
      <c r="F283" t="s">
        <v>2010</v>
      </c>
      <c r="G283" t="s">
        <v>378</v>
      </c>
      <c r="H283" t="s">
        <v>69</v>
      </c>
    </row>
    <row r="284" spans="1:8" x14ac:dyDescent="0.3">
      <c r="A284" t="s">
        <v>11</v>
      </c>
      <c r="B284" t="s">
        <v>12</v>
      </c>
      <c r="C284" t="s">
        <v>14</v>
      </c>
      <c r="D284" t="s">
        <v>51</v>
      </c>
      <c r="E284" s="5">
        <v>87818.5</v>
      </c>
      <c r="F284" t="s">
        <v>4170</v>
      </c>
      <c r="G284" t="s">
        <v>101</v>
      </c>
      <c r="H284" t="s">
        <v>16</v>
      </c>
    </row>
    <row r="285" spans="1:8" x14ac:dyDescent="0.3">
      <c r="A285" t="s">
        <v>34</v>
      </c>
      <c r="B285" t="s">
        <v>30</v>
      </c>
      <c r="C285" t="s">
        <v>22</v>
      </c>
      <c r="D285" t="s">
        <v>15</v>
      </c>
      <c r="E285" s="5">
        <v>151514</v>
      </c>
      <c r="F285" t="s">
        <v>2465</v>
      </c>
      <c r="G285" t="s">
        <v>526</v>
      </c>
      <c r="H285" t="s">
        <v>69</v>
      </c>
    </row>
    <row r="286" spans="1:8" x14ac:dyDescent="0.3">
      <c r="A286" t="s">
        <v>34</v>
      </c>
      <c r="B286" t="s">
        <v>54</v>
      </c>
      <c r="C286" t="s">
        <v>14</v>
      </c>
      <c r="D286" t="s">
        <v>15</v>
      </c>
      <c r="E286" s="5">
        <v>119843</v>
      </c>
      <c r="F286" t="s">
        <v>4127</v>
      </c>
      <c r="G286" t="s">
        <v>410</v>
      </c>
      <c r="H286" t="s">
        <v>14</v>
      </c>
    </row>
    <row r="287" spans="1:8" x14ac:dyDescent="0.3">
      <c r="A287" t="s">
        <v>40</v>
      </c>
      <c r="B287" t="s">
        <v>20</v>
      </c>
      <c r="C287" t="s">
        <v>14</v>
      </c>
      <c r="D287" t="s">
        <v>42</v>
      </c>
      <c r="E287" s="5">
        <v>129500</v>
      </c>
      <c r="F287" t="s">
        <v>3299</v>
      </c>
      <c r="G287" t="s">
        <v>128</v>
      </c>
      <c r="H287" t="s">
        <v>16</v>
      </c>
    </row>
    <row r="288" spans="1:8" x14ac:dyDescent="0.3">
      <c r="A288" t="s">
        <v>72</v>
      </c>
      <c r="B288" t="s">
        <v>54</v>
      </c>
      <c r="C288" t="s">
        <v>22</v>
      </c>
      <c r="D288" t="s">
        <v>51</v>
      </c>
      <c r="E288" s="5">
        <v>162266</v>
      </c>
      <c r="F288" t="s">
        <v>2541</v>
      </c>
      <c r="G288" t="s">
        <v>229</v>
      </c>
      <c r="H288" t="s">
        <v>14</v>
      </c>
    </row>
    <row r="289" spans="1:8" x14ac:dyDescent="0.3">
      <c r="A289" t="s">
        <v>49</v>
      </c>
      <c r="B289" t="s">
        <v>30</v>
      </c>
      <c r="C289" t="s">
        <v>22</v>
      </c>
      <c r="D289" t="s">
        <v>51</v>
      </c>
      <c r="E289" s="5">
        <v>93774.5</v>
      </c>
      <c r="F289" t="s">
        <v>3292</v>
      </c>
      <c r="G289" t="s">
        <v>47</v>
      </c>
      <c r="H289" t="s">
        <v>14</v>
      </c>
    </row>
    <row r="290" spans="1:8" x14ac:dyDescent="0.3">
      <c r="A290" t="s">
        <v>19</v>
      </c>
      <c r="B290" t="s">
        <v>30</v>
      </c>
      <c r="C290" t="s">
        <v>14</v>
      </c>
      <c r="D290" t="s">
        <v>15</v>
      </c>
      <c r="E290" s="5">
        <v>117808</v>
      </c>
      <c r="F290" t="s">
        <v>921</v>
      </c>
      <c r="G290" t="s">
        <v>235</v>
      </c>
      <c r="H290" t="s">
        <v>69</v>
      </c>
    </row>
    <row r="291" spans="1:8" x14ac:dyDescent="0.3">
      <c r="A291" t="s">
        <v>11</v>
      </c>
      <c r="B291" t="s">
        <v>54</v>
      </c>
      <c r="C291" t="s">
        <v>14</v>
      </c>
      <c r="D291" t="s">
        <v>42</v>
      </c>
      <c r="E291" s="5">
        <v>166223.5</v>
      </c>
      <c r="F291" t="s">
        <v>2346</v>
      </c>
      <c r="G291" t="s">
        <v>714</v>
      </c>
      <c r="H291" t="s">
        <v>16</v>
      </c>
    </row>
    <row r="292" spans="1:8" x14ac:dyDescent="0.3">
      <c r="A292" t="s">
        <v>40</v>
      </c>
      <c r="B292" t="s">
        <v>67</v>
      </c>
      <c r="C292" t="s">
        <v>14</v>
      </c>
      <c r="D292" t="s">
        <v>42</v>
      </c>
      <c r="E292" s="5">
        <v>111608</v>
      </c>
      <c r="F292" t="s">
        <v>97</v>
      </c>
      <c r="G292" t="s">
        <v>98</v>
      </c>
      <c r="H292" t="s">
        <v>69</v>
      </c>
    </row>
    <row r="293" spans="1:8" x14ac:dyDescent="0.3">
      <c r="A293" t="s">
        <v>34</v>
      </c>
      <c r="B293" t="s">
        <v>135</v>
      </c>
      <c r="C293" t="s">
        <v>22</v>
      </c>
      <c r="D293" t="s">
        <v>37</v>
      </c>
      <c r="E293" s="5">
        <v>100212</v>
      </c>
      <c r="F293" t="s">
        <v>1733</v>
      </c>
      <c r="G293" t="s">
        <v>1437</v>
      </c>
      <c r="H293" t="s">
        <v>69</v>
      </c>
    </row>
    <row r="294" spans="1:8" x14ac:dyDescent="0.3">
      <c r="A294" t="s">
        <v>45</v>
      </c>
      <c r="B294" t="s">
        <v>135</v>
      </c>
      <c r="C294" t="s">
        <v>22</v>
      </c>
      <c r="D294" t="s">
        <v>15</v>
      </c>
      <c r="E294" s="5">
        <v>149465</v>
      </c>
      <c r="F294" t="s">
        <v>2958</v>
      </c>
      <c r="G294" t="s">
        <v>226</v>
      </c>
      <c r="H294" t="s">
        <v>16</v>
      </c>
    </row>
    <row r="295" spans="1:8" x14ac:dyDescent="0.3">
      <c r="A295" t="s">
        <v>49</v>
      </c>
      <c r="B295" t="s">
        <v>12</v>
      </c>
      <c r="C295" t="s">
        <v>27</v>
      </c>
      <c r="D295" t="s">
        <v>15</v>
      </c>
      <c r="E295" s="5">
        <v>134407.5</v>
      </c>
      <c r="F295" t="s">
        <v>3824</v>
      </c>
      <c r="G295" t="s">
        <v>823</v>
      </c>
      <c r="H295" t="s">
        <v>16</v>
      </c>
    </row>
    <row r="296" spans="1:8" x14ac:dyDescent="0.3">
      <c r="A296" t="s">
        <v>19</v>
      </c>
      <c r="B296" t="s">
        <v>25</v>
      </c>
      <c r="C296" t="s">
        <v>27</v>
      </c>
      <c r="D296" t="s">
        <v>42</v>
      </c>
      <c r="E296" s="5">
        <v>133649.5</v>
      </c>
      <c r="F296" t="s">
        <v>4221</v>
      </c>
      <c r="G296" t="s">
        <v>229</v>
      </c>
      <c r="H296" t="s">
        <v>69</v>
      </c>
    </row>
    <row r="297" spans="1:8" x14ac:dyDescent="0.3">
      <c r="A297" t="s">
        <v>11</v>
      </c>
      <c r="B297" t="s">
        <v>35</v>
      </c>
      <c r="C297" t="s">
        <v>27</v>
      </c>
      <c r="D297" t="s">
        <v>42</v>
      </c>
      <c r="E297" s="5">
        <v>94879</v>
      </c>
      <c r="F297" t="s">
        <v>3749</v>
      </c>
      <c r="G297" t="s">
        <v>391</v>
      </c>
      <c r="H297" t="s">
        <v>14</v>
      </c>
    </row>
    <row r="298" spans="1:8" x14ac:dyDescent="0.3">
      <c r="A298" t="s">
        <v>45</v>
      </c>
      <c r="B298" t="s">
        <v>12</v>
      </c>
      <c r="C298" t="s">
        <v>14</v>
      </c>
      <c r="D298" t="s">
        <v>51</v>
      </c>
      <c r="E298" s="5">
        <v>89048.5</v>
      </c>
      <c r="F298" t="s">
        <v>2573</v>
      </c>
      <c r="G298" t="s">
        <v>163</v>
      </c>
      <c r="H298" t="s">
        <v>14</v>
      </c>
    </row>
    <row r="299" spans="1:8" x14ac:dyDescent="0.3">
      <c r="A299" t="s">
        <v>49</v>
      </c>
      <c r="B299" t="s">
        <v>67</v>
      </c>
      <c r="C299" t="s">
        <v>22</v>
      </c>
      <c r="D299" t="s">
        <v>51</v>
      </c>
      <c r="E299" s="5">
        <v>98025</v>
      </c>
      <c r="F299" t="s">
        <v>3905</v>
      </c>
      <c r="G299" t="s">
        <v>90</v>
      </c>
      <c r="H299" t="s">
        <v>14</v>
      </c>
    </row>
    <row r="300" spans="1:8" x14ac:dyDescent="0.3">
      <c r="A300" t="s">
        <v>72</v>
      </c>
      <c r="B300" t="s">
        <v>54</v>
      </c>
      <c r="C300" t="s">
        <v>22</v>
      </c>
      <c r="D300" t="s">
        <v>15</v>
      </c>
      <c r="E300" s="5">
        <v>150066</v>
      </c>
      <c r="F300" t="s">
        <v>1124</v>
      </c>
      <c r="G300" t="s">
        <v>52</v>
      </c>
      <c r="H300" t="s">
        <v>69</v>
      </c>
    </row>
    <row r="301" spans="1:8" x14ac:dyDescent="0.3">
      <c r="A301" t="s">
        <v>45</v>
      </c>
      <c r="B301" t="s">
        <v>30</v>
      </c>
      <c r="C301" t="s">
        <v>27</v>
      </c>
      <c r="D301" t="s">
        <v>51</v>
      </c>
      <c r="E301" s="5">
        <v>142299.5</v>
      </c>
      <c r="F301" t="s">
        <v>2895</v>
      </c>
      <c r="G301" t="s">
        <v>316</v>
      </c>
      <c r="H301" t="s">
        <v>69</v>
      </c>
    </row>
    <row r="302" spans="1:8" x14ac:dyDescent="0.3">
      <c r="A302" t="s">
        <v>45</v>
      </c>
      <c r="B302" t="s">
        <v>67</v>
      </c>
      <c r="C302" t="s">
        <v>27</v>
      </c>
      <c r="D302" t="s">
        <v>15</v>
      </c>
      <c r="E302" s="5">
        <v>98319</v>
      </c>
      <c r="F302" t="s">
        <v>4096</v>
      </c>
      <c r="G302" t="s">
        <v>450</v>
      </c>
      <c r="H302" t="s">
        <v>69</v>
      </c>
    </row>
    <row r="303" spans="1:8" x14ac:dyDescent="0.3">
      <c r="A303" t="s">
        <v>72</v>
      </c>
      <c r="B303" t="s">
        <v>30</v>
      </c>
      <c r="C303" t="s">
        <v>22</v>
      </c>
      <c r="D303" t="s">
        <v>51</v>
      </c>
      <c r="E303" s="5">
        <v>132804</v>
      </c>
      <c r="F303" t="s">
        <v>2077</v>
      </c>
      <c r="G303" t="s">
        <v>90</v>
      </c>
      <c r="H303" t="s">
        <v>16</v>
      </c>
    </row>
    <row r="304" spans="1:8" x14ac:dyDescent="0.3">
      <c r="A304" t="s">
        <v>11</v>
      </c>
      <c r="B304" t="s">
        <v>135</v>
      </c>
      <c r="C304" t="s">
        <v>27</v>
      </c>
      <c r="D304" t="s">
        <v>51</v>
      </c>
      <c r="E304" s="5">
        <v>130342</v>
      </c>
      <c r="F304" t="s">
        <v>3670</v>
      </c>
      <c r="G304" t="s">
        <v>77</v>
      </c>
      <c r="H304" t="s">
        <v>16</v>
      </c>
    </row>
    <row r="305" spans="1:8" x14ac:dyDescent="0.3">
      <c r="A305" t="s">
        <v>34</v>
      </c>
      <c r="B305" t="s">
        <v>20</v>
      </c>
      <c r="C305" t="s">
        <v>14</v>
      </c>
      <c r="D305" t="s">
        <v>37</v>
      </c>
      <c r="E305" s="5">
        <v>93717.5</v>
      </c>
      <c r="F305" t="s">
        <v>3047</v>
      </c>
      <c r="G305" t="s">
        <v>928</v>
      </c>
      <c r="H305" t="s">
        <v>16</v>
      </c>
    </row>
    <row r="306" spans="1:8" x14ac:dyDescent="0.3">
      <c r="A306" t="s">
        <v>49</v>
      </c>
      <c r="B306" t="s">
        <v>135</v>
      </c>
      <c r="C306" t="s">
        <v>14</v>
      </c>
      <c r="D306" t="s">
        <v>51</v>
      </c>
      <c r="E306" s="5">
        <v>177701.5</v>
      </c>
      <c r="F306" t="s">
        <v>431</v>
      </c>
      <c r="G306" t="s">
        <v>432</v>
      </c>
      <c r="H306" t="s">
        <v>69</v>
      </c>
    </row>
    <row r="307" spans="1:8" x14ac:dyDescent="0.3">
      <c r="A307" t="s">
        <v>19</v>
      </c>
      <c r="B307" t="s">
        <v>25</v>
      </c>
      <c r="C307" t="s">
        <v>22</v>
      </c>
      <c r="D307" t="s">
        <v>15</v>
      </c>
      <c r="E307" s="5">
        <v>106785.5</v>
      </c>
      <c r="F307" t="s">
        <v>1665</v>
      </c>
      <c r="G307" t="s">
        <v>70</v>
      </c>
      <c r="H307" t="s">
        <v>69</v>
      </c>
    </row>
    <row r="308" spans="1:8" x14ac:dyDescent="0.3">
      <c r="A308" t="s">
        <v>45</v>
      </c>
      <c r="B308" t="s">
        <v>12</v>
      </c>
      <c r="C308" t="s">
        <v>14</v>
      </c>
      <c r="D308" t="s">
        <v>51</v>
      </c>
      <c r="E308" s="5">
        <v>87406.5</v>
      </c>
      <c r="F308" t="s">
        <v>2469</v>
      </c>
      <c r="G308" t="s">
        <v>2470</v>
      </c>
      <c r="H308" t="s">
        <v>16</v>
      </c>
    </row>
    <row r="309" spans="1:8" x14ac:dyDescent="0.3">
      <c r="A309" t="s">
        <v>19</v>
      </c>
      <c r="B309" t="s">
        <v>67</v>
      </c>
      <c r="C309" t="s">
        <v>27</v>
      </c>
      <c r="D309" t="s">
        <v>51</v>
      </c>
      <c r="E309" s="5">
        <v>100551.5</v>
      </c>
      <c r="F309" t="s">
        <v>1589</v>
      </c>
      <c r="G309" t="s">
        <v>1590</v>
      </c>
      <c r="H309" t="s">
        <v>69</v>
      </c>
    </row>
    <row r="310" spans="1:8" x14ac:dyDescent="0.3">
      <c r="A310" t="s">
        <v>40</v>
      </c>
      <c r="B310" t="s">
        <v>12</v>
      </c>
      <c r="C310" t="s">
        <v>14</v>
      </c>
      <c r="D310" t="s">
        <v>37</v>
      </c>
      <c r="E310" s="5">
        <v>124758.5</v>
      </c>
      <c r="F310" t="s">
        <v>2941</v>
      </c>
      <c r="G310" t="s">
        <v>157</v>
      </c>
      <c r="H310" t="s">
        <v>16</v>
      </c>
    </row>
    <row r="311" spans="1:8" x14ac:dyDescent="0.3">
      <c r="A311" t="s">
        <v>34</v>
      </c>
      <c r="B311" t="s">
        <v>30</v>
      </c>
      <c r="C311" t="s">
        <v>22</v>
      </c>
      <c r="D311" t="s">
        <v>15</v>
      </c>
      <c r="E311" s="5">
        <v>73465.5</v>
      </c>
      <c r="F311" t="s">
        <v>3388</v>
      </c>
      <c r="G311" t="s">
        <v>316</v>
      </c>
      <c r="H311" t="s">
        <v>14</v>
      </c>
    </row>
    <row r="312" spans="1:8" x14ac:dyDescent="0.3">
      <c r="A312" t="s">
        <v>19</v>
      </c>
      <c r="B312" t="s">
        <v>67</v>
      </c>
      <c r="C312" t="s">
        <v>22</v>
      </c>
      <c r="D312" t="s">
        <v>37</v>
      </c>
      <c r="E312" s="5">
        <v>189411</v>
      </c>
      <c r="F312" t="s">
        <v>3282</v>
      </c>
      <c r="G312" t="s">
        <v>847</v>
      </c>
      <c r="H312" t="s">
        <v>16</v>
      </c>
    </row>
    <row r="313" spans="1:8" x14ac:dyDescent="0.3">
      <c r="A313" t="s">
        <v>45</v>
      </c>
      <c r="B313" t="s">
        <v>20</v>
      </c>
      <c r="C313" t="s">
        <v>14</v>
      </c>
      <c r="D313" t="s">
        <v>15</v>
      </c>
      <c r="E313" s="5">
        <v>88147.5</v>
      </c>
      <c r="F313" t="s">
        <v>315</v>
      </c>
      <c r="G313" t="s">
        <v>316</v>
      </c>
      <c r="H313" t="s">
        <v>14</v>
      </c>
    </row>
    <row r="314" spans="1:8" x14ac:dyDescent="0.3">
      <c r="A314" t="s">
        <v>11</v>
      </c>
      <c r="B314" t="s">
        <v>30</v>
      </c>
      <c r="C314" t="s">
        <v>27</v>
      </c>
      <c r="D314" t="s">
        <v>15</v>
      </c>
      <c r="E314" s="5">
        <v>93769</v>
      </c>
      <c r="F314" t="s">
        <v>2650</v>
      </c>
      <c r="G314" t="s">
        <v>1283</v>
      </c>
      <c r="H314" t="s">
        <v>14</v>
      </c>
    </row>
    <row r="315" spans="1:8" x14ac:dyDescent="0.3">
      <c r="A315" t="s">
        <v>40</v>
      </c>
      <c r="B315" t="s">
        <v>30</v>
      </c>
      <c r="C315" t="s">
        <v>27</v>
      </c>
      <c r="D315" t="s">
        <v>51</v>
      </c>
      <c r="E315" s="5">
        <v>132767</v>
      </c>
      <c r="F315" t="s">
        <v>2426</v>
      </c>
      <c r="G315" t="s">
        <v>70</v>
      </c>
      <c r="H315" t="s">
        <v>16</v>
      </c>
    </row>
    <row r="316" spans="1:8" x14ac:dyDescent="0.3">
      <c r="A316" t="s">
        <v>11</v>
      </c>
      <c r="B316" t="s">
        <v>35</v>
      </c>
      <c r="C316" t="s">
        <v>14</v>
      </c>
      <c r="D316" t="s">
        <v>51</v>
      </c>
      <c r="E316" s="5">
        <v>168179.5</v>
      </c>
      <c r="F316" t="s">
        <v>3053</v>
      </c>
      <c r="G316" t="s">
        <v>80</v>
      </c>
      <c r="H316" t="s">
        <v>16</v>
      </c>
    </row>
    <row r="317" spans="1:8" x14ac:dyDescent="0.3">
      <c r="A317" t="s">
        <v>45</v>
      </c>
      <c r="B317" t="s">
        <v>67</v>
      </c>
      <c r="C317" t="s">
        <v>14</v>
      </c>
      <c r="D317" t="s">
        <v>15</v>
      </c>
      <c r="E317" s="5">
        <v>189034</v>
      </c>
      <c r="F317" t="s">
        <v>2880</v>
      </c>
      <c r="G317" t="s">
        <v>410</v>
      </c>
      <c r="H317" t="s">
        <v>16</v>
      </c>
    </row>
    <row r="318" spans="1:8" x14ac:dyDescent="0.3">
      <c r="A318" t="s">
        <v>11</v>
      </c>
      <c r="B318" t="s">
        <v>20</v>
      </c>
      <c r="C318" t="s">
        <v>14</v>
      </c>
      <c r="D318" t="s">
        <v>51</v>
      </c>
      <c r="E318" s="5">
        <v>78574</v>
      </c>
      <c r="F318" t="s">
        <v>4071</v>
      </c>
      <c r="G318" t="s">
        <v>3514</v>
      </c>
      <c r="H318" t="s">
        <v>69</v>
      </c>
    </row>
    <row r="319" spans="1:8" x14ac:dyDescent="0.3">
      <c r="A319" t="s">
        <v>40</v>
      </c>
      <c r="B319" t="s">
        <v>54</v>
      </c>
      <c r="C319" t="s">
        <v>22</v>
      </c>
      <c r="D319" t="s">
        <v>51</v>
      </c>
      <c r="E319" s="5">
        <v>154278.5</v>
      </c>
      <c r="F319" t="s">
        <v>1270</v>
      </c>
      <c r="G319" t="s">
        <v>80</v>
      </c>
      <c r="H319" t="s">
        <v>14</v>
      </c>
    </row>
    <row r="320" spans="1:8" x14ac:dyDescent="0.3">
      <c r="A320" t="s">
        <v>72</v>
      </c>
      <c r="B320" t="s">
        <v>135</v>
      </c>
      <c r="C320" t="s">
        <v>22</v>
      </c>
      <c r="D320" t="s">
        <v>51</v>
      </c>
      <c r="E320" s="5">
        <v>96565</v>
      </c>
      <c r="F320" t="s">
        <v>935</v>
      </c>
      <c r="G320" t="s">
        <v>157</v>
      </c>
      <c r="H320" t="s">
        <v>16</v>
      </c>
    </row>
    <row r="321" spans="1:8" x14ac:dyDescent="0.3">
      <c r="A321" t="s">
        <v>72</v>
      </c>
      <c r="B321" t="s">
        <v>54</v>
      </c>
      <c r="C321" t="s">
        <v>22</v>
      </c>
      <c r="D321" t="s">
        <v>15</v>
      </c>
      <c r="E321" s="5">
        <v>147306.5</v>
      </c>
      <c r="F321" t="s">
        <v>2673</v>
      </c>
      <c r="G321" t="s">
        <v>789</v>
      </c>
      <c r="H321" t="s">
        <v>16</v>
      </c>
    </row>
    <row r="322" spans="1:8" x14ac:dyDescent="0.3">
      <c r="A322" t="s">
        <v>49</v>
      </c>
      <c r="B322" t="s">
        <v>135</v>
      </c>
      <c r="C322" t="s">
        <v>14</v>
      </c>
      <c r="D322" t="s">
        <v>37</v>
      </c>
      <c r="E322" s="5">
        <v>113281</v>
      </c>
      <c r="F322" t="s">
        <v>710</v>
      </c>
      <c r="G322" t="s">
        <v>711</v>
      </c>
      <c r="H322" t="s">
        <v>14</v>
      </c>
    </row>
    <row r="323" spans="1:8" x14ac:dyDescent="0.3">
      <c r="A323" t="s">
        <v>40</v>
      </c>
      <c r="B323" t="s">
        <v>30</v>
      </c>
      <c r="C323" t="s">
        <v>22</v>
      </c>
      <c r="D323" t="s">
        <v>51</v>
      </c>
      <c r="E323" s="5">
        <v>133959.5</v>
      </c>
      <c r="F323" t="s">
        <v>473</v>
      </c>
      <c r="G323" t="s">
        <v>391</v>
      </c>
      <c r="H323" t="s">
        <v>69</v>
      </c>
    </row>
    <row r="324" spans="1:8" x14ac:dyDescent="0.3">
      <c r="A324" t="s">
        <v>45</v>
      </c>
      <c r="B324" t="s">
        <v>20</v>
      </c>
      <c r="C324" t="s">
        <v>22</v>
      </c>
      <c r="D324" t="s">
        <v>51</v>
      </c>
      <c r="E324" s="5">
        <v>119376</v>
      </c>
      <c r="F324" t="s">
        <v>422</v>
      </c>
      <c r="G324" t="s">
        <v>157</v>
      </c>
      <c r="H324" t="s">
        <v>14</v>
      </c>
    </row>
    <row r="325" spans="1:8" x14ac:dyDescent="0.3">
      <c r="A325" t="s">
        <v>72</v>
      </c>
      <c r="B325" t="s">
        <v>12</v>
      </c>
      <c r="C325" t="s">
        <v>22</v>
      </c>
      <c r="D325" t="s">
        <v>51</v>
      </c>
      <c r="E325" s="5">
        <v>157281.5</v>
      </c>
      <c r="F325" t="s">
        <v>642</v>
      </c>
      <c r="G325" t="s">
        <v>70</v>
      </c>
      <c r="H325" t="s">
        <v>14</v>
      </c>
    </row>
    <row r="326" spans="1:8" x14ac:dyDescent="0.3">
      <c r="A326" t="s">
        <v>19</v>
      </c>
      <c r="B326" t="s">
        <v>30</v>
      </c>
      <c r="C326" t="s">
        <v>27</v>
      </c>
      <c r="D326" t="s">
        <v>15</v>
      </c>
      <c r="E326" s="5">
        <v>132856.5</v>
      </c>
      <c r="F326" t="s">
        <v>2158</v>
      </c>
      <c r="G326" t="s">
        <v>1010</v>
      </c>
      <c r="H326" t="s">
        <v>69</v>
      </c>
    </row>
    <row r="327" spans="1:8" x14ac:dyDescent="0.3">
      <c r="A327" t="s">
        <v>72</v>
      </c>
      <c r="B327" t="s">
        <v>30</v>
      </c>
      <c r="C327" t="s">
        <v>22</v>
      </c>
      <c r="D327" t="s">
        <v>37</v>
      </c>
      <c r="E327" s="5">
        <v>107459</v>
      </c>
      <c r="F327" t="s">
        <v>2147</v>
      </c>
      <c r="G327" t="s">
        <v>125</v>
      </c>
      <c r="H327" t="s">
        <v>16</v>
      </c>
    </row>
    <row r="328" spans="1:8" x14ac:dyDescent="0.3">
      <c r="A328" t="s">
        <v>34</v>
      </c>
      <c r="B328" t="s">
        <v>67</v>
      </c>
      <c r="C328" t="s">
        <v>22</v>
      </c>
      <c r="D328" t="s">
        <v>42</v>
      </c>
      <c r="E328" s="5">
        <v>98471.5</v>
      </c>
      <c r="F328" t="s">
        <v>1575</v>
      </c>
      <c r="G328" t="s">
        <v>216</v>
      </c>
      <c r="H328" t="s">
        <v>16</v>
      </c>
    </row>
    <row r="329" spans="1:8" x14ac:dyDescent="0.3">
      <c r="A329" t="s">
        <v>45</v>
      </c>
      <c r="B329" t="s">
        <v>12</v>
      </c>
      <c r="C329" t="s">
        <v>22</v>
      </c>
      <c r="D329" t="s">
        <v>15</v>
      </c>
      <c r="E329" s="5">
        <v>140656.5</v>
      </c>
      <c r="F329" t="s">
        <v>736</v>
      </c>
      <c r="G329" t="s">
        <v>52</v>
      </c>
      <c r="H329" t="s">
        <v>14</v>
      </c>
    </row>
    <row r="330" spans="1:8" x14ac:dyDescent="0.3">
      <c r="A330" t="s">
        <v>19</v>
      </c>
      <c r="B330" t="s">
        <v>54</v>
      </c>
      <c r="C330" t="s">
        <v>27</v>
      </c>
      <c r="D330" t="s">
        <v>15</v>
      </c>
      <c r="E330" s="5">
        <v>153307.5</v>
      </c>
      <c r="F330" t="s">
        <v>1327</v>
      </c>
      <c r="G330" t="s">
        <v>434</v>
      </c>
      <c r="H330" t="s">
        <v>69</v>
      </c>
    </row>
    <row r="331" spans="1:8" x14ac:dyDescent="0.3">
      <c r="A331" t="s">
        <v>45</v>
      </c>
      <c r="B331" t="s">
        <v>135</v>
      </c>
      <c r="C331" t="s">
        <v>22</v>
      </c>
      <c r="D331" t="s">
        <v>51</v>
      </c>
      <c r="E331" s="5">
        <v>102040.5</v>
      </c>
      <c r="F331" t="s">
        <v>383</v>
      </c>
      <c r="G331" t="s">
        <v>80</v>
      </c>
      <c r="H331" t="s">
        <v>14</v>
      </c>
    </row>
    <row r="332" spans="1:8" x14ac:dyDescent="0.3">
      <c r="A332" t="s">
        <v>72</v>
      </c>
      <c r="B332" t="s">
        <v>54</v>
      </c>
      <c r="C332" t="s">
        <v>14</v>
      </c>
      <c r="D332" t="s">
        <v>15</v>
      </c>
      <c r="E332" s="5">
        <v>153879.5</v>
      </c>
      <c r="F332" t="s">
        <v>3092</v>
      </c>
      <c r="G332" t="s">
        <v>353</v>
      </c>
      <c r="H332" t="s">
        <v>14</v>
      </c>
    </row>
    <row r="333" spans="1:8" x14ac:dyDescent="0.3">
      <c r="A333" t="s">
        <v>34</v>
      </c>
      <c r="B333" t="s">
        <v>35</v>
      </c>
      <c r="C333" t="s">
        <v>22</v>
      </c>
      <c r="D333" t="s">
        <v>37</v>
      </c>
      <c r="E333" s="5">
        <v>80684</v>
      </c>
      <c r="F333" t="s">
        <v>3146</v>
      </c>
      <c r="G333" t="s">
        <v>1437</v>
      </c>
      <c r="H333" t="s">
        <v>14</v>
      </c>
    </row>
    <row r="334" spans="1:8" x14ac:dyDescent="0.3">
      <c r="A334" t="s">
        <v>11</v>
      </c>
      <c r="B334" t="s">
        <v>135</v>
      </c>
      <c r="C334" t="s">
        <v>22</v>
      </c>
      <c r="D334" t="s">
        <v>37</v>
      </c>
      <c r="E334" s="5">
        <v>166053</v>
      </c>
      <c r="F334" t="s">
        <v>1019</v>
      </c>
      <c r="G334" t="s">
        <v>313</v>
      </c>
      <c r="H334" t="s">
        <v>69</v>
      </c>
    </row>
    <row r="335" spans="1:8" x14ac:dyDescent="0.3">
      <c r="A335" t="s">
        <v>19</v>
      </c>
      <c r="B335" t="s">
        <v>30</v>
      </c>
      <c r="C335" t="s">
        <v>14</v>
      </c>
      <c r="D335" t="s">
        <v>15</v>
      </c>
      <c r="E335" s="5">
        <v>103471.5</v>
      </c>
      <c r="F335" t="s">
        <v>3962</v>
      </c>
      <c r="G335" t="s">
        <v>281</v>
      </c>
      <c r="H335" t="s">
        <v>16</v>
      </c>
    </row>
    <row r="336" spans="1:8" x14ac:dyDescent="0.3">
      <c r="A336" t="s">
        <v>72</v>
      </c>
      <c r="B336" t="s">
        <v>30</v>
      </c>
      <c r="C336" t="s">
        <v>14</v>
      </c>
      <c r="D336" t="s">
        <v>37</v>
      </c>
      <c r="E336" s="5">
        <v>77838.5</v>
      </c>
      <c r="F336" t="s">
        <v>2457</v>
      </c>
      <c r="G336" t="s">
        <v>157</v>
      </c>
      <c r="H336" t="s">
        <v>69</v>
      </c>
    </row>
    <row r="337" spans="1:8" x14ac:dyDescent="0.3">
      <c r="A337" t="s">
        <v>72</v>
      </c>
      <c r="B337" t="s">
        <v>20</v>
      </c>
      <c r="C337" t="s">
        <v>22</v>
      </c>
      <c r="D337" t="s">
        <v>15</v>
      </c>
      <c r="E337" s="5">
        <v>61594.5</v>
      </c>
      <c r="F337" t="s">
        <v>3131</v>
      </c>
      <c r="G337" t="s">
        <v>70</v>
      </c>
      <c r="H337" t="s">
        <v>69</v>
      </c>
    </row>
    <row r="338" spans="1:8" x14ac:dyDescent="0.3">
      <c r="A338" t="s">
        <v>19</v>
      </c>
      <c r="B338" t="s">
        <v>12</v>
      </c>
      <c r="C338" t="s">
        <v>22</v>
      </c>
      <c r="D338" t="s">
        <v>37</v>
      </c>
      <c r="E338" s="5">
        <v>101686.5</v>
      </c>
      <c r="F338" t="s">
        <v>2318</v>
      </c>
      <c r="G338" t="s">
        <v>2319</v>
      </c>
      <c r="H338" t="s">
        <v>69</v>
      </c>
    </row>
    <row r="339" spans="1:8" x14ac:dyDescent="0.3">
      <c r="A339" t="s">
        <v>40</v>
      </c>
      <c r="B339" t="s">
        <v>12</v>
      </c>
      <c r="C339" t="s">
        <v>27</v>
      </c>
      <c r="D339" t="s">
        <v>42</v>
      </c>
      <c r="E339" s="5">
        <v>138457</v>
      </c>
      <c r="F339" t="s">
        <v>3587</v>
      </c>
      <c r="G339" t="s">
        <v>235</v>
      </c>
      <c r="H339" t="s">
        <v>69</v>
      </c>
    </row>
    <row r="340" spans="1:8" x14ac:dyDescent="0.3">
      <c r="A340" t="s">
        <v>40</v>
      </c>
      <c r="B340" t="s">
        <v>20</v>
      </c>
      <c r="C340" t="s">
        <v>14</v>
      </c>
      <c r="D340" t="s">
        <v>42</v>
      </c>
      <c r="E340" s="5">
        <v>90096.5</v>
      </c>
      <c r="F340" t="s">
        <v>1210</v>
      </c>
      <c r="G340" t="s">
        <v>1158</v>
      </c>
      <c r="H340" t="s">
        <v>14</v>
      </c>
    </row>
    <row r="341" spans="1:8" x14ac:dyDescent="0.3">
      <c r="A341" t="s">
        <v>34</v>
      </c>
      <c r="B341" t="s">
        <v>54</v>
      </c>
      <c r="C341" t="s">
        <v>22</v>
      </c>
      <c r="D341" t="s">
        <v>51</v>
      </c>
      <c r="E341" s="5">
        <v>135710</v>
      </c>
      <c r="F341" t="s">
        <v>2567</v>
      </c>
      <c r="G341" t="s">
        <v>77</v>
      </c>
      <c r="H341" t="s">
        <v>69</v>
      </c>
    </row>
    <row r="342" spans="1:8" x14ac:dyDescent="0.3">
      <c r="A342" t="s">
        <v>45</v>
      </c>
      <c r="B342" t="s">
        <v>12</v>
      </c>
      <c r="C342" t="s">
        <v>14</v>
      </c>
      <c r="D342" t="s">
        <v>37</v>
      </c>
      <c r="E342" s="5">
        <v>123660.5</v>
      </c>
      <c r="F342" t="s">
        <v>2391</v>
      </c>
      <c r="G342" t="s">
        <v>216</v>
      </c>
      <c r="H342" t="s">
        <v>14</v>
      </c>
    </row>
    <row r="343" spans="1:8" x14ac:dyDescent="0.3">
      <c r="A343" t="s">
        <v>72</v>
      </c>
      <c r="B343" t="s">
        <v>54</v>
      </c>
      <c r="C343" t="s">
        <v>14</v>
      </c>
      <c r="D343" t="s">
        <v>15</v>
      </c>
      <c r="E343" s="5">
        <v>84419.5</v>
      </c>
      <c r="F343" t="s">
        <v>4073</v>
      </c>
      <c r="G343" t="s">
        <v>47</v>
      </c>
      <c r="H343" t="s">
        <v>14</v>
      </c>
    </row>
    <row r="344" spans="1:8" x14ac:dyDescent="0.3">
      <c r="A344" t="s">
        <v>49</v>
      </c>
      <c r="B344" t="s">
        <v>135</v>
      </c>
      <c r="C344" t="s">
        <v>27</v>
      </c>
      <c r="D344" t="s">
        <v>37</v>
      </c>
      <c r="E344" s="5">
        <v>90329.5</v>
      </c>
      <c r="F344" t="s">
        <v>1524</v>
      </c>
      <c r="G344" t="s">
        <v>157</v>
      </c>
      <c r="H344" t="s">
        <v>69</v>
      </c>
    </row>
    <row r="345" spans="1:8" x14ac:dyDescent="0.3">
      <c r="A345" t="s">
        <v>45</v>
      </c>
      <c r="B345" t="s">
        <v>35</v>
      </c>
      <c r="C345" t="s">
        <v>27</v>
      </c>
      <c r="D345" t="s">
        <v>51</v>
      </c>
      <c r="E345" s="5">
        <v>135501.5</v>
      </c>
      <c r="F345" t="s">
        <v>2376</v>
      </c>
      <c r="G345" t="s">
        <v>77</v>
      </c>
      <c r="H345" t="s">
        <v>69</v>
      </c>
    </row>
    <row r="346" spans="1:8" x14ac:dyDescent="0.3">
      <c r="A346" t="s">
        <v>45</v>
      </c>
      <c r="B346" t="s">
        <v>30</v>
      </c>
      <c r="C346" t="s">
        <v>27</v>
      </c>
      <c r="D346" t="s">
        <v>51</v>
      </c>
      <c r="E346" s="5">
        <v>159045.5</v>
      </c>
      <c r="F346" t="s">
        <v>3158</v>
      </c>
      <c r="G346" t="s">
        <v>1231</v>
      </c>
      <c r="H346" t="s">
        <v>69</v>
      </c>
    </row>
    <row r="347" spans="1:8" x14ac:dyDescent="0.3">
      <c r="A347" t="s">
        <v>45</v>
      </c>
      <c r="B347" t="s">
        <v>20</v>
      </c>
      <c r="C347" t="s">
        <v>14</v>
      </c>
      <c r="D347" t="s">
        <v>37</v>
      </c>
      <c r="E347" s="5">
        <v>54933.5</v>
      </c>
      <c r="F347" t="s">
        <v>4257</v>
      </c>
      <c r="G347" t="s">
        <v>235</v>
      </c>
      <c r="H347" t="s">
        <v>69</v>
      </c>
    </row>
    <row r="348" spans="1:8" x14ac:dyDescent="0.3">
      <c r="A348" t="s">
        <v>11</v>
      </c>
      <c r="B348" t="s">
        <v>135</v>
      </c>
      <c r="C348" t="s">
        <v>27</v>
      </c>
      <c r="D348" t="s">
        <v>42</v>
      </c>
      <c r="E348" s="5">
        <v>131284</v>
      </c>
      <c r="F348" t="s">
        <v>1607</v>
      </c>
      <c r="G348" t="s">
        <v>70</v>
      </c>
      <c r="H348" t="s">
        <v>14</v>
      </c>
    </row>
    <row r="349" spans="1:8" x14ac:dyDescent="0.3">
      <c r="A349" t="s">
        <v>72</v>
      </c>
      <c r="B349" t="s">
        <v>54</v>
      </c>
      <c r="C349" t="s">
        <v>22</v>
      </c>
      <c r="D349" t="s">
        <v>15</v>
      </c>
      <c r="E349" s="5">
        <v>104503</v>
      </c>
      <c r="F349" t="s">
        <v>193</v>
      </c>
      <c r="G349" t="s">
        <v>194</v>
      </c>
      <c r="H349" t="s">
        <v>16</v>
      </c>
    </row>
    <row r="350" spans="1:8" x14ac:dyDescent="0.3">
      <c r="A350" t="s">
        <v>40</v>
      </c>
      <c r="B350" t="s">
        <v>135</v>
      </c>
      <c r="C350" t="s">
        <v>22</v>
      </c>
      <c r="D350" t="s">
        <v>37</v>
      </c>
      <c r="E350" s="5">
        <v>129516.5</v>
      </c>
      <c r="F350" t="s">
        <v>1948</v>
      </c>
      <c r="G350" t="s">
        <v>469</v>
      </c>
      <c r="H350" t="s">
        <v>14</v>
      </c>
    </row>
    <row r="351" spans="1:8" x14ac:dyDescent="0.3">
      <c r="A351" t="s">
        <v>45</v>
      </c>
      <c r="B351" t="s">
        <v>67</v>
      </c>
      <c r="C351" t="s">
        <v>27</v>
      </c>
      <c r="D351" t="s">
        <v>42</v>
      </c>
      <c r="E351" s="5">
        <v>126599</v>
      </c>
      <c r="F351" t="s">
        <v>1995</v>
      </c>
      <c r="G351" t="s">
        <v>693</v>
      </c>
      <c r="H351" t="s">
        <v>14</v>
      </c>
    </row>
    <row r="352" spans="1:8" x14ac:dyDescent="0.3">
      <c r="A352" t="s">
        <v>40</v>
      </c>
      <c r="B352" t="s">
        <v>35</v>
      </c>
      <c r="C352" t="s">
        <v>27</v>
      </c>
      <c r="D352" t="s">
        <v>42</v>
      </c>
      <c r="E352" s="5">
        <v>87223</v>
      </c>
      <c r="F352" t="s">
        <v>1781</v>
      </c>
      <c r="G352" t="s">
        <v>1782</v>
      </c>
      <c r="H352" t="s">
        <v>16</v>
      </c>
    </row>
    <row r="353" spans="1:8" x14ac:dyDescent="0.3">
      <c r="A353" t="s">
        <v>45</v>
      </c>
      <c r="B353" t="s">
        <v>12</v>
      </c>
      <c r="C353" t="s">
        <v>27</v>
      </c>
      <c r="D353" t="s">
        <v>37</v>
      </c>
      <c r="E353" s="5">
        <v>187139.5</v>
      </c>
      <c r="F353" t="s">
        <v>3374</v>
      </c>
      <c r="G353" t="s">
        <v>80</v>
      </c>
      <c r="H353" t="s">
        <v>69</v>
      </c>
    </row>
    <row r="354" spans="1:8" x14ac:dyDescent="0.3">
      <c r="A354" t="s">
        <v>19</v>
      </c>
      <c r="B354" t="s">
        <v>30</v>
      </c>
      <c r="C354" t="s">
        <v>14</v>
      </c>
      <c r="D354" t="s">
        <v>42</v>
      </c>
      <c r="E354" s="5">
        <v>130793</v>
      </c>
      <c r="F354" t="s">
        <v>1341</v>
      </c>
      <c r="G354" t="s">
        <v>1060</v>
      </c>
      <c r="H354" t="s">
        <v>69</v>
      </c>
    </row>
    <row r="355" spans="1:8" x14ac:dyDescent="0.3">
      <c r="A355" t="s">
        <v>34</v>
      </c>
      <c r="B355" t="s">
        <v>25</v>
      </c>
      <c r="C355" t="s">
        <v>14</v>
      </c>
      <c r="D355" t="s">
        <v>51</v>
      </c>
      <c r="E355" s="5">
        <v>120114.5</v>
      </c>
      <c r="F355" t="s">
        <v>487</v>
      </c>
      <c r="G355" t="s">
        <v>488</v>
      </c>
      <c r="H355" t="s">
        <v>14</v>
      </c>
    </row>
    <row r="356" spans="1:8" x14ac:dyDescent="0.3">
      <c r="A356" t="s">
        <v>45</v>
      </c>
      <c r="B356" t="s">
        <v>67</v>
      </c>
      <c r="C356" t="s">
        <v>14</v>
      </c>
      <c r="D356" t="s">
        <v>42</v>
      </c>
      <c r="E356" s="5">
        <v>88793</v>
      </c>
      <c r="F356" t="s">
        <v>2897</v>
      </c>
      <c r="G356" t="s">
        <v>70</v>
      </c>
      <c r="H356" t="s">
        <v>16</v>
      </c>
    </row>
    <row r="357" spans="1:8" x14ac:dyDescent="0.3">
      <c r="A357" t="s">
        <v>19</v>
      </c>
      <c r="B357" t="s">
        <v>67</v>
      </c>
      <c r="C357" t="s">
        <v>14</v>
      </c>
      <c r="D357" t="s">
        <v>51</v>
      </c>
      <c r="E357" s="5">
        <v>133077</v>
      </c>
      <c r="F357" t="s">
        <v>2374</v>
      </c>
      <c r="G357" t="s">
        <v>546</v>
      </c>
      <c r="H357" t="s">
        <v>14</v>
      </c>
    </row>
    <row r="358" spans="1:8" x14ac:dyDescent="0.3">
      <c r="A358" t="s">
        <v>19</v>
      </c>
      <c r="B358" t="s">
        <v>25</v>
      </c>
      <c r="C358" t="s">
        <v>22</v>
      </c>
      <c r="D358" t="s">
        <v>15</v>
      </c>
      <c r="E358" s="5">
        <v>115568</v>
      </c>
      <c r="F358" t="s">
        <v>1877</v>
      </c>
      <c r="G358" t="s">
        <v>865</v>
      </c>
      <c r="H358" t="s">
        <v>69</v>
      </c>
    </row>
    <row r="359" spans="1:8" x14ac:dyDescent="0.3">
      <c r="A359" t="s">
        <v>45</v>
      </c>
      <c r="B359" t="s">
        <v>67</v>
      </c>
      <c r="C359" t="s">
        <v>22</v>
      </c>
      <c r="D359" t="s">
        <v>15</v>
      </c>
      <c r="E359" s="5">
        <v>107124.5</v>
      </c>
      <c r="F359" t="s">
        <v>3634</v>
      </c>
      <c r="G359" t="s">
        <v>128</v>
      </c>
      <c r="H359" t="s">
        <v>69</v>
      </c>
    </row>
    <row r="360" spans="1:8" x14ac:dyDescent="0.3">
      <c r="A360" t="s">
        <v>11</v>
      </c>
      <c r="B360" t="s">
        <v>20</v>
      </c>
      <c r="C360" t="s">
        <v>22</v>
      </c>
      <c r="D360" t="s">
        <v>51</v>
      </c>
      <c r="E360" s="5">
        <v>131496.5</v>
      </c>
      <c r="F360" t="s">
        <v>1566</v>
      </c>
      <c r="G360" t="s">
        <v>157</v>
      </c>
      <c r="H360" t="s">
        <v>16</v>
      </c>
    </row>
    <row r="361" spans="1:8" x14ac:dyDescent="0.3">
      <c r="A361" t="s">
        <v>34</v>
      </c>
      <c r="B361" t="s">
        <v>67</v>
      </c>
      <c r="C361" t="s">
        <v>22</v>
      </c>
      <c r="D361" t="s">
        <v>42</v>
      </c>
      <c r="E361" s="5">
        <v>151506</v>
      </c>
      <c r="F361" t="s">
        <v>388</v>
      </c>
      <c r="G361" t="s">
        <v>128</v>
      </c>
      <c r="H361" t="s">
        <v>14</v>
      </c>
    </row>
    <row r="362" spans="1:8" x14ac:dyDescent="0.3">
      <c r="A362" t="s">
        <v>40</v>
      </c>
      <c r="B362" t="s">
        <v>25</v>
      </c>
      <c r="C362" t="s">
        <v>27</v>
      </c>
      <c r="D362" t="s">
        <v>42</v>
      </c>
      <c r="E362" s="5">
        <v>94120.5</v>
      </c>
      <c r="F362" t="s">
        <v>951</v>
      </c>
      <c r="G362" t="s">
        <v>420</v>
      </c>
      <c r="H362" t="s">
        <v>69</v>
      </c>
    </row>
    <row r="363" spans="1:8" x14ac:dyDescent="0.3">
      <c r="A363" t="s">
        <v>11</v>
      </c>
      <c r="B363" t="s">
        <v>135</v>
      </c>
      <c r="C363" t="s">
        <v>14</v>
      </c>
      <c r="D363" t="s">
        <v>15</v>
      </c>
      <c r="E363" s="5">
        <v>138735.5</v>
      </c>
      <c r="F363" t="s">
        <v>513</v>
      </c>
      <c r="G363" t="s">
        <v>270</v>
      </c>
      <c r="H363" t="s">
        <v>16</v>
      </c>
    </row>
    <row r="364" spans="1:8" x14ac:dyDescent="0.3">
      <c r="A364" t="s">
        <v>72</v>
      </c>
      <c r="B364" t="s">
        <v>25</v>
      </c>
      <c r="C364" t="s">
        <v>14</v>
      </c>
      <c r="D364" t="s">
        <v>15</v>
      </c>
      <c r="E364" s="5">
        <v>146478</v>
      </c>
      <c r="F364" t="s">
        <v>1613</v>
      </c>
      <c r="G364" t="s">
        <v>154</v>
      </c>
      <c r="H364" t="s">
        <v>69</v>
      </c>
    </row>
    <row r="365" spans="1:8" x14ac:dyDescent="0.3">
      <c r="A365" t="s">
        <v>45</v>
      </c>
      <c r="B365" t="s">
        <v>35</v>
      </c>
      <c r="C365" t="s">
        <v>14</v>
      </c>
      <c r="D365" t="s">
        <v>42</v>
      </c>
      <c r="E365" s="5">
        <v>75352.5</v>
      </c>
      <c r="F365" t="s">
        <v>685</v>
      </c>
      <c r="G365" t="s">
        <v>157</v>
      </c>
      <c r="H365" t="s">
        <v>69</v>
      </c>
    </row>
    <row r="366" spans="1:8" x14ac:dyDescent="0.3">
      <c r="A366" t="s">
        <v>45</v>
      </c>
      <c r="B366" t="s">
        <v>54</v>
      </c>
      <c r="C366" t="s">
        <v>22</v>
      </c>
      <c r="D366" t="s">
        <v>42</v>
      </c>
      <c r="E366" s="5">
        <v>83146</v>
      </c>
      <c r="F366" t="s">
        <v>670</v>
      </c>
      <c r="G366" t="s">
        <v>338</v>
      </c>
      <c r="H366" t="s">
        <v>14</v>
      </c>
    </row>
    <row r="367" spans="1:8" x14ac:dyDescent="0.3">
      <c r="A367" t="s">
        <v>34</v>
      </c>
      <c r="B367" t="s">
        <v>20</v>
      </c>
      <c r="C367" t="s">
        <v>22</v>
      </c>
      <c r="D367" t="s">
        <v>15</v>
      </c>
      <c r="E367" s="5">
        <v>111576</v>
      </c>
      <c r="F367" t="s">
        <v>1052</v>
      </c>
      <c r="G367" t="s">
        <v>394</v>
      </c>
      <c r="H367" t="s">
        <v>69</v>
      </c>
    </row>
    <row r="368" spans="1:8" x14ac:dyDescent="0.3">
      <c r="A368" t="s">
        <v>40</v>
      </c>
      <c r="B368" t="s">
        <v>67</v>
      </c>
      <c r="C368" t="s">
        <v>27</v>
      </c>
      <c r="D368" t="s">
        <v>37</v>
      </c>
      <c r="E368" s="5">
        <v>96742</v>
      </c>
      <c r="F368" t="s">
        <v>4154</v>
      </c>
      <c r="G368" t="s">
        <v>729</v>
      </c>
      <c r="H368" t="s">
        <v>16</v>
      </c>
    </row>
    <row r="369" spans="1:8" x14ac:dyDescent="0.3">
      <c r="A369" t="s">
        <v>40</v>
      </c>
      <c r="B369" t="s">
        <v>135</v>
      </c>
      <c r="C369" t="s">
        <v>22</v>
      </c>
      <c r="D369" t="s">
        <v>37</v>
      </c>
      <c r="E369" s="5">
        <v>57607.5</v>
      </c>
      <c r="F369" t="s">
        <v>2987</v>
      </c>
      <c r="G369" t="s">
        <v>70</v>
      </c>
      <c r="H369" t="s">
        <v>69</v>
      </c>
    </row>
    <row r="370" spans="1:8" x14ac:dyDescent="0.3">
      <c r="A370" t="s">
        <v>40</v>
      </c>
      <c r="B370" t="s">
        <v>20</v>
      </c>
      <c r="C370" t="s">
        <v>22</v>
      </c>
      <c r="D370" t="s">
        <v>51</v>
      </c>
      <c r="E370" s="5">
        <v>107061</v>
      </c>
      <c r="F370" t="s">
        <v>2233</v>
      </c>
      <c r="G370" t="s">
        <v>520</v>
      </c>
      <c r="H370" t="s">
        <v>14</v>
      </c>
    </row>
    <row r="371" spans="1:8" x14ac:dyDescent="0.3">
      <c r="A371" t="s">
        <v>72</v>
      </c>
      <c r="B371" t="s">
        <v>12</v>
      </c>
      <c r="C371" t="s">
        <v>14</v>
      </c>
      <c r="D371" t="s">
        <v>42</v>
      </c>
      <c r="E371" s="5">
        <v>84443</v>
      </c>
      <c r="F371" t="s">
        <v>3899</v>
      </c>
      <c r="G371" t="s">
        <v>70</v>
      </c>
      <c r="H371" t="s">
        <v>69</v>
      </c>
    </row>
    <row r="372" spans="1:8" x14ac:dyDescent="0.3">
      <c r="A372" t="s">
        <v>11</v>
      </c>
      <c r="B372" t="s">
        <v>30</v>
      </c>
      <c r="C372" t="s">
        <v>27</v>
      </c>
      <c r="D372" t="s">
        <v>42</v>
      </c>
      <c r="E372" s="5">
        <v>79591.5</v>
      </c>
      <c r="F372" t="s">
        <v>4150</v>
      </c>
      <c r="G372" t="s">
        <v>128</v>
      </c>
      <c r="H372" t="s">
        <v>14</v>
      </c>
    </row>
    <row r="373" spans="1:8" x14ac:dyDescent="0.3">
      <c r="A373" t="s">
        <v>72</v>
      </c>
      <c r="B373" t="s">
        <v>54</v>
      </c>
      <c r="C373" t="s">
        <v>14</v>
      </c>
      <c r="D373" t="s">
        <v>51</v>
      </c>
      <c r="E373" s="5">
        <v>165302.5</v>
      </c>
      <c r="F373" t="s">
        <v>3088</v>
      </c>
      <c r="G373" t="s">
        <v>101</v>
      </c>
      <c r="H373" t="s">
        <v>16</v>
      </c>
    </row>
    <row r="374" spans="1:8" x14ac:dyDescent="0.3">
      <c r="A374" t="s">
        <v>40</v>
      </c>
      <c r="B374" t="s">
        <v>67</v>
      </c>
      <c r="C374" t="s">
        <v>27</v>
      </c>
      <c r="D374" t="s">
        <v>37</v>
      </c>
      <c r="E374" s="5">
        <v>89244.5</v>
      </c>
      <c r="F374" t="s">
        <v>1522</v>
      </c>
      <c r="G374" t="s">
        <v>90</v>
      </c>
      <c r="H374" t="s">
        <v>14</v>
      </c>
    </row>
    <row r="375" spans="1:8" x14ac:dyDescent="0.3">
      <c r="A375" t="s">
        <v>40</v>
      </c>
      <c r="B375" t="s">
        <v>25</v>
      </c>
      <c r="C375" t="s">
        <v>22</v>
      </c>
      <c r="D375" t="s">
        <v>51</v>
      </c>
      <c r="E375" s="5">
        <v>161932</v>
      </c>
      <c r="F375" t="s">
        <v>1335</v>
      </c>
      <c r="G375" t="s">
        <v>892</v>
      </c>
      <c r="H375" t="s">
        <v>14</v>
      </c>
    </row>
    <row r="376" spans="1:8" x14ac:dyDescent="0.3">
      <c r="A376" t="s">
        <v>40</v>
      </c>
      <c r="B376" t="s">
        <v>54</v>
      </c>
      <c r="C376" t="s">
        <v>22</v>
      </c>
      <c r="D376" t="s">
        <v>51</v>
      </c>
      <c r="E376" s="5">
        <v>76832</v>
      </c>
      <c r="F376" t="s">
        <v>3431</v>
      </c>
      <c r="G376" t="s">
        <v>90</v>
      </c>
      <c r="H376" t="s">
        <v>16</v>
      </c>
    </row>
    <row r="377" spans="1:8" x14ac:dyDescent="0.3">
      <c r="A377" t="s">
        <v>49</v>
      </c>
      <c r="B377" t="s">
        <v>30</v>
      </c>
      <c r="C377" t="s">
        <v>22</v>
      </c>
      <c r="D377" t="s">
        <v>15</v>
      </c>
      <c r="E377" s="5">
        <v>154440</v>
      </c>
      <c r="F377" t="s">
        <v>2644</v>
      </c>
      <c r="G377" t="s">
        <v>232</v>
      </c>
      <c r="H377" t="s">
        <v>14</v>
      </c>
    </row>
    <row r="378" spans="1:8" x14ac:dyDescent="0.3">
      <c r="A378" t="s">
        <v>40</v>
      </c>
      <c r="B378" t="s">
        <v>12</v>
      </c>
      <c r="C378" t="s">
        <v>27</v>
      </c>
      <c r="D378" t="s">
        <v>51</v>
      </c>
      <c r="E378" s="5">
        <v>174978</v>
      </c>
      <c r="F378" t="s">
        <v>687</v>
      </c>
      <c r="G378" t="s">
        <v>182</v>
      </c>
      <c r="H378" t="s">
        <v>14</v>
      </c>
    </row>
    <row r="379" spans="1:8" x14ac:dyDescent="0.3">
      <c r="A379" t="s">
        <v>40</v>
      </c>
      <c r="B379" t="s">
        <v>30</v>
      </c>
      <c r="C379" t="s">
        <v>27</v>
      </c>
      <c r="D379" t="s">
        <v>51</v>
      </c>
      <c r="E379" s="5">
        <v>82429</v>
      </c>
      <c r="F379" t="s">
        <v>2933</v>
      </c>
      <c r="G379" t="s">
        <v>101</v>
      </c>
      <c r="H379" t="s">
        <v>69</v>
      </c>
    </row>
    <row r="380" spans="1:8" x14ac:dyDescent="0.3">
      <c r="A380" t="s">
        <v>72</v>
      </c>
      <c r="B380" t="s">
        <v>12</v>
      </c>
      <c r="C380" t="s">
        <v>27</v>
      </c>
      <c r="D380" t="s">
        <v>42</v>
      </c>
      <c r="E380" s="5">
        <v>173403</v>
      </c>
      <c r="F380" t="s">
        <v>1894</v>
      </c>
      <c r="G380" t="s">
        <v>407</v>
      </c>
      <c r="H380" t="s">
        <v>69</v>
      </c>
    </row>
    <row r="381" spans="1:8" x14ac:dyDescent="0.3">
      <c r="A381" t="s">
        <v>40</v>
      </c>
      <c r="B381" t="s">
        <v>12</v>
      </c>
      <c r="C381" t="s">
        <v>22</v>
      </c>
      <c r="D381" t="s">
        <v>15</v>
      </c>
      <c r="E381" s="5">
        <v>59203</v>
      </c>
      <c r="F381" t="s">
        <v>2393</v>
      </c>
      <c r="G381" t="s">
        <v>157</v>
      </c>
      <c r="H381" t="s">
        <v>14</v>
      </c>
    </row>
    <row r="382" spans="1:8" x14ac:dyDescent="0.3">
      <c r="A382" t="s">
        <v>19</v>
      </c>
      <c r="B382" t="s">
        <v>67</v>
      </c>
      <c r="C382" t="s">
        <v>27</v>
      </c>
      <c r="D382" t="s">
        <v>37</v>
      </c>
      <c r="E382" s="5">
        <v>89730</v>
      </c>
      <c r="F382" t="s">
        <v>1247</v>
      </c>
      <c r="G382" t="s">
        <v>80</v>
      </c>
      <c r="H382" t="s">
        <v>14</v>
      </c>
    </row>
    <row r="383" spans="1:8" x14ac:dyDescent="0.3">
      <c r="A383" t="s">
        <v>49</v>
      </c>
      <c r="B383" t="s">
        <v>67</v>
      </c>
      <c r="C383" t="s">
        <v>27</v>
      </c>
      <c r="D383" t="s">
        <v>37</v>
      </c>
      <c r="E383" s="5">
        <v>111910</v>
      </c>
      <c r="F383" t="s">
        <v>2409</v>
      </c>
      <c r="G383" t="s">
        <v>1761</v>
      </c>
      <c r="H383" t="s">
        <v>14</v>
      </c>
    </row>
    <row r="384" spans="1:8" x14ac:dyDescent="0.3">
      <c r="A384" t="s">
        <v>72</v>
      </c>
      <c r="B384" t="s">
        <v>35</v>
      </c>
      <c r="C384" t="s">
        <v>27</v>
      </c>
      <c r="D384" t="s">
        <v>15</v>
      </c>
      <c r="E384" s="5">
        <v>148675</v>
      </c>
      <c r="F384" t="s">
        <v>760</v>
      </c>
      <c r="G384" t="s">
        <v>711</v>
      </c>
      <c r="H384" t="s">
        <v>14</v>
      </c>
    </row>
    <row r="385" spans="1:8" x14ac:dyDescent="0.3">
      <c r="A385" t="s">
        <v>45</v>
      </c>
      <c r="B385" t="s">
        <v>12</v>
      </c>
      <c r="C385" t="s">
        <v>14</v>
      </c>
      <c r="D385" t="s">
        <v>42</v>
      </c>
      <c r="E385" s="5">
        <v>120372.5</v>
      </c>
      <c r="F385" t="s">
        <v>3949</v>
      </c>
      <c r="G385" t="s">
        <v>93</v>
      </c>
      <c r="H385" t="s">
        <v>16</v>
      </c>
    </row>
    <row r="386" spans="1:8" x14ac:dyDescent="0.3">
      <c r="A386" t="s">
        <v>45</v>
      </c>
      <c r="B386" t="s">
        <v>135</v>
      </c>
      <c r="C386" t="s">
        <v>22</v>
      </c>
      <c r="D386" t="s">
        <v>51</v>
      </c>
      <c r="E386" s="5">
        <v>127773.5</v>
      </c>
      <c r="F386" t="s">
        <v>626</v>
      </c>
      <c r="G386" t="s">
        <v>627</v>
      </c>
      <c r="H386" t="s">
        <v>14</v>
      </c>
    </row>
    <row r="387" spans="1:8" x14ac:dyDescent="0.3">
      <c r="A387" t="s">
        <v>19</v>
      </c>
      <c r="B387" t="s">
        <v>30</v>
      </c>
      <c r="C387" t="s">
        <v>27</v>
      </c>
      <c r="D387" t="s">
        <v>37</v>
      </c>
      <c r="E387" s="5">
        <v>92244.5</v>
      </c>
      <c r="F387" t="s">
        <v>3699</v>
      </c>
      <c r="G387" t="s">
        <v>666</v>
      </c>
      <c r="H387" t="s">
        <v>14</v>
      </c>
    </row>
    <row r="388" spans="1:8" x14ac:dyDescent="0.3">
      <c r="A388" t="s">
        <v>40</v>
      </c>
      <c r="B388" t="s">
        <v>54</v>
      </c>
      <c r="C388" t="s">
        <v>27</v>
      </c>
      <c r="D388" t="s">
        <v>37</v>
      </c>
      <c r="E388" s="5">
        <v>144885</v>
      </c>
      <c r="F388" t="s">
        <v>1095</v>
      </c>
      <c r="G388" t="s">
        <v>157</v>
      </c>
      <c r="H388" t="s">
        <v>14</v>
      </c>
    </row>
    <row r="389" spans="1:8" x14ac:dyDescent="0.3">
      <c r="A389" t="s">
        <v>49</v>
      </c>
      <c r="B389" t="s">
        <v>25</v>
      </c>
      <c r="C389" t="s">
        <v>14</v>
      </c>
      <c r="D389" t="s">
        <v>15</v>
      </c>
      <c r="E389" s="5">
        <v>109310.5</v>
      </c>
      <c r="F389" t="s">
        <v>1713</v>
      </c>
      <c r="G389" t="s">
        <v>938</v>
      </c>
      <c r="H389" t="s">
        <v>14</v>
      </c>
    </row>
    <row r="390" spans="1:8" x14ac:dyDescent="0.3">
      <c r="A390" t="s">
        <v>72</v>
      </c>
      <c r="B390" t="s">
        <v>135</v>
      </c>
      <c r="C390" t="s">
        <v>14</v>
      </c>
      <c r="D390" t="s">
        <v>51</v>
      </c>
      <c r="E390" s="5">
        <v>78742.5</v>
      </c>
      <c r="F390" t="s">
        <v>2033</v>
      </c>
      <c r="G390" t="s">
        <v>394</v>
      </c>
      <c r="H390" t="s">
        <v>69</v>
      </c>
    </row>
    <row r="391" spans="1:8" x14ac:dyDescent="0.3">
      <c r="A391" t="s">
        <v>72</v>
      </c>
      <c r="B391" t="s">
        <v>30</v>
      </c>
      <c r="C391" t="s">
        <v>22</v>
      </c>
      <c r="D391" t="s">
        <v>15</v>
      </c>
      <c r="E391" s="5">
        <v>154653.5</v>
      </c>
      <c r="F391" t="s">
        <v>822</v>
      </c>
      <c r="G391" t="s">
        <v>823</v>
      </c>
      <c r="H391" t="s">
        <v>14</v>
      </c>
    </row>
    <row r="392" spans="1:8" x14ac:dyDescent="0.3">
      <c r="A392" t="s">
        <v>11</v>
      </c>
      <c r="B392" t="s">
        <v>25</v>
      </c>
      <c r="C392" t="s">
        <v>14</v>
      </c>
      <c r="D392" t="s">
        <v>15</v>
      </c>
      <c r="E392" s="5">
        <v>121156.5</v>
      </c>
      <c r="F392" t="s">
        <v>3955</v>
      </c>
      <c r="G392" t="s">
        <v>3956</v>
      </c>
      <c r="H392" t="s">
        <v>69</v>
      </c>
    </row>
    <row r="393" spans="1:8" x14ac:dyDescent="0.3">
      <c r="A393" t="s">
        <v>40</v>
      </c>
      <c r="B393" t="s">
        <v>20</v>
      </c>
      <c r="C393" t="s">
        <v>22</v>
      </c>
      <c r="D393" t="s">
        <v>51</v>
      </c>
      <c r="E393" s="5">
        <v>79343</v>
      </c>
      <c r="F393" t="s">
        <v>639</v>
      </c>
      <c r="G393" t="s">
        <v>640</v>
      </c>
      <c r="H393" t="s">
        <v>69</v>
      </c>
    </row>
    <row r="394" spans="1:8" x14ac:dyDescent="0.3">
      <c r="A394" t="s">
        <v>34</v>
      </c>
      <c r="B394" t="s">
        <v>35</v>
      </c>
      <c r="C394" t="s">
        <v>22</v>
      </c>
      <c r="D394" t="s">
        <v>37</v>
      </c>
      <c r="E394" s="5">
        <v>117053.5</v>
      </c>
      <c r="F394" t="s">
        <v>36</v>
      </c>
      <c r="G394" t="s">
        <v>38</v>
      </c>
      <c r="H394" t="s">
        <v>16</v>
      </c>
    </row>
    <row r="395" spans="1:8" x14ac:dyDescent="0.3">
      <c r="A395" t="s">
        <v>19</v>
      </c>
      <c r="B395" t="s">
        <v>135</v>
      </c>
      <c r="C395" t="s">
        <v>27</v>
      </c>
      <c r="D395" t="s">
        <v>15</v>
      </c>
      <c r="E395" s="5">
        <v>140119</v>
      </c>
      <c r="F395" t="s">
        <v>3223</v>
      </c>
      <c r="G395" t="s">
        <v>353</v>
      </c>
      <c r="H395" t="s">
        <v>14</v>
      </c>
    </row>
    <row r="396" spans="1:8" x14ac:dyDescent="0.3">
      <c r="A396" t="s">
        <v>72</v>
      </c>
      <c r="B396" t="s">
        <v>25</v>
      </c>
      <c r="C396" t="s">
        <v>14</v>
      </c>
      <c r="D396" t="s">
        <v>15</v>
      </c>
      <c r="E396" s="5">
        <v>59295</v>
      </c>
      <c r="F396" t="s">
        <v>2911</v>
      </c>
      <c r="G396" t="s">
        <v>779</v>
      </c>
      <c r="H396" t="s">
        <v>69</v>
      </c>
    </row>
    <row r="397" spans="1:8" x14ac:dyDescent="0.3">
      <c r="A397" t="s">
        <v>19</v>
      </c>
      <c r="B397" t="s">
        <v>25</v>
      </c>
      <c r="C397" t="s">
        <v>27</v>
      </c>
      <c r="D397" t="s">
        <v>15</v>
      </c>
      <c r="E397" s="5">
        <v>102275</v>
      </c>
      <c r="F397" t="s">
        <v>1111</v>
      </c>
      <c r="G397" t="s">
        <v>90</v>
      </c>
      <c r="H397" t="s">
        <v>69</v>
      </c>
    </row>
    <row r="398" spans="1:8" x14ac:dyDescent="0.3">
      <c r="A398" t="s">
        <v>45</v>
      </c>
      <c r="B398" t="s">
        <v>30</v>
      </c>
      <c r="C398" t="s">
        <v>27</v>
      </c>
      <c r="D398" t="s">
        <v>51</v>
      </c>
      <c r="E398" s="5">
        <v>165520.5</v>
      </c>
      <c r="F398" t="s">
        <v>84</v>
      </c>
      <c r="G398" t="s">
        <v>52</v>
      </c>
      <c r="H398" t="s">
        <v>69</v>
      </c>
    </row>
    <row r="399" spans="1:8" x14ac:dyDescent="0.3">
      <c r="A399" t="s">
        <v>49</v>
      </c>
      <c r="B399" t="s">
        <v>30</v>
      </c>
      <c r="C399" t="s">
        <v>22</v>
      </c>
      <c r="D399" t="s">
        <v>42</v>
      </c>
      <c r="E399" s="5">
        <v>73626.5</v>
      </c>
      <c r="F399" t="s">
        <v>3033</v>
      </c>
      <c r="G399" t="s">
        <v>70</v>
      </c>
      <c r="H399" t="s">
        <v>16</v>
      </c>
    </row>
    <row r="400" spans="1:8" x14ac:dyDescent="0.3">
      <c r="A400" t="s">
        <v>72</v>
      </c>
      <c r="B400" t="s">
        <v>25</v>
      </c>
      <c r="C400" t="s">
        <v>22</v>
      </c>
      <c r="D400" t="s">
        <v>15</v>
      </c>
      <c r="E400" s="5">
        <v>165489.5</v>
      </c>
      <c r="F400" t="s">
        <v>73</v>
      </c>
      <c r="G400" t="s">
        <v>74</v>
      </c>
      <c r="H400" t="s">
        <v>14</v>
      </c>
    </row>
    <row r="401" spans="1:8" x14ac:dyDescent="0.3">
      <c r="A401" t="s">
        <v>19</v>
      </c>
      <c r="B401" t="s">
        <v>135</v>
      </c>
      <c r="C401" t="s">
        <v>14</v>
      </c>
      <c r="D401" t="s">
        <v>37</v>
      </c>
      <c r="E401" s="5">
        <v>192467</v>
      </c>
      <c r="F401" t="s">
        <v>747</v>
      </c>
      <c r="G401" t="s">
        <v>101</v>
      </c>
      <c r="H401" t="s">
        <v>14</v>
      </c>
    </row>
    <row r="402" spans="1:8" x14ac:dyDescent="0.3">
      <c r="A402" t="s">
        <v>11</v>
      </c>
      <c r="B402" t="s">
        <v>30</v>
      </c>
      <c r="C402" t="s">
        <v>27</v>
      </c>
      <c r="D402" t="s">
        <v>51</v>
      </c>
      <c r="E402" s="5">
        <v>168249</v>
      </c>
      <c r="F402" t="s">
        <v>1742</v>
      </c>
      <c r="G402" t="s">
        <v>119</v>
      </c>
      <c r="H402" t="s">
        <v>69</v>
      </c>
    </row>
    <row r="403" spans="1:8" x14ac:dyDescent="0.3">
      <c r="A403" t="s">
        <v>19</v>
      </c>
      <c r="B403" t="s">
        <v>12</v>
      </c>
      <c r="C403" t="s">
        <v>22</v>
      </c>
      <c r="D403" t="s">
        <v>37</v>
      </c>
      <c r="E403" s="5">
        <v>130050</v>
      </c>
      <c r="F403" t="s">
        <v>1795</v>
      </c>
      <c r="G403" t="s">
        <v>128</v>
      </c>
      <c r="H403" t="s">
        <v>16</v>
      </c>
    </row>
    <row r="404" spans="1:8" x14ac:dyDescent="0.3">
      <c r="A404" t="s">
        <v>34</v>
      </c>
      <c r="B404" t="s">
        <v>12</v>
      </c>
      <c r="C404" t="s">
        <v>22</v>
      </c>
      <c r="D404" t="s">
        <v>15</v>
      </c>
      <c r="E404" s="5">
        <v>89879.5</v>
      </c>
      <c r="F404" t="s">
        <v>1797</v>
      </c>
      <c r="G404" t="s">
        <v>813</v>
      </c>
      <c r="H404" t="s">
        <v>14</v>
      </c>
    </row>
    <row r="405" spans="1:8" x14ac:dyDescent="0.3">
      <c r="A405" t="s">
        <v>40</v>
      </c>
      <c r="B405" t="s">
        <v>54</v>
      </c>
      <c r="C405" t="s">
        <v>14</v>
      </c>
      <c r="D405" t="s">
        <v>15</v>
      </c>
      <c r="E405" s="5">
        <v>141983</v>
      </c>
      <c r="F405" t="s">
        <v>1311</v>
      </c>
      <c r="G405" t="s">
        <v>128</v>
      </c>
      <c r="H405" t="s">
        <v>69</v>
      </c>
    </row>
    <row r="406" spans="1:8" x14ac:dyDescent="0.3">
      <c r="A406" t="s">
        <v>34</v>
      </c>
      <c r="B406" t="s">
        <v>25</v>
      </c>
      <c r="C406" t="s">
        <v>14</v>
      </c>
      <c r="D406" t="s">
        <v>51</v>
      </c>
      <c r="E406" s="5">
        <v>130677</v>
      </c>
      <c r="F406" t="s">
        <v>1827</v>
      </c>
      <c r="G406" t="s">
        <v>77</v>
      </c>
      <c r="H406" t="s">
        <v>14</v>
      </c>
    </row>
    <row r="407" spans="1:8" x14ac:dyDescent="0.3">
      <c r="A407" t="s">
        <v>19</v>
      </c>
      <c r="B407" t="s">
        <v>30</v>
      </c>
      <c r="C407" t="s">
        <v>22</v>
      </c>
      <c r="D407" t="s">
        <v>51</v>
      </c>
      <c r="E407" s="5">
        <v>123036</v>
      </c>
      <c r="F407" t="s">
        <v>2753</v>
      </c>
      <c r="G407" t="s">
        <v>101</v>
      </c>
      <c r="H407" t="s">
        <v>69</v>
      </c>
    </row>
    <row r="408" spans="1:8" x14ac:dyDescent="0.3">
      <c r="A408" t="s">
        <v>34</v>
      </c>
      <c r="B408" t="s">
        <v>35</v>
      </c>
      <c r="C408" t="s">
        <v>22</v>
      </c>
      <c r="D408" t="s">
        <v>42</v>
      </c>
      <c r="E408" s="5">
        <v>75026</v>
      </c>
      <c r="F408" t="s">
        <v>2867</v>
      </c>
      <c r="G408" t="s">
        <v>52</v>
      </c>
      <c r="H408" t="s">
        <v>16</v>
      </c>
    </row>
    <row r="409" spans="1:8" x14ac:dyDescent="0.3">
      <c r="A409" t="s">
        <v>49</v>
      </c>
      <c r="B409" t="s">
        <v>35</v>
      </c>
      <c r="C409" t="s">
        <v>14</v>
      </c>
      <c r="D409" t="s">
        <v>15</v>
      </c>
      <c r="E409" s="5">
        <v>135912</v>
      </c>
      <c r="F409" t="s">
        <v>1500</v>
      </c>
      <c r="G409" t="s">
        <v>101</v>
      </c>
      <c r="H409" t="s">
        <v>14</v>
      </c>
    </row>
    <row r="410" spans="1:8" x14ac:dyDescent="0.3">
      <c r="A410" t="s">
        <v>40</v>
      </c>
      <c r="B410" t="s">
        <v>12</v>
      </c>
      <c r="C410" t="s">
        <v>22</v>
      </c>
      <c r="D410" t="s">
        <v>37</v>
      </c>
      <c r="E410" s="5">
        <v>89189.5</v>
      </c>
      <c r="F410" t="s">
        <v>4081</v>
      </c>
      <c r="G410" t="s">
        <v>2692</v>
      </c>
      <c r="H410" t="s">
        <v>14</v>
      </c>
    </row>
    <row r="411" spans="1:8" x14ac:dyDescent="0.3">
      <c r="A411" t="s">
        <v>34</v>
      </c>
      <c r="B411" t="s">
        <v>20</v>
      </c>
      <c r="C411" t="s">
        <v>27</v>
      </c>
      <c r="D411" t="s">
        <v>42</v>
      </c>
      <c r="E411" s="5">
        <v>142389</v>
      </c>
      <c r="F411" t="s">
        <v>1723</v>
      </c>
      <c r="G411" t="s">
        <v>526</v>
      </c>
      <c r="H411" t="s">
        <v>69</v>
      </c>
    </row>
    <row r="412" spans="1:8" x14ac:dyDescent="0.3">
      <c r="A412" t="s">
        <v>34</v>
      </c>
      <c r="B412" t="s">
        <v>20</v>
      </c>
      <c r="C412" t="s">
        <v>22</v>
      </c>
      <c r="D412" t="s">
        <v>15</v>
      </c>
      <c r="E412" s="5">
        <v>170937</v>
      </c>
      <c r="F412" t="s">
        <v>3854</v>
      </c>
      <c r="G412" t="s">
        <v>338</v>
      </c>
      <c r="H412" t="s">
        <v>14</v>
      </c>
    </row>
    <row r="413" spans="1:8" x14ac:dyDescent="0.3">
      <c r="A413" t="s">
        <v>45</v>
      </c>
      <c r="B413" t="s">
        <v>25</v>
      </c>
      <c r="C413" t="s">
        <v>14</v>
      </c>
      <c r="D413" t="s">
        <v>37</v>
      </c>
      <c r="E413" s="5">
        <v>106998</v>
      </c>
      <c r="F413" t="s">
        <v>1176</v>
      </c>
      <c r="G413" t="s">
        <v>101</v>
      </c>
      <c r="H413" t="s">
        <v>14</v>
      </c>
    </row>
    <row r="414" spans="1:8" x14ac:dyDescent="0.3">
      <c r="A414" t="s">
        <v>45</v>
      </c>
      <c r="B414" t="s">
        <v>25</v>
      </c>
      <c r="C414" t="s">
        <v>27</v>
      </c>
      <c r="D414" t="s">
        <v>15</v>
      </c>
      <c r="E414" s="5">
        <v>134990.5</v>
      </c>
      <c r="F414" t="s">
        <v>3117</v>
      </c>
      <c r="G414" t="s">
        <v>507</v>
      </c>
      <c r="H414" t="s">
        <v>16</v>
      </c>
    </row>
    <row r="415" spans="1:8" x14ac:dyDescent="0.3">
      <c r="A415" t="s">
        <v>40</v>
      </c>
      <c r="B415" t="s">
        <v>30</v>
      </c>
      <c r="C415" t="s">
        <v>14</v>
      </c>
      <c r="D415" t="s">
        <v>37</v>
      </c>
      <c r="E415" s="5">
        <v>179293.5</v>
      </c>
      <c r="F415" t="s">
        <v>3113</v>
      </c>
      <c r="G415" t="s">
        <v>2049</v>
      </c>
      <c r="H415" t="s">
        <v>69</v>
      </c>
    </row>
    <row r="416" spans="1:8" x14ac:dyDescent="0.3">
      <c r="A416" t="s">
        <v>49</v>
      </c>
      <c r="B416" t="s">
        <v>67</v>
      </c>
      <c r="C416" t="s">
        <v>22</v>
      </c>
      <c r="D416" t="s">
        <v>15</v>
      </c>
      <c r="E416" s="5">
        <v>119942.5</v>
      </c>
      <c r="F416" t="s">
        <v>3197</v>
      </c>
      <c r="G416" t="s">
        <v>226</v>
      </c>
      <c r="H416" t="s">
        <v>14</v>
      </c>
    </row>
    <row r="417" spans="1:8" x14ac:dyDescent="0.3">
      <c r="A417" t="s">
        <v>11</v>
      </c>
      <c r="B417" t="s">
        <v>12</v>
      </c>
      <c r="C417" t="s">
        <v>22</v>
      </c>
      <c r="D417" t="s">
        <v>42</v>
      </c>
      <c r="E417" s="5">
        <v>165210</v>
      </c>
      <c r="F417" t="s">
        <v>1276</v>
      </c>
      <c r="G417" t="s">
        <v>808</v>
      </c>
      <c r="H417" t="s">
        <v>14</v>
      </c>
    </row>
    <row r="418" spans="1:8" x14ac:dyDescent="0.3">
      <c r="A418" t="s">
        <v>49</v>
      </c>
      <c r="B418" t="s">
        <v>25</v>
      </c>
      <c r="C418" t="s">
        <v>22</v>
      </c>
      <c r="D418" t="s">
        <v>51</v>
      </c>
      <c r="E418" s="5">
        <v>189067</v>
      </c>
      <c r="F418" t="s">
        <v>898</v>
      </c>
      <c r="G418" t="s">
        <v>729</v>
      </c>
      <c r="H418" t="s">
        <v>16</v>
      </c>
    </row>
    <row r="419" spans="1:8" x14ac:dyDescent="0.3">
      <c r="A419" t="s">
        <v>11</v>
      </c>
      <c r="B419" t="s">
        <v>54</v>
      </c>
      <c r="C419" t="s">
        <v>27</v>
      </c>
      <c r="D419" t="s">
        <v>15</v>
      </c>
      <c r="E419" s="5">
        <v>88776</v>
      </c>
      <c r="F419" t="s">
        <v>867</v>
      </c>
      <c r="G419" t="s">
        <v>157</v>
      </c>
      <c r="H419" t="s">
        <v>14</v>
      </c>
    </row>
    <row r="420" spans="1:8" x14ac:dyDescent="0.3">
      <c r="A420" t="s">
        <v>49</v>
      </c>
      <c r="B420" t="s">
        <v>12</v>
      </c>
      <c r="C420" t="s">
        <v>14</v>
      </c>
      <c r="D420" t="s">
        <v>42</v>
      </c>
      <c r="E420" s="5">
        <v>94409</v>
      </c>
      <c r="F420" t="s">
        <v>4132</v>
      </c>
      <c r="G420" t="s">
        <v>683</v>
      </c>
      <c r="H420" t="s">
        <v>16</v>
      </c>
    </row>
    <row r="421" spans="1:8" x14ac:dyDescent="0.3">
      <c r="A421" t="s">
        <v>11</v>
      </c>
      <c r="B421" t="s">
        <v>35</v>
      </c>
      <c r="C421" t="s">
        <v>22</v>
      </c>
      <c r="D421" t="s">
        <v>51</v>
      </c>
      <c r="E421" s="5">
        <v>170571.5</v>
      </c>
      <c r="F421" t="s">
        <v>862</v>
      </c>
      <c r="G421" t="s">
        <v>80</v>
      </c>
      <c r="H421" t="s">
        <v>69</v>
      </c>
    </row>
    <row r="422" spans="1:8" x14ac:dyDescent="0.3">
      <c r="A422" t="s">
        <v>11</v>
      </c>
      <c r="B422" t="s">
        <v>54</v>
      </c>
      <c r="C422" t="s">
        <v>22</v>
      </c>
      <c r="D422" t="s">
        <v>37</v>
      </c>
      <c r="E422" s="5">
        <v>132515.5</v>
      </c>
      <c r="F422" t="s">
        <v>1775</v>
      </c>
      <c r="G422" t="s">
        <v>80</v>
      </c>
      <c r="H422" t="s">
        <v>16</v>
      </c>
    </row>
    <row r="423" spans="1:8" x14ac:dyDescent="0.3">
      <c r="A423" t="s">
        <v>45</v>
      </c>
      <c r="B423" t="s">
        <v>12</v>
      </c>
      <c r="C423" t="s">
        <v>22</v>
      </c>
      <c r="D423" t="s">
        <v>37</v>
      </c>
      <c r="E423" s="5">
        <v>49431</v>
      </c>
      <c r="F423" t="s">
        <v>3192</v>
      </c>
      <c r="G423" t="s">
        <v>353</v>
      </c>
      <c r="H423" t="s">
        <v>69</v>
      </c>
    </row>
    <row r="424" spans="1:8" x14ac:dyDescent="0.3">
      <c r="A424" t="s">
        <v>34</v>
      </c>
      <c r="B424" t="s">
        <v>25</v>
      </c>
      <c r="C424" t="s">
        <v>14</v>
      </c>
      <c r="D424" t="s">
        <v>37</v>
      </c>
      <c r="E424" s="5">
        <v>193918</v>
      </c>
      <c r="F424" t="s">
        <v>4181</v>
      </c>
      <c r="G424" t="s">
        <v>1161</v>
      </c>
      <c r="H424" t="s">
        <v>16</v>
      </c>
    </row>
    <row r="425" spans="1:8" x14ac:dyDescent="0.3">
      <c r="A425" t="s">
        <v>19</v>
      </c>
      <c r="B425" t="s">
        <v>25</v>
      </c>
      <c r="C425" t="s">
        <v>22</v>
      </c>
      <c r="D425" t="s">
        <v>15</v>
      </c>
      <c r="E425" s="5">
        <v>120627</v>
      </c>
      <c r="F425" t="s">
        <v>2029</v>
      </c>
      <c r="G425" t="s">
        <v>101</v>
      </c>
      <c r="H425" t="s">
        <v>14</v>
      </c>
    </row>
    <row r="426" spans="1:8" x14ac:dyDescent="0.3">
      <c r="A426" t="s">
        <v>11</v>
      </c>
      <c r="B426" t="s">
        <v>30</v>
      </c>
      <c r="C426" t="s">
        <v>22</v>
      </c>
      <c r="D426" t="s">
        <v>51</v>
      </c>
      <c r="E426" s="5">
        <v>95187</v>
      </c>
      <c r="F426" t="s">
        <v>3194</v>
      </c>
      <c r="G426" t="s">
        <v>729</v>
      </c>
      <c r="H426" t="s">
        <v>69</v>
      </c>
    </row>
    <row r="427" spans="1:8" x14ac:dyDescent="0.3">
      <c r="A427" t="s">
        <v>72</v>
      </c>
      <c r="B427" t="s">
        <v>67</v>
      </c>
      <c r="C427" t="s">
        <v>27</v>
      </c>
      <c r="D427" t="s">
        <v>42</v>
      </c>
      <c r="E427" s="5">
        <v>117604</v>
      </c>
      <c r="F427" t="s">
        <v>2043</v>
      </c>
      <c r="G427" t="s">
        <v>101</v>
      </c>
      <c r="H427" t="s">
        <v>69</v>
      </c>
    </row>
    <row r="428" spans="1:8" x14ac:dyDescent="0.3">
      <c r="A428" t="s">
        <v>40</v>
      </c>
      <c r="B428" t="s">
        <v>54</v>
      </c>
      <c r="C428" t="s">
        <v>27</v>
      </c>
      <c r="D428" t="s">
        <v>42</v>
      </c>
      <c r="E428" s="5">
        <v>57327</v>
      </c>
      <c r="F428" t="s">
        <v>2849</v>
      </c>
      <c r="G428" t="s">
        <v>226</v>
      </c>
      <c r="H428" t="s">
        <v>16</v>
      </c>
    </row>
    <row r="429" spans="1:8" x14ac:dyDescent="0.3">
      <c r="A429" t="s">
        <v>72</v>
      </c>
      <c r="B429" t="s">
        <v>35</v>
      </c>
      <c r="C429" t="s">
        <v>27</v>
      </c>
      <c r="D429" t="s">
        <v>37</v>
      </c>
      <c r="E429" s="5">
        <v>138297</v>
      </c>
      <c r="F429" t="s">
        <v>2223</v>
      </c>
      <c r="G429" t="s">
        <v>80</v>
      </c>
      <c r="H429" t="s">
        <v>14</v>
      </c>
    </row>
    <row r="430" spans="1:8" x14ac:dyDescent="0.3">
      <c r="A430" t="s">
        <v>34</v>
      </c>
      <c r="B430" t="s">
        <v>54</v>
      </c>
      <c r="C430" t="s">
        <v>27</v>
      </c>
      <c r="D430" t="s">
        <v>15</v>
      </c>
      <c r="E430" s="5">
        <v>98126.5</v>
      </c>
      <c r="F430" t="s">
        <v>64</v>
      </c>
      <c r="G430" t="s">
        <v>65</v>
      </c>
      <c r="H430" t="s">
        <v>16</v>
      </c>
    </row>
    <row r="431" spans="1:8" x14ac:dyDescent="0.3">
      <c r="A431" t="s">
        <v>19</v>
      </c>
      <c r="B431" t="s">
        <v>135</v>
      </c>
      <c r="C431" t="s">
        <v>14</v>
      </c>
      <c r="D431" t="s">
        <v>51</v>
      </c>
      <c r="E431" s="5">
        <v>124638</v>
      </c>
      <c r="F431" t="s">
        <v>2361</v>
      </c>
      <c r="G431" t="s">
        <v>826</v>
      </c>
      <c r="H431" t="s">
        <v>14</v>
      </c>
    </row>
    <row r="432" spans="1:8" x14ac:dyDescent="0.3">
      <c r="A432" t="s">
        <v>49</v>
      </c>
      <c r="B432" t="s">
        <v>12</v>
      </c>
      <c r="C432" t="s">
        <v>27</v>
      </c>
      <c r="D432" t="s">
        <v>37</v>
      </c>
      <c r="E432" s="5">
        <v>71120.5</v>
      </c>
      <c r="F432" t="s">
        <v>1454</v>
      </c>
      <c r="G432" t="s">
        <v>70</v>
      </c>
      <c r="H432" t="s">
        <v>69</v>
      </c>
    </row>
    <row r="433" spans="1:8" x14ac:dyDescent="0.3">
      <c r="A433" t="s">
        <v>45</v>
      </c>
      <c r="B433" t="s">
        <v>20</v>
      </c>
      <c r="C433" t="s">
        <v>22</v>
      </c>
      <c r="D433" t="s">
        <v>15</v>
      </c>
      <c r="E433" s="5">
        <v>122195</v>
      </c>
      <c r="F433" t="s">
        <v>58</v>
      </c>
      <c r="G433" t="s">
        <v>59</v>
      </c>
      <c r="H433" t="s">
        <v>16</v>
      </c>
    </row>
    <row r="434" spans="1:8" x14ac:dyDescent="0.3">
      <c r="A434" t="s">
        <v>72</v>
      </c>
      <c r="B434" t="s">
        <v>25</v>
      </c>
      <c r="C434" t="s">
        <v>14</v>
      </c>
      <c r="D434" t="s">
        <v>15</v>
      </c>
      <c r="E434" s="5">
        <v>165305</v>
      </c>
      <c r="F434" t="s">
        <v>2598</v>
      </c>
      <c r="G434" t="s">
        <v>2599</v>
      </c>
      <c r="H434" t="s">
        <v>69</v>
      </c>
    </row>
    <row r="435" spans="1:8" x14ac:dyDescent="0.3">
      <c r="A435" t="s">
        <v>19</v>
      </c>
      <c r="B435" t="s">
        <v>54</v>
      </c>
      <c r="C435" t="s">
        <v>14</v>
      </c>
      <c r="D435" t="s">
        <v>42</v>
      </c>
      <c r="E435" s="5">
        <v>141234.5</v>
      </c>
      <c r="F435" t="s">
        <v>2866</v>
      </c>
      <c r="G435" t="s">
        <v>80</v>
      </c>
      <c r="H435" t="s">
        <v>69</v>
      </c>
    </row>
    <row r="436" spans="1:8" x14ac:dyDescent="0.3">
      <c r="A436" t="s">
        <v>19</v>
      </c>
      <c r="B436" t="s">
        <v>12</v>
      </c>
      <c r="C436" t="s">
        <v>22</v>
      </c>
      <c r="D436" t="s">
        <v>37</v>
      </c>
      <c r="E436" s="5">
        <v>134895.5</v>
      </c>
      <c r="F436" t="s">
        <v>1021</v>
      </c>
      <c r="G436" t="s">
        <v>378</v>
      </c>
      <c r="H436" t="s">
        <v>69</v>
      </c>
    </row>
    <row r="437" spans="1:8" x14ac:dyDescent="0.3">
      <c r="A437" t="s">
        <v>40</v>
      </c>
      <c r="B437" t="s">
        <v>20</v>
      </c>
      <c r="C437" t="s">
        <v>27</v>
      </c>
      <c r="D437" t="s">
        <v>37</v>
      </c>
      <c r="E437" s="5">
        <v>139992</v>
      </c>
      <c r="F437" t="s">
        <v>2116</v>
      </c>
      <c r="G437" t="s">
        <v>52</v>
      </c>
      <c r="H437" t="s">
        <v>16</v>
      </c>
    </row>
    <row r="438" spans="1:8" x14ac:dyDescent="0.3">
      <c r="A438" t="s">
        <v>19</v>
      </c>
      <c r="B438" t="s">
        <v>35</v>
      </c>
      <c r="C438" t="s">
        <v>14</v>
      </c>
      <c r="D438" t="s">
        <v>37</v>
      </c>
      <c r="E438" s="5">
        <v>115827.5</v>
      </c>
      <c r="F438" t="s">
        <v>2625</v>
      </c>
      <c r="G438" t="s">
        <v>157</v>
      </c>
      <c r="H438" t="s">
        <v>16</v>
      </c>
    </row>
    <row r="439" spans="1:8" x14ac:dyDescent="0.3">
      <c r="A439" t="s">
        <v>45</v>
      </c>
      <c r="B439" t="s">
        <v>20</v>
      </c>
      <c r="C439" t="s">
        <v>14</v>
      </c>
      <c r="D439" t="s">
        <v>42</v>
      </c>
      <c r="E439" s="5">
        <v>166844</v>
      </c>
      <c r="F439" t="s">
        <v>3078</v>
      </c>
      <c r="G439" t="s">
        <v>213</v>
      </c>
      <c r="H439" t="s">
        <v>16</v>
      </c>
    </row>
    <row r="440" spans="1:8" x14ac:dyDescent="0.3">
      <c r="A440" t="s">
        <v>34</v>
      </c>
      <c r="B440" t="s">
        <v>25</v>
      </c>
      <c r="C440" t="s">
        <v>22</v>
      </c>
      <c r="D440" t="s">
        <v>37</v>
      </c>
      <c r="E440" s="5">
        <v>161810</v>
      </c>
      <c r="F440" t="s">
        <v>2902</v>
      </c>
      <c r="G440" t="s">
        <v>1015</v>
      </c>
      <c r="H440" t="s">
        <v>69</v>
      </c>
    </row>
    <row r="441" spans="1:8" x14ac:dyDescent="0.3">
      <c r="A441" t="s">
        <v>49</v>
      </c>
      <c r="B441" t="s">
        <v>35</v>
      </c>
      <c r="C441" t="s">
        <v>27</v>
      </c>
      <c r="D441" t="s">
        <v>51</v>
      </c>
      <c r="E441" s="5">
        <v>72588</v>
      </c>
      <c r="F441" t="s">
        <v>50</v>
      </c>
      <c r="G441" t="s">
        <v>52</v>
      </c>
      <c r="H441" t="s">
        <v>16</v>
      </c>
    </row>
    <row r="442" spans="1:8" x14ac:dyDescent="0.3">
      <c r="A442" t="s">
        <v>34</v>
      </c>
      <c r="B442" t="s">
        <v>54</v>
      </c>
      <c r="C442" t="s">
        <v>27</v>
      </c>
      <c r="D442" t="s">
        <v>51</v>
      </c>
      <c r="E442" s="5">
        <v>104723.5</v>
      </c>
      <c r="F442" t="s">
        <v>1564</v>
      </c>
      <c r="G442" t="s">
        <v>229</v>
      </c>
      <c r="H442" t="s">
        <v>69</v>
      </c>
    </row>
    <row r="443" spans="1:8" x14ac:dyDescent="0.3">
      <c r="A443" t="s">
        <v>72</v>
      </c>
      <c r="B443" t="s">
        <v>135</v>
      </c>
      <c r="C443" t="s">
        <v>27</v>
      </c>
      <c r="D443" t="s">
        <v>37</v>
      </c>
      <c r="E443" s="5">
        <v>120173</v>
      </c>
      <c r="F443" t="s">
        <v>136</v>
      </c>
      <c r="G443" t="s">
        <v>137</v>
      </c>
      <c r="H443" t="s">
        <v>14</v>
      </c>
    </row>
    <row r="444" spans="1:8" x14ac:dyDescent="0.3">
      <c r="A444" t="s">
        <v>19</v>
      </c>
      <c r="B444" t="s">
        <v>20</v>
      </c>
      <c r="C444" t="s">
        <v>27</v>
      </c>
      <c r="D444" t="s">
        <v>37</v>
      </c>
      <c r="E444" s="5">
        <v>74570</v>
      </c>
      <c r="F444" t="s">
        <v>1352</v>
      </c>
      <c r="G444" t="s">
        <v>319</v>
      </c>
      <c r="H444" t="s">
        <v>16</v>
      </c>
    </row>
    <row r="445" spans="1:8" x14ac:dyDescent="0.3">
      <c r="A445" t="s">
        <v>34</v>
      </c>
      <c r="B445" t="s">
        <v>25</v>
      </c>
      <c r="C445" t="s">
        <v>27</v>
      </c>
      <c r="D445" t="s">
        <v>15</v>
      </c>
      <c r="E445" s="5">
        <v>139086.5</v>
      </c>
      <c r="F445" t="s">
        <v>2188</v>
      </c>
      <c r="G445" t="s">
        <v>157</v>
      </c>
      <c r="H445" t="s">
        <v>69</v>
      </c>
    </row>
    <row r="446" spans="1:8" x14ac:dyDescent="0.3">
      <c r="A446" t="s">
        <v>11</v>
      </c>
      <c r="B446" t="s">
        <v>135</v>
      </c>
      <c r="C446" t="s">
        <v>27</v>
      </c>
      <c r="D446" t="s">
        <v>15</v>
      </c>
      <c r="E446" s="5">
        <v>117816.5</v>
      </c>
      <c r="F446" t="s">
        <v>3274</v>
      </c>
      <c r="G446" t="s">
        <v>185</v>
      </c>
      <c r="H446" t="s">
        <v>14</v>
      </c>
    </row>
    <row r="447" spans="1:8" x14ac:dyDescent="0.3">
      <c r="A447" t="s">
        <v>34</v>
      </c>
      <c r="B447" t="s">
        <v>67</v>
      </c>
      <c r="C447" t="s">
        <v>27</v>
      </c>
      <c r="D447" t="s">
        <v>42</v>
      </c>
      <c r="E447" s="5">
        <v>149429.5</v>
      </c>
      <c r="F447" t="s">
        <v>283</v>
      </c>
      <c r="G447" t="s">
        <v>284</v>
      </c>
      <c r="H447" t="s">
        <v>69</v>
      </c>
    </row>
    <row r="448" spans="1:8" x14ac:dyDescent="0.3">
      <c r="A448" t="s">
        <v>11</v>
      </c>
      <c r="B448" t="s">
        <v>12</v>
      </c>
      <c r="C448" t="s">
        <v>27</v>
      </c>
      <c r="D448" t="s">
        <v>37</v>
      </c>
      <c r="E448" s="5">
        <v>133842.5</v>
      </c>
      <c r="F448" t="s">
        <v>1975</v>
      </c>
      <c r="G448" t="s">
        <v>1976</v>
      </c>
      <c r="H448" t="s">
        <v>16</v>
      </c>
    </row>
    <row r="449" spans="1:8" x14ac:dyDescent="0.3">
      <c r="A449" t="s">
        <v>49</v>
      </c>
      <c r="B449" t="s">
        <v>20</v>
      </c>
      <c r="C449" t="s">
        <v>14</v>
      </c>
      <c r="D449" t="s">
        <v>42</v>
      </c>
      <c r="E449" s="5">
        <v>153913</v>
      </c>
      <c r="F449" t="s">
        <v>1003</v>
      </c>
      <c r="G449" t="s">
        <v>128</v>
      </c>
      <c r="H449" t="s">
        <v>69</v>
      </c>
    </row>
    <row r="450" spans="1:8" x14ac:dyDescent="0.3">
      <c r="A450" t="s">
        <v>72</v>
      </c>
      <c r="B450" t="s">
        <v>67</v>
      </c>
      <c r="C450" t="s">
        <v>22</v>
      </c>
      <c r="D450" t="s">
        <v>42</v>
      </c>
      <c r="E450" s="5">
        <v>103274</v>
      </c>
      <c r="F450" t="s">
        <v>2424</v>
      </c>
      <c r="G450" t="s">
        <v>185</v>
      </c>
      <c r="H450" t="s">
        <v>16</v>
      </c>
    </row>
    <row r="451" spans="1:8" x14ac:dyDescent="0.3">
      <c r="A451" t="s">
        <v>49</v>
      </c>
      <c r="B451" t="s">
        <v>67</v>
      </c>
      <c r="C451" t="s">
        <v>22</v>
      </c>
      <c r="D451" t="s">
        <v>42</v>
      </c>
      <c r="E451" s="5">
        <v>138047.5</v>
      </c>
      <c r="F451" t="s">
        <v>1444</v>
      </c>
      <c r="G451" t="s">
        <v>526</v>
      </c>
      <c r="H451" t="s">
        <v>69</v>
      </c>
    </row>
    <row r="452" spans="1:8" x14ac:dyDescent="0.3">
      <c r="A452" t="s">
        <v>34</v>
      </c>
      <c r="B452" t="s">
        <v>35</v>
      </c>
      <c r="C452" t="s">
        <v>27</v>
      </c>
      <c r="D452" t="s">
        <v>15</v>
      </c>
      <c r="E452" s="5">
        <v>83322</v>
      </c>
      <c r="F452" t="s">
        <v>3018</v>
      </c>
      <c r="G452" t="s">
        <v>914</v>
      </c>
      <c r="H452" t="s">
        <v>69</v>
      </c>
    </row>
    <row r="453" spans="1:8" x14ac:dyDescent="0.3">
      <c r="A453" t="s">
        <v>40</v>
      </c>
      <c r="B453" t="s">
        <v>54</v>
      </c>
      <c r="C453" t="s">
        <v>14</v>
      </c>
      <c r="D453" t="s">
        <v>42</v>
      </c>
      <c r="E453" s="5">
        <v>99926</v>
      </c>
      <c r="F453" t="s">
        <v>471</v>
      </c>
      <c r="G453" t="s">
        <v>70</v>
      </c>
      <c r="H453" t="s">
        <v>14</v>
      </c>
    </row>
    <row r="454" spans="1:8" x14ac:dyDescent="0.3">
      <c r="A454" t="s">
        <v>49</v>
      </c>
      <c r="B454" t="s">
        <v>54</v>
      </c>
      <c r="C454" t="s">
        <v>14</v>
      </c>
      <c r="D454" t="s">
        <v>42</v>
      </c>
      <c r="E454" s="5">
        <v>138093</v>
      </c>
      <c r="F454" t="s">
        <v>2297</v>
      </c>
      <c r="G454" t="s">
        <v>77</v>
      </c>
      <c r="H454" t="s">
        <v>69</v>
      </c>
    </row>
    <row r="455" spans="1:8" x14ac:dyDescent="0.3">
      <c r="A455" t="s">
        <v>19</v>
      </c>
      <c r="B455" t="s">
        <v>67</v>
      </c>
      <c r="C455" t="s">
        <v>27</v>
      </c>
      <c r="D455" t="s">
        <v>51</v>
      </c>
      <c r="E455" s="5">
        <v>155228</v>
      </c>
      <c r="F455" t="s">
        <v>832</v>
      </c>
      <c r="G455" t="s">
        <v>157</v>
      </c>
      <c r="H455" t="s">
        <v>14</v>
      </c>
    </row>
    <row r="456" spans="1:8" x14ac:dyDescent="0.3">
      <c r="A456" t="s">
        <v>40</v>
      </c>
      <c r="B456" t="s">
        <v>54</v>
      </c>
      <c r="C456" t="s">
        <v>27</v>
      </c>
      <c r="D456" t="s">
        <v>42</v>
      </c>
      <c r="E456" s="5">
        <v>161619</v>
      </c>
      <c r="F456" t="s">
        <v>2581</v>
      </c>
      <c r="G456" t="s">
        <v>128</v>
      </c>
      <c r="H456" t="s">
        <v>69</v>
      </c>
    </row>
    <row r="457" spans="1:8" x14ac:dyDescent="0.3">
      <c r="A457" t="s">
        <v>49</v>
      </c>
      <c r="B457" t="s">
        <v>135</v>
      </c>
      <c r="C457" t="s">
        <v>14</v>
      </c>
      <c r="D457" t="s">
        <v>51</v>
      </c>
      <c r="E457" s="5">
        <v>59024.5</v>
      </c>
      <c r="F457" t="s">
        <v>2817</v>
      </c>
      <c r="G457" t="s">
        <v>77</v>
      </c>
      <c r="H457" t="s">
        <v>16</v>
      </c>
    </row>
    <row r="458" spans="1:8" x14ac:dyDescent="0.3">
      <c r="A458" t="s">
        <v>34</v>
      </c>
      <c r="B458" t="s">
        <v>54</v>
      </c>
      <c r="C458" t="s">
        <v>27</v>
      </c>
      <c r="D458" t="s">
        <v>15</v>
      </c>
      <c r="E458" s="5">
        <v>128134.5</v>
      </c>
      <c r="F458" t="s">
        <v>3400</v>
      </c>
      <c r="G458" t="s">
        <v>338</v>
      </c>
      <c r="H458" t="s">
        <v>16</v>
      </c>
    </row>
    <row r="459" spans="1:8" x14ac:dyDescent="0.3">
      <c r="A459" t="s">
        <v>45</v>
      </c>
      <c r="B459" t="s">
        <v>135</v>
      </c>
      <c r="C459" t="s">
        <v>27</v>
      </c>
      <c r="D459" t="s">
        <v>15</v>
      </c>
      <c r="E459" s="5">
        <v>95372.5</v>
      </c>
      <c r="F459" t="s">
        <v>1023</v>
      </c>
      <c r="G459" t="s">
        <v>1024</v>
      </c>
      <c r="H459" t="s">
        <v>69</v>
      </c>
    </row>
    <row r="460" spans="1:8" x14ac:dyDescent="0.3">
      <c r="A460" t="s">
        <v>49</v>
      </c>
      <c r="B460" t="s">
        <v>25</v>
      </c>
      <c r="C460" t="s">
        <v>14</v>
      </c>
      <c r="D460" t="s">
        <v>51</v>
      </c>
      <c r="E460" s="5">
        <v>181709.5</v>
      </c>
      <c r="F460" t="s">
        <v>449</v>
      </c>
      <c r="G460" t="s">
        <v>450</v>
      </c>
      <c r="H460" t="s">
        <v>14</v>
      </c>
    </row>
    <row r="461" spans="1:8" x14ac:dyDescent="0.3">
      <c r="A461" t="s">
        <v>49</v>
      </c>
      <c r="B461" t="s">
        <v>35</v>
      </c>
      <c r="C461" t="s">
        <v>14</v>
      </c>
      <c r="D461" t="s">
        <v>51</v>
      </c>
      <c r="E461" s="5">
        <v>169855</v>
      </c>
      <c r="F461" t="s">
        <v>1323</v>
      </c>
      <c r="G461" t="s">
        <v>80</v>
      </c>
      <c r="H461" t="s">
        <v>14</v>
      </c>
    </row>
    <row r="462" spans="1:8" x14ac:dyDescent="0.3">
      <c r="A462" t="s">
        <v>49</v>
      </c>
      <c r="B462" t="s">
        <v>12</v>
      </c>
      <c r="C462" t="s">
        <v>22</v>
      </c>
      <c r="D462" t="s">
        <v>51</v>
      </c>
      <c r="E462" s="5">
        <v>97053.5</v>
      </c>
      <c r="F462" t="s">
        <v>1577</v>
      </c>
      <c r="G462" t="s">
        <v>163</v>
      </c>
      <c r="H462" t="s">
        <v>16</v>
      </c>
    </row>
    <row r="463" spans="1:8" x14ac:dyDescent="0.3">
      <c r="A463" t="s">
        <v>19</v>
      </c>
      <c r="B463" t="s">
        <v>135</v>
      </c>
      <c r="C463" t="s">
        <v>22</v>
      </c>
      <c r="D463" t="s">
        <v>42</v>
      </c>
      <c r="E463" s="5">
        <v>120415</v>
      </c>
      <c r="F463" t="s">
        <v>196</v>
      </c>
      <c r="G463" t="s">
        <v>197</v>
      </c>
      <c r="H463" t="s">
        <v>16</v>
      </c>
    </row>
    <row r="464" spans="1:8" x14ac:dyDescent="0.3">
      <c r="A464" t="s">
        <v>40</v>
      </c>
      <c r="B464" t="s">
        <v>54</v>
      </c>
      <c r="C464" t="s">
        <v>22</v>
      </c>
      <c r="D464" t="s">
        <v>37</v>
      </c>
      <c r="E464" s="5">
        <v>100218</v>
      </c>
      <c r="F464" t="s">
        <v>3520</v>
      </c>
      <c r="G464" t="s">
        <v>1010</v>
      </c>
      <c r="H464" t="s">
        <v>69</v>
      </c>
    </row>
    <row r="465" spans="1:8" x14ac:dyDescent="0.3">
      <c r="A465" t="s">
        <v>40</v>
      </c>
      <c r="B465" t="s">
        <v>135</v>
      </c>
      <c r="C465" t="s">
        <v>22</v>
      </c>
      <c r="D465" t="s">
        <v>15</v>
      </c>
      <c r="E465" s="5">
        <v>165277</v>
      </c>
      <c r="F465" t="s">
        <v>1069</v>
      </c>
      <c r="G465" t="s">
        <v>439</v>
      </c>
      <c r="H465" t="s">
        <v>16</v>
      </c>
    </row>
    <row r="466" spans="1:8" x14ac:dyDescent="0.3">
      <c r="A466" t="s">
        <v>34</v>
      </c>
      <c r="B466" t="s">
        <v>25</v>
      </c>
      <c r="C466" t="s">
        <v>27</v>
      </c>
      <c r="D466" t="s">
        <v>37</v>
      </c>
      <c r="E466" s="5">
        <v>117048.5</v>
      </c>
      <c r="F466" t="s">
        <v>2703</v>
      </c>
      <c r="G466" t="s">
        <v>194</v>
      </c>
      <c r="H466" t="s">
        <v>16</v>
      </c>
    </row>
    <row r="467" spans="1:8" x14ac:dyDescent="0.3">
      <c r="A467" t="s">
        <v>11</v>
      </c>
      <c r="B467" t="s">
        <v>67</v>
      </c>
      <c r="C467" t="s">
        <v>14</v>
      </c>
      <c r="D467" t="s">
        <v>51</v>
      </c>
      <c r="E467" s="5">
        <v>83249.5</v>
      </c>
      <c r="F467" t="s">
        <v>2484</v>
      </c>
      <c r="G467" t="s">
        <v>2485</v>
      </c>
      <c r="H467" t="s">
        <v>16</v>
      </c>
    </row>
    <row r="468" spans="1:8" x14ac:dyDescent="0.3">
      <c r="A468" t="s">
        <v>11</v>
      </c>
      <c r="B468" t="s">
        <v>30</v>
      </c>
      <c r="C468" t="s">
        <v>14</v>
      </c>
      <c r="D468" t="s">
        <v>37</v>
      </c>
      <c r="E468" s="5">
        <v>171336</v>
      </c>
      <c r="F468" t="s">
        <v>3672</v>
      </c>
      <c r="G468" t="s">
        <v>128</v>
      </c>
      <c r="H468" t="s">
        <v>69</v>
      </c>
    </row>
    <row r="469" spans="1:8" x14ac:dyDescent="0.3">
      <c r="A469" t="s">
        <v>40</v>
      </c>
      <c r="B469" t="s">
        <v>67</v>
      </c>
      <c r="C469" t="s">
        <v>27</v>
      </c>
      <c r="D469" t="s">
        <v>37</v>
      </c>
      <c r="E469" s="5">
        <v>149993.5</v>
      </c>
      <c r="F469" t="s">
        <v>4158</v>
      </c>
      <c r="G469" t="s">
        <v>333</v>
      </c>
      <c r="H469" t="s">
        <v>14</v>
      </c>
    </row>
    <row r="470" spans="1:8" x14ac:dyDescent="0.3">
      <c r="A470" t="s">
        <v>19</v>
      </c>
      <c r="B470" t="s">
        <v>30</v>
      </c>
      <c r="C470" t="s">
        <v>22</v>
      </c>
      <c r="D470" t="s">
        <v>15</v>
      </c>
      <c r="E470" s="5">
        <v>162686</v>
      </c>
      <c r="F470" t="s">
        <v>4051</v>
      </c>
      <c r="G470" t="s">
        <v>160</v>
      </c>
      <c r="H470" t="s">
        <v>16</v>
      </c>
    </row>
    <row r="471" spans="1:8" x14ac:dyDescent="0.3">
      <c r="A471" t="s">
        <v>49</v>
      </c>
      <c r="B471" t="s">
        <v>30</v>
      </c>
      <c r="C471" t="s">
        <v>22</v>
      </c>
      <c r="D471" t="s">
        <v>51</v>
      </c>
      <c r="E471" s="5">
        <v>102971.5</v>
      </c>
      <c r="F471" t="s">
        <v>2351</v>
      </c>
      <c r="G471" t="s">
        <v>101</v>
      </c>
      <c r="H471" t="s">
        <v>69</v>
      </c>
    </row>
    <row r="472" spans="1:8" x14ac:dyDescent="0.3">
      <c r="A472" t="s">
        <v>49</v>
      </c>
      <c r="B472" t="s">
        <v>54</v>
      </c>
      <c r="C472" t="s">
        <v>27</v>
      </c>
      <c r="D472" t="s">
        <v>42</v>
      </c>
      <c r="E472" s="5">
        <v>123245</v>
      </c>
      <c r="F472" t="s">
        <v>2960</v>
      </c>
      <c r="G472" t="s">
        <v>125</v>
      </c>
      <c r="H472" t="s">
        <v>14</v>
      </c>
    </row>
    <row r="473" spans="1:8" x14ac:dyDescent="0.3">
      <c r="A473" t="s">
        <v>45</v>
      </c>
      <c r="B473" t="s">
        <v>35</v>
      </c>
      <c r="C473" t="s">
        <v>27</v>
      </c>
      <c r="D473" t="s">
        <v>37</v>
      </c>
      <c r="E473" s="5">
        <v>85731</v>
      </c>
      <c r="F473" t="s">
        <v>2240</v>
      </c>
      <c r="G473" t="s">
        <v>2241</v>
      </c>
      <c r="H473" t="s">
        <v>69</v>
      </c>
    </row>
    <row r="474" spans="1:8" x14ac:dyDescent="0.3">
      <c r="A474" t="s">
        <v>19</v>
      </c>
      <c r="B474" t="s">
        <v>30</v>
      </c>
      <c r="C474" t="s">
        <v>27</v>
      </c>
      <c r="D474" t="s">
        <v>42</v>
      </c>
      <c r="E474" s="5">
        <v>77880.5</v>
      </c>
      <c r="F474" t="s">
        <v>1202</v>
      </c>
      <c r="G474" t="s">
        <v>157</v>
      </c>
      <c r="H474" t="s">
        <v>14</v>
      </c>
    </row>
    <row r="475" spans="1:8" x14ac:dyDescent="0.3">
      <c r="A475" t="s">
        <v>49</v>
      </c>
      <c r="B475" t="s">
        <v>25</v>
      </c>
      <c r="C475" t="s">
        <v>27</v>
      </c>
      <c r="D475" t="s">
        <v>37</v>
      </c>
      <c r="E475" s="5">
        <v>88513.5</v>
      </c>
      <c r="F475" t="s">
        <v>1048</v>
      </c>
      <c r="G475" t="s">
        <v>928</v>
      </c>
      <c r="H475" t="s">
        <v>16</v>
      </c>
    </row>
    <row r="476" spans="1:8" x14ac:dyDescent="0.3">
      <c r="A476" t="s">
        <v>49</v>
      </c>
      <c r="B476" t="s">
        <v>30</v>
      </c>
      <c r="C476" t="s">
        <v>27</v>
      </c>
      <c r="D476" t="s">
        <v>37</v>
      </c>
      <c r="E476" s="5">
        <v>90179.5</v>
      </c>
      <c r="F476" t="s">
        <v>1317</v>
      </c>
      <c r="G476" t="s">
        <v>316</v>
      </c>
      <c r="H476" t="s">
        <v>69</v>
      </c>
    </row>
    <row r="477" spans="1:8" x14ac:dyDescent="0.3">
      <c r="A477" t="s">
        <v>40</v>
      </c>
      <c r="B477" t="s">
        <v>12</v>
      </c>
      <c r="C477" t="s">
        <v>27</v>
      </c>
      <c r="D477" t="s">
        <v>51</v>
      </c>
      <c r="E477" s="5">
        <v>187086</v>
      </c>
      <c r="F477" t="s">
        <v>2461</v>
      </c>
      <c r="G477" t="s">
        <v>128</v>
      </c>
      <c r="H477" t="s">
        <v>14</v>
      </c>
    </row>
    <row r="478" spans="1:8" x14ac:dyDescent="0.3">
      <c r="A478" t="s">
        <v>49</v>
      </c>
      <c r="B478" t="s">
        <v>12</v>
      </c>
      <c r="C478" t="s">
        <v>27</v>
      </c>
      <c r="D478" t="s">
        <v>42</v>
      </c>
      <c r="E478" s="5">
        <v>109882.5</v>
      </c>
      <c r="F478" t="s">
        <v>3450</v>
      </c>
      <c r="G478" t="s">
        <v>90</v>
      </c>
      <c r="H478" t="s">
        <v>14</v>
      </c>
    </row>
    <row r="479" spans="1:8" x14ac:dyDescent="0.3">
      <c r="A479" t="s">
        <v>45</v>
      </c>
      <c r="B479" t="s">
        <v>35</v>
      </c>
      <c r="C479" t="s">
        <v>14</v>
      </c>
      <c r="D479" t="s">
        <v>15</v>
      </c>
      <c r="E479" s="5">
        <v>146813</v>
      </c>
      <c r="F479" t="s">
        <v>3450</v>
      </c>
      <c r="G479" t="s">
        <v>338</v>
      </c>
      <c r="H479" t="s">
        <v>16</v>
      </c>
    </row>
    <row r="480" spans="1:8" x14ac:dyDescent="0.3">
      <c r="A480" t="s">
        <v>11</v>
      </c>
      <c r="B480" t="s">
        <v>12</v>
      </c>
      <c r="C480" t="s">
        <v>14</v>
      </c>
      <c r="D480" t="s">
        <v>42</v>
      </c>
      <c r="E480" s="5">
        <v>120392</v>
      </c>
      <c r="F480" t="s">
        <v>1262</v>
      </c>
      <c r="G480" t="s">
        <v>1263</v>
      </c>
      <c r="H480" t="s">
        <v>14</v>
      </c>
    </row>
    <row r="481" spans="1:8" x14ac:dyDescent="0.3">
      <c r="A481" t="s">
        <v>40</v>
      </c>
      <c r="B481" t="s">
        <v>20</v>
      </c>
      <c r="C481" t="s">
        <v>27</v>
      </c>
      <c r="D481" t="s">
        <v>15</v>
      </c>
      <c r="E481" s="5">
        <v>87738</v>
      </c>
      <c r="F481" t="s">
        <v>2684</v>
      </c>
      <c r="G481" t="s">
        <v>32</v>
      </c>
      <c r="H481" t="s">
        <v>69</v>
      </c>
    </row>
    <row r="482" spans="1:8" x14ac:dyDescent="0.3">
      <c r="A482" t="s">
        <v>45</v>
      </c>
      <c r="B482" t="s">
        <v>67</v>
      </c>
      <c r="C482" t="s">
        <v>22</v>
      </c>
      <c r="D482" t="s">
        <v>15</v>
      </c>
      <c r="E482" s="5">
        <v>151434</v>
      </c>
      <c r="F482" t="s">
        <v>1635</v>
      </c>
      <c r="G482" t="s">
        <v>1636</v>
      </c>
      <c r="H482" t="s">
        <v>16</v>
      </c>
    </row>
    <row r="483" spans="1:8" x14ac:dyDescent="0.3">
      <c r="A483" t="s">
        <v>11</v>
      </c>
      <c r="B483" t="s">
        <v>135</v>
      </c>
      <c r="C483" t="s">
        <v>27</v>
      </c>
      <c r="D483" t="s">
        <v>15</v>
      </c>
      <c r="E483" s="5">
        <v>168738.5</v>
      </c>
      <c r="F483" t="s">
        <v>2835</v>
      </c>
      <c r="G483" t="s">
        <v>90</v>
      </c>
      <c r="H483" t="s">
        <v>69</v>
      </c>
    </row>
    <row r="484" spans="1:8" x14ac:dyDescent="0.3">
      <c r="A484" t="s">
        <v>40</v>
      </c>
      <c r="B484" t="s">
        <v>12</v>
      </c>
      <c r="C484" t="s">
        <v>27</v>
      </c>
      <c r="D484" t="s">
        <v>51</v>
      </c>
      <c r="E484" s="5">
        <v>181482.5</v>
      </c>
      <c r="F484" t="s">
        <v>2725</v>
      </c>
      <c r="G484" t="s">
        <v>229</v>
      </c>
      <c r="H484" t="s">
        <v>14</v>
      </c>
    </row>
    <row r="485" spans="1:8" x14ac:dyDescent="0.3">
      <c r="A485" t="s">
        <v>11</v>
      </c>
      <c r="B485" t="s">
        <v>25</v>
      </c>
      <c r="C485" t="s">
        <v>22</v>
      </c>
      <c r="D485" t="s">
        <v>42</v>
      </c>
      <c r="E485" s="5">
        <v>75137</v>
      </c>
      <c r="F485" t="s">
        <v>2256</v>
      </c>
      <c r="G485" t="s">
        <v>702</v>
      </c>
      <c r="H485" t="s">
        <v>69</v>
      </c>
    </row>
    <row r="486" spans="1:8" x14ac:dyDescent="0.3">
      <c r="A486" t="s">
        <v>72</v>
      </c>
      <c r="B486" t="s">
        <v>30</v>
      </c>
      <c r="C486" t="s">
        <v>27</v>
      </c>
      <c r="D486" t="s">
        <v>15</v>
      </c>
      <c r="E486" s="5">
        <v>111749.5</v>
      </c>
      <c r="F486" t="s">
        <v>519</v>
      </c>
      <c r="G486" t="s">
        <v>520</v>
      </c>
      <c r="H486" t="s">
        <v>16</v>
      </c>
    </row>
    <row r="487" spans="1:8" x14ac:dyDescent="0.3">
      <c r="A487" t="s">
        <v>34</v>
      </c>
      <c r="B487" t="s">
        <v>67</v>
      </c>
      <c r="C487" t="s">
        <v>22</v>
      </c>
      <c r="D487" t="s">
        <v>51</v>
      </c>
      <c r="E487" s="5">
        <v>147868</v>
      </c>
      <c r="F487" t="s">
        <v>2019</v>
      </c>
      <c r="G487" t="s">
        <v>101</v>
      </c>
      <c r="H487" t="s">
        <v>69</v>
      </c>
    </row>
    <row r="488" spans="1:8" x14ac:dyDescent="0.3">
      <c r="A488" t="s">
        <v>40</v>
      </c>
      <c r="B488" t="s">
        <v>135</v>
      </c>
      <c r="C488" t="s">
        <v>14</v>
      </c>
      <c r="D488" t="s">
        <v>51</v>
      </c>
      <c r="E488" s="5">
        <v>141625</v>
      </c>
      <c r="F488" t="s">
        <v>242</v>
      </c>
      <c r="G488" t="s">
        <v>128</v>
      </c>
      <c r="H488" t="s">
        <v>69</v>
      </c>
    </row>
    <row r="489" spans="1:8" x14ac:dyDescent="0.3">
      <c r="A489" t="s">
        <v>72</v>
      </c>
      <c r="B489" t="s">
        <v>12</v>
      </c>
      <c r="C489" t="s">
        <v>27</v>
      </c>
      <c r="D489" t="s">
        <v>15</v>
      </c>
      <c r="E489" s="5">
        <v>139855</v>
      </c>
      <c r="F489" t="s">
        <v>1703</v>
      </c>
      <c r="G489" t="s">
        <v>216</v>
      </c>
      <c r="H489" t="s">
        <v>16</v>
      </c>
    </row>
    <row r="490" spans="1:8" x14ac:dyDescent="0.3">
      <c r="A490" t="s">
        <v>19</v>
      </c>
      <c r="B490" t="s">
        <v>54</v>
      </c>
      <c r="C490" t="s">
        <v>14</v>
      </c>
      <c r="D490" t="s">
        <v>15</v>
      </c>
      <c r="E490" s="5">
        <v>59861.5</v>
      </c>
      <c r="F490" t="s">
        <v>3262</v>
      </c>
      <c r="G490" t="s">
        <v>38</v>
      </c>
      <c r="H490" t="s">
        <v>14</v>
      </c>
    </row>
    <row r="491" spans="1:8" x14ac:dyDescent="0.3">
      <c r="A491" t="s">
        <v>45</v>
      </c>
      <c r="B491" t="s">
        <v>20</v>
      </c>
      <c r="C491" t="s">
        <v>22</v>
      </c>
      <c r="D491" t="s">
        <v>51</v>
      </c>
      <c r="E491" s="5">
        <v>68463.5</v>
      </c>
      <c r="F491" t="s">
        <v>1217</v>
      </c>
      <c r="G491" t="s">
        <v>789</v>
      </c>
      <c r="H491" t="s">
        <v>69</v>
      </c>
    </row>
    <row r="492" spans="1:8" x14ac:dyDescent="0.3">
      <c r="A492" t="s">
        <v>34</v>
      </c>
      <c r="B492" t="s">
        <v>30</v>
      </c>
      <c r="C492" t="s">
        <v>14</v>
      </c>
      <c r="D492" t="s">
        <v>51</v>
      </c>
      <c r="E492" s="5">
        <v>92770.5</v>
      </c>
      <c r="F492" t="s">
        <v>4232</v>
      </c>
      <c r="G492" t="s">
        <v>194</v>
      </c>
      <c r="H492" t="s">
        <v>14</v>
      </c>
    </row>
    <row r="493" spans="1:8" x14ac:dyDescent="0.3">
      <c r="A493" t="s">
        <v>72</v>
      </c>
      <c r="B493" t="s">
        <v>20</v>
      </c>
      <c r="C493" t="s">
        <v>22</v>
      </c>
      <c r="D493" t="s">
        <v>51</v>
      </c>
      <c r="E493" s="5">
        <v>158424</v>
      </c>
      <c r="F493" t="s">
        <v>3659</v>
      </c>
      <c r="G493" t="s">
        <v>52</v>
      </c>
      <c r="H493" t="s">
        <v>16</v>
      </c>
    </row>
    <row r="494" spans="1:8" x14ac:dyDescent="0.3">
      <c r="A494" t="s">
        <v>11</v>
      </c>
      <c r="B494" t="s">
        <v>30</v>
      </c>
      <c r="C494" t="s">
        <v>14</v>
      </c>
      <c r="D494" t="s">
        <v>15</v>
      </c>
      <c r="E494" s="5">
        <v>70332.5</v>
      </c>
      <c r="F494" t="s">
        <v>1609</v>
      </c>
      <c r="G494" t="s">
        <v>77</v>
      </c>
      <c r="H494" t="s">
        <v>16</v>
      </c>
    </row>
    <row r="495" spans="1:8" x14ac:dyDescent="0.3">
      <c r="A495" t="s">
        <v>19</v>
      </c>
      <c r="B495" t="s">
        <v>20</v>
      </c>
      <c r="C495" t="s">
        <v>22</v>
      </c>
      <c r="D495" t="s">
        <v>37</v>
      </c>
      <c r="E495" s="5">
        <v>157317</v>
      </c>
      <c r="F495" t="s">
        <v>793</v>
      </c>
      <c r="G495" t="s">
        <v>794</v>
      </c>
      <c r="H495" t="s">
        <v>69</v>
      </c>
    </row>
    <row r="496" spans="1:8" x14ac:dyDescent="0.3">
      <c r="A496" t="s">
        <v>11</v>
      </c>
      <c r="B496" t="s">
        <v>20</v>
      </c>
      <c r="C496" t="s">
        <v>14</v>
      </c>
      <c r="D496" t="s">
        <v>51</v>
      </c>
      <c r="E496" s="5">
        <v>55294.5</v>
      </c>
      <c r="F496" t="s">
        <v>682</v>
      </c>
      <c r="G496" t="s">
        <v>683</v>
      </c>
      <c r="H496" t="s">
        <v>69</v>
      </c>
    </row>
    <row r="497" spans="1:8" x14ac:dyDescent="0.3">
      <c r="A497" t="s">
        <v>40</v>
      </c>
      <c r="B497" t="s">
        <v>54</v>
      </c>
      <c r="C497" t="s">
        <v>27</v>
      </c>
      <c r="D497" t="s">
        <v>42</v>
      </c>
      <c r="E497" s="5">
        <v>87395.5</v>
      </c>
      <c r="F497" t="s">
        <v>2041</v>
      </c>
      <c r="G497" t="s">
        <v>52</v>
      </c>
      <c r="H497" t="s">
        <v>16</v>
      </c>
    </row>
    <row r="498" spans="1:8" x14ac:dyDescent="0.3">
      <c r="A498" t="s">
        <v>49</v>
      </c>
      <c r="B498" t="s">
        <v>135</v>
      </c>
      <c r="C498" t="s">
        <v>27</v>
      </c>
      <c r="D498" t="s">
        <v>15</v>
      </c>
      <c r="E498" s="5">
        <v>114875.5</v>
      </c>
      <c r="F498" t="s">
        <v>751</v>
      </c>
      <c r="G498" t="s">
        <v>293</v>
      </c>
      <c r="H498" t="s">
        <v>14</v>
      </c>
    </row>
    <row r="499" spans="1:8" x14ac:dyDescent="0.3">
      <c r="A499" t="s">
        <v>34</v>
      </c>
      <c r="B499" t="s">
        <v>67</v>
      </c>
      <c r="C499" t="s">
        <v>22</v>
      </c>
      <c r="D499" t="s">
        <v>15</v>
      </c>
      <c r="E499" s="5">
        <v>160367</v>
      </c>
      <c r="F499" t="s">
        <v>2885</v>
      </c>
      <c r="G499" t="s">
        <v>90</v>
      </c>
      <c r="H499" t="s">
        <v>69</v>
      </c>
    </row>
    <row r="500" spans="1:8" x14ac:dyDescent="0.3">
      <c r="A500" t="s">
        <v>40</v>
      </c>
      <c r="B500" t="s">
        <v>67</v>
      </c>
      <c r="C500" t="s">
        <v>14</v>
      </c>
      <c r="D500" t="s">
        <v>42</v>
      </c>
      <c r="E500" s="5">
        <v>82872.5</v>
      </c>
      <c r="F500" t="s">
        <v>3336</v>
      </c>
      <c r="G500" t="s">
        <v>1357</v>
      </c>
      <c r="H500" t="s">
        <v>14</v>
      </c>
    </row>
    <row r="501" spans="1:8" x14ac:dyDescent="0.3">
      <c r="A501" t="s">
        <v>11</v>
      </c>
      <c r="B501" t="s">
        <v>20</v>
      </c>
      <c r="C501" t="s">
        <v>14</v>
      </c>
      <c r="D501" t="s">
        <v>42</v>
      </c>
      <c r="E501" s="5">
        <v>59575</v>
      </c>
      <c r="F501" t="s">
        <v>1165</v>
      </c>
      <c r="G501" t="s">
        <v>52</v>
      </c>
      <c r="H501" t="s">
        <v>69</v>
      </c>
    </row>
    <row r="502" spans="1:8" x14ac:dyDescent="0.3">
      <c r="A502" t="s">
        <v>49</v>
      </c>
      <c r="B502" t="s">
        <v>12</v>
      </c>
      <c r="C502" t="s">
        <v>27</v>
      </c>
      <c r="D502" t="s">
        <v>51</v>
      </c>
      <c r="E502" s="5">
        <v>172424</v>
      </c>
      <c r="F502" t="s">
        <v>2972</v>
      </c>
      <c r="G502" t="s">
        <v>362</v>
      </c>
      <c r="H502" t="s">
        <v>16</v>
      </c>
    </row>
    <row r="503" spans="1:8" x14ac:dyDescent="0.3">
      <c r="A503" t="s">
        <v>34</v>
      </c>
      <c r="B503" t="s">
        <v>30</v>
      </c>
      <c r="C503" t="s">
        <v>22</v>
      </c>
      <c r="D503" t="s">
        <v>37</v>
      </c>
      <c r="E503" s="5">
        <v>116864</v>
      </c>
      <c r="F503" t="s">
        <v>1991</v>
      </c>
      <c r="G503" t="s">
        <v>520</v>
      </c>
      <c r="H503" t="s">
        <v>69</v>
      </c>
    </row>
    <row r="504" spans="1:8" x14ac:dyDescent="0.3">
      <c r="A504" t="s">
        <v>34</v>
      </c>
      <c r="B504" t="s">
        <v>30</v>
      </c>
      <c r="C504" t="s">
        <v>27</v>
      </c>
      <c r="D504" t="s">
        <v>42</v>
      </c>
      <c r="E504" s="5">
        <v>102831</v>
      </c>
      <c r="F504" t="s">
        <v>631</v>
      </c>
      <c r="G504" t="s">
        <v>350</v>
      </c>
      <c r="H504" t="s">
        <v>69</v>
      </c>
    </row>
    <row r="505" spans="1:8" x14ac:dyDescent="0.3">
      <c r="A505" t="s">
        <v>72</v>
      </c>
      <c r="B505" t="s">
        <v>30</v>
      </c>
      <c r="C505" t="s">
        <v>14</v>
      </c>
      <c r="D505" t="s">
        <v>42</v>
      </c>
      <c r="E505" s="5">
        <v>124210.5</v>
      </c>
      <c r="F505" t="s">
        <v>695</v>
      </c>
      <c r="G505" t="s">
        <v>696</v>
      </c>
      <c r="H505" t="s">
        <v>69</v>
      </c>
    </row>
    <row r="506" spans="1:8" x14ac:dyDescent="0.3">
      <c r="A506" t="s">
        <v>34</v>
      </c>
      <c r="B506" t="s">
        <v>67</v>
      </c>
      <c r="C506" t="s">
        <v>14</v>
      </c>
      <c r="D506" t="s">
        <v>15</v>
      </c>
      <c r="E506" s="5">
        <v>67344.5</v>
      </c>
      <c r="F506" t="s">
        <v>657</v>
      </c>
      <c r="G506" t="s">
        <v>268</v>
      </c>
      <c r="H506" t="s">
        <v>14</v>
      </c>
    </row>
    <row r="507" spans="1:8" x14ac:dyDescent="0.3">
      <c r="A507" t="s">
        <v>40</v>
      </c>
      <c r="B507" t="s">
        <v>54</v>
      </c>
      <c r="C507" t="s">
        <v>22</v>
      </c>
      <c r="D507" t="s">
        <v>51</v>
      </c>
      <c r="E507" s="5">
        <v>92519</v>
      </c>
      <c r="F507" t="s">
        <v>3988</v>
      </c>
      <c r="G507" t="s">
        <v>52</v>
      </c>
      <c r="H507" t="s">
        <v>14</v>
      </c>
    </row>
    <row r="508" spans="1:8" x14ac:dyDescent="0.3">
      <c r="A508" t="s">
        <v>72</v>
      </c>
      <c r="B508" t="s">
        <v>67</v>
      </c>
      <c r="C508" t="s">
        <v>27</v>
      </c>
      <c r="D508" t="s">
        <v>37</v>
      </c>
      <c r="E508" s="5">
        <v>125981</v>
      </c>
      <c r="F508" t="s">
        <v>1073</v>
      </c>
      <c r="G508" t="s">
        <v>1074</v>
      </c>
      <c r="H508" t="s">
        <v>14</v>
      </c>
    </row>
    <row r="509" spans="1:8" x14ac:dyDescent="0.3">
      <c r="A509" t="s">
        <v>45</v>
      </c>
      <c r="B509" t="s">
        <v>12</v>
      </c>
      <c r="C509" t="s">
        <v>22</v>
      </c>
      <c r="D509" t="s">
        <v>51</v>
      </c>
      <c r="E509" s="5">
        <v>145137.5</v>
      </c>
      <c r="F509" t="s">
        <v>726</v>
      </c>
      <c r="G509" t="s">
        <v>70</v>
      </c>
      <c r="H509" t="s">
        <v>14</v>
      </c>
    </row>
    <row r="510" spans="1:8" x14ac:dyDescent="0.3">
      <c r="A510" t="s">
        <v>19</v>
      </c>
      <c r="B510" t="s">
        <v>30</v>
      </c>
      <c r="C510" t="s">
        <v>22</v>
      </c>
      <c r="D510" t="s">
        <v>37</v>
      </c>
      <c r="E510" s="5">
        <v>120936.5</v>
      </c>
      <c r="F510" t="s">
        <v>885</v>
      </c>
      <c r="G510" t="s">
        <v>353</v>
      </c>
      <c r="H510" t="s">
        <v>16</v>
      </c>
    </row>
    <row r="511" spans="1:8" x14ac:dyDescent="0.3">
      <c r="A511" t="s">
        <v>34</v>
      </c>
      <c r="B511" t="s">
        <v>135</v>
      </c>
      <c r="C511" t="s">
        <v>27</v>
      </c>
      <c r="D511" t="s">
        <v>15</v>
      </c>
      <c r="E511" s="5">
        <v>127173.5</v>
      </c>
      <c r="F511" t="s">
        <v>1012</v>
      </c>
      <c r="G511" t="s">
        <v>59</v>
      </c>
      <c r="H511" t="s">
        <v>14</v>
      </c>
    </row>
    <row r="512" spans="1:8" x14ac:dyDescent="0.3">
      <c r="A512" t="s">
        <v>49</v>
      </c>
      <c r="B512" t="s">
        <v>20</v>
      </c>
      <c r="C512" t="s">
        <v>14</v>
      </c>
      <c r="D512" t="s">
        <v>42</v>
      </c>
      <c r="E512" s="5">
        <v>147593.5</v>
      </c>
      <c r="F512" t="s">
        <v>1914</v>
      </c>
      <c r="G512" t="s">
        <v>1461</v>
      </c>
      <c r="H512" t="s">
        <v>14</v>
      </c>
    </row>
    <row r="513" spans="1:8" x14ac:dyDescent="0.3">
      <c r="A513" t="s">
        <v>40</v>
      </c>
      <c r="B513" t="s">
        <v>67</v>
      </c>
      <c r="C513" t="s">
        <v>22</v>
      </c>
      <c r="D513" t="s">
        <v>51</v>
      </c>
      <c r="E513" s="5">
        <v>154057</v>
      </c>
      <c r="F513" t="s">
        <v>3722</v>
      </c>
      <c r="G513" t="s">
        <v>235</v>
      </c>
      <c r="H513" t="s">
        <v>14</v>
      </c>
    </row>
    <row r="514" spans="1:8" x14ac:dyDescent="0.3">
      <c r="A514" t="s">
        <v>72</v>
      </c>
      <c r="B514" t="s">
        <v>135</v>
      </c>
      <c r="C514" t="s">
        <v>22</v>
      </c>
      <c r="D514" t="s">
        <v>42</v>
      </c>
      <c r="E514" s="5">
        <v>173363</v>
      </c>
      <c r="F514" t="s">
        <v>3866</v>
      </c>
      <c r="G514" t="s">
        <v>270</v>
      </c>
      <c r="H514" t="s">
        <v>14</v>
      </c>
    </row>
    <row r="515" spans="1:8" x14ac:dyDescent="0.3">
      <c r="A515" t="s">
        <v>45</v>
      </c>
      <c r="B515" t="s">
        <v>30</v>
      </c>
      <c r="C515" t="s">
        <v>22</v>
      </c>
      <c r="D515" t="s">
        <v>42</v>
      </c>
      <c r="E515" s="5">
        <v>179429</v>
      </c>
      <c r="F515" t="s">
        <v>978</v>
      </c>
      <c r="G515" t="s">
        <v>128</v>
      </c>
      <c r="H515" t="s">
        <v>16</v>
      </c>
    </row>
    <row r="516" spans="1:8" x14ac:dyDescent="0.3">
      <c r="A516" t="s">
        <v>19</v>
      </c>
      <c r="B516" t="s">
        <v>54</v>
      </c>
      <c r="C516" t="s">
        <v>22</v>
      </c>
      <c r="D516" t="s">
        <v>51</v>
      </c>
      <c r="E516" s="5">
        <v>79676</v>
      </c>
      <c r="F516" t="s">
        <v>978</v>
      </c>
      <c r="G516" t="s">
        <v>70</v>
      </c>
      <c r="H516" t="s">
        <v>69</v>
      </c>
    </row>
    <row r="517" spans="1:8" x14ac:dyDescent="0.3">
      <c r="A517" t="s">
        <v>49</v>
      </c>
      <c r="B517" t="s">
        <v>35</v>
      </c>
      <c r="C517" t="s">
        <v>14</v>
      </c>
      <c r="D517" t="s">
        <v>42</v>
      </c>
      <c r="E517" s="5">
        <v>137570.5</v>
      </c>
      <c r="F517" t="s">
        <v>1916</v>
      </c>
      <c r="G517" t="s">
        <v>497</v>
      </c>
      <c r="H517" t="s">
        <v>16</v>
      </c>
    </row>
    <row r="518" spans="1:8" x14ac:dyDescent="0.3">
      <c r="A518" t="s">
        <v>11</v>
      </c>
      <c r="B518" t="s">
        <v>135</v>
      </c>
      <c r="C518" t="s">
        <v>27</v>
      </c>
      <c r="D518" t="s">
        <v>42</v>
      </c>
      <c r="E518" s="5">
        <v>169497.5</v>
      </c>
      <c r="F518" t="s">
        <v>1740</v>
      </c>
      <c r="G518" t="s">
        <v>591</v>
      </c>
      <c r="H518" t="s">
        <v>69</v>
      </c>
    </row>
    <row r="519" spans="1:8" x14ac:dyDescent="0.3">
      <c r="A519" t="s">
        <v>11</v>
      </c>
      <c r="B519" t="s">
        <v>54</v>
      </c>
      <c r="C519" t="s">
        <v>14</v>
      </c>
      <c r="D519" t="s">
        <v>15</v>
      </c>
      <c r="E519" s="5">
        <v>119579.5</v>
      </c>
      <c r="F519" t="s">
        <v>3448</v>
      </c>
      <c r="G519" t="s">
        <v>77</v>
      </c>
      <c r="H519" t="s">
        <v>14</v>
      </c>
    </row>
    <row r="520" spans="1:8" x14ac:dyDescent="0.3">
      <c r="A520" t="s">
        <v>72</v>
      </c>
      <c r="B520" t="s">
        <v>67</v>
      </c>
      <c r="C520" t="s">
        <v>27</v>
      </c>
      <c r="D520" t="s">
        <v>15</v>
      </c>
      <c r="E520" s="5">
        <v>64227.5</v>
      </c>
      <c r="F520" t="s">
        <v>3443</v>
      </c>
      <c r="G520" t="s">
        <v>2046</v>
      </c>
      <c r="H520" t="s">
        <v>14</v>
      </c>
    </row>
    <row r="521" spans="1:8" x14ac:dyDescent="0.3">
      <c r="A521" t="s">
        <v>49</v>
      </c>
      <c r="B521" t="s">
        <v>35</v>
      </c>
      <c r="C521" t="s">
        <v>27</v>
      </c>
      <c r="D521" t="s">
        <v>37</v>
      </c>
      <c r="E521" s="5">
        <v>114860.5</v>
      </c>
      <c r="F521" t="s">
        <v>679</v>
      </c>
      <c r="G521" t="s">
        <v>680</v>
      </c>
      <c r="H521" t="s">
        <v>16</v>
      </c>
    </row>
    <row r="522" spans="1:8" x14ac:dyDescent="0.3">
      <c r="A522" t="s">
        <v>19</v>
      </c>
      <c r="B522" t="s">
        <v>12</v>
      </c>
      <c r="C522" t="s">
        <v>27</v>
      </c>
      <c r="D522" t="s">
        <v>51</v>
      </c>
      <c r="E522" s="5">
        <v>166853.5</v>
      </c>
      <c r="F522" t="s">
        <v>762</v>
      </c>
      <c r="G522" t="s">
        <v>293</v>
      </c>
      <c r="H522" t="s">
        <v>16</v>
      </c>
    </row>
    <row r="523" spans="1:8" x14ac:dyDescent="0.3">
      <c r="A523" t="s">
        <v>72</v>
      </c>
      <c r="B523" t="s">
        <v>20</v>
      </c>
      <c r="C523" t="s">
        <v>27</v>
      </c>
      <c r="D523" t="s">
        <v>51</v>
      </c>
      <c r="E523" s="5">
        <v>139482</v>
      </c>
      <c r="F523" t="s">
        <v>889</v>
      </c>
      <c r="G523" t="s">
        <v>122</v>
      </c>
      <c r="H523" t="s">
        <v>14</v>
      </c>
    </row>
    <row r="524" spans="1:8" x14ac:dyDescent="0.3">
      <c r="A524" t="s">
        <v>72</v>
      </c>
      <c r="B524" t="s">
        <v>135</v>
      </c>
      <c r="C524" t="s">
        <v>14</v>
      </c>
      <c r="D524" t="s">
        <v>51</v>
      </c>
      <c r="E524" s="5">
        <v>136694</v>
      </c>
      <c r="F524" t="s">
        <v>4049</v>
      </c>
      <c r="G524" t="s">
        <v>52</v>
      </c>
      <c r="H524" t="s">
        <v>16</v>
      </c>
    </row>
    <row r="525" spans="1:8" x14ac:dyDescent="0.3">
      <c r="A525" t="s">
        <v>45</v>
      </c>
      <c r="B525" t="s">
        <v>25</v>
      </c>
      <c r="C525" t="s">
        <v>27</v>
      </c>
      <c r="D525" t="s">
        <v>51</v>
      </c>
      <c r="E525" s="5">
        <v>58072</v>
      </c>
      <c r="F525" t="s">
        <v>4196</v>
      </c>
      <c r="G525" t="s">
        <v>52</v>
      </c>
      <c r="H525" t="s">
        <v>14</v>
      </c>
    </row>
    <row r="526" spans="1:8" x14ac:dyDescent="0.3">
      <c r="A526" t="s">
        <v>34</v>
      </c>
      <c r="B526" t="s">
        <v>30</v>
      </c>
      <c r="C526" t="s">
        <v>14</v>
      </c>
      <c r="D526" t="s">
        <v>51</v>
      </c>
      <c r="E526" s="5">
        <v>153694.5</v>
      </c>
      <c r="F526" t="s">
        <v>2751</v>
      </c>
      <c r="G526" t="s">
        <v>677</v>
      </c>
      <c r="H526" t="s">
        <v>69</v>
      </c>
    </row>
    <row r="527" spans="1:8" x14ac:dyDescent="0.3">
      <c r="A527" t="s">
        <v>40</v>
      </c>
      <c r="B527" t="s">
        <v>135</v>
      </c>
      <c r="C527" t="s">
        <v>27</v>
      </c>
      <c r="D527" t="s">
        <v>51</v>
      </c>
      <c r="E527" s="5">
        <v>108436.5</v>
      </c>
      <c r="F527" t="s">
        <v>415</v>
      </c>
      <c r="G527" t="s">
        <v>52</v>
      </c>
      <c r="H527" t="s">
        <v>14</v>
      </c>
    </row>
    <row r="528" spans="1:8" x14ac:dyDescent="0.3">
      <c r="A528" t="s">
        <v>40</v>
      </c>
      <c r="B528" t="s">
        <v>30</v>
      </c>
      <c r="C528" t="s">
        <v>22</v>
      </c>
      <c r="D528" t="s">
        <v>37</v>
      </c>
      <c r="E528" s="5">
        <v>160215.5</v>
      </c>
      <c r="F528" t="s">
        <v>2225</v>
      </c>
      <c r="G528" t="s">
        <v>2226</v>
      </c>
      <c r="H528" t="s">
        <v>16</v>
      </c>
    </row>
    <row r="529" spans="1:8" x14ac:dyDescent="0.3">
      <c r="A529" t="s">
        <v>49</v>
      </c>
      <c r="B529" t="s">
        <v>67</v>
      </c>
      <c r="C529" t="s">
        <v>14</v>
      </c>
      <c r="D529" t="s">
        <v>42</v>
      </c>
      <c r="E529" s="5">
        <v>151115</v>
      </c>
      <c r="F529" t="s">
        <v>286</v>
      </c>
      <c r="G529" t="s">
        <v>268</v>
      </c>
      <c r="H529" t="s">
        <v>16</v>
      </c>
    </row>
    <row r="530" spans="1:8" x14ac:dyDescent="0.3">
      <c r="A530" t="s">
        <v>11</v>
      </c>
      <c r="B530" t="s">
        <v>20</v>
      </c>
      <c r="C530" t="s">
        <v>27</v>
      </c>
      <c r="D530" t="s">
        <v>51</v>
      </c>
      <c r="E530" s="5">
        <v>115711</v>
      </c>
      <c r="F530" t="s">
        <v>3791</v>
      </c>
      <c r="G530" t="s">
        <v>128</v>
      </c>
      <c r="H530" t="s">
        <v>14</v>
      </c>
    </row>
    <row r="531" spans="1:8" x14ac:dyDescent="0.3">
      <c r="A531" t="s">
        <v>19</v>
      </c>
      <c r="B531" t="s">
        <v>25</v>
      </c>
      <c r="C531" t="s">
        <v>22</v>
      </c>
      <c r="D531" t="s">
        <v>51</v>
      </c>
      <c r="E531" s="5">
        <v>141053</v>
      </c>
      <c r="F531" t="s">
        <v>2053</v>
      </c>
      <c r="G531" t="s">
        <v>2054</v>
      </c>
      <c r="H531" t="s">
        <v>14</v>
      </c>
    </row>
    <row r="532" spans="1:8" x14ac:dyDescent="0.3">
      <c r="A532" t="s">
        <v>45</v>
      </c>
      <c r="B532" t="s">
        <v>20</v>
      </c>
      <c r="C532" t="s">
        <v>14</v>
      </c>
      <c r="D532" t="s">
        <v>15</v>
      </c>
      <c r="E532" s="5">
        <v>106059.5</v>
      </c>
      <c r="F532" t="s">
        <v>1064</v>
      </c>
      <c r="G532" t="s">
        <v>497</v>
      </c>
      <c r="H532" t="s">
        <v>69</v>
      </c>
    </row>
    <row r="533" spans="1:8" x14ac:dyDescent="0.3">
      <c r="A533" t="s">
        <v>40</v>
      </c>
      <c r="B533" t="s">
        <v>30</v>
      </c>
      <c r="C533" t="s">
        <v>14</v>
      </c>
      <c r="D533" t="s">
        <v>37</v>
      </c>
      <c r="E533" s="5">
        <v>142079</v>
      </c>
      <c r="F533" t="s">
        <v>3346</v>
      </c>
      <c r="G533" t="s">
        <v>615</v>
      </c>
      <c r="H533" t="s">
        <v>14</v>
      </c>
    </row>
    <row r="534" spans="1:8" x14ac:dyDescent="0.3">
      <c r="A534" t="s">
        <v>45</v>
      </c>
      <c r="B534" t="s">
        <v>12</v>
      </c>
      <c r="C534" t="s">
        <v>27</v>
      </c>
      <c r="D534" t="s">
        <v>51</v>
      </c>
      <c r="E534" s="5">
        <v>60126.5</v>
      </c>
      <c r="F534" t="s">
        <v>466</v>
      </c>
      <c r="G534" t="s">
        <v>80</v>
      </c>
      <c r="H534" t="s">
        <v>14</v>
      </c>
    </row>
    <row r="535" spans="1:8" x14ac:dyDescent="0.3">
      <c r="A535" t="s">
        <v>40</v>
      </c>
      <c r="B535" t="s">
        <v>54</v>
      </c>
      <c r="C535" t="s">
        <v>14</v>
      </c>
      <c r="D535" t="s">
        <v>42</v>
      </c>
      <c r="E535" s="5">
        <v>173089</v>
      </c>
      <c r="F535" t="s">
        <v>4206</v>
      </c>
      <c r="G535" t="s">
        <v>59</v>
      </c>
      <c r="H535" t="s">
        <v>16</v>
      </c>
    </row>
    <row r="536" spans="1:8" x14ac:dyDescent="0.3">
      <c r="A536" t="s">
        <v>19</v>
      </c>
      <c r="B536" t="s">
        <v>54</v>
      </c>
      <c r="C536" t="s">
        <v>22</v>
      </c>
      <c r="D536" t="s">
        <v>37</v>
      </c>
      <c r="E536" s="5">
        <v>148202.5</v>
      </c>
      <c r="F536" t="s">
        <v>1663</v>
      </c>
      <c r="G536" t="s">
        <v>338</v>
      </c>
      <c r="H536" t="s">
        <v>69</v>
      </c>
    </row>
    <row r="537" spans="1:8" x14ac:dyDescent="0.3">
      <c r="A537" t="s">
        <v>34</v>
      </c>
      <c r="B537" t="s">
        <v>67</v>
      </c>
      <c r="C537" t="s">
        <v>27</v>
      </c>
      <c r="D537" t="s">
        <v>37</v>
      </c>
      <c r="E537" s="5">
        <v>116849</v>
      </c>
      <c r="F537" t="s">
        <v>3280</v>
      </c>
      <c r="G537" t="s">
        <v>77</v>
      </c>
      <c r="H537" t="s">
        <v>14</v>
      </c>
    </row>
    <row r="538" spans="1:8" x14ac:dyDescent="0.3">
      <c r="A538" t="s">
        <v>72</v>
      </c>
      <c r="B538" t="s">
        <v>25</v>
      </c>
      <c r="C538" t="s">
        <v>14</v>
      </c>
      <c r="D538" t="s">
        <v>42</v>
      </c>
      <c r="E538" s="5">
        <v>94152</v>
      </c>
      <c r="F538" t="s">
        <v>3496</v>
      </c>
      <c r="G538" t="s">
        <v>80</v>
      </c>
      <c r="H538" t="s">
        <v>69</v>
      </c>
    </row>
    <row r="539" spans="1:8" x14ac:dyDescent="0.3">
      <c r="A539" t="s">
        <v>72</v>
      </c>
      <c r="B539" t="s">
        <v>35</v>
      </c>
      <c r="C539" t="s">
        <v>27</v>
      </c>
      <c r="D539" t="s">
        <v>15</v>
      </c>
      <c r="E539" s="5">
        <v>87753.5</v>
      </c>
      <c r="F539" t="s">
        <v>3731</v>
      </c>
      <c r="G539" t="s">
        <v>702</v>
      </c>
      <c r="H539" t="s">
        <v>14</v>
      </c>
    </row>
    <row r="540" spans="1:8" x14ac:dyDescent="0.3">
      <c r="A540" t="s">
        <v>34</v>
      </c>
      <c r="B540" t="s">
        <v>25</v>
      </c>
      <c r="C540" t="s">
        <v>14</v>
      </c>
      <c r="D540" t="s">
        <v>51</v>
      </c>
      <c r="E540" s="5">
        <v>181715</v>
      </c>
      <c r="F540" t="s">
        <v>144</v>
      </c>
      <c r="G540" t="s">
        <v>270</v>
      </c>
      <c r="H540" t="s">
        <v>14</v>
      </c>
    </row>
    <row r="541" spans="1:8" x14ac:dyDescent="0.3">
      <c r="A541" t="s">
        <v>72</v>
      </c>
      <c r="B541" t="s">
        <v>25</v>
      </c>
      <c r="C541" t="s">
        <v>27</v>
      </c>
      <c r="D541" t="s">
        <v>15</v>
      </c>
      <c r="E541" s="5">
        <v>167911.5</v>
      </c>
      <c r="F541" t="s">
        <v>144</v>
      </c>
      <c r="G541" t="s">
        <v>480</v>
      </c>
      <c r="H541" t="s">
        <v>69</v>
      </c>
    </row>
    <row r="542" spans="1:8" x14ac:dyDescent="0.3">
      <c r="A542" t="s">
        <v>49</v>
      </c>
      <c r="B542" t="s">
        <v>25</v>
      </c>
      <c r="C542" t="s">
        <v>14</v>
      </c>
      <c r="D542" t="s">
        <v>37</v>
      </c>
      <c r="E542" s="5">
        <v>174499</v>
      </c>
      <c r="F542" t="s">
        <v>666</v>
      </c>
      <c r="G542" t="s">
        <v>52</v>
      </c>
      <c r="H542" t="s">
        <v>69</v>
      </c>
    </row>
    <row r="543" spans="1:8" x14ac:dyDescent="0.3">
      <c r="A543" t="s">
        <v>11</v>
      </c>
      <c r="B543" t="s">
        <v>54</v>
      </c>
      <c r="C543" t="s">
        <v>27</v>
      </c>
      <c r="D543" t="s">
        <v>37</v>
      </c>
      <c r="E543" s="5">
        <v>143375</v>
      </c>
      <c r="F543" t="s">
        <v>801</v>
      </c>
      <c r="G543" t="s">
        <v>157</v>
      </c>
      <c r="H543" t="s">
        <v>16</v>
      </c>
    </row>
    <row r="544" spans="1:8" x14ac:dyDescent="0.3">
      <c r="A544" t="s">
        <v>40</v>
      </c>
      <c r="B544" t="s">
        <v>20</v>
      </c>
      <c r="C544" t="s">
        <v>14</v>
      </c>
      <c r="D544" t="s">
        <v>37</v>
      </c>
      <c r="E544" s="5">
        <v>158866.5</v>
      </c>
      <c r="F544" t="s">
        <v>1097</v>
      </c>
      <c r="G544" t="s">
        <v>1042</v>
      </c>
      <c r="H544" t="s">
        <v>14</v>
      </c>
    </row>
    <row r="545" spans="1:8" x14ac:dyDescent="0.3">
      <c r="A545" t="s">
        <v>72</v>
      </c>
      <c r="B545" t="s">
        <v>35</v>
      </c>
      <c r="C545" t="s">
        <v>14</v>
      </c>
      <c r="D545" t="s">
        <v>51</v>
      </c>
      <c r="E545" s="5">
        <v>58259.5</v>
      </c>
      <c r="F545" t="s">
        <v>2181</v>
      </c>
      <c r="G545" t="s">
        <v>2182</v>
      </c>
      <c r="H545" t="s">
        <v>16</v>
      </c>
    </row>
    <row r="546" spans="1:8" x14ac:dyDescent="0.3">
      <c r="A546" t="s">
        <v>40</v>
      </c>
      <c r="B546" t="s">
        <v>20</v>
      </c>
      <c r="C546" t="s">
        <v>14</v>
      </c>
      <c r="D546" t="s">
        <v>37</v>
      </c>
      <c r="E546" s="5">
        <v>59119.5</v>
      </c>
      <c r="F546" t="s">
        <v>262</v>
      </c>
      <c r="G546" t="s">
        <v>229</v>
      </c>
      <c r="H546" t="s">
        <v>69</v>
      </c>
    </row>
    <row r="547" spans="1:8" x14ac:dyDescent="0.3">
      <c r="A547" t="s">
        <v>45</v>
      </c>
      <c r="B547" t="s">
        <v>12</v>
      </c>
      <c r="C547" t="s">
        <v>14</v>
      </c>
      <c r="D547" t="s">
        <v>42</v>
      </c>
      <c r="E547" s="5">
        <v>114679.5</v>
      </c>
      <c r="F547" t="s">
        <v>4083</v>
      </c>
      <c r="G547" t="s">
        <v>1764</v>
      </c>
      <c r="H547" t="s">
        <v>69</v>
      </c>
    </row>
    <row r="548" spans="1:8" x14ac:dyDescent="0.3">
      <c r="A548" t="s">
        <v>34</v>
      </c>
      <c r="B548" t="s">
        <v>35</v>
      </c>
      <c r="C548" t="s">
        <v>22</v>
      </c>
      <c r="D548" t="s">
        <v>51</v>
      </c>
      <c r="E548" s="5">
        <v>174468</v>
      </c>
      <c r="F548" t="s">
        <v>3798</v>
      </c>
      <c r="G548" t="s">
        <v>3799</v>
      </c>
      <c r="H548" t="s">
        <v>69</v>
      </c>
    </row>
    <row r="549" spans="1:8" x14ac:dyDescent="0.3">
      <c r="A549" t="s">
        <v>40</v>
      </c>
      <c r="B549" t="s">
        <v>67</v>
      </c>
      <c r="C549" t="s">
        <v>27</v>
      </c>
      <c r="D549" t="s">
        <v>51</v>
      </c>
      <c r="E549" s="5">
        <v>135290.5</v>
      </c>
      <c r="F549" t="s">
        <v>3421</v>
      </c>
      <c r="G549" t="s">
        <v>3422</v>
      </c>
      <c r="H549" t="s">
        <v>16</v>
      </c>
    </row>
    <row r="550" spans="1:8" x14ac:dyDescent="0.3">
      <c r="A550" t="s">
        <v>40</v>
      </c>
      <c r="B550" t="s">
        <v>20</v>
      </c>
      <c r="C550" t="s">
        <v>14</v>
      </c>
      <c r="D550" t="s">
        <v>37</v>
      </c>
      <c r="E550" s="5">
        <v>90814</v>
      </c>
      <c r="F550" t="s">
        <v>3651</v>
      </c>
      <c r="G550" t="s">
        <v>734</v>
      </c>
      <c r="H550" t="s">
        <v>16</v>
      </c>
    </row>
    <row r="551" spans="1:8" x14ac:dyDescent="0.3">
      <c r="A551" t="s">
        <v>49</v>
      </c>
      <c r="B551" t="s">
        <v>25</v>
      </c>
      <c r="C551" t="s">
        <v>14</v>
      </c>
      <c r="D551" t="s">
        <v>37</v>
      </c>
      <c r="E551" s="5">
        <v>106442</v>
      </c>
      <c r="F551" t="s">
        <v>2508</v>
      </c>
      <c r="G551" t="s">
        <v>70</v>
      </c>
      <c r="H551" t="s">
        <v>69</v>
      </c>
    </row>
    <row r="552" spans="1:8" x14ac:dyDescent="0.3">
      <c r="A552" t="s">
        <v>72</v>
      </c>
      <c r="B552" t="s">
        <v>67</v>
      </c>
      <c r="C552" t="s">
        <v>22</v>
      </c>
      <c r="D552" t="s">
        <v>42</v>
      </c>
      <c r="E552" s="5">
        <v>122910</v>
      </c>
      <c r="F552" t="s">
        <v>1402</v>
      </c>
      <c r="G552" t="s">
        <v>163</v>
      </c>
      <c r="H552" t="s">
        <v>14</v>
      </c>
    </row>
    <row r="553" spans="1:8" x14ac:dyDescent="0.3">
      <c r="A553" t="s">
        <v>34</v>
      </c>
      <c r="B553" t="s">
        <v>25</v>
      </c>
      <c r="C553" t="s">
        <v>27</v>
      </c>
      <c r="D553" t="s">
        <v>51</v>
      </c>
      <c r="E553" s="5">
        <v>102206.5</v>
      </c>
      <c r="F553" t="s">
        <v>2714</v>
      </c>
      <c r="G553" t="s">
        <v>1298</v>
      </c>
      <c r="H553" t="s">
        <v>69</v>
      </c>
    </row>
    <row r="554" spans="1:8" x14ac:dyDescent="0.3">
      <c r="A554" t="s">
        <v>34</v>
      </c>
      <c r="B554" t="s">
        <v>30</v>
      </c>
      <c r="C554" t="s">
        <v>27</v>
      </c>
      <c r="D554" t="s">
        <v>37</v>
      </c>
      <c r="E554" s="5">
        <v>129507.5</v>
      </c>
      <c r="F554" t="s">
        <v>1293</v>
      </c>
      <c r="G554" t="s">
        <v>90</v>
      </c>
      <c r="H554" t="s">
        <v>16</v>
      </c>
    </row>
    <row r="555" spans="1:8" x14ac:dyDescent="0.3">
      <c r="A555" t="s">
        <v>49</v>
      </c>
      <c r="B555" t="s">
        <v>35</v>
      </c>
      <c r="C555" t="s">
        <v>14</v>
      </c>
      <c r="D555" t="s">
        <v>15</v>
      </c>
      <c r="E555" s="5">
        <v>93502.5</v>
      </c>
      <c r="F555" t="s">
        <v>653</v>
      </c>
      <c r="G555" t="s">
        <v>52</v>
      </c>
      <c r="H555" t="s">
        <v>14</v>
      </c>
    </row>
    <row r="556" spans="1:8" x14ac:dyDescent="0.3">
      <c r="A556" t="s">
        <v>40</v>
      </c>
      <c r="B556" t="s">
        <v>67</v>
      </c>
      <c r="C556" t="s">
        <v>27</v>
      </c>
      <c r="D556" t="s">
        <v>37</v>
      </c>
      <c r="E556" s="5">
        <v>153109.5</v>
      </c>
      <c r="F556" t="s">
        <v>312</v>
      </c>
      <c r="G556" t="s">
        <v>313</v>
      </c>
      <c r="H556" t="s">
        <v>14</v>
      </c>
    </row>
    <row r="557" spans="1:8" x14ac:dyDescent="0.3">
      <c r="A557" t="s">
        <v>11</v>
      </c>
      <c r="B557" t="s">
        <v>30</v>
      </c>
      <c r="C557" t="s">
        <v>27</v>
      </c>
      <c r="D557" t="s">
        <v>51</v>
      </c>
      <c r="E557" s="5">
        <v>144411</v>
      </c>
      <c r="F557" t="s">
        <v>3999</v>
      </c>
      <c r="G557" t="s">
        <v>1527</v>
      </c>
      <c r="H557" t="s">
        <v>14</v>
      </c>
    </row>
    <row r="558" spans="1:8" x14ac:dyDescent="0.3">
      <c r="A558" t="s">
        <v>49</v>
      </c>
      <c r="B558" t="s">
        <v>67</v>
      </c>
      <c r="C558" t="s">
        <v>22</v>
      </c>
      <c r="D558" t="s">
        <v>15</v>
      </c>
      <c r="E558" s="5">
        <v>79692</v>
      </c>
      <c r="F558" t="s">
        <v>240</v>
      </c>
      <c r="G558" t="s">
        <v>949</v>
      </c>
      <c r="H558" t="s">
        <v>14</v>
      </c>
    </row>
    <row r="559" spans="1:8" x14ac:dyDescent="0.3">
      <c r="A559" t="s">
        <v>40</v>
      </c>
      <c r="B559" t="s">
        <v>135</v>
      </c>
      <c r="C559" t="s">
        <v>27</v>
      </c>
      <c r="D559" t="s">
        <v>51</v>
      </c>
      <c r="E559" s="5">
        <v>59811</v>
      </c>
      <c r="F559" t="s">
        <v>2153</v>
      </c>
      <c r="G559" t="s">
        <v>497</v>
      </c>
      <c r="H559" t="s">
        <v>14</v>
      </c>
    </row>
    <row r="560" spans="1:8" x14ac:dyDescent="0.3">
      <c r="A560" t="s">
        <v>34</v>
      </c>
      <c r="B560" t="s">
        <v>20</v>
      </c>
      <c r="C560" t="s">
        <v>27</v>
      </c>
      <c r="D560" t="s">
        <v>37</v>
      </c>
      <c r="E560" s="5">
        <v>193166</v>
      </c>
      <c r="F560" t="s">
        <v>3655</v>
      </c>
      <c r="G560" t="s">
        <v>206</v>
      </c>
      <c r="H560" t="s">
        <v>14</v>
      </c>
    </row>
    <row r="561" spans="1:8" x14ac:dyDescent="0.3">
      <c r="A561" t="s">
        <v>72</v>
      </c>
      <c r="B561" t="s">
        <v>67</v>
      </c>
      <c r="C561" t="s">
        <v>14</v>
      </c>
      <c r="D561" t="s">
        <v>51</v>
      </c>
      <c r="E561" s="5">
        <v>104487.5</v>
      </c>
      <c r="F561" t="s">
        <v>2438</v>
      </c>
      <c r="G561" t="s">
        <v>128</v>
      </c>
      <c r="H561" t="s">
        <v>16</v>
      </c>
    </row>
    <row r="562" spans="1:8" x14ac:dyDescent="0.3">
      <c r="A562" t="s">
        <v>40</v>
      </c>
      <c r="B562" t="s">
        <v>30</v>
      </c>
      <c r="C562" t="s">
        <v>14</v>
      </c>
      <c r="D562" t="s">
        <v>51</v>
      </c>
      <c r="E562" s="5">
        <v>134656</v>
      </c>
      <c r="F562" t="s">
        <v>3176</v>
      </c>
      <c r="G562" t="s">
        <v>407</v>
      </c>
      <c r="H562" t="s">
        <v>16</v>
      </c>
    </row>
    <row r="563" spans="1:8" x14ac:dyDescent="0.3">
      <c r="A563" t="s">
        <v>34</v>
      </c>
      <c r="B563" t="s">
        <v>30</v>
      </c>
      <c r="C563" t="s">
        <v>27</v>
      </c>
      <c r="D563" t="s">
        <v>51</v>
      </c>
      <c r="E563" s="5">
        <v>105674</v>
      </c>
      <c r="F563" t="s">
        <v>257</v>
      </c>
      <c r="G563" t="s">
        <v>90</v>
      </c>
      <c r="H563" t="s">
        <v>14</v>
      </c>
    </row>
    <row r="564" spans="1:8" x14ac:dyDescent="0.3">
      <c r="A564" t="s">
        <v>19</v>
      </c>
      <c r="B564" t="s">
        <v>135</v>
      </c>
      <c r="C564" t="s">
        <v>14</v>
      </c>
      <c r="D564" t="s">
        <v>37</v>
      </c>
      <c r="E564" s="5">
        <v>137107.5</v>
      </c>
      <c r="F564" t="s">
        <v>475</v>
      </c>
      <c r="G564" t="s">
        <v>163</v>
      </c>
      <c r="H564" t="s">
        <v>14</v>
      </c>
    </row>
    <row r="565" spans="1:8" x14ac:dyDescent="0.3">
      <c r="A565" t="s">
        <v>40</v>
      </c>
      <c r="B565" t="s">
        <v>67</v>
      </c>
      <c r="C565" t="s">
        <v>22</v>
      </c>
      <c r="D565" t="s">
        <v>15</v>
      </c>
      <c r="E565" s="5">
        <v>128315</v>
      </c>
      <c r="F565" t="s">
        <v>3695</v>
      </c>
      <c r="G565" t="s">
        <v>128</v>
      </c>
      <c r="H565" t="s">
        <v>16</v>
      </c>
    </row>
    <row r="566" spans="1:8" x14ac:dyDescent="0.3">
      <c r="A566" t="s">
        <v>45</v>
      </c>
      <c r="B566" t="s">
        <v>20</v>
      </c>
      <c r="C566" t="s">
        <v>27</v>
      </c>
      <c r="D566" t="s">
        <v>37</v>
      </c>
      <c r="E566" s="5">
        <v>167187</v>
      </c>
      <c r="F566" t="s">
        <v>2190</v>
      </c>
      <c r="G566" t="s">
        <v>128</v>
      </c>
      <c r="H566" t="s">
        <v>69</v>
      </c>
    </row>
    <row r="567" spans="1:8" x14ac:dyDescent="0.3">
      <c r="A567" t="s">
        <v>34</v>
      </c>
      <c r="B567" t="s">
        <v>54</v>
      </c>
      <c r="C567" t="s">
        <v>22</v>
      </c>
      <c r="D567" t="s">
        <v>42</v>
      </c>
      <c r="E567" s="5">
        <v>155237.5</v>
      </c>
      <c r="F567" t="s">
        <v>4067</v>
      </c>
      <c r="G567" t="s">
        <v>128</v>
      </c>
      <c r="H567" t="s">
        <v>16</v>
      </c>
    </row>
    <row r="568" spans="1:8" x14ac:dyDescent="0.3">
      <c r="A568" t="s">
        <v>40</v>
      </c>
      <c r="B568" t="s">
        <v>35</v>
      </c>
      <c r="C568" t="s">
        <v>22</v>
      </c>
      <c r="D568" t="s">
        <v>51</v>
      </c>
      <c r="E568" s="5">
        <v>124290</v>
      </c>
      <c r="F568" t="s">
        <v>645</v>
      </c>
      <c r="G568" t="s">
        <v>313</v>
      </c>
      <c r="H568" t="s">
        <v>69</v>
      </c>
    </row>
    <row r="569" spans="1:8" x14ac:dyDescent="0.3">
      <c r="A569" t="s">
        <v>49</v>
      </c>
      <c r="B569" t="s">
        <v>67</v>
      </c>
      <c r="C569" t="s">
        <v>14</v>
      </c>
      <c r="D569" t="s">
        <v>37</v>
      </c>
      <c r="E569" s="5">
        <v>110417</v>
      </c>
      <c r="F569" t="s">
        <v>1856</v>
      </c>
      <c r="G569" t="s">
        <v>229</v>
      </c>
      <c r="H569" t="s">
        <v>69</v>
      </c>
    </row>
    <row r="570" spans="1:8" x14ac:dyDescent="0.3">
      <c r="A570" t="s">
        <v>72</v>
      </c>
      <c r="B570" t="s">
        <v>35</v>
      </c>
      <c r="C570" t="s">
        <v>27</v>
      </c>
      <c r="D570" t="s">
        <v>15</v>
      </c>
      <c r="E570" s="5">
        <v>101711</v>
      </c>
      <c r="F570" t="s">
        <v>1450</v>
      </c>
      <c r="G570" t="s">
        <v>80</v>
      </c>
      <c r="H570" t="s">
        <v>16</v>
      </c>
    </row>
    <row r="571" spans="1:8" x14ac:dyDescent="0.3">
      <c r="A571" t="s">
        <v>19</v>
      </c>
      <c r="B571" t="s">
        <v>30</v>
      </c>
      <c r="C571" t="s">
        <v>27</v>
      </c>
      <c r="D571" t="s">
        <v>51</v>
      </c>
      <c r="E571" s="5">
        <v>138069</v>
      </c>
      <c r="F571" t="s">
        <v>536</v>
      </c>
      <c r="G571" t="s">
        <v>537</v>
      </c>
      <c r="H571" t="s">
        <v>69</v>
      </c>
    </row>
    <row r="572" spans="1:8" x14ac:dyDescent="0.3">
      <c r="A572" t="s">
        <v>19</v>
      </c>
      <c r="B572" t="s">
        <v>67</v>
      </c>
      <c r="C572" t="s">
        <v>22</v>
      </c>
      <c r="D572" t="s">
        <v>15</v>
      </c>
      <c r="E572" s="5">
        <v>136221.5</v>
      </c>
      <c r="F572" t="s">
        <v>943</v>
      </c>
      <c r="G572" t="s">
        <v>101</v>
      </c>
      <c r="H572" t="s">
        <v>69</v>
      </c>
    </row>
    <row r="573" spans="1:8" x14ac:dyDescent="0.3">
      <c r="A573" t="s">
        <v>49</v>
      </c>
      <c r="B573" t="s">
        <v>67</v>
      </c>
      <c r="C573" t="s">
        <v>14</v>
      </c>
      <c r="D573" t="s">
        <v>15</v>
      </c>
      <c r="E573" s="5">
        <v>177816.5</v>
      </c>
      <c r="F573" t="s">
        <v>3712</v>
      </c>
      <c r="G573" t="s">
        <v>299</v>
      </c>
      <c r="H573" t="s">
        <v>14</v>
      </c>
    </row>
    <row r="574" spans="1:8" x14ac:dyDescent="0.3">
      <c r="A574" t="s">
        <v>11</v>
      </c>
      <c r="B574" t="s">
        <v>30</v>
      </c>
      <c r="C574" t="s">
        <v>14</v>
      </c>
      <c r="D574" t="s">
        <v>51</v>
      </c>
      <c r="E574" s="5">
        <v>75226.5</v>
      </c>
      <c r="F574" t="s">
        <v>2723</v>
      </c>
      <c r="G574" t="s">
        <v>70</v>
      </c>
      <c r="H574" t="s">
        <v>14</v>
      </c>
    </row>
    <row r="575" spans="1:8" x14ac:dyDescent="0.3">
      <c r="A575" t="s">
        <v>40</v>
      </c>
      <c r="B575" t="s">
        <v>12</v>
      </c>
      <c r="C575" t="s">
        <v>14</v>
      </c>
      <c r="D575" t="s">
        <v>51</v>
      </c>
      <c r="E575" s="5">
        <v>96854.5</v>
      </c>
      <c r="F575" t="s">
        <v>2192</v>
      </c>
      <c r="G575" t="s">
        <v>319</v>
      </c>
      <c r="H575" t="s">
        <v>69</v>
      </c>
    </row>
    <row r="576" spans="1:8" x14ac:dyDescent="0.3">
      <c r="A576" t="s">
        <v>40</v>
      </c>
      <c r="B576" t="s">
        <v>54</v>
      </c>
      <c r="C576" t="s">
        <v>22</v>
      </c>
      <c r="D576" t="s">
        <v>42</v>
      </c>
      <c r="E576" s="5">
        <v>108327</v>
      </c>
      <c r="F576" t="s">
        <v>2929</v>
      </c>
      <c r="G576" t="s">
        <v>70</v>
      </c>
      <c r="H576" t="s">
        <v>14</v>
      </c>
    </row>
    <row r="577" spans="1:8" x14ac:dyDescent="0.3">
      <c r="A577" t="s">
        <v>49</v>
      </c>
      <c r="B577" t="s">
        <v>12</v>
      </c>
      <c r="C577" t="s">
        <v>27</v>
      </c>
      <c r="D577" t="s">
        <v>51</v>
      </c>
      <c r="E577" s="5">
        <v>157460</v>
      </c>
      <c r="F577" t="s">
        <v>620</v>
      </c>
      <c r="G577" t="s">
        <v>101</v>
      </c>
      <c r="H577" t="s">
        <v>69</v>
      </c>
    </row>
    <row r="578" spans="1:8" x14ac:dyDescent="0.3">
      <c r="A578" t="s">
        <v>72</v>
      </c>
      <c r="B578" t="s">
        <v>20</v>
      </c>
      <c r="C578" t="s">
        <v>27</v>
      </c>
      <c r="D578" t="s">
        <v>37</v>
      </c>
      <c r="E578" s="5">
        <v>145166</v>
      </c>
      <c r="F578" t="s">
        <v>728</v>
      </c>
      <c r="G578" t="s">
        <v>729</v>
      </c>
      <c r="H578" t="s">
        <v>14</v>
      </c>
    </row>
    <row r="579" spans="1:8" x14ac:dyDescent="0.3">
      <c r="A579" t="s">
        <v>40</v>
      </c>
      <c r="B579" t="s">
        <v>54</v>
      </c>
      <c r="C579" t="s">
        <v>14</v>
      </c>
      <c r="D579" t="s">
        <v>51</v>
      </c>
      <c r="E579" s="5">
        <v>125824</v>
      </c>
      <c r="F579" t="s">
        <v>900</v>
      </c>
      <c r="G579" t="s">
        <v>497</v>
      </c>
      <c r="H579" t="s">
        <v>16</v>
      </c>
    </row>
    <row r="580" spans="1:8" x14ac:dyDescent="0.3">
      <c r="A580" t="s">
        <v>34</v>
      </c>
      <c r="B580" t="s">
        <v>12</v>
      </c>
      <c r="C580" t="s">
        <v>27</v>
      </c>
      <c r="D580" t="s">
        <v>15</v>
      </c>
      <c r="E580" s="5">
        <v>90235</v>
      </c>
      <c r="F580" t="s">
        <v>3923</v>
      </c>
      <c r="G580" t="s">
        <v>70</v>
      </c>
      <c r="H580" t="s">
        <v>69</v>
      </c>
    </row>
    <row r="581" spans="1:8" x14ac:dyDescent="0.3">
      <c r="A581" t="s">
        <v>34</v>
      </c>
      <c r="B581" t="s">
        <v>67</v>
      </c>
      <c r="C581" t="s">
        <v>22</v>
      </c>
      <c r="D581" t="s">
        <v>51</v>
      </c>
      <c r="E581" s="5">
        <v>100254</v>
      </c>
      <c r="F581" t="s">
        <v>4263</v>
      </c>
      <c r="G581" t="s">
        <v>90</v>
      </c>
      <c r="H581" t="s">
        <v>16</v>
      </c>
    </row>
    <row r="582" spans="1:8" x14ac:dyDescent="0.3">
      <c r="A582" t="s">
        <v>49</v>
      </c>
      <c r="B582" t="s">
        <v>12</v>
      </c>
      <c r="C582" t="s">
        <v>27</v>
      </c>
      <c r="D582" t="s">
        <v>15</v>
      </c>
      <c r="E582" s="5">
        <v>64953.5</v>
      </c>
      <c r="F582" t="s">
        <v>2993</v>
      </c>
      <c r="G582" t="s">
        <v>90</v>
      </c>
      <c r="H582" t="s">
        <v>14</v>
      </c>
    </row>
    <row r="583" spans="1:8" x14ac:dyDescent="0.3">
      <c r="A583" t="s">
        <v>34</v>
      </c>
      <c r="B583" t="s">
        <v>35</v>
      </c>
      <c r="C583" t="s">
        <v>27</v>
      </c>
      <c r="D583" t="s">
        <v>15</v>
      </c>
      <c r="E583" s="5">
        <v>132820.5</v>
      </c>
      <c r="F583" t="s">
        <v>3870</v>
      </c>
      <c r="G583" t="s">
        <v>420</v>
      </c>
      <c r="H583" t="s">
        <v>16</v>
      </c>
    </row>
    <row r="584" spans="1:8" x14ac:dyDescent="0.3">
      <c r="A584" t="s">
        <v>11</v>
      </c>
      <c r="B584" t="s">
        <v>67</v>
      </c>
      <c r="C584" t="s">
        <v>14</v>
      </c>
      <c r="D584" t="s">
        <v>37</v>
      </c>
      <c r="E584" s="5">
        <v>88306</v>
      </c>
      <c r="F584" t="s">
        <v>433</v>
      </c>
      <c r="G584" t="s">
        <v>434</v>
      </c>
      <c r="H584" t="s">
        <v>14</v>
      </c>
    </row>
    <row r="585" spans="1:8" x14ac:dyDescent="0.3">
      <c r="A585" t="s">
        <v>49</v>
      </c>
      <c r="B585" t="s">
        <v>67</v>
      </c>
      <c r="C585" t="s">
        <v>14</v>
      </c>
      <c r="D585" t="s">
        <v>37</v>
      </c>
      <c r="E585" s="5">
        <v>152379.5</v>
      </c>
      <c r="F585" t="s">
        <v>2543</v>
      </c>
      <c r="G585" t="s">
        <v>77</v>
      </c>
      <c r="H585" t="s">
        <v>14</v>
      </c>
    </row>
    <row r="586" spans="1:8" x14ac:dyDescent="0.3">
      <c r="A586" t="s">
        <v>40</v>
      </c>
      <c r="B586" t="s">
        <v>67</v>
      </c>
      <c r="C586" t="s">
        <v>22</v>
      </c>
      <c r="D586" t="s">
        <v>42</v>
      </c>
      <c r="E586" s="5">
        <v>152655.5</v>
      </c>
      <c r="F586" t="s">
        <v>2921</v>
      </c>
      <c r="G586" t="s">
        <v>909</v>
      </c>
      <c r="H586" t="s">
        <v>69</v>
      </c>
    </row>
    <row r="587" spans="1:8" x14ac:dyDescent="0.3">
      <c r="A587" t="s">
        <v>49</v>
      </c>
      <c r="B587" t="s">
        <v>20</v>
      </c>
      <c r="C587" t="s">
        <v>14</v>
      </c>
      <c r="D587" t="s">
        <v>15</v>
      </c>
      <c r="E587" s="5">
        <v>119038.5</v>
      </c>
      <c r="F587" t="s">
        <v>3384</v>
      </c>
      <c r="G587" t="s">
        <v>2450</v>
      </c>
      <c r="H587" t="s">
        <v>14</v>
      </c>
    </row>
    <row r="588" spans="1:8" x14ac:dyDescent="0.3">
      <c r="A588" t="s">
        <v>45</v>
      </c>
      <c r="B588" t="s">
        <v>54</v>
      </c>
      <c r="C588" t="s">
        <v>22</v>
      </c>
      <c r="D588" t="s">
        <v>37</v>
      </c>
      <c r="E588" s="5">
        <v>133281.5</v>
      </c>
      <c r="F588" t="s">
        <v>2277</v>
      </c>
      <c r="G588" t="s">
        <v>2278</v>
      </c>
      <c r="H588" t="s">
        <v>14</v>
      </c>
    </row>
    <row r="589" spans="1:8" x14ac:dyDescent="0.3">
      <c r="A589" t="s">
        <v>40</v>
      </c>
      <c r="B589" t="s">
        <v>67</v>
      </c>
      <c r="C589" t="s">
        <v>22</v>
      </c>
      <c r="D589" t="s">
        <v>42</v>
      </c>
      <c r="E589" s="5">
        <v>125750.5</v>
      </c>
      <c r="F589" t="s">
        <v>4236</v>
      </c>
      <c r="G589" t="s">
        <v>677</v>
      </c>
      <c r="H589" t="s">
        <v>69</v>
      </c>
    </row>
    <row r="590" spans="1:8" x14ac:dyDescent="0.3">
      <c r="A590" t="s">
        <v>19</v>
      </c>
      <c r="B590" t="s">
        <v>35</v>
      </c>
      <c r="C590" t="s">
        <v>14</v>
      </c>
      <c r="D590" t="s">
        <v>51</v>
      </c>
      <c r="E590" s="5">
        <v>193761</v>
      </c>
      <c r="F590" t="s">
        <v>1599</v>
      </c>
      <c r="G590" t="s">
        <v>157</v>
      </c>
      <c r="H590" t="s">
        <v>16</v>
      </c>
    </row>
    <row r="591" spans="1:8" x14ac:dyDescent="0.3">
      <c r="A591" t="s">
        <v>72</v>
      </c>
      <c r="B591" t="s">
        <v>30</v>
      </c>
      <c r="C591" t="s">
        <v>14</v>
      </c>
      <c r="D591" t="s">
        <v>15</v>
      </c>
      <c r="E591" s="5">
        <v>136015.5</v>
      </c>
      <c r="F591" t="s">
        <v>3743</v>
      </c>
      <c r="G591" t="s">
        <v>546</v>
      </c>
      <c r="H591" t="s">
        <v>69</v>
      </c>
    </row>
    <row r="592" spans="1:8" x14ac:dyDescent="0.3">
      <c r="A592" t="s">
        <v>19</v>
      </c>
      <c r="B592" t="s">
        <v>30</v>
      </c>
      <c r="C592" t="s">
        <v>14</v>
      </c>
      <c r="D592" t="s">
        <v>42</v>
      </c>
      <c r="E592" s="5">
        <v>112000.5</v>
      </c>
      <c r="F592" t="s">
        <v>3296</v>
      </c>
      <c r="G592" t="s">
        <v>3297</v>
      </c>
      <c r="H592" t="s">
        <v>69</v>
      </c>
    </row>
    <row r="593" spans="1:8" x14ac:dyDescent="0.3">
      <c r="A593" t="s">
        <v>34</v>
      </c>
      <c r="B593" t="s">
        <v>12</v>
      </c>
      <c r="C593" t="s">
        <v>14</v>
      </c>
      <c r="D593" t="s">
        <v>51</v>
      </c>
      <c r="E593" s="5">
        <v>179503.5</v>
      </c>
      <c r="F593" t="s">
        <v>113</v>
      </c>
      <c r="G593" t="s">
        <v>114</v>
      </c>
      <c r="H593" t="s">
        <v>69</v>
      </c>
    </row>
    <row r="594" spans="1:8" x14ac:dyDescent="0.3">
      <c r="A594" t="s">
        <v>49</v>
      </c>
      <c r="B594" t="s">
        <v>25</v>
      </c>
      <c r="C594" t="s">
        <v>14</v>
      </c>
      <c r="D594" t="s">
        <v>51</v>
      </c>
      <c r="E594" s="5">
        <v>104128</v>
      </c>
      <c r="F594" t="s">
        <v>1657</v>
      </c>
      <c r="G594" t="s">
        <v>1658</v>
      </c>
      <c r="H594" t="s">
        <v>14</v>
      </c>
    </row>
    <row r="595" spans="1:8" x14ac:dyDescent="0.3">
      <c r="A595" t="s">
        <v>19</v>
      </c>
      <c r="B595" t="s">
        <v>135</v>
      </c>
      <c r="C595" t="s">
        <v>27</v>
      </c>
      <c r="D595" t="s">
        <v>42</v>
      </c>
      <c r="E595" s="5">
        <v>131203.5</v>
      </c>
      <c r="F595" t="s">
        <v>3608</v>
      </c>
      <c r="G595" t="s">
        <v>157</v>
      </c>
      <c r="H595" t="s">
        <v>16</v>
      </c>
    </row>
    <row r="596" spans="1:8" x14ac:dyDescent="0.3">
      <c r="A596" t="s">
        <v>49</v>
      </c>
      <c r="B596" t="s">
        <v>12</v>
      </c>
      <c r="C596" t="s">
        <v>14</v>
      </c>
      <c r="D596" t="s">
        <v>51</v>
      </c>
      <c r="E596" s="5">
        <v>84063</v>
      </c>
      <c r="F596" t="s">
        <v>3807</v>
      </c>
      <c r="G596" t="s">
        <v>128</v>
      </c>
      <c r="H596" t="s">
        <v>69</v>
      </c>
    </row>
    <row r="597" spans="1:8" x14ac:dyDescent="0.3">
      <c r="A597" t="s">
        <v>49</v>
      </c>
      <c r="B597" t="s">
        <v>67</v>
      </c>
      <c r="C597" t="s">
        <v>22</v>
      </c>
      <c r="D597" t="s">
        <v>42</v>
      </c>
      <c r="E597" s="5">
        <v>144875</v>
      </c>
      <c r="F597" t="s">
        <v>441</v>
      </c>
      <c r="G597" t="s">
        <v>333</v>
      </c>
      <c r="H597" t="s">
        <v>14</v>
      </c>
    </row>
    <row r="598" spans="1:8" x14ac:dyDescent="0.3">
      <c r="A598" t="s">
        <v>11</v>
      </c>
      <c r="B598" t="s">
        <v>30</v>
      </c>
      <c r="C598" t="s">
        <v>14</v>
      </c>
      <c r="D598" t="s">
        <v>42</v>
      </c>
      <c r="E598" s="5">
        <v>75921.5</v>
      </c>
      <c r="F598" t="s">
        <v>2217</v>
      </c>
      <c r="G598" t="s">
        <v>77</v>
      </c>
      <c r="H598" t="s">
        <v>14</v>
      </c>
    </row>
    <row r="599" spans="1:8" x14ac:dyDescent="0.3">
      <c r="A599" t="s">
        <v>45</v>
      </c>
      <c r="B599" t="s">
        <v>135</v>
      </c>
      <c r="C599" t="s">
        <v>14</v>
      </c>
      <c r="D599" t="s">
        <v>37</v>
      </c>
      <c r="E599" s="5">
        <v>112093</v>
      </c>
      <c r="F599" t="s">
        <v>2789</v>
      </c>
      <c r="G599" t="s">
        <v>2790</v>
      </c>
      <c r="H599" t="s">
        <v>14</v>
      </c>
    </row>
    <row r="600" spans="1:8" x14ac:dyDescent="0.3">
      <c r="A600" t="s">
        <v>45</v>
      </c>
      <c r="B600" t="s">
        <v>25</v>
      </c>
      <c r="C600" t="s">
        <v>27</v>
      </c>
      <c r="D600" t="s">
        <v>51</v>
      </c>
      <c r="E600" s="5">
        <v>114223</v>
      </c>
      <c r="F600" t="s">
        <v>4010</v>
      </c>
      <c r="G600" t="s">
        <v>93</v>
      </c>
      <c r="H600" t="s">
        <v>69</v>
      </c>
    </row>
    <row r="601" spans="1:8" x14ac:dyDescent="0.3">
      <c r="A601" t="s">
        <v>19</v>
      </c>
      <c r="B601" t="s">
        <v>25</v>
      </c>
      <c r="C601" t="s">
        <v>27</v>
      </c>
      <c r="D601" t="s">
        <v>51</v>
      </c>
      <c r="E601" s="5">
        <v>88723</v>
      </c>
      <c r="F601" t="s">
        <v>3286</v>
      </c>
      <c r="G601" t="s">
        <v>80</v>
      </c>
      <c r="H601" t="s">
        <v>16</v>
      </c>
    </row>
    <row r="602" spans="1:8" x14ac:dyDescent="0.3">
      <c r="A602" t="s">
        <v>72</v>
      </c>
      <c r="B602" t="s">
        <v>12</v>
      </c>
      <c r="C602" t="s">
        <v>22</v>
      </c>
      <c r="D602" t="s">
        <v>15</v>
      </c>
      <c r="E602" s="5">
        <v>75520.5</v>
      </c>
      <c r="F602" t="s">
        <v>1373</v>
      </c>
      <c r="G602" t="s">
        <v>883</v>
      </c>
      <c r="H602" t="s">
        <v>69</v>
      </c>
    </row>
    <row r="603" spans="1:8" x14ac:dyDescent="0.3">
      <c r="A603" t="s">
        <v>40</v>
      </c>
      <c r="B603" t="s">
        <v>135</v>
      </c>
      <c r="C603" t="s">
        <v>27</v>
      </c>
      <c r="D603" t="s">
        <v>42</v>
      </c>
      <c r="E603" s="5">
        <v>55611</v>
      </c>
      <c r="F603" t="s">
        <v>2094</v>
      </c>
      <c r="G603" t="s">
        <v>270</v>
      </c>
      <c r="H603" t="s">
        <v>16</v>
      </c>
    </row>
    <row r="604" spans="1:8" x14ac:dyDescent="0.3">
      <c r="A604" t="s">
        <v>40</v>
      </c>
      <c r="B604" t="s">
        <v>30</v>
      </c>
      <c r="C604" t="s">
        <v>14</v>
      </c>
      <c r="D604" t="s">
        <v>15</v>
      </c>
      <c r="E604" s="5">
        <v>94436</v>
      </c>
      <c r="F604" t="s">
        <v>2017</v>
      </c>
      <c r="G604" t="s">
        <v>17</v>
      </c>
      <c r="H604" t="s">
        <v>16</v>
      </c>
    </row>
    <row r="605" spans="1:8" x14ac:dyDescent="0.3">
      <c r="A605" t="s">
        <v>34</v>
      </c>
      <c r="B605" t="s">
        <v>20</v>
      </c>
      <c r="C605" t="s">
        <v>27</v>
      </c>
      <c r="D605" t="s">
        <v>51</v>
      </c>
      <c r="E605" s="5">
        <v>146829.5</v>
      </c>
      <c r="F605" t="s">
        <v>3985</v>
      </c>
      <c r="G605" t="s">
        <v>3986</v>
      </c>
      <c r="H605" t="s">
        <v>16</v>
      </c>
    </row>
    <row r="606" spans="1:8" x14ac:dyDescent="0.3">
      <c r="A606" t="s">
        <v>19</v>
      </c>
      <c r="B606" t="s">
        <v>12</v>
      </c>
      <c r="C606" t="s">
        <v>22</v>
      </c>
      <c r="D606" t="s">
        <v>51</v>
      </c>
      <c r="E606" s="5">
        <v>97306.5</v>
      </c>
      <c r="F606" t="s">
        <v>2603</v>
      </c>
      <c r="G606" t="s">
        <v>206</v>
      </c>
      <c r="H606" t="s">
        <v>14</v>
      </c>
    </row>
    <row r="607" spans="1:8" x14ac:dyDescent="0.3">
      <c r="A607" t="s">
        <v>72</v>
      </c>
      <c r="B607" t="s">
        <v>54</v>
      </c>
      <c r="C607" t="s">
        <v>27</v>
      </c>
      <c r="D607" t="s">
        <v>42</v>
      </c>
      <c r="E607" s="5">
        <v>71813.5</v>
      </c>
      <c r="F607" t="s">
        <v>2090</v>
      </c>
      <c r="G607" t="s">
        <v>52</v>
      </c>
      <c r="H607" t="s">
        <v>14</v>
      </c>
    </row>
    <row r="608" spans="1:8" x14ac:dyDescent="0.3">
      <c r="A608" t="s">
        <v>34</v>
      </c>
      <c r="B608" t="s">
        <v>54</v>
      </c>
      <c r="C608" t="s">
        <v>22</v>
      </c>
      <c r="D608" t="s">
        <v>51</v>
      </c>
      <c r="E608" s="5">
        <v>64705</v>
      </c>
      <c r="F608" t="s">
        <v>2510</v>
      </c>
      <c r="G608" t="s">
        <v>826</v>
      </c>
      <c r="H608" t="s">
        <v>16</v>
      </c>
    </row>
    <row r="609" spans="1:8" x14ac:dyDescent="0.3">
      <c r="A609" t="s">
        <v>40</v>
      </c>
      <c r="B609" t="s">
        <v>35</v>
      </c>
      <c r="C609" t="s">
        <v>22</v>
      </c>
      <c r="D609" t="s">
        <v>42</v>
      </c>
      <c r="E609" s="5">
        <v>65873</v>
      </c>
      <c r="F609" t="s">
        <v>2387</v>
      </c>
      <c r="G609" t="s">
        <v>1010</v>
      </c>
      <c r="H609" t="s">
        <v>16</v>
      </c>
    </row>
    <row r="610" spans="1:8" x14ac:dyDescent="0.3">
      <c r="A610" t="s">
        <v>34</v>
      </c>
      <c r="B610" t="s">
        <v>35</v>
      </c>
      <c r="C610" t="s">
        <v>27</v>
      </c>
      <c r="D610" t="s">
        <v>51</v>
      </c>
      <c r="E610" s="5">
        <v>168284.5</v>
      </c>
      <c r="F610" t="s">
        <v>3630</v>
      </c>
      <c r="G610" t="s">
        <v>1010</v>
      </c>
      <c r="H610" t="s">
        <v>16</v>
      </c>
    </row>
    <row r="611" spans="1:8" x14ac:dyDescent="0.3">
      <c r="A611" t="s">
        <v>40</v>
      </c>
      <c r="B611" t="s">
        <v>67</v>
      </c>
      <c r="C611" t="s">
        <v>27</v>
      </c>
      <c r="D611" t="s">
        <v>37</v>
      </c>
      <c r="E611" s="5">
        <v>152382.5</v>
      </c>
      <c r="F611" t="s">
        <v>815</v>
      </c>
      <c r="G611" t="s">
        <v>70</v>
      </c>
      <c r="H611" t="s">
        <v>69</v>
      </c>
    </row>
    <row r="612" spans="1:8" x14ac:dyDescent="0.3">
      <c r="A612" t="s">
        <v>19</v>
      </c>
      <c r="B612" t="s">
        <v>54</v>
      </c>
      <c r="C612" t="s">
        <v>27</v>
      </c>
      <c r="D612" t="s">
        <v>15</v>
      </c>
      <c r="E612" s="5">
        <v>130442.5</v>
      </c>
      <c r="F612" t="s">
        <v>3354</v>
      </c>
      <c r="G612" t="s">
        <v>70</v>
      </c>
      <c r="H612" t="s">
        <v>16</v>
      </c>
    </row>
    <row r="613" spans="1:8" x14ac:dyDescent="0.3">
      <c r="A613" t="s">
        <v>40</v>
      </c>
      <c r="B613" t="s">
        <v>67</v>
      </c>
      <c r="C613" t="s">
        <v>22</v>
      </c>
      <c r="D613" t="s">
        <v>15</v>
      </c>
      <c r="E613" s="5">
        <v>129362.5</v>
      </c>
      <c r="F613" t="s">
        <v>2455</v>
      </c>
      <c r="G613" t="s">
        <v>938</v>
      </c>
      <c r="H613" t="s">
        <v>14</v>
      </c>
    </row>
    <row r="614" spans="1:8" x14ac:dyDescent="0.3">
      <c r="A614" t="s">
        <v>34</v>
      </c>
      <c r="B614" t="s">
        <v>20</v>
      </c>
      <c r="C614" t="s">
        <v>14</v>
      </c>
      <c r="D614" t="s">
        <v>51</v>
      </c>
      <c r="E614" s="5">
        <v>83978.5</v>
      </c>
      <c r="F614" t="s">
        <v>2353</v>
      </c>
      <c r="G614" t="s">
        <v>70</v>
      </c>
      <c r="H614" t="s">
        <v>14</v>
      </c>
    </row>
    <row r="615" spans="1:8" x14ac:dyDescent="0.3">
      <c r="A615" t="s">
        <v>49</v>
      </c>
      <c r="B615" t="s">
        <v>67</v>
      </c>
      <c r="C615" t="s">
        <v>22</v>
      </c>
      <c r="D615" t="s">
        <v>37</v>
      </c>
      <c r="E615" s="5">
        <v>176231</v>
      </c>
      <c r="F615" t="s">
        <v>2772</v>
      </c>
      <c r="G615" t="s">
        <v>47</v>
      </c>
      <c r="H615" t="s">
        <v>14</v>
      </c>
    </row>
    <row r="616" spans="1:8" x14ac:dyDescent="0.3">
      <c r="A616" t="s">
        <v>34</v>
      </c>
      <c r="B616" t="s">
        <v>35</v>
      </c>
      <c r="C616" t="s">
        <v>27</v>
      </c>
      <c r="D616" t="s">
        <v>37</v>
      </c>
      <c r="E616" s="5">
        <v>140707.5</v>
      </c>
      <c r="F616" t="s">
        <v>2545</v>
      </c>
      <c r="G616" t="s">
        <v>1010</v>
      </c>
      <c r="H616" t="s">
        <v>14</v>
      </c>
    </row>
    <row r="617" spans="1:8" x14ac:dyDescent="0.3">
      <c r="A617" t="s">
        <v>19</v>
      </c>
      <c r="B617" t="s">
        <v>25</v>
      </c>
      <c r="C617" t="s">
        <v>27</v>
      </c>
      <c r="D617" t="s">
        <v>51</v>
      </c>
      <c r="E617" s="5">
        <v>148780</v>
      </c>
      <c r="F617" t="s">
        <v>3338</v>
      </c>
      <c r="G617" t="s">
        <v>213</v>
      </c>
      <c r="H617" t="s">
        <v>69</v>
      </c>
    </row>
    <row r="618" spans="1:8" x14ac:dyDescent="0.3">
      <c r="A618" t="s">
        <v>72</v>
      </c>
      <c r="B618" t="s">
        <v>20</v>
      </c>
      <c r="C618" t="s">
        <v>14</v>
      </c>
      <c r="D618" t="s">
        <v>42</v>
      </c>
      <c r="E618" s="5">
        <v>78470.5</v>
      </c>
      <c r="F618" t="s">
        <v>3020</v>
      </c>
      <c r="G618" t="s">
        <v>226</v>
      </c>
      <c r="H618" t="s">
        <v>16</v>
      </c>
    </row>
    <row r="619" spans="1:8" x14ac:dyDescent="0.3">
      <c r="A619" t="s">
        <v>45</v>
      </c>
      <c r="B619" t="s">
        <v>135</v>
      </c>
      <c r="C619" t="s">
        <v>14</v>
      </c>
      <c r="D619" t="s">
        <v>42</v>
      </c>
      <c r="E619" s="5">
        <v>146527</v>
      </c>
      <c r="F619" t="s">
        <v>3879</v>
      </c>
      <c r="G619" t="s">
        <v>420</v>
      </c>
      <c r="H619" t="s">
        <v>14</v>
      </c>
    </row>
    <row r="620" spans="1:8" x14ac:dyDescent="0.3">
      <c r="A620" t="s">
        <v>72</v>
      </c>
      <c r="B620" t="s">
        <v>54</v>
      </c>
      <c r="C620" t="s">
        <v>27</v>
      </c>
      <c r="D620" t="s">
        <v>37</v>
      </c>
      <c r="E620" s="5">
        <v>132178</v>
      </c>
      <c r="F620" t="s">
        <v>2066</v>
      </c>
      <c r="G620" t="s">
        <v>114</v>
      </c>
      <c r="H620" t="s">
        <v>16</v>
      </c>
    </row>
    <row r="621" spans="1:8" x14ac:dyDescent="0.3">
      <c r="A621" t="s">
        <v>19</v>
      </c>
      <c r="B621" t="s">
        <v>67</v>
      </c>
      <c r="C621" t="s">
        <v>22</v>
      </c>
      <c r="D621" t="s">
        <v>42</v>
      </c>
      <c r="E621" s="5">
        <v>67021</v>
      </c>
      <c r="F621" t="s">
        <v>1410</v>
      </c>
      <c r="G621" t="s">
        <v>1411</v>
      </c>
      <c r="H621" t="s">
        <v>14</v>
      </c>
    </row>
    <row r="622" spans="1:8" x14ac:dyDescent="0.3">
      <c r="A622" t="s">
        <v>11</v>
      </c>
      <c r="B622" t="s">
        <v>35</v>
      </c>
      <c r="C622" t="s">
        <v>27</v>
      </c>
      <c r="D622" t="s">
        <v>15</v>
      </c>
      <c r="E622" s="5">
        <v>145062</v>
      </c>
      <c r="F622" t="s">
        <v>2755</v>
      </c>
      <c r="G622" t="s">
        <v>985</v>
      </c>
      <c r="H622" t="s">
        <v>69</v>
      </c>
    </row>
    <row r="623" spans="1:8" x14ac:dyDescent="0.3">
      <c r="A623" t="s">
        <v>34</v>
      </c>
      <c r="B623" t="s">
        <v>135</v>
      </c>
      <c r="C623" t="s">
        <v>27</v>
      </c>
      <c r="D623" t="s">
        <v>51</v>
      </c>
      <c r="E623" s="5">
        <v>105000.5</v>
      </c>
      <c r="F623" t="s">
        <v>272</v>
      </c>
      <c r="G623" t="s">
        <v>273</v>
      </c>
      <c r="H623" t="s">
        <v>69</v>
      </c>
    </row>
    <row r="624" spans="1:8" x14ac:dyDescent="0.3">
      <c r="A624" t="s">
        <v>19</v>
      </c>
      <c r="B624" t="s">
        <v>67</v>
      </c>
      <c r="C624" t="s">
        <v>27</v>
      </c>
      <c r="D624" t="s">
        <v>15</v>
      </c>
      <c r="E624" s="5">
        <v>146770</v>
      </c>
      <c r="F624" t="s">
        <v>846</v>
      </c>
      <c r="G624" t="s">
        <v>847</v>
      </c>
      <c r="H624" t="s">
        <v>14</v>
      </c>
    </row>
    <row r="625" spans="1:8" x14ac:dyDescent="0.3">
      <c r="A625" t="s">
        <v>11</v>
      </c>
      <c r="B625" t="s">
        <v>25</v>
      </c>
      <c r="C625" t="s">
        <v>22</v>
      </c>
      <c r="D625" t="s">
        <v>37</v>
      </c>
      <c r="E625" s="5">
        <v>86752</v>
      </c>
      <c r="F625" t="s">
        <v>981</v>
      </c>
      <c r="G625" t="s">
        <v>982</v>
      </c>
      <c r="H625" t="s">
        <v>14</v>
      </c>
    </row>
    <row r="626" spans="1:8" x14ac:dyDescent="0.3">
      <c r="A626" t="s">
        <v>34</v>
      </c>
      <c r="B626" t="s">
        <v>35</v>
      </c>
      <c r="C626" t="s">
        <v>22</v>
      </c>
      <c r="D626" t="s">
        <v>37</v>
      </c>
      <c r="E626" s="5">
        <v>57806.5</v>
      </c>
      <c r="F626" t="s">
        <v>3235</v>
      </c>
      <c r="G626" t="s">
        <v>928</v>
      </c>
      <c r="H626" t="s">
        <v>14</v>
      </c>
    </row>
    <row r="627" spans="1:8" x14ac:dyDescent="0.3">
      <c r="A627" t="s">
        <v>45</v>
      </c>
      <c r="B627" t="s">
        <v>54</v>
      </c>
      <c r="C627" t="s">
        <v>22</v>
      </c>
      <c r="D627" t="s">
        <v>37</v>
      </c>
      <c r="E627" s="5">
        <v>169268.5</v>
      </c>
      <c r="F627" t="s">
        <v>937</v>
      </c>
      <c r="G627" t="s">
        <v>938</v>
      </c>
      <c r="H627" t="s">
        <v>69</v>
      </c>
    </row>
    <row r="628" spans="1:8" x14ac:dyDescent="0.3">
      <c r="A628" t="s">
        <v>45</v>
      </c>
      <c r="B628" t="s">
        <v>20</v>
      </c>
      <c r="C628" t="s">
        <v>14</v>
      </c>
      <c r="D628" t="s">
        <v>15</v>
      </c>
      <c r="E628" s="5">
        <v>155365.5</v>
      </c>
      <c r="F628" t="s">
        <v>3686</v>
      </c>
      <c r="G628" t="s">
        <v>70</v>
      </c>
      <c r="H628" t="s">
        <v>69</v>
      </c>
    </row>
    <row r="629" spans="1:8" x14ac:dyDescent="0.3">
      <c r="A629" t="s">
        <v>40</v>
      </c>
      <c r="B629" t="s">
        <v>12</v>
      </c>
      <c r="C629" t="s">
        <v>27</v>
      </c>
      <c r="D629" t="s">
        <v>37</v>
      </c>
      <c r="E629" s="5">
        <v>120673</v>
      </c>
      <c r="F629" t="s">
        <v>4107</v>
      </c>
      <c r="G629" t="s">
        <v>52</v>
      </c>
      <c r="H629" t="s">
        <v>14</v>
      </c>
    </row>
    <row r="630" spans="1:8" x14ac:dyDescent="0.3">
      <c r="A630" t="s">
        <v>72</v>
      </c>
      <c r="B630" t="s">
        <v>12</v>
      </c>
      <c r="C630" t="s">
        <v>27</v>
      </c>
      <c r="D630" t="s">
        <v>42</v>
      </c>
      <c r="E630" s="5">
        <v>145302</v>
      </c>
      <c r="F630" t="s">
        <v>2070</v>
      </c>
      <c r="G630" t="s">
        <v>2071</v>
      </c>
      <c r="H630" t="s">
        <v>16</v>
      </c>
    </row>
    <row r="631" spans="1:8" x14ac:dyDescent="0.3">
      <c r="A631" t="s">
        <v>19</v>
      </c>
      <c r="B631" t="s">
        <v>12</v>
      </c>
      <c r="C631" t="s">
        <v>14</v>
      </c>
      <c r="D631" t="s">
        <v>51</v>
      </c>
      <c r="E631" s="5">
        <v>77386</v>
      </c>
      <c r="F631" t="s">
        <v>1424</v>
      </c>
      <c r="G631" t="s">
        <v>598</v>
      </c>
      <c r="H631" t="s">
        <v>16</v>
      </c>
    </row>
    <row r="632" spans="1:8" x14ac:dyDescent="0.3">
      <c r="A632" t="s">
        <v>72</v>
      </c>
      <c r="B632" t="s">
        <v>35</v>
      </c>
      <c r="C632" t="s">
        <v>22</v>
      </c>
      <c r="D632" t="s">
        <v>15</v>
      </c>
      <c r="E632" s="5">
        <v>172741.5</v>
      </c>
      <c r="F632" t="s">
        <v>2194</v>
      </c>
      <c r="G632" t="s">
        <v>265</v>
      </c>
      <c r="H632" t="s">
        <v>69</v>
      </c>
    </row>
    <row r="633" spans="1:8" x14ac:dyDescent="0.3">
      <c r="A633" t="s">
        <v>19</v>
      </c>
      <c r="B633" t="s">
        <v>135</v>
      </c>
      <c r="C633" t="s">
        <v>14</v>
      </c>
      <c r="D633" t="s">
        <v>51</v>
      </c>
      <c r="E633" s="5">
        <v>152660</v>
      </c>
      <c r="F633" t="s">
        <v>3858</v>
      </c>
      <c r="G633" t="s">
        <v>1437</v>
      </c>
      <c r="H633" t="s">
        <v>16</v>
      </c>
    </row>
    <row r="634" spans="1:8" x14ac:dyDescent="0.3">
      <c r="A634" t="s">
        <v>34</v>
      </c>
      <c r="B634" t="s">
        <v>35</v>
      </c>
      <c r="C634" t="s">
        <v>22</v>
      </c>
      <c r="D634" t="s">
        <v>37</v>
      </c>
      <c r="E634" s="5">
        <v>120550</v>
      </c>
      <c r="F634" t="s">
        <v>643</v>
      </c>
      <c r="G634" t="s">
        <v>163</v>
      </c>
      <c r="H634" t="s">
        <v>14</v>
      </c>
    </row>
    <row r="635" spans="1:8" x14ac:dyDescent="0.3">
      <c r="A635" t="s">
        <v>49</v>
      </c>
      <c r="B635" t="s">
        <v>30</v>
      </c>
      <c r="C635" t="s">
        <v>27</v>
      </c>
      <c r="D635" t="s">
        <v>15</v>
      </c>
      <c r="E635" s="5">
        <v>92605.5</v>
      </c>
      <c r="F635" t="s">
        <v>1971</v>
      </c>
      <c r="G635" t="s">
        <v>157</v>
      </c>
      <c r="H635" t="s">
        <v>69</v>
      </c>
    </row>
    <row r="636" spans="1:8" x14ac:dyDescent="0.3">
      <c r="A636" t="s">
        <v>72</v>
      </c>
      <c r="B636" t="s">
        <v>54</v>
      </c>
      <c r="C636" t="s">
        <v>27</v>
      </c>
      <c r="D636" t="s">
        <v>51</v>
      </c>
      <c r="E636" s="5">
        <v>117899.5</v>
      </c>
      <c r="F636" t="s">
        <v>225</v>
      </c>
      <c r="G636" t="s">
        <v>226</v>
      </c>
      <c r="H636" t="s">
        <v>14</v>
      </c>
    </row>
    <row r="637" spans="1:8" x14ac:dyDescent="0.3">
      <c r="A637" t="s">
        <v>49</v>
      </c>
      <c r="B637" t="s">
        <v>20</v>
      </c>
      <c r="C637" t="s">
        <v>14</v>
      </c>
      <c r="D637" t="s">
        <v>37</v>
      </c>
      <c r="E637" s="5">
        <v>145092.5</v>
      </c>
      <c r="F637" t="s">
        <v>225</v>
      </c>
      <c r="G637" t="s">
        <v>2554</v>
      </c>
      <c r="H637" t="s">
        <v>14</v>
      </c>
    </row>
    <row r="638" spans="1:8" x14ac:dyDescent="0.3">
      <c r="A638" t="s">
        <v>11</v>
      </c>
      <c r="B638" t="s">
        <v>12</v>
      </c>
      <c r="C638" t="s">
        <v>27</v>
      </c>
      <c r="D638" t="s">
        <v>42</v>
      </c>
      <c r="E638" s="5">
        <v>86950</v>
      </c>
      <c r="F638" t="s">
        <v>3860</v>
      </c>
      <c r="G638" t="s">
        <v>90</v>
      </c>
      <c r="H638" t="s">
        <v>14</v>
      </c>
    </row>
    <row r="639" spans="1:8" x14ac:dyDescent="0.3">
      <c r="A639" t="s">
        <v>49</v>
      </c>
      <c r="B639" t="s">
        <v>30</v>
      </c>
      <c r="C639" t="s">
        <v>22</v>
      </c>
      <c r="D639" t="s">
        <v>15</v>
      </c>
      <c r="E639" s="5">
        <v>149163</v>
      </c>
      <c r="F639" t="s">
        <v>1206</v>
      </c>
      <c r="G639" t="s">
        <v>70</v>
      </c>
      <c r="H639" t="s">
        <v>69</v>
      </c>
    </row>
    <row r="640" spans="1:8" x14ac:dyDescent="0.3">
      <c r="A640" t="s">
        <v>11</v>
      </c>
      <c r="B640" t="s">
        <v>54</v>
      </c>
      <c r="C640" t="s">
        <v>14</v>
      </c>
      <c r="D640" t="s">
        <v>15</v>
      </c>
      <c r="E640" s="5">
        <v>67826.5</v>
      </c>
      <c r="F640" t="s">
        <v>1120</v>
      </c>
      <c r="G640" t="s">
        <v>157</v>
      </c>
      <c r="H640" t="s">
        <v>16</v>
      </c>
    </row>
    <row r="641" spans="1:8" x14ac:dyDescent="0.3">
      <c r="A641" t="s">
        <v>11</v>
      </c>
      <c r="B641" t="s">
        <v>12</v>
      </c>
      <c r="C641" t="s">
        <v>22</v>
      </c>
      <c r="D641" t="s">
        <v>51</v>
      </c>
      <c r="E641" s="5">
        <v>132436.5</v>
      </c>
      <c r="F641" t="s">
        <v>3761</v>
      </c>
      <c r="G641" t="s">
        <v>564</v>
      </c>
      <c r="H641" t="s">
        <v>16</v>
      </c>
    </row>
    <row r="642" spans="1:8" x14ac:dyDescent="0.3">
      <c r="A642" t="s">
        <v>34</v>
      </c>
      <c r="B642" t="s">
        <v>25</v>
      </c>
      <c r="C642" t="s">
        <v>22</v>
      </c>
      <c r="D642" t="s">
        <v>15</v>
      </c>
      <c r="E642" s="5">
        <v>76604.5</v>
      </c>
      <c r="F642" t="s">
        <v>4271</v>
      </c>
      <c r="G642" t="s">
        <v>90</v>
      </c>
      <c r="H642" t="s">
        <v>69</v>
      </c>
    </row>
    <row r="643" spans="1:8" x14ac:dyDescent="0.3">
      <c r="A643" t="s">
        <v>11</v>
      </c>
      <c r="B643" t="s">
        <v>30</v>
      </c>
      <c r="C643" t="s">
        <v>22</v>
      </c>
      <c r="D643" t="s">
        <v>15</v>
      </c>
      <c r="E643" s="5">
        <v>143477.5</v>
      </c>
      <c r="F643" t="s">
        <v>2819</v>
      </c>
      <c r="G643" t="s">
        <v>98</v>
      </c>
      <c r="H643" t="s">
        <v>14</v>
      </c>
    </row>
    <row r="644" spans="1:8" x14ac:dyDescent="0.3">
      <c r="A644" t="s">
        <v>40</v>
      </c>
      <c r="B644" t="s">
        <v>12</v>
      </c>
      <c r="C644" t="s">
        <v>27</v>
      </c>
      <c r="D644" t="s">
        <v>15</v>
      </c>
      <c r="E644" s="5">
        <v>149065.5</v>
      </c>
      <c r="F644" t="s">
        <v>923</v>
      </c>
      <c r="G644" t="s">
        <v>70</v>
      </c>
      <c r="H644" t="s">
        <v>69</v>
      </c>
    </row>
    <row r="645" spans="1:8" x14ac:dyDescent="0.3">
      <c r="A645" t="s">
        <v>11</v>
      </c>
      <c r="B645" t="s">
        <v>20</v>
      </c>
      <c r="C645" t="s">
        <v>14</v>
      </c>
      <c r="D645" t="s">
        <v>51</v>
      </c>
      <c r="E645" s="5">
        <v>99005</v>
      </c>
      <c r="F645" t="s">
        <v>1885</v>
      </c>
      <c r="G645" t="s">
        <v>1886</v>
      </c>
      <c r="H645" t="s">
        <v>16</v>
      </c>
    </row>
    <row r="646" spans="1:8" x14ac:dyDescent="0.3">
      <c r="A646" t="s">
        <v>45</v>
      </c>
      <c r="B646" t="s">
        <v>35</v>
      </c>
      <c r="C646" t="s">
        <v>22</v>
      </c>
      <c r="D646" t="s">
        <v>15</v>
      </c>
      <c r="E646" s="5">
        <v>146936.5</v>
      </c>
      <c r="F646" t="s">
        <v>3830</v>
      </c>
      <c r="G646" t="s">
        <v>157</v>
      </c>
      <c r="H646" t="s">
        <v>14</v>
      </c>
    </row>
    <row r="647" spans="1:8" x14ac:dyDescent="0.3">
      <c r="A647" t="s">
        <v>40</v>
      </c>
      <c r="B647" t="s">
        <v>35</v>
      </c>
      <c r="C647" t="s">
        <v>22</v>
      </c>
      <c r="D647" t="s">
        <v>37</v>
      </c>
      <c r="E647" s="5">
        <v>89316</v>
      </c>
      <c r="F647" t="s">
        <v>3891</v>
      </c>
      <c r="G647" t="s">
        <v>1800</v>
      </c>
      <c r="H647" t="s">
        <v>14</v>
      </c>
    </row>
    <row r="648" spans="1:8" x14ac:dyDescent="0.3">
      <c r="A648" t="s">
        <v>45</v>
      </c>
      <c r="B648" t="s">
        <v>30</v>
      </c>
      <c r="C648" t="s">
        <v>14</v>
      </c>
      <c r="D648" t="s">
        <v>51</v>
      </c>
      <c r="E648" s="5">
        <v>150567.5</v>
      </c>
      <c r="F648" t="s">
        <v>3484</v>
      </c>
      <c r="G648" t="s">
        <v>2278</v>
      </c>
      <c r="H648" t="s">
        <v>69</v>
      </c>
    </row>
    <row r="649" spans="1:8" x14ac:dyDescent="0.3">
      <c r="A649" t="s">
        <v>19</v>
      </c>
      <c r="B649" t="s">
        <v>35</v>
      </c>
      <c r="C649" t="s">
        <v>22</v>
      </c>
      <c r="D649" t="s">
        <v>37</v>
      </c>
      <c r="E649" s="5">
        <v>186577</v>
      </c>
      <c r="F649" t="s">
        <v>2447</v>
      </c>
      <c r="G649" t="s">
        <v>865</v>
      </c>
      <c r="H649" t="s">
        <v>69</v>
      </c>
    </row>
    <row r="650" spans="1:8" x14ac:dyDescent="0.3">
      <c r="A650" t="s">
        <v>11</v>
      </c>
      <c r="B650" t="s">
        <v>135</v>
      </c>
      <c r="C650" t="s">
        <v>14</v>
      </c>
      <c r="D650" t="s">
        <v>37</v>
      </c>
      <c r="E650" s="5">
        <v>125919</v>
      </c>
      <c r="F650" t="s">
        <v>330</v>
      </c>
      <c r="G650" t="s">
        <v>101</v>
      </c>
      <c r="H650" t="s">
        <v>16</v>
      </c>
    </row>
    <row r="651" spans="1:8" x14ac:dyDescent="0.3">
      <c r="A651" t="s">
        <v>72</v>
      </c>
      <c r="B651" t="s">
        <v>20</v>
      </c>
      <c r="C651" t="s">
        <v>22</v>
      </c>
      <c r="D651" t="s">
        <v>51</v>
      </c>
      <c r="E651" s="5">
        <v>131080.5</v>
      </c>
      <c r="F651" t="s">
        <v>4014</v>
      </c>
      <c r="G651" t="s">
        <v>520</v>
      </c>
      <c r="H651" t="s">
        <v>69</v>
      </c>
    </row>
    <row r="652" spans="1:8" x14ac:dyDescent="0.3">
      <c r="A652" t="s">
        <v>72</v>
      </c>
      <c r="B652" t="s">
        <v>35</v>
      </c>
      <c r="C652" t="s">
        <v>27</v>
      </c>
      <c r="D652" t="s">
        <v>15</v>
      </c>
      <c r="E652" s="5">
        <v>110312.5</v>
      </c>
      <c r="F652" t="s">
        <v>1860</v>
      </c>
      <c r="G652" t="s">
        <v>497</v>
      </c>
      <c r="H652" t="s">
        <v>16</v>
      </c>
    </row>
    <row r="653" spans="1:8" x14ac:dyDescent="0.3">
      <c r="A653" t="s">
        <v>45</v>
      </c>
      <c r="B653" t="s">
        <v>20</v>
      </c>
      <c r="C653" t="s">
        <v>27</v>
      </c>
      <c r="D653" t="s">
        <v>37</v>
      </c>
      <c r="E653" s="5">
        <v>115927</v>
      </c>
      <c r="F653" t="s">
        <v>130</v>
      </c>
      <c r="G653" t="s">
        <v>125</v>
      </c>
      <c r="H653" t="s">
        <v>16</v>
      </c>
    </row>
    <row r="654" spans="1:8" x14ac:dyDescent="0.3">
      <c r="A654" t="s">
        <v>11</v>
      </c>
      <c r="B654" t="s">
        <v>135</v>
      </c>
      <c r="C654" t="s">
        <v>22</v>
      </c>
      <c r="D654" t="s">
        <v>37</v>
      </c>
      <c r="E654" s="5">
        <v>104712.5</v>
      </c>
      <c r="F654" t="s">
        <v>3217</v>
      </c>
      <c r="G654" t="s">
        <v>80</v>
      </c>
      <c r="H654" t="s">
        <v>16</v>
      </c>
    </row>
    <row r="655" spans="1:8" x14ac:dyDescent="0.3">
      <c r="A655" t="s">
        <v>72</v>
      </c>
      <c r="B655" t="s">
        <v>30</v>
      </c>
      <c r="C655" t="s">
        <v>27</v>
      </c>
      <c r="D655" t="s">
        <v>51</v>
      </c>
      <c r="E655" s="5">
        <v>82682.5</v>
      </c>
      <c r="F655" t="s">
        <v>3301</v>
      </c>
      <c r="G655" t="s">
        <v>847</v>
      </c>
      <c r="H655" t="s">
        <v>69</v>
      </c>
    </row>
    <row r="656" spans="1:8" x14ac:dyDescent="0.3">
      <c r="A656" t="s">
        <v>40</v>
      </c>
      <c r="B656" t="s">
        <v>30</v>
      </c>
      <c r="C656" t="s">
        <v>22</v>
      </c>
      <c r="D656" t="s">
        <v>42</v>
      </c>
      <c r="E656" s="5">
        <v>148562.5</v>
      </c>
      <c r="F656" t="s">
        <v>2763</v>
      </c>
      <c r="G656" t="s">
        <v>1161</v>
      </c>
      <c r="H656" t="s">
        <v>69</v>
      </c>
    </row>
    <row r="657" spans="1:8" x14ac:dyDescent="0.3">
      <c r="A657" t="s">
        <v>40</v>
      </c>
      <c r="B657" t="s">
        <v>35</v>
      </c>
      <c r="C657" t="s">
        <v>22</v>
      </c>
      <c r="D657" t="s">
        <v>37</v>
      </c>
      <c r="E657" s="5">
        <v>152999.5</v>
      </c>
      <c r="F657" t="s">
        <v>2084</v>
      </c>
      <c r="G657" t="s">
        <v>313</v>
      </c>
      <c r="H657" t="s">
        <v>69</v>
      </c>
    </row>
    <row r="658" spans="1:8" x14ac:dyDescent="0.3">
      <c r="A658" t="s">
        <v>34</v>
      </c>
      <c r="B658" t="s">
        <v>67</v>
      </c>
      <c r="C658" t="s">
        <v>14</v>
      </c>
      <c r="D658" t="s">
        <v>42</v>
      </c>
      <c r="E658" s="5">
        <v>81117.5</v>
      </c>
      <c r="F658" t="s">
        <v>1910</v>
      </c>
      <c r="G658" t="s">
        <v>128</v>
      </c>
      <c r="H658" t="s">
        <v>69</v>
      </c>
    </row>
    <row r="659" spans="1:8" x14ac:dyDescent="0.3">
      <c r="A659" t="s">
        <v>40</v>
      </c>
      <c r="B659" t="s">
        <v>25</v>
      </c>
      <c r="C659" t="s">
        <v>14</v>
      </c>
      <c r="D659" t="s">
        <v>37</v>
      </c>
      <c r="E659" s="5">
        <v>79038</v>
      </c>
      <c r="F659" t="s">
        <v>3935</v>
      </c>
      <c r="G659" t="s">
        <v>157</v>
      </c>
      <c r="H659" t="s">
        <v>69</v>
      </c>
    </row>
    <row r="660" spans="1:8" x14ac:dyDescent="0.3">
      <c r="A660" t="s">
        <v>19</v>
      </c>
      <c r="B660" t="s">
        <v>20</v>
      </c>
      <c r="C660" t="s">
        <v>14</v>
      </c>
      <c r="D660" t="s">
        <v>15</v>
      </c>
      <c r="E660" s="5">
        <v>114396.5</v>
      </c>
      <c r="F660" t="s">
        <v>3294</v>
      </c>
      <c r="G660" t="s">
        <v>80</v>
      </c>
      <c r="H660" t="s">
        <v>16</v>
      </c>
    </row>
    <row r="661" spans="1:8" x14ac:dyDescent="0.3">
      <c r="A661" t="s">
        <v>45</v>
      </c>
      <c r="B661" t="s">
        <v>35</v>
      </c>
      <c r="C661" t="s">
        <v>14</v>
      </c>
      <c r="D661" t="s">
        <v>15</v>
      </c>
      <c r="E661" s="5">
        <v>102308.5</v>
      </c>
      <c r="F661" t="s">
        <v>796</v>
      </c>
      <c r="G661" t="s">
        <v>260</v>
      </c>
      <c r="H661" t="s">
        <v>16</v>
      </c>
    </row>
    <row r="662" spans="1:8" x14ac:dyDescent="0.3">
      <c r="A662" t="s">
        <v>49</v>
      </c>
      <c r="B662" t="s">
        <v>67</v>
      </c>
      <c r="C662" t="s">
        <v>14</v>
      </c>
      <c r="D662" t="s">
        <v>51</v>
      </c>
      <c r="E662" s="5">
        <v>102361.5</v>
      </c>
      <c r="F662" t="s">
        <v>1595</v>
      </c>
      <c r="G662" t="s">
        <v>714</v>
      </c>
      <c r="H662" t="s">
        <v>16</v>
      </c>
    </row>
    <row r="663" spans="1:8" x14ac:dyDescent="0.3">
      <c r="A663" t="s">
        <v>34</v>
      </c>
      <c r="B663" t="s">
        <v>135</v>
      </c>
      <c r="C663" t="s">
        <v>27</v>
      </c>
      <c r="D663" t="s">
        <v>51</v>
      </c>
      <c r="E663" s="5">
        <v>91028.5</v>
      </c>
      <c r="F663" t="s">
        <v>3832</v>
      </c>
      <c r="G663" t="s">
        <v>680</v>
      </c>
      <c r="H663" t="s">
        <v>69</v>
      </c>
    </row>
    <row r="664" spans="1:8" x14ac:dyDescent="0.3">
      <c r="A664" t="s">
        <v>72</v>
      </c>
      <c r="B664" t="s">
        <v>35</v>
      </c>
      <c r="C664" t="s">
        <v>14</v>
      </c>
      <c r="D664" t="s">
        <v>15</v>
      </c>
      <c r="E664" s="5">
        <v>90210</v>
      </c>
      <c r="F664" t="s">
        <v>3839</v>
      </c>
      <c r="G664" t="s">
        <v>3840</v>
      </c>
      <c r="H664" t="s">
        <v>69</v>
      </c>
    </row>
    <row r="665" spans="1:8" x14ac:dyDescent="0.3">
      <c r="A665" t="s">
        <v>40</v>
      </c>
      <c r="B665" t="s">
        <v>30</v>
      </c>
      <c r="C665" t="s">
        <v>22</v>
      </c>
      <c r="D665" t="s">
        <v>42</v>
      </c>
      <c r="E665" s="5">
        <v>136675</v>
      </c>
      <c r="F665" t="s">
        <v>41</v>
      </c>
      <c r="G665" t="s">
        <v>43</v>
      </c>
      <c r="H665" t="s">
        <v>16</v>
      </c>
    </row>
    <row r="666" spans="1:8" x14ac:dyDescent="0.3">
      <c r="A666" t="s">
        <v>45</v>
      </c>
      <c r="B666" t="s">
        <v>67</v>
      </c>
      <c r="C666" t="s">
        <v>22</v>
      </c>
      <c r="D666" t="s">
        <v>15</v>
      </c>
      <c r="E666" s="5">
        <v>147818</v>
      </c>
      <c r="F666" t="s">
        <v>1514</v>
      </c>
      <c r="G666" t="s">
        <v>59</v>
      </c>
      <c r="H666" t="s">
        <v>14</v>
      </c>
    </row>
    <row r="667" spans="1:8" x14ac:dyDescent="0.3">
      <c r="A667" t="s">
        <v>45</v>
      </c>
      <c r="B667" t="s">
        <v>25</v>
      </c>
      <c r="C667" t="s">
        <v>22</v>
      </c>
      <c r="D667" t="s">
        <v>15</v>
      </c>
      <c r="E667" s="5">
        <v>103013</v>
      </c>
      <c r="F667" t="s">
        <v>4062</v>
      </c>
      <c r="G667" t="s">
        <v>157</v>
      </c>
      <c r="H667" t="s">
        <v>14</v>
      </c>
    </row>
    <row r="668" spans="1:8" x14ac:dyDescent="0.3">
      <c r="A668" t="s">
        <v>49</v>
      </c>
      <c r="B668" t="s">
        <v>135</v>
      </c>
      <c r="C668" t="s">
        <v>27</v>
      </c>
      <c r="D668" t="s">
        <v>37</v>
      </c>
      <c r="E668" s="5">
        <v>99494.5</v>
      </c>
      <c r="F668" t="s">
        <v>4205</v>
      </c>
      <c r="G668" t="s">
        <v>70</v>
      </c>
      <c r="H668" t="s">
        <v>69</v>
      </c>
    </row>
    <row r="669" spans="1:8" x14ac:dyDescent="0.3">
      <c r="A669" t="s">
        <v>34</v>
      </c>
      <c r="B669" t="s">
        <v>135</v>
      </c>
      <c r="C669" t="s">
        <v>22</v>
      </c>
      <c r="D669" t="s">
        <v>42</v>
      </c>
      <c r="E669" s="5">
        <v>123302</v>
      </c>
      <c r="F669" t="s">
        <v>1929</v>
      </c>
      <c r="G669" t="s">
        <v>520</v>
      </c>
      <c r="H669" t="s">
        <v>69</v>
      </c>
    </row>
    <row r="670" spans="1:8" x14ac:dyDescent="0.3">
      <c r="A670" t="s">
        <v>19</v>
      </c>
      <c r="B670" t="s">
        <v>20</v>
      </c>
      <c r="C670" t="s">
        <v>14</v>
      </c>
      <c r="D670" t="s">
        <v>51</v>
      </c>
      <c r="E670" s="5">
        <v>163283</v>
      </c>
      <c r="F670" t="s">
        <v>3343</v>
      </c>
      <c r="G670" t="s">
        <v>3344</v>
      </c>
      <c r="H670" t="s">
        <v>14</v>
      </c>
    </row>
    <row r="671" spans="1:8" x14ac:dyDescent="0.3">
      <c r="A671" t="s">
        <v>34</v>
      </c>
      <c r="B671" t="s">
        <v>25</v>
      </c>
      <c r="C671" t="s">
        <v>14</v>
      </c>
      <c r="D671" t="s">
        <v>51</v>
      </c>
      <c r="E671" s="5">
        <v>174851.5</v>
      </c>
      <c r="F671" t="s">
        <v>4172</v>
      </c>
      <c r="G671" t="s">
        <v>299</v>
      </c>
      <c r="H671" t="s">
        <v>14</v>
      </c>
    </row>
    <row r="672" spans="1:8" x14ac:dyDescent="0.3">
      <c r="A672" t="s">
        <v>72</v>
      </c>
      <c r="B672" t="s">
        <v>67</v>
      </c>
      <c r="C672" t="s">
        <v>27</v>
      </c>
      <c r="D672" t="s">
        <v>15</v>
      </c>
      <c r="E672" s="5">
        <v>119855</v>
      </c>
      <c r="F672" t="s">
        <v>3202</v>
      </c>
      <c r="G672" t="s">
        <v>546</v>
      </c>
      <c r="H672" t="s">
        <v>16</v>
      </c>
    </row>
    <row r="673" spans="1:8" x14ac:dyDescent="0.3">
      <c r="A673" t="s">
        <v>45</v>
      </c>
      <c r="B673" t="s">
        <v>54</v>
      </c>
      <c r="C673" t="s">
        <v>27</v>
      </c>
      <c r="D673" t="s">
        <v>51</v>
      </c>
      <c r="E673" s="5">
        <v>178274.5</v>
      </c>
      <c r="F673" t="s">
        <v>3057</v>
      </c>
      <c r="G673" t="s">
        <v>976</v>
      </c>
      <c r="H673" t="s">
        <v>69</v>
      </c>
    </row>
    <row r="674" spans="1:8" x14ac:dyDescent="0.3">
      <c r="A674" t="s">
        <v>45</v>
      </c>
      <c r="B674" t="s">
        <v>54</v>
      </c>
      <c r="C674" t="s">
        <v>27</v>
      </c>
      <c r="D674" t="s">
        <v>51</v>
      </c>
      <c r="E674" s="5">
        <v>149865</v>
      </c>
      <c r="F674" t="s">
        <v>2989</v>
      </c>
      <c r="G674" t="s">
        <v>1461</v>
      </c>
      <c r="H674" t="s">
        <v>16</v>
      </c>
    </row>
    <row r="675" spans="1:8" x14ac:dyDescent="0.3">
      <c r="A675" t="s">
        <v>34</v>
      </c>
      <c r="B675" t="s">
        <v>30</v>
      </c>
      <c r="C675" t="s">
        <v>14</v>
      </c>
      <c r="D675" t="s">
        <v>37</v>
      </c>
      <c r="E675" s="5">
        <v>96909.5</v>
      </c>
      <c r="F675" t="s">
        <v>2945</v>
      </c>
      <c r="G675" t="s">
        <v>420</v>
      </c>
      <c r="H675" t="s">
        <v>16</v>
      </c>
    </row>
    <row r="676" spans="1:8" x14ac:dyDescent="0.3">
      <c r="A676" t="s">
        <v>11</v>
      </c>
      <c r="B676" t="s">
        <v>25</v>
      </c>
      <c r="C676" t="s">
        <v>14</v>
      </c>
      <c r="D676" t="s">
        <v>42</v>
      </c>
      <c r="E676" s="5">
        <v>98621.5</v>
      </c>
      <c r="F676" t="s">
        <v>3043</v>
      </c>
      <c r="G676" t="s">
        <v>128</v>
      </c>
      <c r="H676" t="s">
        <v>16</v>
      </c>
    </row>
    <row r="677" spans="1:8" x14ac:dyDescent="0.3">
      <c r="A677" t="s">
        <v>34</v>
      </c>
      <c r="B677" t="s">
        <v>135</v>
      </c>
      <c r="C677" t="s">
        <v>27</v>
      </c>
      <c r="D677" t="s">
        <v>37</v>
      </c>
      <c r="E677" s="5">
        <v>115468.5</v>
      </c>
      <c r="F677" t="s">
        <v>355</v>
      </c>
      <c r="G677" t="s">
        <v>52</v>
      </c>
      <c r="H677" t="s">
        <v>16</v>
      </c>
    </row>
    <row r="678" spans="1:8" x14ac:dyDescent="0.3">
      <c r="A678" t="s">
        <v>19</v>
      </c>
      <c r="B678" t="s">
        <v>12</v>
      </c>
      <c r="C678" t="s">
        <v>22</v>
      </c>
      <c r="D678" t="s">
        <v>42</v>
      </c>
      <c r="E678" s="5">
        <v>167462.5</v>
      </c>
      <c r="F678" t="s">
        <v>3782</v>
      </c>
      <c r="G678" t="s">
        <v>157</v>
      </c>
      <c r="H678" t="s">
        <v>16</v>
      </c>
    </row>
    <row r="679" spans="1:8" x14ac:dyDescent="0.3">
      <c r="A679" t="s">
        <v>72</v>
      </c>
      <c r="B679" t="s">
        <v>67</v>
      </c>
      <c r="C679" t="s">
        <v>27</v>
      </c>
      <c r="D679" t="s">
        <v>15</v>
      </c>
      <c r="E679" s="5">
        <v>168491.5</v>
      </c>
      <c r="F679" t="s">
        <v>3328</v>
      </c>
      <c r="G679" t="s">
        <v>52</v>
      </c>
      <c r="H679" t="s">
        <v>14</v>
      </c>
    </row>
    <row r="680" spans="1:8" x14ac:dyDescent="0.3">
      <c r="A680" t="s">
        <v>45</v>
      </c>
      <c r="B680" t="s">
        <v>12</v>
      </c>
      <c r="C680" t="s">
        <v>22</v>
      </c>
      <c r="D680" t="s">
        <v>51</v>
      </c>
      <c r="E680" s="5">
        <v>179687</v>
      </c>
      <c r="F680" t="s">
        <v>1772</v>
      </c>
      <c r="G680" t="s">
        <v>128</v>
      </c>
      <c r="H680" t="s">
        <v>16</v>
      </c>
    </row>
    <row r="681" spans="1:8" x14ac:dyDescent="0.3">
      <c r="A681" t="s">
        <v>40</v>
      </c>
      <c r="B681" t="s">
        <v>35</v>
      </c>
      <c r="C681" t="s">
        <v>14</v>
      </c>
      <c r="D681" t="s">
        <v>15</v>
      </c>
      <c r="E681" s="5">
        <v>162486</v>
      </c>
      <c r="F681" t="s">
        <v>1471</v>
      </c>
      <c r="G681" t="s">
        <v>378</v>
      </c>
      <c r="H681" t="s">
        <v>16</v>
      </c>
    </row>
    <row r="682" spans="1:8" x14ac:dyDescent="0.3">
      <c r="A682" t="s">
        <v>19</v>
      </c>
      <c r="B682" t="s">
        <v>35</v>
      </c>
      <c r="C682" t="s">
        <v>27</v>
      </c>
      <c r="D682" t="s">
        <v>51</v>
      </c>
      <c r="E682" s="5">
        <v>90754.5</v>
      </c>
      <c r="F682" t="s">
        <v>280</v>
      </c>
      <c r="G682" t="s">
        <v>281</v>
      </c>
      <c r="H682" t="s">
        <v>16</v>
      </c>
    </row>
    <row r="683" spans="1:8" x14ac:dyDescent="0.3">
      <c r="A683" t="s">
        <v>49</v>
      </c>
      <c r="B683" t="s">
        <v>35</v>
      </c>
      <c r="C683" t="s">
        <v>14</v>
      </c>
      <c r="D683" t="s">
        <v>15</v>
      </c>
      <c r="E683" s="5">
        <v>161709.5</v>
      </c>
      <c r="F683" t="s">
        <v>2712</v>
      </c>
      <c r="G683" t="s">
        <v>1411</v>
      </c>
      <c r="H683" t="s">
        <v>14</v>
      </c>
    </row>
    <row r="684" spans="1:8" x14ac:dyDescent="0.3">
      <c r="A684" t="s">
        <v>72</v>
      </c>
      <c r="B684" t="s">
        <v>12</v>
      </c>
      <c r="C684" t="s">
        <v>27</v>
      </c>
      <c r="D684" t="s">
        <v>37</v>
      </c>
      <c r="E684" s="5">
        <v>152169.5</v>
      </c>
      <c r="F684" t="s">
        <v>2254</v>
      </c>
      <c r="G684" t="s">
        <v>52</v>
      </c>
      <c r="H684" t="s">
        <v>14</v>
      </c>
    </row>
    <row r="685" spans="1:8" x14ac:dyDescent="0.3">
      <c r="A685" t="s">
        <v>45</v>
      </c>
      <c r="B685" t="s">
        <v>135</v>
      </c>
      <c r="C685" t="s">
        <v>27</v>
      </c>
      <c r="D685" t="s">
        <v>37</v>
      </c>
      <c r="E685" s="5">
        <v>169158.5</v>
      </c>
      <c r="F685" t="s">
        <v>1221</v>
      </c>
      <c r="G685" t="s">
        <v>993</v>
      </c>
      <c r="H685" t="s">
        <v>16</v>
      </c>
    </row>
    <row r="686" spans="1:8" x14ac:dyDescent="0.3">
      <c r="A686" t="s">
        <v>11</v>
      </c>
      <c r="B686" t="s">
        <v>12</v>
      </c>
      <c r="C686" t="s">
        <v>22</v>
      </c>
      <c r="D686" t="s">
        <v>15</v>
      </c>
      <c r="E686" s="5">
        <v>160714.5</v>
      </c>
      <c r="F686" t="s">
        <v>3636</v>
      </c>
      <c r="G686" t="s">
        <v>779</v>
      </c>
      <c r="H686" t="s">
        <v>16</v>
      </c>
    </row>
    <row r="687" spans="1:8" x14ac:dyDescent="0.3">
      <c r="A687" t="s">
        <v>45</v>
      </c>
      <c r="B687" t="s">
        <v>135</v>
      </c>
      <c r="C687" t="s">
        <v>14</v>
      </c>
      <c r="D687" t="s">
        <v>51</v>
      </c>
      <c r="E687" s="5">
        <v>152065.5</v>
      </c>
      <c r="F687" t="s">
        <v>3596</v>
      </c>
      <c r="G687" t="s">
        <v>1946</v>
      </c>
      <c r="H687" t="s">
        <v>14</v>
      </c>
    </row>
    <row r="688" spans="1:8" x14ac:dyDescent="0.3">
      <c r="A688" t="s">
        <v>11</v>
      </c>
      <c r="B688" t="s">
        <v>25</v>
      </c>
      <c r="C688" t="s">
        <v>27</v>
      </c>
      <c r="D688" t="s">
        <v>15</v>
      </c>
      <c r="E688" s="5">
        <v>72247</v>
      </c>
      <c r="F688" t="s">
        <v>1950</v>
      </c>
      <c r="G688" t="s">
        <v>677</v>
      </c>
      <c r="H688" t="s">
        <v>16</v>
      </c>
    </row>
    <row r="689" spans="1:8" x14ac:dyDescent="0.3">
      <c r="A689" t="s">
        <v>45</v>
      </c>
      <c r="B689" t="s">
        <v>35</v>
      </c>
      <c r="C689" t="s">
        <v>27</v>
      </c>
      <c r="D689" t="s">
        <v>37</v>
      </c>
      <c r="E689" s="5">
        <v>156726.5</v>
      </c>
      <c r="F689" t="s">
        <v>2609</v>
      </c>
      <c r="G689" t="s">
        <v>1800</v>
      </c>
      <c r="H689" t="s">
        <v>69</v>
      </c>
    </row>
    <row r="690" spans="1:8" x14ac:dyDescent="0.3">
      <c r="A690" t="s">
        <v>19</v>
      </c>
      <c r="B690" t="s">
        <v>12</v>
      </c>
      <c r="C690" t="s">
        <v>14</v>
      </c>
      <c r="D690" t="s">
        <v>51</v>
      </c>
      <c r="E690" s="5">
        <v>96035.5</v>
      </c>
      <c r="F690" t="s">
        <v>1309</v>
      </c>
      <c r="G690" t="s">
        <v>480</v>
      </c>
      <c r="H690" t="s">
        <v>14</v>
      </c>
    </row>
    <row r="691" spans="1:8" x14ac:dyDescent="0.3">
      <c r="A691" t="s">
        <v>11</v>
      </c>
      <c r="B691" t="s">
        <v>54</v>
      </c>
      <c r="C691" t="s">
        <v>27</v>
      </c>
      <c r="D691" t="s">
        <v>37</v>
      </c>
      <c r="E691" s="5">
        <v>117271</v>
      </c>
      <c r="F691" t="s">
        <v>2611</v>
      </c>
      <c r="G691" t="s">
        <v>2612</v>
      </c>
      <c r="H691" t="s">
        <v>14</v>
      </c>
    </row>
    <row r="692" spans="1:8" x14ac:dyDescent="0.3">
      <c r="A692" t="s">
        <v>34</v>
      </c>
      <c r="B692" t="s">
        <v>12</v>
      </c>
      <c r="C692" t="s">
        <v>14</v>
      </c>
      <c r="D692" t="s">
        <v>42</v>
      </c>
      <c r="E692" s="5">
        <v>137865</v>
      </c>
      <c r="F692" t="s">
        <v>3937</v>
      </c>
      <c r="G692" t="s">
        <v>157</v>
      </c>
      <c r="H692" t="s">
        <v>16</v>
      </c>
    </row>
    <row r="693" spans="1:8" x14ac:dyDescent="0.3">
      <c r="A693" t="s">
        <v>34</v>
      </c>
      <c r="B693" t="s">
        <v>67</v>
      </c>
      <c r="C693" t="s">
        <v>14</v>
      </c>
      <c r="D693" t="s">
        <v>51</v>
      </c>
      <c r="E693" s="5">
        <v>133436</v>
      </c>
      <c r="F693" t="s">
        <v>2081</v>
      </c>
      <c r="G693" t="s">
        <v>2082</v>
      </c>
      <c r="H693" t="s">
        <v>69</v>
      </c>
    </row>
    <row r="694" spans="1:8" x14ac:dyDescent="0.3">
      <c r="A694" t="s">
        <v>45</v>
      </c>
      <c r="B694" t="s">
        <v>20</v>
      </c>
      <c r="C694" t="s">
        <v>14</v>
      </c>
      <c r="D694" t="s">
        <v>51</v>
      </c>
      <c r="E694" s="5">
        <v>106872</v>
      </c>
      <c r="F694" t="s">
        <v>3237</v>
      </c>
      <c r="G694" t="s">
        <v>985</v>
      </c>
      <c r="H694" t="s">
        <v>69</v>
      </c>
    </row>
    <row r="695" spans="1:8" x14ac:dyDescent="0.3">
      <c r="A695" t="s">
        <v>40</v>
      </c>
      <c r="B695" t="s">
        <v>30</v>
      </c>
      <c r="C695" t="s">
        <v>22</v>
      </c>
      <c r="D695" t="s">
        <v>37</v>
      </c>
      <c r="E695" s="5">
        <v>83187</v>
      </c>
      <c r="F695" t="s">
        <v>1439</v>
      </c>
      <c r="G695" t="s">
        <v>1440</v>
      </c>
      <c r="H695" t="s">
        <v>14</v>
      </c>
    </row>
    <row r="696" spans="1:8" x14ac:dyDescent="0.3">
      <c r="A696" t="s">
        <v>40</v>
      </c>
      <c r="B696" t="s">
        <v>25</v>
      </c>
      <c r="C696" t="s">
        <v>22</v>
      </c>
      <c r="D696" t="s">
        <v>42</v>
      </c>
      <c r="E696" s="5">
        <v>159073</v>
      </c>
      <c r="F696" t="s">
        <v>2202</v>
      </c>
      <c r="G696" t="s">
        <v>2203</v>
      </c>
      <c r="H696" t="s">
        <v>16</v>
      </c>
    </row>
    <row r="697" spans="1:8" x14ac:dyDescent="0.3">
      <c r="A697" t="s">
        <v>11</v>
      </c>
      <c r="B697" t="s">
        <v>35</v>
      </c>
      <c r="C697" t="s">
        <v>27</v>
      </c>
      <c r="D697" t="s">
        <v>37</v>
      </c>
      <c r="E697" s="5">
        <v>83509.5</v>
      </c>
      <c r="F697" t="s">
        <v>4245</v>
      </c>
      <c r="G697" t="s">
        <v>789</v>
      </c>
      <c r="H697" t="s">
        <v>14</v>
      </c>
    </row>
    <row r="698" spans="1:8" x14ac:dyDescent="0.3">
      <c r="A698" t="s">
        <v>49</v>
      </c>
      <c r="B698" t="s">
        <v>25</v>
      </c>
      <c r="C698" t="s">
        <v>22</v>
      </c>
      <c r="D698" t="s">
        <v>42</v>
      </c>
      <c r="E698" s="5">
        <v>165633</v>
      </c>
      <c r="F698" t="s">
        <v>856</v>
      </c>
      <c r="G698" t="s">
        <v>313</v>
      </c>
      <c r="H698" t="s">
        <v>69</v>
      </c>
    </row>
    <row r="699" spans="1:8" x14ac:dyDescent="0.3">
      <c r="A699" t="s">
        <v>19</v>
      </c>
      <c r="B699" t="s">
        <v>12</v>
      </c>
      <c r="C699" t="s">
        <v>14</v>
      </c>
      <c r="D699" t="s">
        <v>51</v>
      </c>
      <c r="E699" s="5">
        <v>125601.5</v>
      </c>
      <c r="F699" t="s">
        <v>3666</v>
      </c>
      <c r="G699" t="s">
        <v>194</v>
      </c>
      <c r="H699" t="s">
        <v>16</v>
      </c>
    </row>
    <row r="700" spans="1:8" x14ac:dyDescent="0.3">
      <c r="A700" t="s">
        <v>11</v>
      </c>
      <c r="B700" t="s">
        <v>25</v>
      </c>
      <c r="C700" t="s">
        <v>14</v>
      </c>
      <c r="D700" t="s">
        <v>42</v>
      </c>
      <c r="E700" s="5">
        <v>128559</v>
      </c>
      <c r="F700" t="s">
        <v>3439</v>
      </c>
      <c r="G700" t="s">
        <v>70</v>
      </c>
      <c r="H700" t="s">
        <v>69</v>
      </c>
    </row>
    <row r="701" spans="1:8" x14ac:dyDescent="0.3">
      <c r="A701" t="s">
        <v>34</v>
      </c>
      <c r="B701" t="s">
        <v>67</v>
      </c>
      <c r="C701" t="s">
        <v>14</v>
      </c>
      <c r="D701" t="s">
        <v>37</v>
      </c>
      <c r="E701" s="5">
        <v>165390.5</v>
      </c>
      <c r="F701" t="s">
        <v>2245</v>
      </c>
      <c r="G701" t="s">
        <v>77</v>
      </c>
      <c r="H701" t="s">
        <v>16</v>
      </c>
    </row>
    <row r="702" spans="1:8" x14ac:dyDescent="0.3">
      <c r="A702" t="s">
        <v>11</v>
      </c>
      <c r="B702" t="s">
        <v>135</v>
      </c>
      <c r="C702" t="s">
        <v>27</v>
      </c>
      <c r="D702" t="s">
        <v>15</v>
      </c>
      <c r="E702" s="5">
        <v>132396.5</v>
      </c>
      <c r="F702" t="s">
        <v>1160</v>
      </c>
      <c r="G702" t="s">
        <v>1161</v>
      </c>
      <c r="H702" t="s">
        <v>14</v>
      </c>
    </row>
    <row r="703" spans="1:8" x14ac:dyDescent="0.3">
      <c r="A703" t="s">
        <v>19</v>
      </c>
      <c r="B703" t="s">
        <v>12</v>
      </c>
      <c r="C703" t="s">
        <v>14</v>
      </c>
      <c r="D703" t="s">
        <v>37</v>
      </c>
      <c r="E703" s="5">
        <v>180248.5</v>
      </c>
      <c r="F703" t="s">
        <v>3441</v>
      </c>
      <c r="G703" t="s">
        <v>826</v>
      </c>
      <c r="H703" t="s">
        <v>14</v>
      </c>
    </row>
    <row r="704" spans="1:8" x14ac:dyDescent="0.3">
      <c r="A704" t="s">
        <v>49</v>
      </c>
      <c r="B704" t="s">
        <v>67</v>
      </c>
      <c r="C704" t="s">
        <v>22</v>
      </c>
      <c r="D704" t="s">
        <v>51</v>
      </c>
      <c r="E704" s="5">
        <v>158657.5</v>
      </c>
      <c r="F704" t="s">
        <v>3842</v>
      </c>
      <c r="G704" t="s">
        <v>59</v>
      </c>
      <c r="H704" t="s">
        <v>14</v>
      </c>
    </row>
    <row r="705" spans="1:8" x14ac:dyDescent="0.3">
      <c r="A705" t="s">
        <v>11</v>
      </c>
      <c r="B705" t="s">
        <v>54</v>
      </c>
      <c r="C705" t="s">
        <v>27</v>
      </c>
      <c r="D705" t="s">
        <v>37</v>
      </c>
      <c r="E705" s="5">
        <v>109268.5</v>
      </c>
      <c r="F705" t="s">
        <v>3793</v>
      </c>
      <c r="G705" t="s">
        <v>439</v>
      </c>
      <c r="H705" t="s">
        <v>16</v>
      </c>
    </row>
    <row r="706" spans="1:8" x14ac:dyDescent="0.3">
      <c r="A706" t="s">
        <v>19</v>
      </c>
      <c r="B706" t="s">
        <v>30</v>
      </c>
      <c r="C706" t="s">
        <v>14</v>
      </c>
      <c r="D706" t="s">
        <v>42</v>
      </c>
      <c r="E706" s="5">
        <v>186573.5</v>
      </c>
      <c r="F706" t="s">
        <v>3403</v>
      </c>
      <c r="G706" t="s">
        <v>128</v>
      </c>
      <c r="H706" t="s">
        <v>69</v>
      </c>
    </row>
    <row r="707" spans="1:8" x14ac:dyDescent="0.3">
      <c r="A707" t="s">
        <v>40</v>
      </c>
      <c r="B707" t="s">
        <v>12</v>
      </c>
      <c r="C707" t="s">
        <v>22</v>
      </c>
      <c r="D707" t="s">
        <v>15</v>
      </c>
      <c r="E707" s="5">
        <v>118037.5</v>
      </c>
      <c r="F707" t="s">
        <v>1689</v>
      </c>
      <c r="G707" t="s">
        <v>90</v>
      </c>
      <c r="H707" t="s">
        <v>69</v>
      </c>
    </row>
    <row r="708" spans="1:8" x14ac:dyDescent="0.3">
      <c r="A708" t="s">
        <v>72</v>
      </c>
      <c r="B708" t="s">
        <v>35</v>
      </c>
      <c r="C708" t="s">
        <v>22</v>
      </c>
      <c r="D708" t="s">
        <v>15</v>
      </c>
      <c r="E708" s="5">
        <v>138109</v>
      </c>
      <c r="F708" t="s">
        <v>3352</v>
      </c>
      <c r="G708" t="s">
        <v>928</v>
      </c>
      <c r="H708" t="s">
        <v>69</v>
      </c>
    </row>
    <row r="709" spans="1:8" x14ac:dyDescent="0.3">
      <c r="A709" t="s">
        <v>40</v>
      </c>
      <c r="B709" t="s">
        <v>20</v>
      </c>
      <c r="C709" t="s">
        <v>27</v>
      </c>
      <c r="D709" t="s">
        <v>37</v>
      </c>
      <c r="E709" s="5">
        <v>65039.5</v>
      </c>
      <c r="F709" t="s">
        <v>2198</v>
      </c>
      <c r="G709" t="s">
        <v>480</v>
      </c>
      <c r="H709" t="s">
        <v>14</v>
      </c>
    </row>
    <row r="710" spans="1:8" x14ac:dyDescent="0.3">
      <c r="A710" t="s">
        <v>11</v>
      </c>
      <c r="B710" t="s">
        <v>30</v>
      </c>
      <c r="C710" t="s">
        <v>14</v>
      </c>
      <c r="D710" t="s">
        <v>42</v>
      </c>
      <c r="E710" s="5">
        <v>158271</v>
      </c>
      <c r="F710" t="s">
        <v>1278</v>
      </c>
      <c r="G710" t="s">
        <v>77</v>
      </c>
      <c r="H710" t="s">
        <v>14</v>
      </c>
    </row>
    <row r="711" spans="1:8" x14ac:dyDescent="0.3">
      <c r="A711" t="s">
        <v>72</v>
      </c>
      <c r="B711" t="s">
        <v>67</v>
      </c>
      <c r="C711" t="s">
        <v>14</v>
      </c>
      <c r="D711" t="s">
        <v>51</v>
      </c>
      <c r="E711" s="5">
        <v>148213.5</v>
      </c>
      <c r="F711" t="s">
        <v>2476</v>
      </c>
      <c r="G711" t="s">
        <v>80</v>
      </c>
      <c r="H711" t="s">
        <v>69</v>
      </c>
    </row>
    <row r="712" spans="1:8" x14ac:dyDescent="0.3">
      <c r="A712" t="s">
        <v>72</v>
      </c>
      <c r="B712" t="s">
        <v>12</v>
      </c>
      <c r="C712" t="s">
        <v>27</v>
      </c>
      <c r="D712" t="s">
        <v>42</v>
      </c>
      <c r="E712" s="5">
        <v>150315.5</v>
      </c>
      <c r="F712" t="s">
        <v>1236</v>
      </c>
      <c r="G712" t="s">
        <v>128</v>
      </c>
      <c r="H712" t="s">
        <v>69</v>
      </c>
    </row>
    <row r="713" spans="1:8" x14ac:dyDescent="0.3">
      <c r="A713" t="s">
        <v>40</v>
      </c>
      <c r="B713" t="s">
        <v>30</v>
      </c>
      <c r="C713" t="s">
        <v>22</v>
      </c>
      <c r="D713" t="s">
        <v>51</v>
      </c>
      <c r="E713" s="5">
        <v>121012</v>
      </c>
      <c r="F713" t="s">
        <v>3416</v>
      </c>
      <c r="G713" t="s">
        <v>3417</v>
      </c>
      <c r="H713" t="s">
        <v>14</v>
      </c>
    </row>
    <row r="714" spans="1:8" x14ac:dyDescent="0.3">
      <c r="A714" t="s">
        <v>34</v>
      </c>
      <c r="B714" t="s">
        <v>12</v>
      </c>
      <c r="C714" t="s">
        <v>14</v>
      </c>
      <c r="D714" t="s">
        <v>42</v>
      </c>
      <c r="E714" s="5">
        <v>106980</v>
      </c>
      <c r="F714" t="s">
        <v>2436</v>
      </c>
      <c r="G714" t="s">
        <v>497</v>
      </c>
      <c r="H714" t="s">
        <v>16</v>
      </c>
    </row>
    <row r="715" spans="1:8" x14ac:dyDescent="0.3">
      <c r="A715" t="s">
        <v>40</v>
      </c>
      <c r="B715" t="s">
        <v>30</v>
      </c>
      <c r="C715" t="s">
        <v>14</v>
      </c>
      <c r="D715" t="s">
        <v>42</v>
      </c>
      <c r="E715" s="5">
        <v>173988</v>
      </c>
      <c r="F715" t="s">
        <v>2369</v>
      </c>
      <c r="G715" t="s">
        <v>526</v>
      </c>
      <c r="H715" t="s">
        <v>69</v>
      </c>
    </row>
    <row r="716" spans="1:8" x14ac:dyDescent="0.3">
      <c r="A716" t="s">
        <v>49</v>
      </c>
      <c r="B716" t="s">
        <v>35</v>
      </c>
      <c r="C716" t="s">
        <v>14</v>
      </c>
      <c r="D716" t="s">
        <v>42</v>
      </c>
      <c r="E716" s="5">
        <v>138795</v>
      </c>
      <c r="F716" t="s">
        <v>1746</v>
      </c>
      <c r="G716" t="s">
        <v>1747</v>
      </c>
      <c r="H716" t="s">
        <v>69</v>
      </c>
    </row>
    <row r="717" spans="1:8" x14ac:dyDescent="0.3">
      <c r="A717" t="s">
        <v>49</v>
      </c>
      <c r="B717" t="s">
        <v>30</v>
      </c>
      <c r="C717" t="s">
        <v>14</v>
      </c>
      <c r="D717" t="s">
        <v>15</v>
      </c>
      <c r="E717" s="5">
        <v>135302</v>
      </c>
      <c r="F717" t="s">
        <v>3646</v>
      </c>
      <c r="G717" t="s">
        <v>157</v>
      </c>
      <c r="H717" t="s">
        <v>16</v>
      </c>
    </row>
    <row r="718" spans="1:8" x14ac:dyDescent="0.3">
      <c r="A718" t="s">
        <v>72</v>
      </c>
      <c r="B718" t="s">
        <v>25</v>
      </c>
      <c r="C718" t="s">
        <v>14</v>
      </c>
      <c r="D718" t="s">
        <v>42</v>
      </c>
      <c r="E718" s="5">
        <v>71007</v>
      </c>
      <c r="F718" t="s">
        <v>1017</v>
      </c>
      <c r="G718" t="s">
        <v>70</v>
      </c>
      <c r="H718" t="s">
        <v>69</v>
      </c>
    </row>
    <row r="719" spans="1:8" x14ac:dyDescent="0.3">
      <c r="A719" t="s">
        <v>49</v>
      </c>
      <c r="B719" t="s">
        <v>54</v>
      </c>
      <c r="C719" t="s">
        <v>27</v>
      </c>
      <c r="D719" t="s">
        <v>42</v>
      </c>
      <c r="E719" s="5">
        <v>96490</v>
      </c>
      <c r="F719" t="s">
        <v>1489</v>
      </c>
      <c r="G719" t="s">
        <v>789</v>
      </c>
      <c r="H719" t="s">
        <v>14</v>
      </c>
    </row>
    <row r="720" spans="1:8" x14ac:dyDescent="0.3">
      <c r="A720" t="s">
        <v>72</v>
      </c>
      <c r="B720" t="s">
        <v>54</v>
      </c>
      <c r="C720" t="s">
        <v>14</v>
      </c>
      <c r="D720" t="s">
        <v>51</v>
      </c>
      <c r="E720" s="5">
        <v>125912</v>
      </c>
      <c r="F720" t="s">
        <v>2230</v>
      </c>
      <c r="G720" t="s">
        <v>2054</v>
      </c>
      <c r="H720" t="s">
        <v>14</v>
      </c>
    </row>
    <row r="721" spans="1:8" x14ac:dyDescent="0.3">
      <c r="A721" t="s">
        <v>72</v>
      </c>
      <c r="B721" t="s">
        <v>135</v>
      </c>
      <c r="C721" t="s">
        <v>22</v>
      </c>
      <c r="D721" t="s">
        <v>37</v>
      </c>
      <c r="E721" s="5">
        <v>148045</v>
      </c>
      <c r="F721" t="s">
        <v>3221</v>
      </c>
      <c r="G721" t="s">
        <v>1350</v>
      </c>
      <c r="H721" t="s">
        <v>69</v>
      </c>
    </row>
    <row r="722" spans="1:8" x14ac:dyDescent="0.3">
      <c r="A722" t="s">
        <v>45</v>
      </c>
      <c r="B722" t="s">
        <v>54</v>
      </c>
      <c r="C722" t="s">
        <v>14</v>
      </c>
      <c r="D722" t="s">
        <v>37</v>
      </c>
      <c r="E722" s="5">
        <v>129661</v>
      </c>
      <c r="F722" t="s">
        <v>3648</v>
      </c>
      <c r="G722" t="s">
        <v>128</v>
      </c>
      <c r="H722" t="s">
        <v>16</v>
      </c>
    </row>
    <row r="723" spans="1:8" x14ac:dyDescent="0.3">
      <c r="A723" t="s">
        <v>45</v>
      </c>
      <c r="B723" t="s">
        <v>20</v>
      </c>
      <c r="C723" t="s">
        <v>27</v>
      </c>
      <c r="D723" t="s">
        <v>37</v>
      </c>
      <c r="E723" s="5">
        <v>152090.5</v>
      </c>
      <c r="F723" t="s">
        <v>165</v>
      </c>
      <c r="G723" t="s">
        <v>166</v>
      </c>
      <c r="H723" t="s">
        <v>14</v>
      </c>
    </row>
    <row r="724" spans="1:8" x14ac:dyDescent="0.3">
      <c r="A724" t="s">
        <v>45</v>
      </c>
      <c r="B724" t="s">
        <v>135</v>
      </c>
      <c r="C724" t="s">
        <v>22</v>
      </c>
      <c r="D724" t="s">
        <v>37</v>
      </c>
      <c r="E724" s="5">
        <v>166692.5</v>
      </c>
      <c r="F724" t="s">
        <v>2939</v>
      </c>
      <c r="G724" t="s">
        <v>1384</v>
      </c>
      <c r="H724" t="s">
        <v>14</v>
      </c>
    </row>
    <row r="725" spans="1:8" x14ac:dyDescent="0.3">
      <c r="A725" t="s">
        <v>49</v>
      </c>
      <c r="B725" t="s">
        <v>54</v>
      </c>
      <c r="C725" t="s">
        <v>14</v>
      </c>
      <c r="D725" t="s">
        <v>51</v>
      </c>
      <c r="E725" s="5">
        <v>118672.5</v>
      </c>
      <c r="F725" t="s">
        <v>3472</v>
      </c>
      <c r="G725" t="s">
        <v>1263</v>
      </c>
      <c r="H725" t="s">
        <v>14</v>
      </c>
    </row>
    <row r="726" spans="1:8" x14ac:dyDescent="0.3">
      <c r="A726" t="s">
        <v>72</v>
      </c>
      <c r="B726" t="s">
        <v>30</v>
      </c>
      <c r="C726" t="s">
        <v>22</v>
      </c>
      <c r="D726" t="s">
        <v>15</v>
      </c>
      <c r="E726" s="5">
        <v>77274.5</v>
      </c>
      <c r="F726" t="s">
        <v>3657</v>
      </c>
      <c r="G726" t="s">
        <v>386</v>
      </c>
      <c r="H726" t="s">
        <v>14</v>
      </c>
    </row>
    <row r="727" spans="1:8" x14ac:dyDescent="0.3">
      <c r="A727" t="s">
        <v>45</v>
      </c>
      <c r="B727" t="s">
        <v>67</v>
      </c>
      <c r="C727" t="s">
        <v>27</v>
      </c>
      <c r="D727" t="s">
        <v>15</v>
      </c>
      <c r="E727" s="5">
        <v>120778</v>
      </c>
      <c r="F727" t="s">
        <v>3973</v>
      </c>
      <c r="G727" t="s">
        <v>235</v>
      </c>
      <c r="H727" t="s">
        <v>14</v>
      </c>
    </row>
    <row r="728" spans="1:8" x14ac:dyDescent="0.3">
      <c r="A728" t="s">
        <v>45</v>
      </c>
      <c r="B728" t="s">
        <v>135</v>
      </c>
      <c r="C728" t="s">
        <v>22</v>
      </c>
      <c r="D728" t="s">
        <v>15</v>
      </c>
      <c r="E728" s="5">
        <v>174446.5</v>
      </c>
      <c r="F728" t="s">
        <v>1397</v>
      </c>
      <c r="G728" t="s">
        <v>1398</v>
      </c>
      <c r="H728" t="s">
        <v>14</v>
      </c>
    </row>
    <row r="729" spans="1:8" x14ac:dyDescent="0.3">
      <c r="A729" t="s">
        <v>45</v>
      </c>
      <c r="B729" t="s">
        <v>135</v>
      </c>
      <c r="C729" t="s">
        <v>22</v>
      </c>
      <c r="D729" t="s">
        <v>15</v>
      </c>
      <c r="E729" s="5">
        <v>138981.5</v>
      </c>
      <c r="F729" t="s">
        <v>817</v>
      </c>
      <c r="G729" t="s">
        <v>818</v>
      </c>
      <c r="H729" t="s">
        <v>16</v>
      </c>
    </row>
    <row r="730" spans="1:8" x14ac:dyDescent="0.3">
      <c r="A730" t="s">
        <v>34</v>
      </c>
      <c r="B730" t="s">
        <v>67</v>
      </c>
      <c r="C730" t="s">
        <v>22</v>
      </c>
      <c r="D730" t="s">
        <v>37</v>
      </c>
      <c r="E730" s="5">
        <v>124700</v>
      </c>
      <c r="F730" t="s">
        <v>1287</v>
      </c>
      <c r="G730" t="s">
        <v>77</v>
      </c>
      <c r="H730" t="s">
        <v>16</v>
      </c>
    </row>
    <row r="731" spans="1:8" x14ac:dyDescent="0.3">
      <c r="A731" t="s">
        <v>40</v>
      </c>
      <c r="B731" t="s">
        <v>67</v>
      </c>
      <c r="C731" t="s">
        <v>14</v>
      </c>
      <c r="D731" t="s">
        <v>51</v>
      </c>
      <c r="E731" s="5">
        <v>121133.5</v>
      </c>
      <c r="F731" t="s">
        <v>2498</v>
      </c>
      <c r="G731" t="s">
        <v>2156</v>
      </c>
      <c r="H731" t="s">
        <v>16</v>
      </c>
    </row>
    <row r="732" spans="1:8" x14ac:dyDescent="0.3">
      <c r="A732" t="s">
        <v>45</v>
      </c>
      <c r="B732" t="s">
        <v>25</v>
      </c>
      <c r="C732" t="s">
        <v>22</v>
      </c>
      <c r="D732" t="s">
        <v>42</v>
      </c>
      <c r="E732" s="5">
        <v>142923</v>
      </c>
      <c r="F732" t="s">
        <v>4001</v>
      </c>
      <c r="G732" t="s">
        <v>163</v>
      </c>
      <c r="H732" t="s">
        <v>14</v>
      </c>
    </row>
    <row r="733" spans="1:8" x14ac:dyDescent="0.3">
      <c r="A733" t="s">
        <v>11</v>
      </c>
      <c r="B733" t="s">
        <v>35</v>
      </c>
      <c r="C733" t="s">
        <v>14</v>
      </c>
      <c r="D733" t="s">
        <v>51</v>
      </c>
      <c r="E733" s="5">
        <v>143759</v>
      </c>
      <c r="F733" t="s">
        <v>1185</v>
      </c>
      <c r="G733" t="s">
        <v>163</v>
      </c>
      <c r="H733" t="s">
        <v>16</v>
      </c>
    </row>
    <row r="734" spans="1:8" x14ac:dyDescent="0.3">
      <c r="A734" t="s">
        <v>45</v>
      </c>
      <c r="B734" t="s">
        <v>12</v>
      </c>
      <c r="C734" t="s">
        <v>22</v>
      </c>
      <c r="D734" t="s">
        <v>15</v>
      </c>
      <c r="E734" s="5">
        <v>78976</v>
      </c>
      <c r="F734" t="s">
        <v>3121</v>
      </c>
      <c r="G734" t="s">
        <v>3122</v>
      </c>
      <c r="H734" t="s">
        <v>69</v>
      </c>
    </row>
    <row r="735" spans="1:8" x14ac:dyDescent="0.3">
      <c r="A735" t="s">
        <v>49</v>
      </c>
      <c r="B735" t="s">
        <v>12</v>
      </c>
      <c r="C735" t="s">
        <v>14</v>
      </c>
      <c r="D735" t="s">
        <v>51</v>
      </c>
      <c r="E735" s="5">
        <v>157887.5</v>
      </c>
      <c r="F735" t="s">
        <v>3977</v>
      </c>
      <c r="G735" t="s">
        <v>378</v>
      </c>
      <c r="H735" t="s">
        <v>69</v>
      </c>
    </row>
    <row r="736" spans="1:8" x14ac:dyDescent="0.3">
      <c r="A736" t="s">
        <v>34</v>
      </c>
      <c r="B736" t="s">
        <v>30</v>
      </c>
      <c r="C736" t="s">
        <v>22</v>
      </c>
      <c r="D736" t="s">
        <v>42</v>
      </c>
      <c r="E736" s="5">
        <v>162501.5</v>
      </c>
      <c r="F736" t="s">
        <v>3180</v>
      </c>
      <c r="G736" t="s">
        <v>976</v>
      </c>
      <c r="H736" t="s">
        <v>69</v>
      </c>
    </row>
    <row r="737" spans="1:8" x14ac:dyDescent="0.3">
      <c r="A737" t="s">
        <v>49</v>
      </c>
      <c r="B737" t="s">
        <v>12</v>
      </c>
      <c r="C737" t="s">
        <v>27</v>
      </c>
      <c r="D737" t="s">
        <v>37</v>
      </c>
      <c r="E737" s="5">
        <v>157551</v>
      </c>
      <c r="F737" t="s">
        <v>4267</v>
      </c>
      <c r="G737" t="s">
        <v>128</v>
      </c>
      <c r="H737" t="s">
        <v>16</v>
      </c>
    </row>
    <row r="738" spans="1:8" x14ac:dyDescent="0.3">
      <c r="A738" t="s">
        <v>72</v>
      </c>
      <c r="B738" t="s">
        <v>12</v>
      </c>
      <c r="C738" t="s">
        <v>14</v>
      </c>
      <c r="D738" t="s">
        <v>37</v>
      </c>
      <c r="E738" s="5">
        <v>111883.5</v>
      </c>
      <c r="F738" t="s">
        <v>3500</v>
      </c>
      <c r="G738" t="s">
        <v>450</v>
      </c>
      <c r="H738" t="s">
        <v>69</v>
      </c>
    </row>
    <row r="739" spans="1:8" x14ac:dyDescent="0.3">
      <c r="A739" t="s">
        <v>11</v>
      </c>
      <c r="B739" t="s">
        <v>54</v>
      </c>
      <c r="C739" t="s">
        <v>14</v>
      </c>
      <c r="D739" t="s">
        <v>37</v>
      </c>
      <c r="E739" s="5">
        <v>144006</v>
      </c>
      <c r="F739" t="s">
        <v>3233</v>
      </c>
      <c r="G739" t="s">
        <v>128</v>
      </c>
      <c r="H739" t="s">
        <v>16</v>
      </c>
    </row>
    <row r="740" spans="1:8" x14ac:dyDescent="0.3">
      <c r="A740" t="s">
        <v>34</v>
      </c>
      <c r="B740" t="s">
        <v>135</v>
      </c>
      <c r="C740" t="s">
        <v>14</v>
      </c>
      <c r="D740" t="s">
        <v>51</v>
      </c>
      <c r="E740" s="5">
        <v>96766</v>
      </c>
      <c r="F740" t="s">
        <v>3566</v>
      </c>
      <c r="G740" t="s">
        <v>378</v>
      </c>
      <c r="H740" t="s">
        <v>69</v>
      </c>
    </row>
    <row r="741" spans="1:8" x14ac:dyDescent="0.3">
      <c r="A741" t="s">
        <v>49</v>
      </c>
      <c r="B741" t="s">
        <v>67</v>
      </c>
      <c r="C741" t="s">
        <v>14</v>
      </c>
      <c r="D741" t="s">
        <v>51</v>
      </c>
      <c r="E741" s="5">
        <v>89075.5</v>
      </c>
      <c r="F741" t="s">
        <v>1555</v>
      </c>
      <c r="G741" t="s">
        <v>52</v>
      </c>
      <c r="H741" t="s">
        <v>69</v>
      </c>
    </row>
    <row r="742" spans="1:8" x14ac:dyDescent="0.3">
      <c r="A742" t="s">
        <v>49</v>
      </c>
      <c r="B742" t="s">
        <v>20</v>
      </c>
      <c r="C742" t="s">
        <v>14</v>
      </c>
      <c r="D742" t="s">
        <v>37</v>
      </c>
      <c r="E742" s="5">
        <v>88081.5</v>
      </c>
      <c r="F742" t="s">
        <v>3818</v>
      </c>
      <c r="G742" t="s">
        <v>677</v>
      </c>
      <c r="H742" t="s">
        <v>16</v>
      </c>
    </row>
    <row r="743" spans="1:8" x14ac:dyDescent="0.3">
      <c r="A743" t="s">
        <v>72</v>
      </c>
      <c r="B743" t="s">
        <v>67</v>
      </c>
      <c r="C743" t="s">
        <v>22</v>
      </c>
      <c r="D743" t="s">
        <v>37</v>
      </c>
      <c r="E743" s="5">
        <v>142402</v>
      </c>
      <c r="F743" t="s">
        <v>775</v>
      </c>
      <c r="G743" t="s">
        <v>776</v>
      </c>
      <c r="H743" t="s">
        <v>14</v>
      </c>
    </row>
    <row r="744" spans="1:8" x14ac:dyDescent="0.3">
      <c r="A744" t="s">
        <v>45</v>
      </c>
      <c r="B744" t="s">
        <v>25</v>
      </c>
      <c r="C744" t="s">
        <v>27</v>
      </c>
      <c r="D744" t="s">
        <v>51</v>
      </c>
      <c r="E744" s="5">
        <v>166374</v>
      </c>
      <c r="F744" t="s">
        <v>3067</v>
      </c>
      <c r="G744" t="s">
        <v>157</v>
      </c>
      <c r="H744" t="s">
        <v>69</v>
      </c>
    </row>
    <row r="745" spans="1:8" x14ac:dyDescent="0.3">
      <c r="A745" t="s">
        <v>45</v>
      </c>
      <c r="B745" t="s">
        <v>67</v>
      </c>
      <c r="C745" t="s">
        <v>14</v>
      </c>
      <c r="D745" t="s">
        <v>37</v>
      </c>
      <c r="E745" s="5">
        <v>71305</v>
      </c>
      <c r="F745" t="s">
        <v>3572</v>
      </c>
      <c r="G745" t="s">
        <v>80</v>
      </c>
      <c r="H745" t="s">
        <v>16</v>
      </c>
    </row>
    <row r="746" spans="1:8" x14ac:dyDescent="0.3">
      <c r="A746" t="s">
        <v>11</v>
      </c>
      <c r="B746" t="s">
        <v>135</v>
      </c>
      <c r="C746" t="s">
        <v>14</v>
      </c>
      <c r="D746" t="s">
        <v>42</v>
      </c>
      <c r="E746" s="5">
        <v>138299</v>
      </c>
      <c r="F746" t="s">
        <v>4134</v>
      </c>
      <c r="G746" t="s">
        <v>1029</v>
      </c>
      <c r="H746" t="s">
        <v>69</v>
      </c>
    </row>
    <row r="747" spans="1:8" x14ac:dyDescent="0.3">
      <c r="A747" t="s">
        <v>72</v>
      </c>
      <c r="B747" t="s">
        <v>20</v>
      </c>
      <c r="C747" t="s">
        <v>27</v>
      </c>
      <c r="D747" t="s">
        <v>15</v>
      </c>
      <c r="E747" s="5">
        <v>126795</v>
      </c>
      <c r="F747" t="s">
        <v>1630</v>
      </c>
      <c r="G747" t="s">
        <v>1631</v>
      </c>
      <c r="H747" t="s">
        <v>14</v>
      </c>
    </row>
    <row r="748" spans="1:8" x14ac:dyDescent="0.3">
      <c r="A748" t="s">
        <v>19</v>
      </c>
      <c r="B748" t="s">
        <v>54</v>
      </c>
      <c r="C748" t="s">
        <v>14</v>
      </c>
      <c r="D748" t="s">
        <v>37</v>
      </c>
      <c r="E748" s="5">
        <v>88592.5</v>
      </c>
      <c r="F748" t="s">
        <v>1452</v>
      </c>
      <c r="G748" t="s">
        <v>546</v>
      </c>
      <c r="H748" t="s">
        <v>69</v>
      </c>
    </row>
    <row r="749" spans="1:8" x14ac:dyDescent="0.3">
      <c r="A749" t="s">
        <v>11</v>
      </c>
      <c r="B749" t="s">
        <v>135</v>
      </c>
      <c r="C749" t="s">
        <v>22</v>
      </c>
      <c r="D749" t="s">
        <v>42</v>
      </c>
      <c r="E749" s="5">
        <v>116154.5</v>
      </c>
      <c r="F749" t="s">
        <v>1347</v>
      </c>
      <c r="G749" t="s">
        <v>789</v>
      </c>
      <c r="H749" t="s">
        <v>14</v>
      </c>
    </row>
    <row r="750" spans="1:8" x14ac:dyDescent="0.3">
      <c r="A750" t="s">
        <v>40</v>
      </c>
      <c r="B750" t="s">
        <v>135</v>
      </c>
      <c r="C750" t="s">
        <v>27</v>
      </c>
      <c r="D750" t="s">
        <v>42</v>
      </c>
      <c r="E750" s="5">
        <v>138827</v>
      </c>
      <c r="F750" t="s">
        <v>2710</v>
      </c>
      <c r="G750" t="s">
        <v>1503</v>
      </c>
      <c r="H750" t="s">
        <v>69</v>
      </c>
    </row>
    <row r="751" spans="1:8" x14ac:dyDescent="0.3">
      <c r="A751" t="s">
        <v>49</v>
      </c>
      <c r="B751" t="s">
        <v>20</v>
      </c>
      <c r="C751" t="s">
        <v>22</v>
      </c>
      <c r="D751" t="s">
        <v>15</v>
      </c>
      <c r="E751" s="5">
        <v>128558.5</v>
      </c>
      <c r="F751" t="s">
        <v>1668</v>
      </c>
      <c r="G751" t="s">
        <v>101</v>
      </c>
      <c r="H751" t="s">
        <v>69</v>
      </c>
    </row>
    <row r="752" spans="1:8" x14ac:dyDescent="0.3">
      <c r="A752" t="s">
        <v>49</v>
      </c>
      <c r="B752" t="s">
        <v>25</v>
      </c>
      <c r="C752" t="s">
        <v>14</v>
      </c>
      <c r="D752" t="s">
        <v>51</v>
      </c>
      <c r="E752" s="5">
        <v>184652.5</v>
      </c>
      <c r="F752" t="s">
        <v>3997</v>
      </c>
      <c r="G752" t="s">
        <v>693</v>
      </c>
      <c r="H752" t="s">
        <v>16</v>
      </c>
    </row>
    <row r="753" spans="1:8" x14ac:dyDescent="0.3">
      <c r="A753" t="s">
        <v>40</v>
      </c>
      <c r="B753" t="s">
        <v>12</v>
      </c>
      <c r="C753" t="s">
        <v>14</v>
      </c>
      <c r="D753" t="s">
        <v>15</v>
      </c>
      <c r="E753" s="5">
        <v>107609.5</v>
      </c>
      <c r="F753" t="s">
        <v>2179</v>
      </c>
      <c r="G753" t="s">
        <v>362</v>
      </c>
      <c r="H753" t="s">
        <v>14</v>
      </c>
    </row>
    <row r="754" spans="1:8" x14ac:dyDescent="0.3">
      <c r="A754" t="s">
        <v>49</v>
      </c>
      <c r="B754" t="s">
        <v>25</v>
      </c>
      <c r="C754" t="s">
        <v>27</v>
      </c>
      <c r="D754" t="s">
        <v>37</v>
      </c>
      <c r="E754" s="5">
        <v>108523</v>
      </c>
      <c r="F754" t="s">
        <v>153</v>
      </c>
      <c r="G754" t="s">
        <v>154</v>
      </c>
      <c r="H754" t="s">
        <v>16</v>
      </c>
    </row>
    <row r="755" spans="1:8" x14ac:dyDescent="0.3">
      <c r="A755" t="s">
        <v>45</v>
      </c>
      <c r="B755" t="s">
        <v>135</v>
      </c>
      <c r="C755" t="s">
        <v>27</v>
      </c>
      <c r="D755" t="s">
        <v>15</v>
      </c>
      <c r="E755" s="5">
        <v>161360.5</v>
      </c>
      <c r="F755" t="s">
        <v>1615</v>
      </c>
      <c r="G755" t="s">
        <v>90</v>
      </c>
      <c r="H755" t="s">
        <v>14</v>
      </c>
    </row>
    <row r="756" spans="1:8" x14ac:dyDescent="0.3">
      <c r="A756" t="s">
        <v>11</v>
      </c>
      <c r="B756" t="s">
        <v>30</v>
      </c>
      <c r="C756" t="s">
        <v>22</v>
      </c>
      <c r="D756" t="s">
        <v>42</v>
      </c>
      <c r="E756" s="5">
        <v>155828.5</v>
      </c>
      <c r="F756" t="s">
        <v>916</v>
      </c>
      <c r="G756" t="s">
        <v>293</v>
      </c>
      <c r="H756" t="s">
        <v>16</v>
      </c>
    </row>
    <row r="757" spans="1:8" x14ac:dyDescent="0.3">
      <c r="A757" t="s">
        <v>34</v>
      </c>
      <c r="B757" t="s">
        <v>135</v>
      </c>
      <c r="C757" t="s">
        <v>27</v>
      </c>
      <c r="D757" t="s">
        <v>15</v>
      </c>
      <c r="E757" s="5">
        <v>155207.5</v>
      </c>
      <c r="F757" t="s">
        <v>2493</v>
      </c>
      <c r="G757" t="s">
        <v>70</v>
      </c>
      <c r="H757" t="s">
        <v>69</v>
      </c>
    </row>
    <row r="758" spans="1:8" x14ac:dyDescent="0.3">
      <c r="A758" t="s">
        <v>72</v>
      </c>
      <c r="B758" t="s">
        <v>25</v>
      </c>
      <c r="C758" t="s">
        <v>27</v>
      </c>
      <c r="D758" t="s">
        <v>42</v>
      </c>
      <c r="E758" s="5">
        <v>103873.5</v>
      </c>
      <c r="F758" t="s">
        <v>2235</v>
      </c>
      <c r="G758" t="s">
        <v>125</v>
      </c>
      <c r="H758" t="s">
        <v>69</v>
      </c>
    </row>
    <row r="759" spans="1:8" x14ac:dyDescent="0.3">
      <c r="A759" t="s">
        <v>72</v>
      </c>
      <c r="B759" t="s">
        <v>20</v>
      </c>
      <c r="C759" t="s">
        <v>14</v>
      </c>
      <c r="D759" t="s">
        <v>15</v>
      </c>
      <c r="E759" s="5">
        <v>138121</v>
      </c>
      <c r="F759" t="s">
        <v>3551</v>
      </c>
      <c r="G759" t="s">
        <v>3552</v>
      </c>
      <c r="H759" t="s">
        <v>16</v>
      </c>
    </row>
    <row r="760" spans="1:8" x14ac:dyDescent="0.3">
      <c r="A760" t="s">
        <v>72</v>
      </c>
      <c r="B760" t="s">
        <v>54</v>
      </c>
      <c r="C760" t="s">
        <v>27</v>
      </c>
      <c r="D760" t="s">
        <v>37</v>
      </c>
      <c r="E760" s="5">
        <v>183549</v>
      </c>
      <c r="F760" t="s">
        <v>1264</v>
      </c>
      <c r="G760" t="s">
        <v>491</v>
      </c>
      <c r="H760" t="s">
        <v>14</v>
      </c>
    </row>
    <row r="761" spans="1:8" x14ac:dyDescent="0.3">
      <c r="A761" t="s">
        <v>40</v>
      </c>
      <c r="B761" t="s">
        <v>12</v>
      </c>
      <c r="C761" t="s">
        <v>22</v>
      </c>
      <c r="D761" t="s">
        <v>37</v>
      </c>
      <c r="E761" s="5">
        <v>101978.5</v>
      </c>
      <c r="F761" t="s">
        <v>1354</v>
      </c>
      <c r="G761" t="s">
        <v>221</v>
      </c>
      <c r="H761" t="s">
        <v>69</v>
      </c>
    </row>
    <row r="762" spans="1:8" x14ac:dyDescent="0.3">
      <c r="A762" t="s">
        <v>72</v>
      </c>
      <c r="B762" t="s">
        <v>20</v>
      </c>
      <c r="C762" t="s">
        <v>14</v>
      </c>
      <c r="D762" t="s">
        <v>51</v>
      </c>
      <c r="E762" s="5">
        <v>135166</v>
      </c>
      <c r="F762" t="s">
        <v>205</v>
      </c>
      <c r="G762" t="s">
        <v>206</v>
      </c>
      <c r="H762" t="s">
        <v>16</v>
      </c>
    </row>
    <row r="763" spans="1:8" x14ac:dyDescent="0.3">
      <c r="A763" t="s">
        <v>11</v>
      </c>
      <c r="B763" t="s">
        <v>30</v>
      </c>
      <c r="C763" t="s">
        <v>22</v>
      </c>
      <c r="D763" t="s">
        <v>37</v>
      </c>
      <c r="E763" s="5">
        <v>151860</v>
      </c>
      <c r="F763" t="s">
        <v>3276</v>
      </c>
      <c r="G763" t="s">
        <v>106</v>
      </c>
      <c r="H763" t="s">
        <v>16</v>
      </c>
    </row>
    <row r="764" spans="1:8" x14ac:dyDescent="0.3">
      <c r="A764" t="s">
        <v>45</v>
      </c>
      <c r="B764" t="s">
        <v>20</v>
      </c>
      <c r="C764" t="s">
        <v>27</v>
      </c>
      <c r="D764" t="s">
        <v>51</v>
      </c>
      <c r="E764" s="5">
        <v>147926.5</v>
      </c>
      <c r="F764" t="s">
        <v>3822</v>
      </c>
      <c r="G764" t="s">
        <v>432</v>
      </c>
      <c r="H764" t="s">
        <v>69</v>
      </c>
    </row>
    <row r="765" spans="1:8" x14ac:dyDescent="0.3">
      <c r="A765" t="s">
        <v>72</v>
      </c>
      <c r="B765" t="s">
        <v>35</v>
      </c>
      <c r="C765" t="s">
        <v>22</v>
      </c>
      <c r="D765" t="s">
        <v>51</v>
      </c>
      <c r="E765" s="5">
        <v>123145.5</v>
      </c>
      <c r="F765" t="s">
        <v>305</v>
      </c>
      <c r="G765" t="s">
        <v>306</v>
      </c>
      <c r="H765" t="s">
        <v>16</v>
      </c>
    </row>
    <row r="766" spans="1:8" x14ac:dyDescent="0.3">
      <c r="A766" t="s">
        <v>49</v>
      </c>
      <c r="B766" t="s">
        <v>135</v>
      </c>
      <c r="C766" t="s">
        <v>22</v>
      </c>
      <c r="D766" t="s">
        <v>15</v>
      </c>
      <c r="E766" s="5">
        <v>115846.5</v>
      </c>
      <c r="F766" t="s">
        <v>4216</v>
      </c>
      <c r="G766" t="s">
        <v>1886</v>
      </c>
      <c r="H766" t="s">
        <v>14</v>
      </c>
    </row>
    <row r="767" spans="1:8" x14ac:dyDescent="0.3">
      <c r="A767" t="s">
        <v>11</v>
      </c>
      <c r="B767" t="s">
        <v>30</v>
      </c>
      <c r="C767" t="s">
        <v>27</v>
      </c>
      <c r="D767" t="s">
        <v>42</v>
      </c>
      <c r="E767" s="5">
        <v>184009</v>
      </c>
      <c r="F767" t="s">
        <v>2889</v>
      </c>
      <c r="G767" t="s">
        <v>2890</v>
      </c>
      <c r="H767" t="s">
        <v>16</v>
      </c>
    </row>
    <row r="768" spans="1:8" x14ac:dyDescent="0.3">
      <c r="A768" t="s">
        <v>45</v>
      </c>
      <c r="B768" t="s">
        <v>35</v>
      </c>
      <c r="C768" t="s">
        <v>14</v>
      </c>
      <c r="D768" t="s">
        <v>51</v>
      </c>
      <c r="E768" s="5">
        <v>147705</v>
      </c>
      <c r="F768" t="s">
        <v>2284</v>
      </c>
      <c r="G768" t="s">
        <v>52</v>
      </c>
      <c r="H768" t="s">
        <v>69</v>
      </c>
    </row>
    <row r="769" spans="1:8" x14ac:dyDescent="0.3">
      <c r="A769" t="s">
        <v>11</v>
      </c>
      <c r="B769" t="s">
        <v>25</v>
      </c>
      <c r="C769" t="s">
        <v>14</v>
      </c>
      <c r="D769" t="s">
        <v>15</v>
      </c>
      <c r="E769" s="5">
        <v>100569</v>
      </c>
      <c r="F769" t="s">
        <v>1810</v>
      </c>
      <c r="G769" t="s">
        <v>213</v>
      </c>
      <c r="H769" t="s">
        <v>69</v>
      </c>
    </row>
    <row r="770" spans="1:8" x14ac:dyDescent="0.3">
      <c r="A770" t="s">
        <v>19</v>
      </c>
      <c r="B770" t="s">
        <v>25</v>
      </c>
      <c r="C770" t="s">
        <v>22</v>
      </c>
      <c r="D770" t="s">
        <v>15</v>
      </c>
      <c r="E770" s="5">
        <v>161190.5</v>
      </c>
      <c r="F770" t="s">
        <v>4202</v>
      </c>
      <c r="G770" t="s">
        <v>4203</v>
      </c>
      <c r="H770" t="s">
        <v>69</v>
      </c>
    </row>
    <row r="771" spans="1:8" x14ac:dyDescent="0.3">
      <c r="A771" t="s">
        <v>49</v>
      </c>
      <c r="B771" t="s">
        <v>135</v>
      </c>
      <c r="C771" t="s">
        <v>14</v>
      </c>
      <c r="D771" t="s">
        <v>51</v>
      </c>
      <c r="E771" s="5">
        <v>132727.5</v>
      </c>
      <c r="F771" t="s">
        <v>2743</v>
      </c>
      <c r="G771" t="s">
        <v>52</v>
      </c>
      <c r="H771" t="s">
        <v>16</v>
      </c>
    </row>
    <row r="772" spans="1:8" x14ac:dyDescent="0.3">
      <c r="A772" t="s">
        <v>19</v>
      </c>
      <c r="B772" t="s">
        <v>25</v>
      </c>
      <c r="C772" t="s">
        <v>27</v>
      </c>
      <c r="D772" t="s">
        <v>37</v>
      </c>
      <c r="E772" s="5">
        <v>71703.5</v>
      </c>
      <c r="F772" t="s">
        <v>947</v>
      </c>
      <c r="G772" t="s">
        <v>119</v>
      </c>
      <c r="H772" t="s">
        <v>16</v>
      </c>
    </row>
    <row r="773" spans="1:8" x14ac:dyDescent="0.3">
      <c r="A773" t="s">
        <v>45</v>
      </c>
      <c r="B773" t="s">
        <v>25</v>
      </c>
      <c r="C773" t="s">
        <v>22</v>
      </c>
      <c r="D773" t="s">
        <v>37</v>
      </c>
      <c r="E773" s="5">
        <v>174908</v>
      </c>
      <c r="F773" t="s">
        <v>1413</v>
      </c>
      <c r="G773" t="s">
        <v>1414</v>
      </c>
      <c r="H773" t="s">
        <v>16</v>
      </c>
    </row>
    <row r="774" spans="1:8" x14ac:dyDescent="0.3">
      <c r="A774" t="s">
        <v>34</v>
      </c>
      <c r="B774" t="s">
        <v>67</v>
      </c>
      <c r="C774" t="s">
        <v>14</v>
      </c>
      <c r="D774" t="s">
        <v>42</v>
      </c>
      <c r="E774" s="5">
        <v>120858</v>
      </c>
      <c r="F774" t="s">
        <v>3248</v>
      </c>
      <c r="G774" t="s">
        <v>362</v>
      </c>
      <c r="H774" t="s">
        <v>69</v>
      </c>
    </row>
    <row r="775" spans="1:8" x14ac:dyDescent="0.3">
      <c r="A775" t="s">
        <v>49</v>
      </c>
      <c r="B775" t="s">
        <v>54</v>
      </c>
      <c r="C775" t="s">
        <v>27</v>
      </c>
      <c r="D775" t="s">
        <v>51</v>
      </c>
      <c r="E775" s="5">
        <v>99709</v>
      </c>
      <c r="F775" t="s">
        <v>2923</v>
      </c>
      <c r="G775" t="s">
        <v>128</v>
      </c>
      <c r="H775" t="s">
        <v>16</v>
      </c>
    </row>
    <row r="776" spans="1:8" x14ac:dyDescent="0.3">
      <c r="A776" t="s">
        <v>11</v>
      </c>
      <c r="B776" t="s">
        <v>25</v>
      </c>
      <c r="C776" t="s">
        <v>27</v>
      </c>
      <c r="D776" t="s">
        <v>37</v>
      </c>
      <c r="E776" s="5">
        <v>71333.5</v>
      </c>
      <c r="F776" t="s">
        <v>1661</v>
      </c>
      <c r="G776" t="s">
        <v>70</v>
      </c>
      <c r="H776" t="s">
        <v>16</v>
      </c>
    </row>
    <row r="777" spans="1:8" x14ac:dyDescent="0.3">
      <c r="A777" t="s">
        <v>19</v>
      </c>
      <c r="B777" t="s">
        <v>30</v>
      </c>
      <c r="C777" t="s">
        <v>14</v>
      </c>
      <c r="D777" t="s">
        <v>51</v>
      </c>
      <c r="E777" s="5">
        <v>111300.5</v>
      </c>
      <c r="F777" t="s">
        <v>3868</v>
      </c>
      <c r="G777" t="s">
        <v>826</v>
      </c>
      <c r="H777" t="s">
        <v>16</v>
      </c>
    </row>
    <row r="778" spans="1:8" x14ac:dyDescent="0.3">
      <c r="A778" t="s">
        <v>45</v>
      </c>
      <c r="B778" t="s">
        <v>25</v>
      </c>
      <c r="C778" t="s">
        <v>14</v>
      </c>
      <c r="D778" t="s">
        <v>51</v>
      </c>
      <c r="E778" s="5">
        <v>114761</v>
      </c>
      <c r="F778" t="s">
        <v>156</v>
      </c>
      <c r="G778" t="s">
        <v>157</v>
      </c>
      <c r="H778" t="s">
        <v>14</v>
      </c>
    </row>
    <row r="779" spans="1:8" x14ac:dyDescent="0.3">
      <c r="A779" t="s">
        <v>34</v>
      </c>
      <c r="B779" t="s">
        <v>35</v>
      </c>
      <c r="C779" t="s">
        <v>22</v>
      </c>
      <c r="D779" t="s">
        <v>15</v>
      </c>
      <c r="E779" s="5">
        <v>86399</v>
      </c>
      <c r="F779" t="s">
        <v>1130</v>
      </c>
      <c r="G779" t="s">
        <v>1131</v>
      </c>
      <c r="H779" t="s">
        <v>69</v>
      </c>
    </row>
    <row r="780" spans="1:8" x14ac:dyDescent="0.3">
      <c r="A780" t="s">
        <v>34</v>
      </c>
      <c r="B780" t="s">
        <v>35</v>
      </c>
      <c r="C780" t="s">
        <v>27</v>
      </c>
      <c r="D780" t="s">
        <v>15</v>
      </c>
      <c r="E780" s="5">
        <v>89950.5</v>
      </c>
      <c r="F780" t="s">
        <v>2126</v>
      </c>
      <c r="G780" t="s">
        <v>1015</v>
      </c>
      <c r="H780" t="s">
        <v>69</v>
      </c>
    </row>
    <row r="781" spans="1:8" x14ac:dyDescent="0.3">
      <c r="A781" t="s">
        <v>45</v>
      </c>
      <c r="B781" t="s">
        <v>35</v>
      </c>
      <c r="C781" t="s">
        <v>27</v>
      </c>
      <c r="D781" t="s">
        <v>51</v>
      </c>
      <c r="E781" s="5">
        <v>141810</v>
      </c>
      <c r="F781" t="s">
        <v>2807</v>
      </c>
      <c r="G781" t="s">
        <v>157</v>
      </c>
      <c r="H781" t="s">
        <v>14</v>
      </c>
    </row>
    <row r="782" spans="1:8" x14ac:dyDescent="0.3">
      <c r="A782" t="s">
        <v>19</v>
      </c>
      <c r="B782" t="s">
        <v>54</v>
      </c>
      <c r="C782" t="s">
        <v>14</v>
      </c>
      <c r="D782" t="s">
        <v>51</v>
      </c>
      <c r="E782" s="5">
        <v>155736.5</v>
      </c>
      <c r="F782" t="s">
        <v>2695</v>
      </c>
      <c r="G782" t="s">
        <v>2533</v>
      </c>
      <c r="H782" t="s">
        <v>69</v>
      </c>
    </row>
    <row r="783" spans="1:8" x14ac:dyDescent="0.3">
      <c r="A783" t="s">
        <v>40</v>
      </c>
      <c r="B783" t="s">
        <v>25</v>
      </c>
      <c r="C783" t="s">
        <v>14</v>
      </c>
      <c r="D783" t="s">
        <v>51</v>
      </c>
      <c r="E783" s="5">
        <v>123185.5</v>
      </c>
      <c r="F783" t="s">
        <v>359</v>
      </c>
      <c r="G783" t="s">
        <v>157</v>
      </c>
      <c r="H783" t="s">
        <v>16</v>
      </c>
    </row>
    <row r="784" spans="1:8" x14ac:dyDescent="0.3">
      <c r="A784" t="s">
        <v>49</v>
      </c>
      <c r="B784" t="s">
        <v>135</v>
      </c>
      <c r="C784" t="s">
        <v>22</v>
      </c>
      <c r="D784" t="s">
        <v>37</v>
      </c>
      <c r="E784" s="5">
        <v>80812</v>
      </c>
      <c r="F784" t="s">
        <v>1139</v>
      </c>
      <c r="G784" t="s">
        <v>101</v>
      </c>
      <c r="H784" t="s">
        <v>16</v>
      </c>
    </row>
    <row r="785" spans="1:8" x14ac:dyDescent="0.3">
      <c r="A785" t="s">
        <v>45</v>
      </c>
      <c r="B785" t="s">
        <v>30</v>
      </c>
      <c r="C785" t="s">
        <v>14</v>
      </c>
      <c r="D785" t="s">
        <v>15</v>
      </c>
      <c r="E785" s="5">
        <v>149752.5</v>
      </c>
      <c r="F785" t="s">
        <v>3133</v>
      </c>
      <c r="G785" t="s">
        <v>507</v>
      </c>
      <c r="H785" t="s">
        <v>16</v>
      </c>
    </row>
    <row r="786" spans="1:8" x14ac:dyDescent="0.3">
      <c r="A786" t="s">
        <v>11</v>
      </c>
      <c r="B786" t="s">
        <v>54</v>
      </c>
      <c r="C786" t="s">
        <v>27</v>
      </c>
      <c r="D786" t="s">
        <v>15</v>
      </c>
      <c r="E786" s="5">
        <v>124819</v>
      </c>
      <c r="F786" t="s">
        <v>288</v>
      </c>
      <c r="G786" t="s">
        <v>268</v>
      </c>
      <c r="H786" t="s">
        <v>14</v>
      </c>
    </row>
    <row r="787" spans="1:8" x14ac:dyDescent="0.3">
      <c r="A787" t="s">
        <v>49</v>
      </c>
      <c r="B787" t="s">
        <v>54</v>
      </c>
      <c r="C787" t="s">
        <v>27</v>
      </c>
      <c r="D787" t="s">
        <v>37</v>
      </c>
      <c r="E787" s="5">
        <v>136434</v>
      </c>
      <c r="F787" t="s">
        <v>1388</v>
      </c>
      <c r="G787" t="s">
        <v>1224</v>
      </c>
      <c r="H787" t="s">
        <v>69</v>
      </c>
    </row>
    <row r="788" spans="1:8" x14ac:dyDescent="0.3">
      <c r="A788" t="s">
        <v>11</v>
      </c>
      <c r="B788" t="s">
        <v>12</v>
      </c>
      <c r="C788" t="s">
        <v>22</v>
      </c>
      <c r="D788" t="s">
        <v>37</v>
      </c>
      <c r="E788" s="5">
        <v>174747</v>
      </c>
      <c r="F788" t="s">
        <v>3080</v>
      </c>
      <c r="G788" t="s">
        <v>1631</v>
      </c>
      <c r="H788" t="s">
        <v>14</v>
      </c>
    </row>
    <row r="789" spans="1:8" x14ac:dyDescent="0.3">
      <c r="A789" t="s">
        <v>19</v>
      </c>
      <c r="B789" t="s">
        <v>54</v>
      </c>
      <c r="C789" t="s">
        <v>22</v>
      </c>
      <c r="D789" t="s">
        <v>37</v>
      </c>
      <c r="E789" s="5">
        <v>69921</v>
      </c>
      <c r="F789" t="s">
        <v>1836</v>
      </c>
      <c r="G789" t="s">
        <v>776</v>
      </c>
      <c r="H789" t="s">
        <v>16</v>
      </c>
    </row>
    <row r="790" spans="1:8" x14ac:dyDescent="0.3">
      <c r="A790" t="s">
        <v>34</v>
      </c>
      <c r="B790" t="s">
        <v>135</v>
      </c>
      <c r="C790" t="s">
        <v>22</v>
      </c>
      <c r="D790" t="s">
        <v>42</v>
      </c>
      <c r="E790" s="5">
        <v>75478.5</v>
      </c>
      <c r="F790" t="s">
        <v>3386</v>
      </c>
      <c r="G790" t="s">
        <v>194</v>
      </c>
      <c r="H790" t="s">
        <v>16</v>
      </c>
    </row>
    <row r="791" spans="1:8" x14ac:dyDescent="0.3">
      <c r="A791" t="s">
        <v>11</v>
      </c>
      <c r="B791" t="s">
        <v>30</v>
      </c>
      <c r="C791" t="s">
        <v>14</v>
      </c>
      <c r="D791" t="s">
        <v>51</v>
      </c>
      <c r="E791" s="5">
        <v>58636</v>
      </c>
      <c r="F791" t="s">
        <v>1028</v>
      </c>
      <c r="G791" t="s">
        <v>1029</v>
      </c>
      <c r="H791" t="s">
        <v>16</v>
      </c>
    </row>
    <row r="792" spans="1:8" x14ac:dyDescent="0.3">
      <c r="A792" t="s">
        <v>34</v>
      </c>
      <c r="B792" t="s">
        <v>54</v>
      </c>
      <c r="C792" t="s">
        <v>14</v>
      </c>
      <c r="D792" t="s">
        <v>51</v>
      </c>
      <c r="E792" s="5">
        <v>173964</v>
      </c>
      <c r="F792" t="s">
        <v>3045</v>
      </c>
      <c r="G792" t="s">
        <v>101</v>
      </c>
      <c r="H792" t="s">
        <v>14</v>
      </c>
    </row>
    <row r="793" spans="1:8" x14ac:dyDescent="0.3">
      <c r="A793" t="s">
        <v>49</v>
      </c>
      <c r="B793" t="s">
        <v>67</v>
      </c>
      <c r="C793" t="s">
        <v>22</v>
      </c>
      <c r="D793" t="s">
        <v>15</v>
      </c>
      <c r="E793" s="5">
        <v>163822.5</v>
      </c>
      <c r="F793" t="s">
        <v>1305</v>
      </c>
      <c r="G793" t="s">
        <v>293</v>
      </c>
      <c r="H793" t="s">
        <v>14</v>
      </c>
    </row>
    <row r="794" spans="1:8" x14ac:dyDescent="0.3">
      <c r="A794" t="s">
        <v>34</v>
      </c>
      <c r="B794" t="s">
        <v>135</v>
      </c>
      <c r="C794" t="s">
        <v>14</v>
      </c>
      <c r="D794" t="s">
        <v>42</v>
      </c>
      <c r="E794" s="5">
        <v>146332.5</v>
      </c>
      <c r="F794" t="s">
        <v>580</v>
      </c>
      <c r="G794" t="s">
        <v>581</v>
      </c>
      <c r="H794" t="s">
        <v>16</v>
      </c>
    </row>
    <row r="795" spans="1:8" x14ac:dyDescent="0.3">
      <c r="A795" t="s">
        <v>34</v>
      </c>
      <c r="B795" t="s">
        <v>30</v>
      </c>
      <c r="C795" t="s">
        <v>14</v>
      </c>
      <c r="D795" t="s">
        <v>51</v>
      </c>
      <c r="E795" s="5">
        <v>71705</v>
      </c>
      <c r="F795" t="s">
        <v>911</v>
      </c>
      <c r="G795" t="s">
        <v>77</v>
      </c>
      <c r="H795" t="s">
        <v>16</v>
      </c>
    </row>
    <row r="796" spans="1:8" x14ac:dyDescent="0.3">
      <c r="A796" t="s">
        <v>40</v>
      </c>
      <c r="B796" t="s">
        <v>12</v>
      </c>
      <c r="C796" t="s">
        <v>27</v>
      </c>
      <c r="D796" t="s">
        <v>37</v>
      </c>
      <c r="E796" s="5">
        <v>71742.5</v>
      </c>
      <c r="F796" t="s">
        <v>2747</v>
      </c>
      <c r="G796" t="s">
        <v>206</v>
      </c>
      <c r="H796" t="s">
        <v>16</v>
      </c>
    </row>
    <row r="797" spans="1:8" x14ac:dyDescent="0.3">
      <c r="A797" t="s">
        <v>40</v>
      </c>
      <c r="B797" t="s">
        <v>35</v>
      </c>
      <c r="C797" t="s">
        <v>22</v>
      </c>
      <c r="D797" t="s">
        <v>51</v>
      </c>
      <c r="E797" s="5">
        <v>110466.5</v>
      </c>
      <c r="F797" t="s">
        <v>3968</v>
      </c>
      <c r="G797" t="s">
        <v>3969</v>
      </c>
      <c r="H797" t="s">
        <v>69</v>
      </c>
    </row>
    <row r="798" spans="1:8" x14ac:dyDescent="0.3">
      <c r="A798" t="s">
        <v>11</v>
      </c>
      <c r="B798" t="s">
        <v>20</v>
      </c>
      <c r="C798" t="s">
        <v>22</v>
      </c>
      <c r="D798" t="s">
        <v>51</v>
      </c>
      <c r="E798" s="5">
        <v>142264.5</v>
      </c>
      <c r="F798" t="s">
        <v>461</v>
      </c>
      <c r="G798" t="s">
        <v>462</v>
      </c>
      <c r="H798" t="s">
        <v>16</v>
      </c>
    </row>
    <row r="799" spans="1:8" x14ac:dyDescent="0.3">
      <c r="A799" t="s">
        <v>11</v>
      </c>
      <c r="B799" t="s">
        <v>35</v>
      </c>
      <c r="C799" t="s">
        <v>27</v>
      </c>
      <c r="D799" t="s">
        <v>15</v>
      </c>
      <c r="E799" s="5">
        <v>146069</v>
      </c>
      <c r="F799" t="s">
        <v>121</v>
      </c>
      <c r="G799" t="s">
        <v>122</v>
      </c>
      <c r="H799" t="s">
        <v>14</v>
      </c>
    </row>
    <row r="800" spans="1:8" x14ac:dyDescent="0.3">
      <c r="A800" t="s">
        <v>72</v>
      </c>
      <c r="B800" t="s">
        <v>35</v>
      </c>
      <c r="C800" t="s">
        <v>27</v>
      </c>
      <c r="D800" t="s">
        <v>15</v>
      </c>
      <c r="E800" s="5">
        <v>99580.5</v>
      </c>
      <c r="F800" t="s">
        <v>1535</v>
      </c>
      <c r="G800" t="s">
        <v>80</v>
      </c>
      <c r="H800" t="s">
        <v>14</v>
      </c>
    </row>
    <row r="801" spans="1:8" x14ac:dyDescent="0.3">
      <c r="A801" t="s">
        <v>34</v>
      </c>
      <c r="B801" t="s">
        <v>12</v>
      </c>
      <c r="C801" t="s">
        <v>22</v>
      </c>
      <c r="D801" t="s">
        <v>15</v>
      </c>
      <c r="E801" s="5">
        <v>129942</v>
      </c>
      <c r="F801" t="s">
        <v>3170</v>
      </c>
      <c r="G801" t="s">
        <v>52</v>
      </c>
      <c r="H801" t="s">
        <v>69</v>
      </c>
    </row>
    <row r="802" spans="1:8" x14ac:dyDescent="0.3">
      <c r="A802" t="s">
        <v>72</v>
      </c>
      <c r="B802" t="s">
        <v>35</v>
      </c>
      <c r="C802" t="s">
        <v>14</v>
      </c>
      <c r="D802" t="s">
        <v>42</v>
      </c>
      <c r="E802" s="5">
        <v>104834.5</v>
      </c>
      <c r="F802" t="s">
        <v>1937</v>
      </c>
      <c r="G802" t="s">
        <v>101</v>
      </c>
      <c r="H802" t="s">
        <v>16</v>
      </c>
    </row>
    <row r="803" spans="1:8" x14ac:dyDescent="0.3">
      <c r="A803" t="s">
        <v>45</v>
      </c>
      <c r="B803" t="s">
        <v>67</v>
      </c>
      <c r="C803" t="s">
        <v>22</v>
      </c>
      <c r="D803" t="s">
        <v>42</v>
      </c>
      <c r="E803" s="5">
        <v>171267.5</v>
      </c>
      <c r="F803" t="s">
        <v>79</v>
      </c>
      <c r="G803" t="s">
        <v>80</v>
      </c>
      <c r="H803" t="s">
        <v>69</v>
      </c>
    </row>
    <row r="804" spans="1:8" x14ac:dyDescent="0.3">
      <c r="A804" t="s">
        <v>19</v>
      </c>
      <c r="B804" t="s">
        <v>67</v>
      </c>
      <c r="C804" t="s">
        <v>14</v>
      </c>
      <c r="D804" t="s">
        <v>51</v>
      </c>
      <c r="E804" s="5">
        <v>126044</v>
      </c>
      <c r="F804" t="s">
        <v>3144</v>
      </c>
      <c r="G804" t="s">
        <v>497</v>
      </c>
      <c r="H804" t="s">
        <v>16</v>
      </c>
    </row>
    <row r="805" spans="1:8" x14ac:dyDescent="0.3">
      <c r="A805" t="s">
        <v>34</v>
      </c>
      <c r="B805" t="s">
        <v>67</v>
      </c>
      <c r="C805" t="s">
        <v>22</v>
      </c>
      <c r="D805" t="s">
        <v>42</v>
      </c>
      <c r="E805" s="5">
        <v>170289</v>
      </c>
      <c r="F805" t="s">
        <v>1749</v>
      </c>
      <c r="G805" t="s">
        <v>362</v>
      </c>
      <c r="H805" t="s">
        <v>14</v>
      </c>
    </row>
    <row r="806" spans="1:8" x14ac:dyDescent="0.3">
      <c r="A806" t="s">
        <v>49</v>
      </c>
      <c r="B806" t="s">
        <v>135</v>
      </c>
      <c r="C806" t="s">
        <v>22</v>
      </c>
      <c r="D806" t="s">
        <v>42</v>
      </c>
      <c r="E806" s="5">
        <v>111402</v>
      </c>
      <c r="F806" t="s">
        <v>3518</v>
      </c>
      <c r="G806" t="s">
        <v>59</v>
      </c>
      <c r="H806" t="s">
        <v>69</v>
      </c>
    </row>
    <row r="807" spans="1:8" x14ac:dyDescent="0.3">
      <c r="A807" t="s">
        <v>72</v>
      </c>
      <c r="B807" t="s">
        <v>12</v>
      </c>
      <c r="C807" t="s">
        <v>27</v>
      </c>
      <c r="D807" t="s">
        <v>42</v>
      </c>
      <c r="E807" s="5">
        <v>154662</v>
      </c>
      <c r="F807" t="s">
        <v>3623</v>
      </c>
      <c r="G807" t="s">
        <v>70</v>
      </c>
      <c r="H807" t="s">
        <v>14</v>
      </c>
    </row>
    <row r="808" spans="1:8" x14ac:dyDescent="0.3">
      <c r="A808" t="s">
        <v>40</v>
      </c>
      <c r="B808" t="s">
        <v>30</v>
      </c>
      <c r="C808" t="s">
        <v>27</v>
      </c>
      <c r="D808" t="s">
        <v>37</v>
      </c>
      <c r="E808" s="5">
        <v>100803.5</v>
      </c>
      <c r="F808" t="s">
        <v>2064</v>
      </c>
      <c r="G808" t="s">
        <v>52</v>
      </c>
      <c r="H808" t="s">
        <v>69</v>
      </c>
    </row>
    <row r="809" spans="1:8" x14ac:dyDescent="0.3">
      <c r="A809" t="s">
        <v>45</v>
      </c>
      <c r="B809" t="s">
        <v>54</v>
      </c>
      <c r="C809" t="s">
        <v>27</v>
      </c>
      <c r="D809" t="s">
        <v>15</v>
      </c>
      <c r="E809" s="5">
        <v>155899</v>
      </c>
      <c r="F809" t="s">
        <v>1107</v>
      </c>
      <c r="G809" t="s">
        <v>507</v>
      </c>
      <c r="H809" t="s">
        <v>14</v>
      </c>
    </row>
    <row r="810" spans="1:8" x14ac:dyDescent="0.3">
      <c r="A810" t="s">
        <v>72</v>
      </c>
      <c r="B810" t="s">
        <v>54</v>
      </c>
      <c r="C810" t="s">
        <v>22</v>
      </c>
      <c r="D810" t="s">
        <v>15</v>
      </c>
      <c r="E810" s="5">
        <v>86525</v>
      </c>
      <c r="F810" t="s">
        <v>3184</v>
      </c>
      <c r="G810" t="s">
        <v>507</v>
      </c>
      <c r="H810" t="s">
        <v>69</v>
      </c>
    </row>
    <row r="811" spans="1:8" x14ac:dyDescent="0.3">
      <c r="A811" t="s">
        <v>40</v>
      </c>
      <c r="B811" t="s">
        <v>35</v>
      </c>
      <c r="C811" t="s">
        <v>22</v>
      </c>
      <c r="D811" t="s">
        <v>42</v>
      </c>
      <c r="E811" s="5">
        <v>59837.5</v>
      </c>
      <c r="F811" t="s">
        <v>4146</v>
      </c>
      <c r="G811" t="s">
        <v>696</v>
      </c>
      <c r="H811" t="s">
        <v>16</v>
      </c>
    </row>
    <row r="812" spans="1:8" x14ac:dyDescent="0.3">
      <c r="A812" t="s">
        <v>34</v>
      </c>
      <c r="B812" t="s">
        <v>20</v>
      </c>
      <c r="C812" t="s">
        <v>22</v>
      </c>
      <c r="D812" t="s">
        <v>42</v>
      </c>
      <c r="E812" s="5">
        <v>98310</v>
      </c>
      <c r="F812" t="s">
        <v>3206</v>
      </c>
      <c r="G812" t="s">
        <v>3207</v>
      </c>
      <c r="H812" t="s">
        <v>69</v>
      </c>
    </row>
    <row r="813" spans="1:8" x14ac:dyDescent="0.3">
      <c r="A813" t="s">
        <v>11</v>
      </c>
      <c r="B813" t="s">
        <v>35</v>
      </c>
      <c r="C813" t="s">
        <v>14</v>
      </c>
      <c r="D813" t="s">
        <v>37</v>
      </c>
      <c r="E813" s="5">
        <v>130611</v>
      </c>
      <c r="F813" t="s">
        <v>1408</v>
      </c>
      <c r="G813" t="s">
        <v>1042</v>
      </c>
      <c r="H813" t="s">
        <v>16</v>
      </c>
    </row>
    <row r="814" spans="1:8" x14ac:dyDescent="0.3">
      <c r="A814" t="s">
        <v>72</v>
      </c>
      <c r="B814" t="s">
        <v>135</v>
      </c>
      <c r="C814" t="s">
        <v>14</v>
      </c>
      <c r="D814" t="s">
        <v>42</v>
      </c>
      <c r="E814" s="5">
        <v>174059</v>
      </c>
      <c r="F814" t="s">
        <v>3086</v>
      </c>
      <c r="G814" t="s">
        <v>2470</v>
      </c>
      <c r="H814" t="s">
        <v>16</v>
      </c>
    </row>
    <row r="815" spans="1:8" x14ac:dyDescent="0.3">
      <c r="A815" t="s">
        <v>19</v>
      </c>
      <c r="B815" t="s">
        <v>67</v>
      </c>
      <c r="C815" t="s">
        <v>27</v>
      </c>
      <c r="D815" t="s">
        <v>51</v>
      </c>
      <c r="E815" s="5">
        <v>143227.5</v>
      </c>
      <c r="F815" t="s">
        <v>2514</v>
      </c>
      <c r="G815" t="s">
        <v>229</v>
      </c>
      <c r="H815" t="s">
        <v>16</v>
      </c>
    </row>
    <row r="816" spans="1:8" x14ac:dyDescent="0.3">
      <c r="A816" t="s">
        <v>19</v>
      </c>
      <c r="B816" t="s">
        <v>30</v>
      </c>
      <c r="C816" t="s">
        <v>27</v>
      </c>
      <c r="D816" t="s">
        <v>42</v>
      </c>
      <c r="E816" s="5">
        <v>115909.5</v>
      </c>
      <c r="F816" t="s">
        <v>2480</v>
      </c>
      <c r="G816" t="s">
        <v>101</v>
      </c>
      <c r="H816" t="s">
        <v>14</v>
      </c>
    </row>
    <row r="817" spans="1:8" x14ac:dyDescent="0.3">
      <c r="A817" t="s">
        <v>11</v>
      </c>
      <c r="B817" t="s">
        <v>30</v>
      </c>
      <c r="C817" t="s">
        <v>27</v>
      </c>
      <c r="D817" t="s">
        <v>42</v>
      </c>
      <c r="E817" s="5">
        <v>86111</v>
      </c>
      <c r="F817" t="s">
        <v>3812</v>
      </c>
      <c r="G817" t="s">
        <v>561</v>
      </c>
      <c r="H817" t="s">
        <v>14</v>
      </c>
    </row>
    <row r="818" spans="1:8" x14ac:dyDescent="0.3">
      <c r="A818" t="s">
        <v>19</v>
      </c>
      <c r="B818" t="s">
        <v>12</v>
      </c>
      <c r="C818" t="s">
        <v>14</v>
      </c>
      <c r="D818" t="s">
        <v>51</v>
      </c>
      <c r="E818" s="5">
        <v>90295</v>
      </c>
      <c r="F818" t="s">
        <v>570</v>
      </c>
      <c r="G818" t="s">
        <v>353</v>
      </c>
      <c r="H818" t="s">
        <v>14</v>
      </c>
    </row>
    <row r="819" spans="1:8" x14ac:dyDescent="0.3">
      <c r="A819" t="s">
        <v>19</v>
      </c>
      <c r="B819" t="s">
        <v>20</v>
      </c>
      <c r="C819" t="s">
        <v>14</v>
      </c>
      <c r="D819" t="s">
        <v>15</v>
      </c>
      <c r="E819" s="5">
        <v>100867.5</v>
      </c>
      <c r="F819" t="s">
        <v>786</v>
      </c>
      <c r="G819" t="s">
        <v>128</v>
      </c>
      <c r="H819" t="s">
        <v>14</v>
      </c>
    </row>
    <row r="820" spans="1:8" x14ac:dyDescent="0.3">
      <c r="A820" t="s">
        <v>40</v>
      </c>
      <c r="B820" t="s">
        <v>67</v>
      </c>
      <c r="C820" t="s">
        <v>27</v>
      </c>
      <c r="D820" t="s">
        <v>42</v>
      </c>
      <c r="E820" s="5">
        <v>150943.5</v>
      </c>
      <c r="F820" t="s">
        <v>1540</v>
      </c>
      <c r="G820" t="s">
        <v>101</v>
      </c>
      <c r="H820" t="s">
        <v>14</v>
      </c>
    </row>
    <row r="821" spans="1:8" x14ac:dyDescent="0.3">
      <c r="A821" t="s">
        <v>11</v>
      </c>
      <c r="B821" t="s">
        <v>25</v>
      </c>
      <c r="C821" t="s">
        <v>27</v>
      </c>
      <c r="D821" t="s">
        <v>15</v>
      </c>
      <c r="E821" s="5">
        <v>194145.5</v>
      </c>
      <c r="F821" t="s">
        <v>2977</v>
      </c>
      <c r="G821" t="s">
        <v>386</v>
      </c>
      <c r="H821" t="s">
        <v>16</v>
      </c>
    </row>
    <row r="822" spans="1:8" x14ac:dyDescent="0.3">
      <c r="A822" t="s">
        <v>72</v>
      </c>
      <c r="B822" t="s">
        <v>54</v>
      </c>
      <c r="C822" t="s">
        <v>14</v>
      </c>
      <c r="D822" t="s">
        <v>51</v>
      </c>
      <c r="E822" s="5">
        <v>109410</v>
      </c>
      <c r="F822" t="s">
        <v>2124</v>
      </c>
      <c r="G822" t="s">
        <v>157</v>
      </c>
      <c r="H822" t="s">
        <v>16</v>
      </c>
    </row>
    <row r="823" spans="1:8" x14ac:dyDescent="0.3">
      <c r="A823" t="s">
        <v>45</v>
      </c>
      <c r="B823" t="s">
        <v>25</v>
      </c>
      <c r="C823" t="s">
        <v>22</v>
      </c>
      <c r="D823" t="s">
        <v>42</v>
      </c>
      <c r="E823" s="5">
        <v>86563</v>
      </c>
      <c r="F823" t="s">
        <v>1883</v>
      </c>
      <c r="G823" t="s">
        <v>172</v>
      </c>
      <c r="H823" t="s">
        <v>16</v>
      </c>
    </row>
    <row r="824" spans="1:8" x14ac:dyDescent="0.3">
      <c r="A824" t="s">
        <v>19</v>
      </c>
      <c r="B824" t="s">
        <v>12</v>
      </c>
      <c r="C824" t="s">
        <v>14</v>
      </c>
      <c r="D824" t="s">
        <v>51</v>
      </c>
      <c r="E824" s="5">
        <v>168413</v>
      </c>
      <c r="F824" t="s">
        <v>1178</v>
      </c>
      <c r="G824" t="s">
        <v>235</v>
      </c>
      <c r="H824" t="s">
        <v>14</v>
      </c>
    </row>
    <row r="825" spans="1:8" x14ac:dyDescent="0.3">
      <c r="A825" t="s">
        <v>72</v>
      </c>
      <c r="B825" t="s">
        <v>35</v>
      </c>
      <c r="C825" t="s">
        <v>27</v>
      </c>
      <c r="D825" t="s">
        <v>37</v>
      </c>
      <c r="E825" s="5">
        <v>96462.5</v>
      </c>
      <c r="F825" t="s">
        <v>4136</v>
      </c>
      <c r="G825" t="s">
        <v>954</v>
      </c>
      <c r="H825" t="s">
        <v>16</v>
      </c>
    </row>
    <row r="826" spans="1:8" x14ac:dyDescent="0.3">
      <c r="A826" t="s">
        <v>34</v>
      </c>
      <c r="B826" t="s">
        <v>25</v>
      </c>
      <c r="C826" t="s">
        <v>27</v>
      </c>
      <c r="D826" t="s">
        <v>37</v>
      </c>
      <c r="E826" s="5">
        <v>125136.5</v>
      </c>
      <c r="F826" t="s">
        <v>572</v>
      </c>
      <c r="G826" t="s">
        <v>52</v>
      </c>
      <c r="H826" t="s">
        <v>16</v>
      </c>
    </row>
    <row r="827" spans="1:8" x14ac:dyDescent="0.3">
      <c r="A827" t="s">
        <v>40</v>
      </c>
      <c r="B827" t="s">
        <v>67</v>
      </c>
      <c r="C827" t="s">
        <v>14</v>
      </c>
      <c r="D827" t="s">
        <v>15</v>
      </c>
      <c r="E827" s="5">
        <v>151141.5</v>
      </c>
      <c r="F827" t="s">
        <v>361</v>
      </c>
      <c r="G827" t="s">
        <v>362</v>
      </c>
      <c r="H827" t="s">
        <v>69</v>
      </c>
    </row>
    <row r="828" spans="1:8" x14ac:dyDescent="0.3">
      <c r="A828" t="s">
        <v>11</v>
      </c>
      <c r="B828" t="s">
        <v>25</v>
      </c>
      <c r="C828" t="s">
        <v>22</v>
      </c>
      <c r="D828" t="s">
        <v>15</v>
      </c>
      <c r="E828" s="5">
        <v>184756</v>
      </c>
      <c r="F828" t="s">
        <v>184</v>
      </c>
      <c r="G828" t="s">
        <v>185</v>
      </c>
      <c r="H828" t="s">
        <v>69</v>
      </c>
    </row>
    <row r="829" spans="1:8" x14ac:dyDescent="0.3">
      <c r="A829" t="s">
        <v>45</v>
      </c>
      <c r="B829" t="s">
        <v>30</v>
      </c>
      <c r="C829" t="s">
        <v>27</v>
      </c>
      <c r="D829" t="s">
        <v>42</v>
      </c>
      <c r="E829" s="5">
        <v>137174.5</v>
      </c>
      <c r="F829" t="s">
        <v>3753</v>
      </c>
      <c r="G829" t="s">
        <v>3344</v>
      </c>
      <c r="H829" t="s">
        <v>69</v>
      </c>
    </row>
    <row r="830" spans="1:8" x14ac:dyDescent="0.3">
      <c r="A830" t="s">
        <v>72</v>
      </c>
      <c r="B830" t="s">
        <v>20</v>
      </c>
      <c r="C830" t="s">
        <v>14</v>
      </c>
      <c r="D830" t="s">
        <v>51</v>
      </c>
      <c r="E830" s="5">
        <v>111984.5</v>
      </c>
      <c r="F830" t="s">
        <v>958</v>
      </c>
      <c r="G830" t="s">
        <v>959</v>
      </c>
      <c r="H830" t="s">
        <v>16</v>
      </c>
    </row>
    <row r="831" spans="1:8" x14ac:dyDescent="0.3">
      <c r="A831" t="s">
        <v>45</v>
      </c>
      <c r="B831" t="s">
        <v>135</v>
      </c>
      <c r="C831" t="s">
        <v>22</v>
      </c>
      <c r="D831" t="s">
        <v>15</v>
      </c>
      <c r="E831" s="5">
        <v>166592</v>
      </c>
      <c r="F831" t="s">
        <v>4240</v>
      </c>
      <c r="G831" t="s">
        <v>462</v>
      </c>
      <c r="H831" t="s">
        <v>69</v>
      </c>
    </row>
    <row r="832" spans="1:8" x14ac:dyDescent="0.3">
      <c r="A832" t="s">
        <v>49</v>
      </c>
      <c r="B832" t="s">
        <v>30</v>
      </c>
      <c r="C832" t="s">
        <v>27</v>
      </c>
      <c r="D832" t="s">
        <v>42</v>
      </c>
      <c r="E832" s="5">
        <v>121384</v>
      </c>
      <c r="F832" t="s">
        <v>665</v>
      </c>
      <c r="G832" t="s">
        <v>666</v>
      </c>
      <c r="H832" t="s">
        <v>14</v>
      </c>
    </row>
    <row r="833" spans="1:8" x14ac:dyDescent="0.3">
      <c r="A833" t="s">
        <v>19</v>
      </c>
      <c r="B833" t="s">
        <v>25</v>
      </c>
      <c r="C833" t="s">
        <v>22</v>
      </c>
      <c r="D833" t="s">
        <v>15</v>
      </c>
      <c r="E833" s="5">
        <v>74513</v>
      </c>
      <c r="F833" t="s">
        <v>118</v>
      </c>
      <c r="G833" t="s">
        <v>119</v>
      </c>
      <c r="H833" t="s">
        <v>69</v>
      </c>
    </row>
    <row r="834" spans="1:8" x14ac:dyDescent="0.3">
      <c r="A834" t="s">
        <v>34</v>
      </c>
      <c r="B834" t="s">
        <v>35</v>
      </c>
      <c r="C834" t="s">
        <v>14</v>
      </c>
      <c r="D834" t="s">
        <v>37</v>
      </c>
      <c r="E834" s="5">
        <v>105064</v>
      </c>
      <c r="F834" t="s">
        <v>768</v>
      </c>
      <c r="G834" t="s">
        <v>270</v>
      </c>
      <c r="H834" t="s">
        <v>14</v>
      </c>
    </row>
    <row r="835" spans="1:8" x14ac:dyDescent="0.3">
      <c r="A835" t="s">
        <v>11</v>
      </c>
      <c r="B835" t="s">
        <v>30</v>
      </c>
      <c r="C835" t="s">
        <v>22</v>
      </c>
      <c r="D835" t="s">
        <v>15</v>
      </c>
      <c r="E835" s="5">
        <v>81453.5</v>
      </c>
      <c r="F835" t="s">
        <v>1280</v>
      </c>
      <c r="G835" t="s">
        <v>680</v>
      </c>
      <c r="H835" t="s">
        <v>14</v>
      </c>
    </row>
    <row r="836" spans="1:8" x14ac:dyDescent="0.3">
      <c r="A836" t="s">
        <v>49</v>
      </c>
      <c r="B836" t="s">
        <v>67</v>
      </c>
      <c r="C836" t="s">
        <v>22</v>
      </c>
      <c r="D836" t="s">
        <v>42</v>
      </c>
      <c r="E836" s="5">
        <v>163032.5</v>
      </c>
      <c r="F836" t="s">
        <v>2802</v>
      </c>
      <c r="G836" t="s">
        <v>90</v>
      </c>
      <c r="H836" t="s">
        <v>69</v>
      </c>
    </row>
    <row r="837" spans="1:8" x14ac:dyDescent="0.3">
      <c r="A837" t="s">
        <v>40</v>
      </c>
      <c r="B837" t="s">
        <v>20</v>
      </c>
      <c r="C837" t="s">
        <v>14</v>
      </c>
      <c r="D837" t="s">
        <v>37</v>
      </c>
      <c r="E837" s="5">
        <v>100045.5</v>
      </c>
      <c r="F837" t="s">
        <v>860</v>
      </c>
      <c r="G837" t="s">
        <v>194</v>
      </c>
      <c r="H837" t="s">
        <v>16</v>
      </c>
    </row>
    <row r="838" spans="1:8" x14ac:dyDescent="0.3">
      <c r="A838" t="s">
        <v>45</v>
      </c>
      <c r="B838" t="s">
        <v>12</v>
      </c>
      <c r="C838" t="s">
        <v>22</v>
      </c>
      <c r="D838" t="s">
        <v>51</v>
      </c>
      <c r="E838" s="5">
        <v>131482.5</v>
      </c>
      <c r="F838" t="s">
        <v>1508</v>
      </c>
      <c r="G838" t="s">
        <v>1509</v>
      </c>
      <c r="H838" t="s">
        <v>69</v>
      </c>
    </row>
    <row r="839" spans="1:8" x14ac:dyDescent="0.3">
      <c r="A839" t="s">
        <v>72</v>
      </c>
      <c r="B839" t="s">
        <v>135</v>
      </c>
      <c r="C839" t="s">
        <v>27</v>
      </c>
      <c r="D839" t="s">
        <v>51</v>
      </c>
      <c r="E839" s="5">
        <v>143687</v>
      </c>
      <c r="F839" t="s">
        <v>2304</v>
      </c>
      <c r="G839" t="s">
        <v>420</v>
      </c>
      <c r="H839" t="s">
        <v>16</v>
      </c>
    </row>
    <row r="840" spans="1:8" x14ac:dyDescent="0.3">
      <c r="A840" t="s">
        <v>34</v>
      </c>
      <c r="B840" t="s">
        <v>25</v>
      </c>
      <c r="C840" t="s">
        <v>14</v>
      </c>
      <c r="D840" t="s">
        <v>37</v>
      </c>
      <c r="E840" s="5">
        <v>105607.5</v>
      </c>
      <c r="F840" t="s">
        <v>2344</v>
      </c>
      <c r="G840" t="s">
        <v>90</v>
      </c>
      <c r="H840" t="s">
        <v>16</v>
      </c>
    </row>
    <row r="841" spans="1:8" x14ac:dyDescent="0.3">
      <c r="A841" t="s">
        <v>40</v>
      </c>
      <c r="B841" t="s">
        <v>30</v>
      </c>
      <c r="C841" t="s">
        <v>27</v>
      </c>
      <c r="D841" t="s">
        <v>42</v>
      </c>
      <c r="E841" s="5">
        <v>111885</v>
      </c>
      <c r="F841" t="s">
        <v>2530</v>
      </c>
      <c r="G841" t="s">
        <v>235</v>
      </c>
      <c r="H841" t="s">
        <v>69</v>
      </c>
    </row>
    <row r="842" spans="1:8" x14ac:dyDescent="0.3">
      <c r="A842" t="s">
        <v>45</v>
      </c>
      <c r="B842" t="s">
        <v>135</v>
      </c>
      <c r="C842" t="s">
        <v>22</v>
      </c>
      <c r="D842" t="s">
        <v>15</v>
      </c>
      <c r="E842" s="5">
        <v>153727.5</v>
      </c>
      <c r="F842" t="s">
        <v>1799</v>
      </c>
      <c r="G842" t="s">
        <v>1800</v>
      </c>
      <c r="H842" t="s">
        <v>14</v>
      </c>
    </row>
    <row r="843" spans="1:8" x14ac:dyDescent="0.3">
      <c r="A843" t="s">
        <v>19</v>
      </c>
      <c r="B843" t="s">
        <v>35</v>
      </c>
      <c r="C843" t="s">
        <v>22</v>
      </c>
      <c r="D843" t="s">
        <v>15</v>
      </c>
      <c r="E843" s="5">
        <v>107413</v>
      </c>
      <c r="F843" t="s">
        <v>1966</v>
      </c>
      <c r="G843" t="s">
        <v>1967</v>
      </c>
      <c r="H843" t="s">
        <v>14</v>
      </c>
    </row>
    <row r="844" spans="1:8" x14ac:dyDescent="0.3">
      <c r="A844" t="s">
        <v>40</v>
      </c>
      <c r="B844" t="s">
        <v>20</v>
      </c>
      <c r="C844" t="s">
        <v>14</v>
      </c>
      <c r="D844" t="s">
        <v>15</v>
      </c>
      <c r="E844" s="5">
        <v>151198.5</v>
      </c>
      <c r="F844" t="s">
        <v>3486</v>
      </c>
      <c r="G844" t="s">
        <v>52</v>
      </c>
      <c r="H844" t="s">
        <v>16</v>
      </c>
    </row>
    <row r="845" spans="1:8" x14ac:dyDescent="0.3">
      <c r="A845" t="s">
        <v>11</v>
      </c>
      <c r="B845" t="s">
        <v>30</v>
      </c>
      <c r="C845" t="s">
        <v>14</v>
      </c>
      <c r="D845" t="s">
        <v>15</v>
      </c>
      <c r="E845" s="5">
        <v>133328.5</v>
      </c>
      <c r="F845" t="s">
        <v>459</v>
      </c>
      <c r="G845" t="s">
        <v>70</v>
      </c>
      <c r="H845" t="s">
        <v>16</v>
      </c>
    </row>
    <row r="846" spans="1:8" x14ac:dyDescent="0.3">
      <c r="A846" t="s">
        <v>40</v>
      </c>
      <c r="B846" t="s">
        <v>25</v>
      </c>
      <c r="C846" t="s">
        <v>22</v>
      </c>
      <c r="D846" t="s">
        <v>51</v>
      </c>
      <c r="E846" s="5">
        <v>164671.5</v>
      </c>
      <c r="F846" t="s">
        <v>3506</v>
      </c>
      <c r="G846" t="s">
        <v>101</v>
      </c>
      <c r="H846" t="s">
        <v>69</v>
      </c>
    </row>
    <row r="847" spans="1:8" x14ac:dyDescent="0.3">
      <c r="A847" t="s">
        <v>40</v>
      </c>
      <c r="B847" t="s">
        <v>135</v>
      </c>
      <c r="C847" t="s">
        <v>27</v>
      </c>
      <c r="D847" t="s">
        <v>15</v>
      </c>
      <c r="E847" s="5">
        <v>144666.5</v>
      </c>
      <c r="F847" t="s">
        <v>2820</v>
      </c>
      <c r="G847" t="s">
        <v>938</v>
      </c>
      <c r="H847" t="s">
        <v>16</v>
      </c>
    </row>
    <row r="848" spans="1:8" x14ac:dyDescent="0.3">
      <c r="A848" t="s">
        <v>11</v>
      </c>
      <c r="B848" t="s">
        <v>20</v>
      </c>
      <c r="C848" t="s">
        <v>22</v>
      </c>
      <c r="D848" t="s">
        <v>42</v>
      </c>
      <c r="E848" s="5">
        <v>123076.5</v>
      </c>
      <c r="F848" t="s">
        <v>318</v>
      </c>
      <c r="G848" t="s">
        <v>319</v>
      </c>
      <c r="H848" t="s">
        <v>14</v>
      </c>
    </row>
    <row r="849" spans="1:8" x14ac:dyDescent="0.3">
      <c r="A849" t="s">
        <v>40</v>
      </c>
      <c r="B849" t="s">
        <v>67</v>
      </c>
      <c r="C849" t="s">
        <v>22</v>
      </c>
      <c r="D849" t="s">
        <v>15</v>
      </c>
      <c r="E849" s="5">
        <v>188397</v>
      </c>
      <c r="F849" t="s">
        <v>4152</v>
      </c>
      <c r="G849" t="s">
        <v>128</v>
      </c>
      <c r="H849" t="s">
        <v>69</v>
      </c>
    </row>
    <row r="850" spans="1:8" x14ac:dyDescent="0.3">
      <c r="A850" t="s">
        <v>72</v>
      </c>
      <c r="B850" t="s">
        <v>135</v>
      </c>
      <c r="C850" t="s">
        <v>14</v>
      </c>
      <c r="D850" t="s">
        <v>15</v>
      </c>
      <c r="E850" s="5">
        <v>102335.5</v>
      </c>
      <c r="F850" t="s">
        <v>3454</v>
      </c>
      <c r="G850" t="s">
        <v>90</v>
      </c>
      <c r="H850" t="s">
        <v>69</v>
      </c>
    </row>
    <row r="851" spans="1:8" x14ac:dyDescent="0.3">
      <c r="A851" t="s">
        <v>45</v>
      </c>
      <c r="B851" t="s">
        <v>135</v>
      </c>
      <c r="C851" t="s">
        <v>22</v>
      </c>
      <c r="D851" t="s">
        <v>51</v>
      </c>
      <c r="E851" s="5">
        <v>132588</v>
      </c>
      <c r="F851" t="s">
        <v>1567</v>
      </c>
      <c r="G851" t="s">
        <v>77</v>
      </c>
      <c r="H851" t="s">
        <v>69</v>
      </c>
    </row>
    <row r="852" spans="1:8" x14ac:dyDescent="0.3">
      <c r="A852" t="s">
        <v>40</v>
      </c>
      <c r="B852" t="s">
        <v>54</v>
      </c>
      <c r="C852" t="s">
        <v>22</v>
      </c>
      <c r="D852" t="s">
        <v>51</v>
      </c>
      <c r="E852" s="5">
        <v>158606.5</v>
      </c>
      <c r="F852" t="s">
        <v>3073</v>
      </c>
      <c r="G852" t="s">
        <v>1487</v>
      </c>
      <c r="H852" t="s">
        <v>16</v>
      </c>
    </row>
    <row r="853" spans="1:8" x14ac:dyDescent="0.3">
      <c r="A853" t="s">
        <v>45</v>
      </c>
      <c r="B853" t="s">
        <v>12</v>
      </c>
      <c r="C853" t="s">
        <v>14</v>
      </c>
      <c r="D853" t="s">
        <v>37</v>
      </c>
      <c r="E853" s="5">
        <v>93707.5</v>
      </c>
      <c r="F853" t="s">
        <v>1157</v>
      </c>
      <c r="G853" t="s">
        <v>1158</v>
      </c>
      <c r="H853" t="s">
        <v>69</v>
      </c>
    </row>
    <row r="854" spans="1:8" x14ac:dyDescent="0.3">
      <c r="A854" t="s">
        <v>40</v>
      </c>
      <c r="B854" t="s">
        <v>35</v>
      </c>
      <c r="C854" t="s">
        <v>22</v>
      </c>
      <c r="D854" t="s">
        <v>37</v>
      </c>
      <c r="E854" s="5">
        <v>113347</v>
      </c>
      <c r="F854" t="s">
        <v>3049</v>
      </c>
      <c r="G854" t="s">
        <v>1057</v>
      </c>
      <c r="H854" t="s">
        <v>69</v>
      </c>
    </row>
    <row r="855" spans="1:8" x14ac:dyDescent="0.3">
      <c r="A855" t="s">
        <v>45</v>
      </c>
      <c r="B855" t="s">
        <v>12</v>
      </c>
      <c r="C855" t="s">
        <v>22</v>
      </c>
      <c r="D855" t="s">
        <v>42</v>
      </c>
      <c r="E855" s="5">
        <v>134557.5</v>
      </c>
      <c r="F855" t="s">
        <v>1167</v>
      </c>
      <c r="G855" t="s">
        <v>1067</v>
      </c>
      <c r="H855" t="s">
        <v>14</v>
      </c>
    </row>
    <row r="856" spans="1:8" x14ac:dyDescent="0.3">
      <c r="A856" t="s">
        <v>40</v>
      </c>
      <c r="B856" t="s">
        <v>54</v>
      </c>
      <c r="C856" t="s">
        <v>22</v>
      </c>
      <c r="D856" t="s">
        <v>37</v>
      </c>
      <c r="E856" s="5">
        <v>93430.5</v>
      </c>
      <c r="F856" t="s">
        <v>2008</v>
      </c>
      <c r="G856" t="s">
        <v>77</v>
      </c>
      <c r="H856" t="s">
        <v>69</v>
      </c>
    </row>
    <row r="857" spans="1:8" x14ac:dyDescent="0.3">
      <c r="A857" t="s">
        <v>34</v>
      </c>
      <c r="B857" t="s">
        <v>35</v>
      </c>
      <c r="C857" t="s">
        <v>22</v>
      </c>
      <c r="D857" t="s">
        <v>42</v>
      </c>
      <c r="E857" s="5">
        <v>106543</v>
      </c>
      <c r="F857" t="s">
        <v>731</v>
      </c>
      <c r="G857" t="s">
        <v>122</v>
      </c>
      <c r="H857" t="s">
        <v>16</v>
      </c>
    </row>
    <row r="858" spans="1:8" x14ac:dyDescent="0.3">
      <c r="A858" t="s">
        <v>19</v>
      </c>
      <c r="B858" t="s">
        <v>67</v>
      </c>
      <c r="C858" t="s">
        <v>27</v>
      </c>
      <c r="D858" t="s">
        <v>42</v>
      </c>
      <c r="E858" s="5">
        <v>96796</v>
      </c>
      <c r="F858" t="s">
        <v>2312</v>
      </c>
      <c r="G858" t="s">
        <v>101</v>
      </c>
      <c r="H858" t="s">
        <v>16</v>
      </c>
    </row>
    <row r="859" spans="1:8" x14ac:dyDescent="0.3">
      <c r="A859" t="s">
        <v>11</v>
      </c>
      <c r="B859" t="s">
        <v>54</v>
      </c>
      <c r="C859" t="s">
        <v>14</v>
      </c>
      <c r="D859" t="s">
        <v>37</v>
      </c>
      <c r="E859" s="5">
        <v>171281</v>
      </c>
      <c r="F859" t="s">
        <v>3372</v>
      </c>
      <c r="G859" t="s">
        <v>157</v>
      </c>
      <c r="H859" t="s">
        <v>16</v>
      </c>
    </row>
    <row r="860" spans="1:8" x14ac:dyDescent="0.3">
      <c r="A860" t="s">
        <v>19</v>
      </c>
      <c r="B860" t="s">
        <v>35</v>
      </c>
      <c r="C860" t="s">
        <v>27</v>
      </c>
      <c r="D860" t="s">
        <v>51</v>
      </c>
      <c r="E860" s="5">
        <v>112967.5</v>
      </c>
      <c r="F860" t="s">
        <v>61</v>
      </c>
      <c r="G860" t="s">
        <v>62</v>
      </c>
      <c r="H860" t="s">
        <v>16</v>
      </c>
    </row>
    <row r="861" spans="1:8" x14ac:dyDescent="0.3">
      <c r="A861" t="s">
        <v>11</v>
      </c>
      <c r="B861" t="s">
        <v>12</v>
      </c>
      <c r="C861" t="s">
        <v>27</v>
      </c>
      <c r="D861" t="s">
        <v>37</v>
      </c>
      <c r="E861" s="5">
        <v>152145</v>
      </c>
      <c r="F861" t="s">
        <v>298</v>
      </c>
      <c r="G861" t="s">
        <v>299</v>
      </c>
      <c r="H861" t="s">
        <v>16</v>
      </c>
    </row>
    <row r="862" spans="1:8" x14ac:dyDescent="0.3">
      <c r="A862" t="s">
        <v>11</v>
      </c>
      <c r="B862" t="s">
        <v>54</v>
      </c>
      <c r="C862" t="s">
        <v>14</v>
      </c>
      <c r="D862" t="s">
        <v>15</v>
      </c>
      <c r="E862" s="5">
        <v>174547</v>
      </c>
      <c r="F862" t="s">
        <v>3433</v>
      </c>
      <c r="G862" t="s">
        <v>77</v>
      </c>
      <c r="H862" t="s">
        <v>69</v>
      </c>
    </row>
    <row r="863" spans="1:8" x14ac:dyDescent="0.3">
      <c r="A863" t="s">
        <v>19</v>
      </c>
      <c r="B863" t="s">
        <v>35</v>
      </c>
      <c r="C863" t="s">
        <v>22</v>
      </c>
      <c r="D863" t="s">
        <v>15</v>
      </c>
      <c r="E863" s="5">
        <v>108761.5</v>
      </c>
      <c r="F863" t="s">
        <v>2658</v>
      </c>
      <c r="G863" t="s">
        <v>313</v>
      </c>
      <c r="H863" t="s">
        <v>14</v>
      </c>
    </row>
    <row r="864" spans="1:8" x14ac:dyDescent="0.3">
      <c r="A864" t="s">
        <v>34</v>
      </c>
      <c r="B864" t="s">
        <v>135</v>
      </c>
      <c r="C864" t="s">
        <v>14</v>
      </c>
      <c r="D864" t="s">
        <v>42</v>
      </c>
      <c r="E864" s="5">
        <v>78828.5</v>
      </c>
      <c r="F864" t="s">
        <v>1199</v>
      </c>
      <c r="G864" t="s">
        <v>677</v>
      </c>
      <c r="H864" t="s">
        <v>16</v>
      </c>
    </row>
    <row r="865" spans="1:8" x14ac:dyDescent="0.3">
      <c r="A865" t="s">
        <v>49</v>
      </c>
      <c r="B865" t="s">
        <v>30</v>
      </c>
      <c r="C865" t="s">
        <v>22</v>
      </c>
      <c r="D865" t="s">
        <v>37</v>
      </c>
      <c r="E865" s="5">
        <v>141615</v>
      </c>
      <c r="F865" t="s">
        <v>1369</v>
      </c>
      <c r="G865" t="s">
        <v>450</v>
      </c>
      <c r="H865" t="s">
        <v>69</v>
      </c>
    </row>
    <row r="866" spans="1:8" x14ac:dyDescent="0.3">
      <c r="A866" t="s">
        <v>49</v>
      </c>
      <c r="B866" t="s">
        <v>67</v>
      </c>
      <c r="C866" t="s">
        <v>22</v>
      </c>
      <c r="D866" t="s">
        <v>15</v>
      </c>
      <c r="E866" s="5">
        <v>61337</v>
      </c>
      <c r="F866" t="s">
        <v>3310</v>
      </c>
      <c r="G866" t="s">
        <v>52</v>
      </c>
      <c r="H866" t="s">
        <v>69</v>
      </c>
    </row>
    <row r="867" spans="1:8" x14ac:dyDescent="0.3">
      <c r="A867" t="s">
        <v>49</v>
      </c>
      <c r="B867" t="s">
        <v>35</v>
      </c>
      <c r="C867" t="s">
        <v>14</v>
      </c>
      <c r="D867" t="s">
        <v>51</v>
      </c>
      <c r="E867" s="5">
        <v>159588.5</v>
      </c>
      <c r="F867" t="s">
        <v>2831</v>
      </c>
      <c r="G867" t="s">
        <v>163</v>
      </c>
      <c r="H867" t="s">
        <v>16</v>
      </c>
    </row>
    <row r="868" spans="1:8" x14ac:dyDescent="0.3">
      <c r="A868" t="s">
        <v>19</v>
      </c>
      <c r="B868" t="s">
        <v>135</v>
      </c>
      <c r="C868" t="s">
        <v>14</v>
      </c>
      <c r="D868" t="s">
        <v>15</v>
      </c>
      <c r="E868" s="5">
        <v>173483</v>
      </c>
      <c r="F868" t="s">
        <v>3770</v>
      </c>
      <c r="G868" t="s">
        <v>52</v>
      </c>
      <c r="H868" t="s">
        <v>14</v>
      </c>
    </row>
    <row r="869" spans="1:8" x14ac:dyDescent="0.3">
      <c r="A869" t="s">
        <v>19</v>
      </c>
      <c r="B869" t="s">
        <v>20</v>
      </c>
      <c r="C869" t="s">
        <v>27</v>
      </c>
      <c r="D869" t="s">
        <v>15</v>
      </c>
      <c r="E869" s="5">
        <v>163615.5</v>
      </c>
      <c r="F869" t="s">
        <v>3360</v>
      </c>
      <c r="G869" t="s">
        <v>2416</v>
      </c>
      <c r="H869" t="s">
        <v>14</v>
      </c>
    </row>
    <row r="870" spans="1:8" x14ac:dyDescent="0.3">
      <c r="A870" t="s">
        <v>34</v>
      </c>
      <c r="B870" t="s">
        <v>67</v>
      </c>
      <c r="C870" t="s">
        <v>14</v>
      </c>
      <c r="D870" t="s">
        <v>37</v>
      </c>
      <c r="E870" s="5">
        <v>90127</v>
      </c>
      <c r="F870" t="s">
        <v>1964</v>
      </c>
      <c r="G870" t="s">
        <v>213</v>
      </c>
      <c r="H870" t="s">
        <v>69</v>
      </c>
    </row>
    <row r="871" spans="1:8" x14ac:dyDescent="0.3">
      <c r="A871" t="s">
        <v>72</v>
      </c>
      <c r="B871" t="s">
        <v>67</v>
      </c>
      <c r="C871" t="s">
        <v>14</v>
      </c>
      <c r="D871" t="s">
        <v>42</v>
      </c>
      <c r="E871" s="5">
        <v>177945</v>
      </c>
      <c r="F871" t="s">
        <v>370</v>
      </c>
      <c r="G871" t="s">
        <v>371</v>
      </c>
      <c r="H871" t="s">
        <v>14</v>
      </c>
    </row>
    <row r="872" spans="1:8" x14ac:dyDescent="0.3">
      <c r="A872" t="s">
        <v>40</v>
      </c>
      <c r="B872" t="s">
        <v>54</v>
      </c>
      <c r="C872" t="s">
        <v>22</v>
      </c>
      <c r="D872" t="s">
        <v>15</v>
      </c>
      <c r="E872" s="5">
        <v>151038.5</v>
      </c>
      <c r="F872" t="s">
        <v>2282</v>
      </c>
      <c r="G872" t="s">
        <v>450</v>
      </c>
      <c r="H872" t="s">
        <v>69</v>
      </c>
    </row>
    <row r="873" spans="1:8" x14ac:dyDescent="0.3">
      <c r="A873" t="s">
        <v>34</v>
      </c>
      <c r="B873" t="s">
        <v>35</v>
      </c>
      <c r="C873" t="s">
        <v>14</v>
      </c>
      <c r="D873" t="s">
        <v>37</v>
      </c>
      <c r="E873" s="5">
        <v>92090.5</v>
      </c>
      <c r="F873" t="s">
        <v>179</v>
      </c>
      <c r="G873" t="s">
        <v>90</v>
      </c>
      <c r="H873" t="s">
        <v>16</v>
      </c>
    </row>
    <row r="874" spans="1:8" x14ac:dyDescent="0.3">
      <c r="A874" t="s">
        <v>34</v>
      </c>
      <c r="B874" t="s">
        <v>25</v>
      </c>
      <c r="C874" t="s">
        <v>14</v>
      </c>
      <c r="D874" t="s">
        <v>37</v>
      </c>
      <c r="E874" s="5">
        <v>125497.5</v>
      </c>
      <c r="F874" t="s">
        <v>2532</v>
      </c>
      <c r="G874" t="s">
        <v>2533</v>
      </c>
      <c r="H874" t="s">
        <v>14</v>
      </c>
    </row>
    <row r="875" spans="1:8" x14ac:dyDescent="0.3">
      <c r="A875" t="s">
        <v>11</v>
      </c>
      <c r="B875" t="s">
        <v>67</v>
      </c>
      <c r="C875" t="s">
        <v>14</v>
      </c>
      <c r="D875" t="s">
        <v>42</v>
      </c>
      <c r="E875" s="5">
        <v>71013</v>
      </c>
      <c r="F875" t="s">
        <v>377</v>
      </c>
      <c r="G875" t="s">
        <v>378</v>
      </c>
      <c r="H875" t="s">
        <v>16</v>
      </c>
    </row>
    <row r="876" spans="1:8" x14ac:dyDescent="0.3">
      <c r="A876" t="s">
        <v>11</v>
      </c>
      <c r="B876" t="s">
        <v>67</v>
      </c>
      <c r="C876" t="s">
        <v>22</v>
      </c>
      <c r="D876" t="s">
        <v>42</v>
      </c>
      <c r="E876" s="5">
        <v>97354.5</v>
      </c>
      <c r="F876" t="s">
        <v>2231</v>
      </c>
      <c r="G876" t="s">
        <v>90</v>
      </c>
      <c r="H876" t="s">
        <v>14</v>
      </c>
    </row>
    <row r="877" spans="1:8" x14ac:dyDescent="0.3">
      <c r="A877" t="s">
        <v>72</v>
      </c>
      <c r="B877" t="s">
        <v>20</v>
      </c>
      <c r="C877" t="s">
        <v>14</v>
      </c>
      <c r="D877" t="s">
        <v>37</v>
      </c>
      <c r="E877" s="5">
        <v>153026</v>
      </c>
      <c r="F877" t="s">
        <v>301</v>
      </c>
      <c r="G877" t="s">
        <v>80</v>
      </c>
      <c r="H877" t="s">
        <v>14</v>
      </c>
    </row>
    <row r="878" spans="1:8" x14ac:dyDescent="0.3">
      <c r="A878" t="s">
        <v>19</v>
      </c>
      <c r="B878" t="s">
        <v>54</v>
      </c>
      <c r="C878" t="s">
        <v>27</v>
      </c>
      <c r="D878" t="s">
        <v>51</v>
      </c>
      <c r="E878" s="5">
        <v>112187</v>
      </c>
      <c r="F878" t="s">
        <v>2737</v>
      </c>
      <c r="G878" t="s">
        <v>333</v>
      </c>
      <c r="H878" t="s">
        <v>14</v>
      </c>
    </row>
    <row r="879" spans="1:8" x14ac:dyDescent="0.3">
      <c r="A879" t="s">
        <v>34</v>
      </c>
      <c r="B879" t="s">
        <v>12</v>
      </c>
      <c r="C879" t="s">
        <v>22</v>
      </c>
      <c r="D879" t="s">
        <v>51</v>
      </c>
      <c r="E879" s="5">
        <v>87312.5</v>
      </c>
      <c r="F879" t="s">
        <v>1285</v>
      </c>
      <c r="G879" t="s">
        <v>497</v>
      </c>
      <c r="H879" t="s">
        <v>14</v>
      </c>
    </row>
    <row r="880" spans="1:8" x14ac:dyDescent="0.3">
      <c r="A880" t="s">
        <v>40</v>
      </c>
      <c r="B880" t="s">
        <v>35</v>
      </c>
      <c r="C880" t="s">
        <v>22</v>
      </c>
      <c r="D880" t="s">
        <v>37</v>
      </c>
      <c r="E880" s="5">
        <v>71635.5</v>
      </c>
      <c r="F880" t="s">
        <v>2679</v>
      </c>
      <c r="G880" t="s">
        <v>2680</v>
      </c>
      <c r="H880" t="s">
        <v>14</v>
      </c>
    </row>
    <row r="881" spans="1:8" x14ac:dyDescent="0.3">
      <c r="A881" t="s">
        <v>49</v>
      </c>
      <c r="B881" t="s">
        <v>67</v>
      </c>
      <c r="C881" t="s">
        <v>14</v>
      </c>
      <c r="D881" t="s">
        <v>37</v>
      </c>
      <c r="E881" s="5">
        <v>127601</v>
      </c>
      <c r="F881" t="s">
        <v>1359</v>
      </c>
      <c r="G881" t="s">
        <v>773</v>
      </c>
      <c r="H881" t="s">
        <v>16</v>
      </c>
    </row>
    <row r="882" spans="1:8" x14ac:dyDescent="0.3">
      <c r="A882" t="s">
        <v>72</v>
      </c>
      <c r="B882" t="s">
        <v>30</v>
      </c>
      <c r="C882" t="s">
        <v>14</v>
      </c>
      <c r="D882" t="s">
        <v>15</v>
      </c>
      <c r="E882" s="5">
        <v>165588</v>
      </c>
      <c r="F882" t="s">
        <v>812</v>
      </c>
      <c r="G882" t="s">
        <v>813</v>
      </c>
      <c r="H882" t="s">
        <v>69</v>
      </c>
    </row>
    <row r="883" spans="1:8" x14ac:dyDescent="0.3">
      <c r="A883" t="s">
        <v>72</v>
      </c>
      <c r="B883" t="s">
        <v>54</v>
      </c>
      <c r="C883" t="s">
        <v>14</v>
      </c>
      <c r="D883" t="s">
        <v>37</v>
      </c>
      <c r="E883" s="5">
        <v>72690</v>
      </c>
      <c r="F883" t="s">
        <v>1033</v>
      </c>
      <c r="G883" t="s">
        <v>119</v>
      </c>
      <c r="H883" t="s">
        <v>16</v>
      </c>
    </row>
    <row r="884" spans="1:8" x14ac:dyDescent="0.3">
      <c r="A884" t="s">
        <v>19</v>
      </c>
      <c r="B884" t="s">
        <v>30</v>
      </c>
      <c r="C884" t="s">
        <v>14</v>
      </c>
      <c r="D884" t="s">
        <v>37</v>
      </c>
      <c r="E884" s="5">
        <v>80135.5</v>
      </c>
      <c r="F884" t="s">
        <v>124</v>
      </c>
      <c r="G884" t="s">
        <v>125</v>
      </c>
      <c r="H884" t="s">
        <v>69</v>
      </c>
    </row>
    <row r="885" spans="1:8" x14ac:dyDescent="0.3">
      <c r="A885" t="s">
        <v>72</v>
      </c>
      <c r="B885" t="s">
        <v>135</v>
      </c>
      <c r="C885" t="s">
        <v>14</v>
      </c>
      <c r="D885" t="s">
        <v>51</v>
      </c>
      <c r="E885" s="5">
        <v>65772</v>
      </c>
      <c r="F885" t="s">
        <v>973</v>
      </c>
      <c r="G885" t="s">
        <v>101</v>
      </c>
      <c r="H885" t="s">
        <v>14</v>
      </c>
    </row>
    <row r="886" spans="1:8" x14ac:dyDescent="0.3">
      <c r="A886" t="s">
        <v>45</v>
      </c>
      <c r="B886" t="s">
        <v>67</v>
      </c>
      <c r="C886" t="s">
        <v>14</v>
      </c>
      <c r="D886" t="s">
        <v>42</v>
      </c>
      <c r="E886" s="5">
        <v>161002</v>
      </c>
      <c r="F886" t="s">
        <v>3546</v>
      </c>
      <c r="G886" t="s">
        <v>70</v>
      </c>
      <c r="H886" t="s">
        <v>14</v>
      </c>
    </row>
    <row r="887" spans="1:8" x14ac:dyDescent="0.3">
      <c r="A887" t="s">
        <v>45</v>
      </c>
      <c r="B887" t="s">
        <v>35</v>
      </c>
      <c r="C887" t="s">
        <v>27</v>
      </c>
      <c r="D887" t="s">
        <v>51</v>
      </c>
      <c r="E887" s="5">
        <v>137623</v>
      </c>
      <c r="F887" t="s">
        <v>3680</v>
      </c>
      <c r="G887" t="s">
        <v>157</v>
      </c>
      <c r="H887" t="s">
        <v>16</v>
      </c>
    </row>
    <row r="888" spans="1:8" x14ac:dyDescent="0.3">
      <c r="A888" t="s">
        <v>19</v>
      </c>
      <c r="B888" t="s">
        <v>30</v>
      </c>
      <c r="C888" t="s">
        <v>27</v>
      </c>
      <c r="D888" t="s">
        <v>37</v>
      </c>
      <c r="E888" s="5">
        <v>62065</v>
      </c>
      <c r="F888" t="s">
        <v>1076</v>
      </c>
      <c r="G888" t="s">
        <v>52</v>
      </c>
      <c r="H888" t="s">
        <v>69</v>
      </c>
    </row>
    <row r="889" spans="1:8" x14ac:dyDescent="0.3">
      <c r="A889" t="s">
        <v>11</v>
      </c>
      <c r="B889" t="s">
        <v>20</v>
      </c>
      <c r="C889" t="s">
        <v>14</v>
      </c>
      <c r="D889" t="s">
        <v>15</v>
      </c>
      <c r="E889" s="5">
        <v>125729</v>
      </c>
      <c r="F889" t="s">
        <v>1611</v>
      </c>
      <c r="G889" t="s">
        <v>157</v>
      </c>
      <c r="H889" t="s">
        <v>16</v>
      </c>
    </row>
    <row r="890" spans="1:8" x14ac:dyDescent="0.3">
      <c r="A890" t="s">
        <v>45</v>
      </c>
      <c r="B890" t="s">
        <v>20</v>
      </c>
      <c r="C890" t="s">
        <v>27</v>
      </c>
      <c r="D890" t="s">
        <v>51</v>
      </c>
      <c r="E890" s="5">
        <v>131741.5</v>
      </c>
      <c r="F890" t="s">
        <v>1862</v>
      </c>
      <c r="G890" t="s">
        <v>338</v>
      </c>
      <c r="H890" t="s">
        <v>16</v>
      </c>
    </row>
    <row r="891" spans="1:8" x14ac:dyDescent="0.3">
      <c r="A891" t="s">
        <v>40</v>
      </c>
      <c r="B891" t="s">
        <v>12</v>
      </c>
      <c r="C891" t="s">
        <v>14</v>
      </c>
      <c r="D891" t="s">
        <v>37</v>
      </c>
      <c r="E891" s="5">
        <v>118564</v>
      </c>
      <c r="F891" t="s">
        <v>1041</v>
      </c>
      <c r="G891" t="s">
        <v>1042</v>
      </c>
      <c r="H891" t="s">
        <v>69</v>
      </c>
    </row>
    <row r="892" spans="1:8" x14ac:dyDescent="0.3">
      <c r="A892" t="s">
        <v>49</v>
      </c>
      <c r="B892" t="s">
        <v>54</v>
      </c>
      <c r="C892" t="s">
        <v>27</v>
      </c>
      <c r="D892" t="s">
        <v>37</v>
      </c>
      <c r="E892" s="5">
        <v>144383</v>
      </c>
      <c r="F892" t="s">
        <v>3621</v>
      </c>
      <c r="G892" t="s">
        <v>157</v>
      </c>
      <c r="H892" t="s">
        <v>69</v>
      </c>
    </row>
    <row r="893" spans="1:8" x14ac:dyDescent="0.3">
      <c r="A893" t="s">
        <v>72</v>
      </c>
      <c r="B893" t="s">
        <v>54</v>
      </c>
      <c r="C893" t="s">
        <v>27</v>
      </c>
      <c r="D893" t="s">
        <v>51</v>
      </c>
      <c r="E893" s="5">
        <v>91096</v>
      </c>
      <c r="F893" t="s">
        <v>4059</v>
      </c>
      <c r="G893" t="s">
        <v>394</v>
      </c>
      <c r="H893" t="s">
        <v>16</v>
      </c>
    </row>
    <row r="894" spans="1:8" x14ac:dyDescent="0.3">
      <c r="A894" t="s">
        <v>49</v>
      </c>
      <c r="B894" t="s">
        <v>135</v>
      </c>
      <c r="C894" t="s">
        <v>22</v>
      </c>
      <c r="D894" t="s">
        <v>15</v>
      </c>
      <c r="E894" s="5">
        <v>79159</v>
      </c>
      <c r="F894" t="s">
        <v>4104</v>
      </c>
      <c r="G894" t="s">
        <v>70</v>
      </c>
      <c r="H894" t="s">
        <v>69</v>
      </c>
    </row>
    <row r="895" spans="1:8" x14ac:dyDescent="0.3">
      <c r="A895" t="s">
        <v>45</v>
      </c>
      <c r="B895" t="s">
        <v>30</v>
      </c>
      <c r="C895" t="s">
        <v>27</v>
      </c>
      <c r="D895" t="s">
        <v>15</v>
      </c>
      <c r="E895" s="5">
        <v>62950</v>
      </c>
      <c r="F895" t="s">
        <v>1874</v>
      </c>
      <c r="G895" t="s">
        <v>157</v>
      </c>
      <c r="H895" t="s">
        <v>14</v>
      </c>
    </row>
    <row r="896" spans="1:8" x14ac:dyDescent="0.3">
      <c r="A896" t="s">
        <v>49</v>
      </c>
      <c r="B896" t="s">
        <v>25</v>
      </c>
      <c r="C896" t="s">
        <v>14</v>
      </c>
      <c r="D896" t="s">
        <v>37</v>
      </c>
      <c r="E896" s="5">
        <v>169681.5</v>
      </c>
      <c r="F896" t="s">
        <v>4027</v>
      </c>
      <c r="G896" t="s">
        <v>714</v>
      </c>
      <c r="H896" t="s">
        <v>69</v>
      </c>
    </row>
    <row r="897" spans="1:8" x14ac:dyDescent="0.3">
      <c r="A897" t="s">
        <v>34</v>
      </c>
      <c r="B897" t="s">
        <v>54</v>
      </c>
      <c r="C897" t="s">
        <v>14</v>
      </c>
      <c r="D897" t="s">
        <v>51</v>
      </c>
      <c r="E897" s="5">
        <v>140316</v>
      </c>
      <c r="F897" t="s">
        <v>3327</v>
      </c>
      <c r="G897" t="s">
        <v>618</v>
      </c>
      <c r="H897" t="s">
        <v>16</v>
      </c>
    </row>
    <row r="898" spans="1:8" x14ac:dyDescent="0.3">
      <c r="A898" t="s">
        <v>40</v>
      </c>
      <c r="B898" t="s">
        <v>12</v>
      </c>
      <c r="C898" t="s">
        <v>22</v>
      </c>
      <c r="D898" t="s">
        <v>15</v>
      </c>
      <c r="E898" s="5">
        <v>164179</v>
      </c>
      <c r="F898" t="s">
        <v>1486</v>
      </c>
      <c r="G898" t="s">
        <v>1487</v>
      </c>
      <c r="H898" t="s">
        <v>16</v>
      </c>
    </row>
    <row r="899" spans="1:8" x14ac:dyDescent="0.3">
      <c r="A899" t="s">
        <v>72</v>
      </c>
      <c r="B899" t="s">
        <v>135</v>
      </c>
      <c r="C899" t="s">
        <v>14</v>
      </c>
      <c r="D899" t="s">
        <v>42</v>
      </c>
      <c r="E899" s="5">
        <v>80594</v>
      </c>
      <c r="F899" t="s">
        <v>1920</v>
      </c>
      <c r="G899" t="s">
        <v>1921</v>
      </c>
      <c r="H899" t="s">
        <v>14</v>
      </c>
    </row>
    <row r="900" spans="1:8" x14ac:dyDescent="0.3">
      <c r="A900" t="s">
        <v>34</v>
      </c>
      <c r="B900" t="s">
        <v>20</v>
      </c>
      <c r="C900" t="s">
        <v>22</v>
      </c>
      <c r="D900" t="s">
        <v>51</v>
      </c>
      <c r="E900" s="5">
        <v>181454</v>
      </c>
      <c r="F900" t="s">
        <v>3008</v>
      </c>
      <c r="G900" t="s">
        <v>523</v>
      </c>
      <c r="H900" t="s">
        <v>69</v>
      </c>
    </row>
    <row r="901" spans="1:8" x14ac:dyDescent="0.3">
      <c r="A901" t="s">
        <v>11</v>
      </c>
      <c r="B901" t="s">
        <v>54</v>
      </c>
      <c r="C901" t="s">
        <v>14</v>
      </c>
      <c r="D901" t="s">
        <v>42</v>
      </c>
      <c r="E901" s="5">
        <v>141618.5</v>
      </c>
      <c r="F901" t="s">
        <v>1705</v>
      </c>
      <c r="G901" t="s">
        <v>931</v>
      </c>
      <c r="H901" t="s">
        <v>16</v>
      </c>
    </row>
    <row r="902" spans="1:8" x14ac:dyDescent="0.3">
      <c r="A902" t="s">
        <v>45</v>
      </c>
      <c r="B902" t="s">
        <v>20</v>
      </c>
      <c r="C902" t="s">
        <v>14</v>
      </c>
      <c r="D902" t="s">
        <v>15</v>
      </c>
      <c r="E902" s="5">
        <v>54386</v>
      </c>
      <c r="F902" t="s">
        <v>637</v>
      </c>
      <c r="G902" t="s">
        <v>268</v>
      </c>
      <c r="H902" t="s">
        <v>14</v>
      </c>
    </row>
    <row r="903" spans="1:8" x14ac:dyDescent="0.3">
      <c r="A903" t="s">
        <v>45</v>
      </c>
      <c r="B903" t="s">
        <v>25</v>
      </c>
      <c r="C903" t="s">
        <v>14</v>
      </c>
      <c r="D903" t="s">
        <v>42</v>
      </c>
      <c r="E903" s="5">
        <v>178847.5</v>
      </c>
      <c r="F903" t="s">
        <v>3682</v>
      </c>
      <c r="G903" t="s">
        <v>59</v>
      </c>
      <c r="H903" t="s">
        <v>14</v>
      </c>
    </row>
    <row r="904" spans="1:8" x14ac:dyDescent="0.3">
      <c r="A904" t="s">
        <v>19</v>
      </c>
      <c r="B904" t="s">
        <v>54</v>
      </c>
      <c r="C904" t="s">
        <v>27</v>
      </c>
      <c r="D904" t="s">
        <v>42</v>
      </c>
      <c r="E904" s="5">
        <v>135885.5</v>
      </c>
      <c r="F904" t="s">
        <v>2025</v>
      </c>
      <c r="G904" t="s">
        <v>70</v>
      </c>
      <c r="H904" t="s">
        <v>16</v>
      </c>
    </row>
    <row r="905" spans="1:8" x14ac:dyDescent="0.3">
      <c r="A905" t="s">
        <v>72</v>
      </c>
      <c r="B905" t="s">
        <v>12</v>
      </c>
      <c r="C905" t="s">
        <v>27</v>
      </c>
      <c r="D905" t="s">
        <v>51</v>
      </c>
      <c r="E905" s="5">
        <v>94325</v>
      </c>
      <c r="F905" t="s">
        <v>1958</v>
      </c>
      <c r="G905" t="s">
        <v>362</v>
      </c>
      <c r="H905" t="s">
        <v>69</v>
      </c>
    </row>
    <row r="906" spans="1:8" x14ac:dyDescent="0.3">
      <c r="A906" t="s">
        <v>45</v>
      </c>
      <c r="B906" t="s">
        <v>30</v>
      </c>
      <c r="C906" t="s">
        <v>14</v>
      </c>
      <c r="D906" t="s">
        <v>37</v>
      </c>
      <c r="E906" s="5">
        <v>85037</v>
      </c>
      <c r="F906" t="s">
        <v>2979</v>
      </c>
      <c r="G906" t="s">
        <v>90</v>
      </c>
      <c r="H906" t="s">
        <v>14</v>
      </c>
    </row>
    <row r="907" spans="1:8" x14ac:dyDescent="0.3">
      <c r="A907" t="s">
        <v>11</v>
      </c>
      <c r="B907" t="s">
        <v>12</v>
      </c>
      <c r="C907" t="s">
        <v>22</v>
      </c>
      <c r="D907" t="s">
        <v>37</v>
      </c>
      <c r="E907" s="5">
        <v>173965.5</v>
      </c>
      <c r="F907" t="s">
        <v>2452</v>
      </c>
      <c r="G907" t="s">
        <v>2453</v>
      </c>
      <c r="H907" t="s">
        <v>16</v>
      </c>
    </row>
    <row r="908" spans="1:8" x14ac:dyDescent="0.3">
      <c r="A908" t="s">
        <v>45</v>
      </c>
      <c r="B908" t="s">
        <v>135</v>
      </c>
      <c r="C908" t="s">
        <v>14</v>
      </c>
      <c r="D908" t="s">
        <v>37</v>
      </c>
      <c r="E908" s="5">
        <v>172673</v>
      </c>
      <c r="F908" t="s">
        <v>1518</v>
      </c>
      <c r="G908" t="s">
        <v>1437</v>
      </c>
      <c r="H908" t="s">
        <v>14</v>
      </c>
    </row>
    <row r="909" spans="1:8" x14ac:dyDescent="0.3">
      <c r="A909" t="s">
        <v>11</v>
      </c>
      <c r="B909" t="s">
        <v>54</v>
      </c>
      <c r="C909" t="s">
        <v>27</v>
      </c>
      <c r="D909" t="s">
        <v>51</v>
      </c>
      <c r="E909" s="5">
        <v>124381.5</v>
      </c>
      <c r="F909" t="s">
        <v>159</v>
      </c>
      <c r="G909" t="s">
        <v>160</v>
      </c>
      <c r="H909" t="s">
        <v>69</v>
      </c>
    </row>
    <row r="910" spans="1:8" x14ac:dyDescent="0.3">
      <c r="A910" t="s">
        <v>40</v>
      </c>
      <c r="B910" t="s">
        <v>135</v>
      </c>
      <c r="C910" t="s">
        <v>27</v>
      </c>
      <c r="D910" t="s">
        <v>15</v>
      </c>
      <c r="E910" s="5">
        <v>107305.5</v>
      </c>
      <c r="F910" t="s">
        <v>1430</v>
      </c>
      <c r="G910" t="s">
        <v>450</v>
      </c>
      <c r="H910" t="s">
        <v>14</v>
      </c>
    </row>
    <row r="911" spans="1:8" x14ac:dyDescent="0.3">
      <c r="A911" t="s">
        <v>49</v>
      </c>
      <c r="B911" t="s">
        <v>67</v>
      </c>
      <c r="C911" t="s">
        <v>27</v>
      </c>
      <c r="D911" t="s">
        <v>51</v>
      </c>
      <c r="E911" s="5">
        <v>167631</v>
      </c>
      <c r="F911" t="s">
        <v>2323</v>
      </c>
      <c r="G911" t="s">
        <v>1437</v>
      </c>
      <c r="H911" t="s">
        <v>69</v>
      </c>
    </row>
    <row r="912" spans="1:8" x14ac:dyDescent="0.3">
      <c r="A912" t="s">
        <v>40</v>
      </c>
      <c r="B912" t="s">
        <v>25</v>
      </c>
      <c r="C912" t="s">
        <v>22</v>
      </c>
      <c r="D912" t="s">
        <v>51</v>
      </c>
      <c r="E912" s="5">
        <v>109493</v>
      </c>
      <c r="F912" t="s">
        <v>3284</v>
      </c>
      <c r="G912" t="s">
        <v>101</v>
      </c>
      <c r="H912" t="s">
        <v>69</v>
      </c>
    </row>
    <row r="913" spans="1:8" x14ac:dyDescent="0.3">
      <c r="A913" t="s">
        <v>11</v>
      </c>
      <c r="B913" t="s">
        <v>25</v>
      </c>
      <c r="C913" t="s">
        <v>22</v>
      </c>
      <c r="D913" t="s">
        <v>15</v>
      </c>
      <c r="E913" s="5">
        <v>151997</v>
      </c>
      <c r="F913" t="s">
        <v>1617</v>
      </c>
      <c r="G913" t="s">
        <v>70</v>
      </c>
      <c r="H913" t="s">
        <v>69</v>
      </c>
    </row>
    <row r="914" spans="1:8" x14ac:dyDescent="0.3">
      <c r="A914" t="s">
        <v>11</v>
      </c>
      <c r="B914" t="s">
        <v>67</v>
      </c>
      <c r="C914" t="s">
        <v>22</v>
      </c>
      <c r="D914" t="s">
        <v>51</v>
      </c>
      <c r="E914" s="5">
        <v>134120.5</v>
      </c>
      <c r="F914" t="s">
        <v>2321</v>
      </c>
      <c r="G914" t="s">
        <v>90</v>
      </c>
      <c r="H914" t="s">
        <v>16</v>
      </c>
    </row>
    <row r="915" spans="1:8" x14ac:dyDescent="0.3">
      <c r="A915" t="s">
        <v>19</v>
      </c>
      <c r="B915" t="s">
        <v>30</v>
      </c>
      <c r="C915" t="s">
        <v>27</v>
      </c>
      <c r="D915" t="s">
        <v>15</v>
      </c>
      <c r="E915" s="5">
        <v>179145.5</v>
      </c>
      <c r="F915" t="s">
        <v>2128</v>
      </c>
      <c r="G915" t="s">
        <v>420</v>
      </c>
      <c r="H915" t="s">
        <v>16</v>
      </c>
    </row>
    <row r="916" spans="1:8" x14ac:dyDescent="0.3">
      <c r="A916" t="s">
        <v>40</v>
      </c>
      <c r="B916" t="s">
        <v>35</v>
      </c>
      <c r="C916" t="s">
        <v>27</v>
      </c>
      <c r="D916" t="s">
        <v>51</v>
      </c>
      <c r="E916" s="5">
        <v>143454</v>
      </c>
      <c r="F916" t="s">
        <v>1126</v>
      </c>
      <c r="G916" t="s">
        <v>216</v>
      </c>
      <c r="H916" t="s">
        <v>69</v>
      </c>
    </row>
    <row r="917" spans="1:8" x14ac:dyDescent="0.3">
      <c r="A917" t="s">
        <v>45</v>
      </c>
      <c r="B917" t="s">
        <v>54</v>
      </c>
      <c r="C917" t="s">
        <v>27</v>
      </c>
      <c r="D917" t="s">
        <v>15</v>
      </c>
      <c r="E917" s="5">
        <v>115333.5</v>
      </c>
      <c r="F917" t="s">
        <v>1579</v>
      </c>
      <c r="G917" t="s">
        <v>1580</v>
      </c>
      <c r="H917" t="s">
        <v>14</v>
      </c>
    </row>
    <row r="918" spans="1:8" x14ac:dyDescent="0.3">
      <c r="A918" t="s">
        <v>72</v>
      </c>
      <c r="B918" t="s">
        <v>20</v>
      </c>
      <c r="C918" t="s">
        <v>22</v>
      </c>
      <c r="D918" t="s">
        <v>51</v>
      </c>
      <c r="E918" s="5">
        <v>67860.5</v>
      </c>
      <c r="F918" t="s">
        <v>3322</v>
      </c>
      <c r="G918" t="s">
        <v>1645</v>
      </c>
      <c r="H918" t="s">
        <v>69</v>
      </c>
    </row>
    <row r="919" spans="1:8" x14ac:dyDescent="0.3">
      <c r="A919" t="s">
        <v>40</v>
      </c>
      <c r="B919" t="s">
        <v>30</v>
      </c>
      <c r="C919" t="s">
        <v>22</v>
      </c>
      <c r="D919" t="s">
        <v>51</v>
      </c>
      <c r="E919" s="5">
        <v>84490</v>
      </c>
      <c r="F919" t="s">
        <v>1879</v>
      </c>
      <c r="G919" t="s">
        <v>931</v>
      </c>
      <c r="H919" t="s">
        <v>69</v>
      </c>
    </row>
    <row r="920" spans="1:8" x14ac:dyDescent="0.3">
      <c r="A920" t="s">
        <v>34</v>
      </c>
      <c r="B920" t="s">
        <v>67</v>
      </c>
      <c r="C920" t="s">
        <v>22</v>
      </c>
      <c r="D920" t="s">
        <v>42</v>
      </c>
      <c r="E920" s="5">
        <v>54206.5</v>
      </c>
      <c r="F920" t="s">
        <v>2491</v>
      </c>
      <c r="G920" t="s">
        <v>101</v>
      </c>
      <c r="H920" t="s">
        <v>14</v>
      </c>
    </row>
    <row r="921" spans="1:8" x14ac:dyDescent="0.3">
      <c r="A921" t="s">
        <v>40</v>
      </c>
      <c r="B921" t="s">
        <v>12</v>
      </c>
      <c r="C921" t="s">
        <v>27</v>
      </c>
      <c r="D921" t="s">
        <v>15</v>
      </c>
      <c r="E921" s="5">
        <v>86548</v>
      </c>
      <c r="F921" t="s">
        <v>2862</v>
      </c>
      <c r="G921" t="s">
        <v>70</v>
      </c>
      <c r="H921" t="s">
        <v>16</v>
      </c>
    </row>
    <row r="922" spans="1:8" x14ac:dyDescent="0.3">
      <c r="A922" t="s">
        <v>34</v>
      </c>
      <c r="B922" t="s">
        <v>67</v>
      </c>
      <c r="C922" t="s">
        <v>27</v>
      </c>
      <c r="D922" t="s">
        <v>51</v>
      </c>
      <c r="E922" s="5">
        <v>99497.5</v>
      </c>
      <c r="F922" t="s">
        <v>2569</v>
      </c>
      <c r="G922" t="s">
        <v>693</v>
      </c>
      <c r="H922" t="s">
        <v>14</v>
      </c>
    </row>
    <row r="923" spans="1:8" x14ac:dyDescent="0.3">
      <c r="A923" t="s">
        <v>45</v>
      </c>
      <c r="B923" t="s">
        <v>67</v>
      </c>
      <c r="C923" t="s">
        <v>22</v>
      </c>
      <c r="D923" t="s">
        <v>37</v>
      </c>
      <c r="E923" s="5">
        <v>75912</v>
      </c>
      <c r="F923" t="s">
        <v>3135</v>
      </c>
      <c r="G923" t="s">
        <v>101</v>
      </c>
      <c r="H923" t="s">
        <v>16</v>
      </c>
    </row>
    <row r="924" spans="1:8" x14ac:dyDescent="0.3">
      <c r="A924" t="s">
        <v>11</v>
      </c>
      <c r="B924" t="s">
        <v>30</v>
      </c>
      <c r="C924" t="s">
        <v>22</v>
      </c>
      <c r="D924" t="s">
        <v>15</v>
      </c>
      <c r="E924" s="5">
        <v>126044.5</v>
      </c>
      <c r="F924" t="s">
        <v>3848</v>
      </c>
      <c r="G924" t="s">
        <v>90</v>
      </c>
      <c r="H924" t="s">
        <v>69</v>
      </c>
    </row>
    <row r="925" spans="1:8" x14ac:dyDescent="0.3">
      <c r="A925" t="s">
        <v>19</v>
      </c>
      <c r="B925" t="s">
        <v>54</v>
      </c>
      <c r="C925" t="s">
        <v>22</v>
      </c>
      <c r="D925" t="s">
        <v>51</v>
      </c>
      <c r="E925" s="5">
        <v>84021</v>
      </c>
      <c r="F925" t="s">
        <v>2086</v>
      </c>
      <c r="G925" t="s">
        <v>157</v>
      </c>
      <c r="H925" t="s">
        <v>16</v>
      </c>
    </row>
    <row r="926" spans="1:8" x14ac:dyDescent="0.3">
      <c r="A926" t="s">
        <v>40</v>
      </c>
      <c r="B926" t="s">
        <v>30</v>
      </c>
      <c r="C926" t="s">
        <v>22</v>
      </c>
      <c r="D926" t="s">
        <v>42</v>
      </c>
      <c r="E926" s="5">
        <v>119824.5</v>
      </c>
      <c r="F926" t="s">
        <v>2228</v>
      </c>
      <c r="G926" t="s">
        <v>1131</v>
      </c>
      <c r="H926" t="s">
        <v>69</v>
      </c>
    </row>
    <row r="927" spans="1:8" x14ac:dyDescent="0.3">
      <c r="A927" t="s">
        <v>40</v>
      </c>
      <c r="B927" t="s">
        <v>135</v>
      </c>
      <c r="C927" t="s">
        <v>14</v>
      </c>
      <c r="D927" t="s">
        <v>51</v>
      </c>
      <c r="E927" s="5">
        <v>112582</v>
      </c>
      <c r="F927" t="s">
        <v>701</v>
      </c>
      <c r="G927" t="s">
        <v>702</v>
      </c>
      <c r="H927" t="s">
        <v>69</v>
      </c>
    </row>
    <row r="928" spans="1:8" x14ac:dyDescent="0.3">
      <c r="A928" t="s">
        <v>11</v>
      </c>
      <c r="B928" t="s">
        <v>67</v>
      </c>
      <c r="C928" t="s">
        <v>22</v>
      </c>
      <c r="D928" t="s">
        <v>51</v>
      </c>
      <c r="E928" s="5">
        <v>148142.5</v>
      </c>
      <c r="F928" t="s">
        <v>4183</v>
      </c>
      <c r="G928" t="s">
        <v>425</v>
      </c>
      <c r="H928" t="s">
        <v>16</v>
      </c>
    </row>
    <row r="929" spans="1:8" x14ac:dyDescent="0.3">
      <c r="A929" t="s">
        <v>19</v>
      </c>
      <c r="B929" t="s">
        <v>12</v>
      </c>
      <c r="C929" t="s">
        <v>22</v>
      </c>
      <c r="D929" t="s">
        <v>15</v>
      </c>
      <c r="E929" s="5">
        <v>58237</v>
      </c>
      <c r="F929" t="s">
        <v>264</v>
      </c>
      <c r="G929" t="s">
        <v>265</v>
      </c>
      <c r="H929" t="s">
        <v>16</v>
      </c>
    </row>
    <row r="930" spans="1:8" x14ac:dyDescent="0.3">
      <c r="A930" t="s">
        <v>40</v>
      </c>
      <c r="B930" t="s">
        <v>35</v>
      </c>
      <c r="C930" t="s">
        <v>22</v>
      </c>
      <c r="D930" t="s">
        <v>15</v>
      </c>
      <c r="E930" s="5">
        <v>154309.5</v>
      </c>
      <c r="F930" t="s">
        <v>2811</v>
      </c>
      <c r="G930" t="s">
        <v>90</v>
      </c>
      <c r="H930" t="s">
        <v>16</v>
      </c>
    </row>
    <row r="931" spans="1:8" x14ac:dyDescent="0.3">
      <c r="A931" t="s">
        <v>45</v>
      </c>
      <c r="B931" t="s">
        <v>30</v>
      </c>
      <c r="C931" t="s">
        <v>22</v>
      </c>
      <c r="D931" t="s">
        <v>51</v>
      </c>
      <c r="E931" s="5">
        <v>165377</v>
      </c>
      <c r="F931" t="s">
        <v>215</v>
      </c>
      <c r="G931" t="s">
        <v>216</v>
      </c>
      <c r="H931" t="s">
        <v>16</v>
      </c>
    </row>
    <row r="932" spans="1:8" x14ac:dyDescent="0.3">
      <c r="A932" t="s">
        <v>49</v>
      </c>
      <c r="B932" t="s">
        <v>54</v>
      </c>
      <c r="C932" t="s">
        <v>22</v>
      </c>
      <c r="D932" t="s">
        <v>15</v>
      </c>
      <c r="E932" s="5">
        <v>138838.5</v>
      </c>
      <c r="F932" t="s">
        <v>1832</v>
      </c>
      <c r="G932" t="s">
        <v>52</v>
      </c>
      <c r="H932" t="s">
        <v>69</v>
      </c>
    </row>
    <row r="933" spans="1:8" x14ac:dyDescent="0.3">
      <c r="A933" t="s">
        <v>34</v>
      </c>
      <c r="B933" t="s">
        <v>30</v>
      </c>
      <c r="C933" t="s">
        <v>27</v>
      </c>
      <c r="D933" t="s">
        <v>42</v>
      </c>
      <c r="E933" s="5">
        <v>72949.5</v>
      </c>
      <c r="F933" t="s">
        <v>568</v>
      </c>
      <c r="G933" t="s">
        <v>77</v>
      </c>
      <c r="H933" t="s">
        <v>14</v>
      </c>
    </row>
    <row r="934" spans="1:8" x14ac:dyDescent="0.3">
      <c r="A934" t="s">
        <v>49</v>
      </c>
      <c r="B934" t="s">
        <v>25</v>
      </c>
      <c r="C934" t="s">
        <v>14</v>
      </c>
      <c r="D934" t="s">
        <v>37</v>
      </c>
      <c r="E934" s="5">
        <v>79928.5</v>
      </c>
      <c r="F934" t="s">
        <v>2605</v>
      </c>
      <c r="G934" t="s">
        <v>80</v>
      </c>
      <c r="H934" t="s">
        <v>16</v>
      </c>
    </row>
    <row r="935" spans="1:8" x14ac:dyDescent="0.3">
      <c r="A935" t="s">
        <v>40</v>
      </c>
      <c r="B935" t="s">
        <v>135</v>
      </c>
      <c r="C935" t="s">
        <v>27</v>
      </c>
      <c r="D935" t="s">
        <v>15</v>
      </c>
      <c r="E935" s="5">
        <v>117506</v>
      </c>
      <c r="F935" t="s">
        <v>2769</v>
      </c>
      <c r="G935" t="s">
        <v>38</v>
      </c>
      <c r="H935" t="s">
        <v>16</v>
      </c>
    </row>
    <row r="936" spans="1:8" x14ac:dyDescent="0.3">
      <c r="A936" t="s">
        <v>19</v>
      </c>
      <c r="B936" t="s">
        <v>67</v>
      </c>
      <c r="C936" t="s">
        <v>27</v>
      </c>
      <c r="D936" t="s">
        <v>37</v>
      </c>
      <c r="E936" s="5">
        <v>111217.5</v>
      </c>
      <c r="F936" t="s">
        <v>2833</v>
      </c>
      <c r="G936" t="s">
        <v>70</v>
      </c>
      <c r="H936" t="s">
        <v>69</v>
      </c>
    </row>
    <row r="937" spans="1:8" x14ac:dyDescent="0.3">
      <c r="A937" t="s">
        <v>45</v>
      </c>
      <c r="B937" t="s">
        <v>12</v>
      </c>
      <c r="C937" t="s">
        <v>27</v>
      </c>
      <c r="D937" t="s">
        <v>37</v>
      </c>
      <c r="E937" s="5">
        <v>110496</v>
      </c>
      <c r="F937" t="s">
        <v>894</v>
      </c>
      <c r="G937" t="s">
        <v>119</v>
      </c>
      <c r="H937" t="s">
        <v>14</v>
      </c>
    </row>
    <row r="938" spans="1:8" x14ac:dyDescent="0.3">
      <c r="A938" t="s">
        <v>34</v>
      </c>
      <c r="B938" t="s">
        <v>67</v>
      </c>
      <c r="C938" t="s">
        <v>22</v>
      </c>
      <c r="D938" t="s">
        <v>42</v>
      </c>
      <c r="E938" s="5">
        <v>172356</v>
      </c>
      <c r="F938" t="s">
        <v>2378</v>
      </c>
      <c r="G938" t="s">
        <v>2379</v>
      </c>
      <c r="H938" t="s">
        <v>14</v>
      </c>
    </row>
    <row r="939" spans="1:8" x14ac:dyDescent="0.3">
      <c r="A939" t="s">
        <v>72</v>
      </c>
      <c r="B939" t="s">
        <v>67</v>
      </c>
      <c r="C939" t="s">
        <v>14</v>
      </c>
      <c r="D939" t="s">
        <v>42</v>
      </c>
      <c r="E939" s="5">
        <v>107952</v>
      </c>
      <c r="F939" t="s">
        <v>1274</v>
      </c>
      <c r="G939" t="s">
        <v>119</v>
      </c>
      <c r="H939" t="s">
        <v>16</v>
      </c>
    </row>
    <row r="940" spans="1:8" x14ac:dyDescent="0.3">
      <c r="A940" t="s">
        <v>72</v>
      </c>
      <c r="B940" t="s">
        <v>35</v>
      </c>
      <c r="C940" t="s">
        <v>27</v>
      </c>
      <c r="D940" t="s">
        <v>51</v>
      </c>
      <c r="E940" s="5">
        <v>113063</v>
      </c>
      <c r="F940" t="s">
        <v>1825</v>
      </c>
      <c r="G940" t="s">
        <v>299</v>
      </c>
      <c r="H940" t="s">
        <v>16</v>
      </c>
    </row>
    <row r="941" spans="1:8" x14ac:dyDescent="0.3">
      <c r="A941" t="s">
        <v>34</v>
      </c>
      <c r="B941" t="s">
        <v>135</v>
      </c>
      <c r="C941" t="s">
        <v>14</v>
      </c>
      <c r="D941" t="s">
        <v>51</v>
      </c>
      <c r="E941" s="5">
        <v>61725</v>
      </c>
      <c r="F941" t="s">
        <v>803</v>
      </c>
      <c r="G941" t="s">
        <v>101</v>
      </c>
      <c r="H941" t="s">
        <v>69</v>
      </c>
    </row>
    <row r="942" spans="1:8" x14ac:dyDescent="0.3">
      <c r="A942" t="s">
        <v>49</v>
      </c>
      <c r="B942" t="s">
        <v>67</v>
      </c>
      <c r="C942" t="s">
        <v>27</v>
      </c>
      <c r="D942" t="s">
        <v>15</v>
      </c>
      <c r="E942" s="5">
        <v>116729.5</v>
      </c>
      <c r="F942" t="s">
        <v>1773</v>
      </c>
      <c r="G942" t="s">
        <v>794</v>
      </c>
      <c r="H942" t="s">
        <v>14</v>
      </c>
    </row>
    <row r="943" spans="1:8" x14ac:dyDescent="0.3">
      <c r="A943" t="s">
        <v>45</v>
      </c>
      <c r="B943" t="s">
        <v>30</v>
      </c>
      <c r="C943" t="s">
        <v>27</v>
      </c>
      <c r="D943" t="s">
        <v>37</v>
      </c>
      <c r="E943" s="5">
        <v>141768.5</v>
      </c>
      <c r="F943" t="s">
        <v>749</v>
      </c>
      <c r="G943" t="s">
        <v>444</v>
      </c>
      <c r="H943" t="s">
        <v>16</v>
      </c>
    </row>
    <row r="944" spans="1:8" x14ac:dyDescent="0.3">
      <c r="A944" t="s">
        <v>40</v>
      </c>
      <c r="B944" t="s">
        <v>135</v>
      </c>
      <c r="C944" t="s">
        <v>14</v>
      </c>
      <c r="D944" t="s">
        <v>42</v>
      </c>
      <c r="E944" s="5">
        <v>116644.5</v>
      </c>
      <c r="F944" t="s">
        <v>3618</v>
      </c>
      <c r="G944" t="s">
        <v>3619</v>
      </c>
      <c r="H944" t="s">
        <v>69</v>
      </c>
    </row>
    <row r="945" spans="1:8" x14ac:dyDescent="0.3">
      <c r="A945" t="s">
        <v>45</v>
      </c>
      <c r="B945" t="s">
        <v>25</v>
      </c>
      <c r="C945" t="s">
        <v>27</v>
      </c>
      <c r="D945" t="s">
        <v>51</v>
      </c>
      <c r="E945" s="5">
        <v>77274.5</v>
      </c>
      <c r="F945" t="s">
        <v>2430</v>
      </c>
      <c r="G945" t="s">
        <v>128</v>
      </c>
      <c r="H945" t="s">
        <v>69</v>
      </c>
    </row>
    <row r="946" spans="1:8" x14ac:dyDescent="0.3">
      <c r="A946" t="s">
        <v>49</v>
      </c>
      <c r="B946" t="s">
        <v>54</v>
      </c>
      <c r="C946" t="s">
        <v>27</v>
      </c>
      <c r="D946" t="s">
        <v>37</v>
      </c>
      <c r="E946" s="5">
        <v>103028.5</v>
      </c>
      <c r="F946" t="s">
        <v>412</v>
      </c>
      <c r="G946" t="s">
        <v>413</v>
      </c>
      <c r="H946" t="s">
        <v>16</v>
      </c>
    </row>
    <row r="947" spans="1:8" x14ac:dyDescent="0.3">
      <c r="A947" t="s">
        <v>49</v>
      </c>
      <c r="B947" t="s">
        <v>25</v>
      </c>
      <c r="C947" t="s">
        <v>22</v>
      </c>
      <c r="D947" t="s">
        <v>15</v>
      </c>
      <c r="E947" s="5">
        <v>87343.5</v>
      </c>
      <c r="F947" t="s">
        <v>3589</v>
      </c>
      <c r="G947" t="s">
        <v>3590</v>
      </c>
      <c r="H947" t="s">
        <v>69</v>
      </c>
    </row>
    <row r="948" spans="1:8" x14ac:dyDescent="0.3">
      <c r="A948" t="s">
        <v>49</v>
      </c>
      <c r="B948" t="s">
        <v>25</v>
      </c>
      <c r="C948" t="s">
        <v>27</v>
      </c>
      <c r="D948" t="s">
        <v>51</v>
      </c>
      <c r="E948" s="5">
        <v>54884.5</v>
      </c>
      <c r="F948" t="s">
        <v>2098</v>
      </c>
      <c r="G948" t="s">
        <v>77</v>
      </c>
      <c r="H948" t="s">
        <v>69</v>
      </c>
    </row>
    <row r="949" spans="1:8" x14ac:dyDescent="0.3">
      <c r="A949" t="s">
        <v>72</v>
      </c>
      <c r="B949" t="s">
        <v>12</v>
      </c>
      <c r="C949" t="s">
        <v>27</v>
      </c>
      <c r="D949" t="s">
        <v>51</v>
      </c>
      <c r="E949" s="5">
        <v>163200.5</v>
      </c>
      <c r="F949" t="s">
        <v>3396</v>
      </c>
      <c r="G949" t="s">
        <v>693</v>
      </c>
      <c r="H949" t="s">
        <v>16</v>
      </c>
    </row>
    <row r="950" spans="1:8" x14ac:dyDescent="0.3">
      <c r="A950" t="s">
        <v>11</v>
      </c>
      <c r="B950" t="s">
        <v>135</v>
      </c>
      <c r="C950" t="s">
        <v>27</v>
      </c>
      <c r="D950" t="s">
        <v>15</v>
      </c>
      <c r="E950" s="5">
        <v>186915.5</v>
      </c>
      <c r="F950" t="s">
        <v>3090</v>
      </c>
      <c r="G950" t="s">
        <v>166</v>
      </c>
      <c r="H950" t="s">
        <v>14</v>
      </c>
    </row>
    <row r="951" spans="1:8" x14ac:dyDescent="0.3">
      <c r="A951" t="s">
        <v>11</v>
      </c>
      <c r="B951" t="s">
        <v>12</v>
      </c>
      <c r="C951" t="s">
        <v>27</v>
      </c>
      <c r="D951" t="s">
        <v>51</v>
      </c>
      <c r="E951" s="5">
        <v>91873.5</v>
      </c>
      <c r="F951" t="s">
        <v>3676</v>
      </c>
      <c r="G951" t="s">
        <v>157</v>
      </c>
      <c r="H951" t="s">
        <v>16</v>
      </c>
    </row>
    <row r="952" spans="1:8" x14ac:dyDescent="0.3">
      <c r="A952" t="s">
        <v>34</v>
      </c>
      <c r="B952" t="s">
        <v>54</v>
      </c>
      <c r="C952" t="s">
        <v>27</v>
      </c>
      <c r="D952" t="s">
        <v>51</v>
      </c>
      <c r="E952" s="5">
        <v>90584</v>
      </c>
      <c r="F952" t="s">
        <v>1050</v>
      </c>
      <c r="G952" t="s">
        <v>70</v>
      </c>
      <c r="H952" t="s">
        <v>16</v>
      </c>
    </row>
    <row r="953" spans="1:8" x14ac:dyDescent="0.3">
      <c r="A953" t="s">
        <v>40</v>
      </c>
      <c r="B953" t="s">
        <v>30</v>
      </c>
      <c r="C953" t="s">
        <v>27</v>
      </c>
      <c r="D953" t="s">
        <v>37</v>
      </c>
      <c r="E953" s="5">
        <v>142497.5</v>
      </c>
      <c r="F953" t="s">
        <v>1908</v>
      </c>
      <c r="G953" t="s">
        <v>1060</v>
      </c>
      <c r="H953" t="s">
        <v>69</v>
      </c>
    </row>
    <row r="954" spans="1:8" x14ac:dyDescent="0.3">
      <c r="A954" t="s">
        <v>34</v>
      </c>
      <c r="B954" t="s">
        <v>30</v>
      </c>
      <c r="C954" t="s">
        <v>22</v>
      </c>
      <c r="D954" t="s">
        <v>37</v>
      </c>
      <c r="E954" s="5">
        <v>142171.5</v>
      </c>
      <c r="F954" t="s">
        <v>3435</v>
      </c>
      <c r="G954" t="s">
        <v>216</v>
      </c>
      <c r="H954" t="s">
        <v>69</v>
      </c>
    </row>
    <row r="955" spans="1:8" x14ac:dyDescent="0.3">
      <c r="A955" t="s">
        <v>72</v>
      </c>
      <c r="B955" t="s">
        <v>25</v>
      </c>
      <c r="C955" t="s">
        <v>27</v>
      </c>
      <c r="D955" t="s">
        <v>15</v>
      </c>
      <c r="E955" s="5">
        <v>83849.5</v>
      </c>
      <c r="F955" t="s">
        <v>95</v>
      </c>
      <c r="G955" t="s">
        <v>38</v>
      </c>
      <c r="H955" t="s">
        <v>16</v>
      </c>
    </row>
    <row r="956" spans="1:8" x14ac:dyDescent="0.3">
      <c r="A956" t="s">
        <v>45</v>
      </c>
      <c r="B956" t="s">
        <v>35</v>
      </c>
      <c r="C956" t="s">
        <v>27</v>
      </c>
      <c r="D956" t="s">
        <v>42</v>
      </c>
      <c r="E956" s="5">
        <v>102294.5</v>
      </c>
      <c r="F956" t="s">
        <v>3332</v>
      </c>
      <c r="G956" t="s">
        <v>157</v>
      </c>
      <c r="H956" t="s">
        <v>69</v>
      </c>
    </row>
    <row r="957" spans="1:8" x14ac:dyDescent="0.3">
      <c r="A957" t="s">
        <v>19</v>
      </c>
      <c r="B957" t="s">
        <v>135</v>
      </c>
      <c r="C957" t="s">
        <v>14</v>
      </c>
      <c r="D957" t="s">
        <v>37</v>
      </c>
      <c r="E957" s="5">
        <v>111669.5</v>
      </c>
      <c r="F957" t="s">
        <v>1007</v>
      </c>
      <c r="G957" t="s">
        <v>77</v>
      </c>
      <c r="H957" t="s">
        <v>16</v>
      </c>
    </row>
    <row r="958" spans="1:8" x14ac:dyDescent="0.3">
      <c r="A958" t="s">
        <v>19</v>
      </c>
      <c r="B958" t="s">
        <v>35</v>
      </c>
      <c r="C958" t="s">
        <v>22</v>
      </c>
      <c r="D958" t="s">
        <v>42</v>
      </c>
      <c r="E958" s="5">
        <v>124048</v>
      </c>
      <c r="F958" t="s">
        <v>1482</v>
      </c>
      <c r="G958" t="s">
        <v>507</v>
      </c>
      <c r="H958" t="s">
        <v>14</v>
      </c>
    </row>
    <row r="959" spans="1:8" x14ac:dyDescent="0.3">
      <c r="A959" t="s">
        <v>34</v>
      </c>
      <c r="B959" t="s">
        <v>25</v>
      </c>
      <c r="C959" t="s">
        <v>27</v>
      </c>
      <c r="D959" t="s">
        <v>42</v>
      </c>
      <c r="E959" s="5">
        <v>149205.5</v>
      </c>
      <c r="F959" t="s">
        <v>991</v>
      </c>
      <c r="G959" t="s">
        <v>497</v>
      </c>
      <c r="H959" t="s">
        <v>14</v>
      </c>
    </row>
    <row r="960" spans="1:8" x14ac:dyDescent="0.3">
      <c r="A960" t="s">
        <v>19</v>
      </c>
      <c r="B960" t="s">
        <v>35</v>
      </c>
      <c r="C960" t="s">
        <v>14</v>
      </c>
      <c r="D960" t="s">
        <v>42</v>
      </c>
      <c r="E960" s="5">
        <v>100540</v>
      </c>
      <c r="F960" t="s">
        <v>3513</v>
      </c>
      <c r="G960" t="s">
        <v>3514</v>
      </c>
      <c r="H960" t="s">
        <v>14</v>
      </c>
    </row>
    <row r="961" spans="1:8" x14ac:dyDescent="0.3">
      <c r="A961" t="s">
        <v>72</v>
      </c>
      <c r="B961" t="s">
        <v>54</v>
      </c>
      <c r="C961" t="s">
        <v>27</v>
      </c>
      <c r="D961" t="s">
        <v>51</v>
      </c>
      <c r="E961" s="5">
        <v>116960.5</v>
      </c>
      <c r="F961" t="s">
        <v>971</v>
      </c>
      <c r="G961" t="s">
        <v>128</v>
      </c>
      <c r="H961" t="s">
        <v>69</v>
      </c>
    </row>
    <row r="962" spans="1:8" x14ac:dyDescent="0.3">
      <c r="A962" t="s">
        <v>40</v>
      </c>
      <c r="B962" t="s">
        <v>35</v>
      </c>
      <c r="C962" t="s">
        <v>14</v>
      </c>
      <c r="D962" t="s">
        <v>37</v>
      </c>
      <c r="E962" s="5">
        <v>102530</v>
      </c>
      <c r="F962" t="s">
        <v>2682</v>
      </c>
      <c r="G962" t="s">
        <v>128</v>
      </c>
      <c r="H962" t="s">
        <v>14</v>
      </c>
    </row>
    <row r="963" spans="1:8" x14ac:dyDescent="0.3">
      <c r="A963" t="s">
        <v>72</v>
      </c>
      <c r="B963" t="s">
        <v>20</v>
      </c>
      <c r="C963" t="s">
        <v>14</v>
      </c>
      <c r="D963" t="s">
        <v>42</v>
      </c>
      <c r="E963" s="5">
        <v>88501.5</v>
      </c>
      <c r="F963" t="s">
        <v>2551</v>
      </c>
      <c r="G963" t="s">
        <v>122</v>
      </c>
      <c r="H963" t="s">
        <v>14</v>
      </c>
    </row>
    <row r="964" spans="1:8" x14ac:dyDescent="0.3">
      <c r="A964" t="s">
        <v>45</v>
      </c>
      <c r="B964" t="s">
        <v>12</v>
      </c>
      <c r="C964" t="s">
        <v>14</v>
      </c>
      <c r="D964" t="s">
        <v>37</v>
      </c>
      <c r="E964" s="5">
        <v>80261.5</v>
      </c>
      <c r="F964" t="s">
        <v>2677</v>
      </c>
      <c r="G964" t="s">
        <v>90</v>
      </c>
      <c r="H964" t="s">
        <v>69</v>
      </c>
    </row>
    <row r="965" spans="1:8" x14ac:dyDescent="0.3">
      <c r="A965" t="s">
        <v>34</v>
      </c>
      <c r="B965" t="s">
        <v>135</v>
      </c>
      <c r="C965" t="s">
        <v>22</v>
      </c>
      <c r="D965" t="s">
        <v>42</v>
      </c>
      <c r="E965" s="5">
        <v>85968</v>
      </c>
      <c r="F965" t="s">
        <v>3856</v>
      </c>
      <c r="G965" t="s">
        <v>677</v>
      </c>
      <c r="H965" t="s">
        <v>69</v>
      </c>
    </row>
    <row r="966" spans="1:8" x14ac:dyDescent="0.3">
      <c r="A966" t="s">
        <v>11</v>
      </c>
      <c r="B966" t="s">
        <v>35</v>
      </c>
      <c r="C966" t="s">
        <v>27</v>
      </c>
      <c r="D966" t="s">
        <v>37</v>
      </c>
      <c r="E966" s="5">
        <v>118643.5</v>
      </c>
      <c r="F966" t="s">
        <v>3778</v>
      </c>
      <c r="G966" t="s">
        <v>507</v>
      </c>
      <c r="H966" t="s">
        <v>69</v>
      </c>
    </row>
    <row r="967" spans="1:8" x14ac:dyDescent="0.3">
      <c r="A967" t="s">
        <v>11</v>
      </c>
      <c r="B967" t="s">
        <v>20</v>
      </c>
      <c r="C967" t="s">
        <v>14</v>
      </c>
      <c r="D967" t="s">
        <v>15</v>
      </c>
      <c r="E967" s="5">
        <v>140741.5</v>
      </c>
      <c r="F967" t="s">
        <v>2103</v>
      </c>
      <c r="G967" t="s">
        <v>268</v>
      </c>
      <c r="H967" t="s">
        <v>69</v>
      </c>
    </row>
    <row r="968" spans="1:8" x14ac:dyDescent="0.3">
      <c r="A968" t="s">
        <v>72</v>
      </c>
      <c r="B968" t="s">
        <v>35</v>
      </c>
      <c r="C968" t="s">
        <v>14</v>
      </c>
      <c r="D968" t="s">
        <v>51</v>
      </c>
      <c r="E968" s="5">
        <v>176690.5</v>
      </c>
      <c r="F968" t="s">
        <v>2874</v>
      </c>
      <c r="G968" t="s">
        <v>235</v>
      </c>
      <c r="H968" t="s">
        <v>69</v>
      </c>
    </row>
    <row r="969" spans="1:8" x14ac:dyDescent="0.3">
      <c r="A969" t="s">
        <v>40</v>
      </c>
      <c r="B969" t="s">
        <v>67</v>
      </c>
      <c r="C969" t="s">
        <v>27</v>
      </c>
      <c r="D969" t="s">
        <v>37</v>
      </c>
      <c r="E969" s="5">
        <v>110120</v>
      </c>
      <c r="F969" t="s">
        <v>2075</v>
      </c>
      <c r="G969" t="s">
        <v>128</v>
      </c>
      <c r="H969" t="s">
        <v>69</v>
      </c>
    </row>
    <row r="970" spans="1:8" x14ac:dyDescent="0.3">
      <c r="A970" t="s">
        <v>19</v>
      </c>
      <c r="B970" t="s">
        <v>135</v>
      </c>
      <c r="C970" t="s">
        <v>22</v>
      </c>
      <c r="D970" t="s">
        <v>42</v>
      </c>
      <c r="E970" s="5">
        <v>88504</v>
      </c>
      <c r="F970" t="s">
        <v>4090</v>
      </c>
      <c r="G970" t="s">
        <v>77</v>
      </c>
      <c r="H970" t="s">
        <v>14</v>
      </c>
    </row>
    <row r="971" spans="1:8" x14ac:dyDescent="0.3">
      <c r="A971" t="s">
        <v>49</v>
      </c>
      <c r="B971" t="s">
        <v>54</v>
      </c>
      <c r="C971" t="s">
        <v>27</v>
      </c>
      <c r="D971" t="s">
        <v>15</v>
      </c>
      <c r="E971" s="5">
        <v>73192.5</v>
      </c>
      <c r="F971" t="s">
        <v>1531</v>
      </c>
      <c r="G971" t="s">
        <v>1085</v>
      </c>
      <c r="H971" t="s">
        <v>16</v>
      </c>
    </row>
    <row r="972" spans="1:8" x14ac:dyDescent="0.3">
      <c r="A972" t="s">
        <v>19</v>
      </c>
      <c r="B972" t="s">
        <v>135</v>
      </c>
      <c r="C972" t="s">
        <v>27</v>
      </c>
      <c r="D972" t="s">
        <v>37</v>
      </c>
      <c r="E972" s="5">
        <v>161337</v>
      </c>
      <c r="F972" t="s">
        <v>1071</v>
      </c>
      <c r="G972" t="s">
        <v>615</v>
      </c>
      <c r="H972" t="s">
        <v>14</v>
      </c>
    </row>
    <row r="973" spans="1:8" x14ac:dyDescent="0.3">
      <c r="A973" t="s">
        <v>40</v>
      </c>
      <c r="B973" t="s">
        <v>67</v>
      </c>
      <c r="C973" t="s">
        <v>27</v>
      </c>
      <c r="D973" t="s">
        <v>42</v>
      </c>
      <c r="E973" s="5">
        <v>96298</v>
      </c>
      <c r="F973" t="s">
        <v>1339</v>
      </c>
      <c r="G973" t="s">
        <v>268</v>
      </c>
      <c r="H973" t="s">
        <v>69</v>
      </c>
    </row>
    <row r="974" spans="1:8" x14ac:dyDescent="0.3">
      <c r="A974" t="s">
        <v>34</v>
      </c>
      <c r="B974" t="s">
        <v>135</v>
      </c>
      <c r="C974" t="s">
        <v>14</v>
      </c>
      <c r="D974" t="s">
        <v>42</v>
      </c>
      <c r="E974" s="5">
        <v>153684</v>
      </c>
      <c r="F974" t="s">
        <v>4003</v>
      </c>
      <c r="G974" t="s">
        <v>316</v>
      </c>
      <c r="H974" t="s">
        <v>14</v>
      </c>
    </row>
    <row r="975" spans="1:8" x14ac:dyDescent="0.3">
      <c r="A975" t="s">
        <v>40</v>
      </c>
      <c r="B975" t="s">
        <v>35</v>
      </c>
      <c r="C975" t="s">
        <v>27</v>
      </c>
      <c r="D975" t="s">
        <v>37</v>
      </c>
      <c r="E975" s="5">
        <v>106513.5</v>
      </c>
      <c r="F975" t="s">
        <v>2652</v>
      </c>
      <c r="G975" t="s">
        <v>122</v>
      </c>
      <c r="H975" t="s">
        <v>69</v>
      </c>
    </row>
    <row r="976" spans="1:8" x14ac:dyDescent="0.3">
      <c r="A976" t="s">
        <v>49</v>
      </c>
      <c r="B976" t="s">
        <v>12</v>
      </c>
      <c r="C976" t="s">
        <v>27</v>
      </c>
      <c r="D976" t="s">
        <v>51</v>
      </c>
      <c r="E976" s="5">
        <v>81195.5</v>
      </c>
      <c r="F976" t="s">
        <v>1031</v>
      </c>
      <c r="G976" t="s">
        <v>77</v>
      </c>
      <c r="H976" t="s">
        <v>14</v>
      </c>
    </row>
    <row r="977" spans="1:8" x14ac:dyDescent="0.3">
      <c r="A977" t="s">
        <v>72</v>
      </c>
      <c r="B977" t="s">
        <v>67</v>
      </c>
      <c r="C977" t="s">
        <v>22</v>
      </c>
      <c r="D977" t="s">
        <v>37</v>
      </c>
      <c r="E977" s="5">
        <v>180218.5</v>
      </c>
      <c r="F977" t="s">
        <v>2208</v>
      </c>
      <c r="G977" t="s">
        <v>157</v>
      </c>
      <c r="H977" t="s">
        <v>69</v>
      </c>
    </row>
    <row r="978" spans="1:8" x14ac:dyDescent="0.3">
      <c r="A978" t="s">
        <v>45</v>
      </c>
      <c r="B978" t="s">
        <v>12</v>
      </c>
      <c r="C978" t="s">
        <v>27</v>
      </c>
      <c r="D978" t="s">
        <v>51</v>
      </c>
      <c r="E978" s="5">
        <v>145668.5</v>
      </c>
      <c r="F978" t="s">
        <v>539</v>
      </c>
      <c r="G978" t="s">
        <v>52</v>
      </c>
      <c r="H978" t="s">
        <v>14</v>
      </c>
    </row>
    <row r="979" spans="1:8" x14ac:dyDescent="0.3">
      <c r="A979" t="s">
        <v>72</v>
      </c>
      <c r="B979" t="s">
        <v>20</v>
      </c>
      <c r="C979" t="s">
        <v>14</v>
      </c>
      <c r="D979" t="s">
        <v>37</v>
      </c>
      <c r="E979" s="5">
        <v>173926.5</v>
      </c>
      <c r="F979" t="s">
        <v>1954</v>
      </c>
      <c r="G979" t="s">
        <v>90</v>
      </c>
      <c r="H979" t="s">
        <v>69</v>
      </c>
    </row>
    <row r="980" spans="1:8" x14ac:dyDescent="0.3">
      <c r="A980" t="s">
        <v>49</v>
      </c>
      <c r="B980" t="s">
        <v>12</v>
      </c>
      <c r="C980" t="s">
        <v>14</v>
      </c>
      <c r="D980" t="s">
        <v>15</v>
      </c>
      <c r="E980" s="5">
        <v>103727.5</v>
      </c>
      <c r="F980" t="s">
        <v>223</v>
      </c>
      <c r="G980" t="s">
        <v>52</v>
      </c>
      <c r="H980" t="s">
        <v>14</v>
      </c>
    </row>
    <row r="981" spans="1:8" x14ac:dyDescent="0.3">
      <c r="A981" t="s">
        <v>45</v>
      </c>
      <c r="B981" t="s">
        <v>20</v>
      </c>
      <c r="C981" t="s">
        <v>14</v>
      </c>
      <c r="D981" t="s">
        <v>15</v>
      </c>
      <c r="E981" s="5">
        <v>103639</v>
      </c>
      <c r="F981" t="s">
        <v>1628</v>
      </c>
      <c r="G981" t="s">
        <v>928</v>
      </c>
      <c r="H981" t="s">
        <v>69</v>
      </c>
    </row>
    <row r="982" spans="1:8" x14ac:dyDescent="0.3">
      <c r="A982" t="s">
        <v>19</v>
      </c>
      <c r="B982" t="s">
        <v>54</v>
      </c>
      <c r="C982" t="s">
        <v>14</v>
      </c>
      <c r="D982" t="s">
        <v>42</v>
      </c>
      <c r="E982" s="5">
        <v>163236</v>
      </c>
      <c r="F982" t="s">
        <v>3975</v>
      </c>
      <c r="G982" t="s">
        <v>3976</v>
      </c>
      <c r="H982" t="s">
        <v>16</v>
      </c>
    </row>
    <row r="983" spans="1:8" x14ac:dyDescent="0.3">
      <c r="A983" t="s">
        <v>72</v>
      </c>
      <c r="B983" t="s">
        <v>30</v>
      </c>
      <c r="C983" t="s">
        <v>27</v>
      </c>
      <c r="D983" t="s">
        <v>51</v>
      </c>
      <c r="E983" s="5">
        <v>170693</v>
      </c>
      <c r="F983" t="s">
        <v>1918</v>
      </c>
      <c r="G983" t="s">
        <v>407</v>
      </c>
      <c r="H983" t="s">
        <v>69</v>
      </c>
    </row>
    <row r="984" spans="1:8" x14ac:dyDescent="0.3">
      <c r="A984" t="s">
        <v>11</v>
      </c>
      <c r="B984" t="s">
        <v>67</v>
      </c>
      <c r="C984" t="s">
        <v>27</v>
      </c>
      <c r="D984" t="s">
        <v>42</v>
      </c>
      <c r="E984" s="5">
        <v>60892.5</v>
      </c>
      <c r="F984" t="s">
        <v>3148</v>
      </c>
      <c r="G984" t="s">
        <v>2226</v>
      </c>
      <c r="H984" t="s">
        <v>69</v>
      </c>
    </row>
    <row r="985" spans="1:8" x14ac:dyDescent="0.3">
      <c r="A985" t="s">
        <v>40</v>
      </c>
      <c r="B985" t="s">
        <v>25</v>
      </c>
      <c r="C985" t="s">
        <v>27</v>
      </c>
      <c r="D985" t="s">
        <v>37</v>
      </c>
      <c r="E985" s="5">
        <v>90356</v>
      </c>
      <c r="F985" t="s">
        <v>1533</v>
      </c>
      <c r="G985" t="s">
        <v>93</v>
      </c>
      <c r="H985" t="s">
        <v>69</v>
      </c>
    </row>
    <row r="986" spans="1:8" x14ac:dyDescent="0.3">
      <c r="A986" t="s">
        <v>45</v>
      </c>
      <c r="B986" t="s">
        <v>67</v>
      </c>
      <c r="C986" t="s">
        <v>22</v>
      </c>
      <c r="D986" t="s">
        <v>51</v>
      </c>
      <c r="E986" s="5">
        <v>173263.5</v>
      </c>
      <c r="F986" t="s">
        <v>3583</v>
      </c>
      <c r="G986" t="s">
        <v>420</v>
      </c>
      <c r="H986" t="s">
        <v>69</v>
      </c>
    </row>
    <row r="987" spans="1:8" x14ac:dyDescent="0.3">
      <c r="A987" t="s">
        <v>45</v>
      </c>
      <c r="B987" t="s">
        <v>30</v>
      </c>
      <c r="C987" t="s">
        <v>14</v>
      </c>
      <c r="D987" t="s">
        <v>42</v>
      </c>
      <c r="E987" s="5">
        <v>107416.5</v>
      </c>
      <c r="F987" t="s">
        <v>493</v>
      </c>
      <c r="G987" t="s">
        <v>494</v>
      </c>
      <c r="H987" t="s">
        <v>14</v>
      </c>
    </row>
    <row r="988" spans="1:8" x14ac:dyDescent="0.3">
      <c r="A988" t="s">
        <v>40</v>
      </c>
      <c r="B988" t="s">
        <v>25</v>
      </c>
      <c r="C988" t="s">
        <v>14</v>
      </c>
      <c r="D988" t="s">
        <v>15</v>
      </c>
      <c r="E988" s="5">
        <v>154021.5</v>
      </c>
      <c r="F988" t="s">
        <v>2012</v>
      </c>
      <c r="G988" t="s">
        <v>70</v>
      </c>
      <c r="H988" t="s">
        <v>14</v>
      </c>
    </row>
    <row r="989" spans="1:8" x14ac:dyDescent="0.3">
      <c r="A989" t="s">
        <v>19</v>
      </c>
      <c r="B989" t="s">
        <v>12</v>
      </c>
      <c r="C989" t="s">
        <v>22</v>
      </c>
      <c r="D989" t="s">
        <v>42</v>
      </c>
      <c r="E989" s="5">
        <v>122518</v>
      </c>
      <c r="F989" t="s">
        <v>4228</v>
      </c>
      <c r="G989" t="s">
        <v>80</v>
      </c>
      <c r="H989" t="s">
        <v>16</v>
      </c>
    </row>
    <row r="990" spans="1:8" x14ac:dyDescent="0.3">
      <c r="A990" t="s">
        <v>34</v>
      </c>
      <c r="B990" t="s">
        <v>54</v>
      </c>
      <c r="C990" t="s">
        <v>22</v>
      </c>
      <c r="D990" t="s">
        <v>51</v>
      </c>
      <c r="E990" s="5">
        <v>54564</v>
      </c>
      <c r="F990" t="s">
        <v>1422</v>
      </c>
      <c r="G990" t="s">
        <v>157</v>
      </c>
      <c r="H990" t="s">
        <v>14</v>
      </c>
    </row>
    <row r="991" spans="1:8" x14ac:dyDescent="0.3">
      <c r="A991" t="s">
        <v>40</v>
      </c>
      <c r="B991" t="s">
        <v>30</v>
      </c>
      <c r="C991" t="s">
        <v>27</v>
      </c>
      <c r="D991" t="s">
        <v>51</v>
      </c>
      <c r="E991" s="5">
        <v>66371.5</v>
      </c>
      <c r="F991" t="s">
        <v>918</v>
      </c>
      <c r="G991" t="s">
        <v>919</v>
      </c>
      <c r="H991" t="s">
        <v>14</v>
      </c>
    </row>
    <row r="992" spans="1:8" x14ac:dyDescent="0.3">
      <c r="A992" t="s">
        <v>72</v>
      </c>
      <c r="B992" t="s">
        <v>135</v>
      </c>
      <c r="C992" t="s">
        <v>22</v>
      </c>
      <c r="D992" t="s">
        <v>37</v>
      </c>
      <c r="E992" s="5">
        <v>121556.5</v>
      </c>
      <c r="F992" t="s">
        <v>2521</v>
      </c>
      <c r="G992" t="s">
        <v>2522</v>
      </c>
      <c r="H992" t="s">
        <v>14</v>
      </c>
    </row>
    <row r="993" spans="1:8" x14ac:dyDescent="0.3">
      <c r="A993" t="s">
        <v>34</v>
      </c>
      <c r="B993" t="s">
        <v>25</v>
      </c>
      <c r="C993" t="s">
        <v>27</v>
      </c>
      <c r="D993" t="s">
        <v>42</v>
      </c>
      <c r="E993" s="5">
        <v>159799</v>
      </c>
      <c r="F993" t="s">
        <v>2058</v>
      </c>
      <c r="G993" t="s">
        <v>985</v>
      </c>
      <c r="H993" t="s">
        <v>69</v>
      </c>
    </row>
    <row r="994" spans="1:8" x14ac:dyDescent="0.3">
      <c r="A994" t="s">
        <v>11</v>
      </c>
      <c r="B994" t="s">
        <v>12</v>
      </c>
      <c r="C994" t="s">
        <v>14</v>
      </c>
      <c r="D994" t="s">
        <v>37</v>
      </c>
      <c r="E994" s="5">
        <v>115478</v>
      </c>
      <c r="F994" t="s">
        <v>3664</v>
      </c>
      <c r="G994" t="s">
        <v>847</v>
      </c>
      <c r="H994" t="s">
        <v>14</v>
      </c>
    </row>
    <row r="995" spans="1:8" x14ac:dyDescent="0.3">
      <c r="A995" t="s">
        <v>49</v>
      </c>
      <c r="B995" t="s">
        <v>135</v>
      </c>
      <c r="C995" t="s">
        <v>22</v>
      </c>
      <c r="D995" t="s">
        <v>42</v>
      </c>
      <c r="E995" s="5">
        <v>155988.5</v>
      </c>
      <c r="F995" t="s">
        <v>3419</v>
      </c>
      <c r="G995" t="s">
        <v>77</v>
      </c>
      <c r="H995" t="s">
        <v>16</v>
      </c>
    </row>
    <row r="996" spans="1:8" x14ac:dyDescent="0.3">
      <c r="A996" t="s">
        <v>19</v>
      </c>
      <c r="B996" t="s">
        <v>20</v>
      </c>
      <c r="C996" t="s">
        <v>14</v>
      </c>
      <c r="D996" t="s">
        <v>15</v>
      </c>
      <c r="E996" s="5">
        <v>114350.5</v>
      </c>
      <c r="F996" t="s">
        <v>3419</v>
      </c>
      <c r="G996" t="s">
        <v>333</v>
      </c>
      <c r="H996" t="s">
        <v>69</v>
      </c>
    </row>
    <row r="997" spans="1:8" x14ac:dyDescent="0.3">
      <c r="A997" t="s">
        <v>40</v>
      </c>
      <c r="B997" t="s">
        <v>30</v>
      </c>
      <c r="C997" t="s">
        <v>22</v>
      </c>
      <c r="D997" t="s">
        <v>42</v>
      </c>
      <c r="E997" s="5">
        <v>138998.5</v>
      </c>
      <c r="F997" t="s">
        <v>961</v>
      </c>
      <c r="G997" t="s">
        <v>826</v>
      </c>
      <c r="H997" t="s">
        <v>14</v>
      </c>
    </row>
    <row r="998" spans="1:8" x14ac:dyDescent="0.3">
      <c r="A998" t="s">
        <v>45</v>
      </c>
      <c r="B998" t="s">
        <v>135</v>
      </c>
      <c r="C998" t="s">
        <v>14</v>
      </c>
      <c r="D998" t="s">
        <v>42</v>
      </c>
      <c r="E998" s="5">
        <v>111351.5</v>
      </c>
      <c r="F998" t="s">
        <v>2804</v>
      </c>
      <c r="G998" t="s">
        <v>90</v>
      </c>
      <c r="H998" t="s">
        <v>14</v>
      </c>
    </row>
    <row r="999" spans="1:8" x14ac:dyDescent="0.3">
      <c r="A999" t="s">
        <v>45</v>
      </c>
      <c r="B999" t="s">
        <v>67</v>
      </c>
      <c r="C999" t="s">
        <v>22</v>
      </c>
      <c r="D999" t="s">
        <v>37</v>
      </c>
      <c r="E999" s="5">
        <v>64169.5</v>
      </c>
      <c r="F999" t="s">
        <v>3196</v>
      </c>
      <c r="G999" t="s">
        <v>564</v>
      </c>
      <c r="H999" t="s">
        <v>69</v>
      </c>
    </row>
    <row r="1000" spans="1:8" x14ac:dyDescent="0.3">
      <c r="A1000" t="s">
        <v>40</v>
      </c>
      <c r="B1000" t="s">
        <v>67</v>
      </c>
      <c r="C1000" t="s">
        <v>27</v>
      </c>
      <c r="D1000" t="s">
        <v>51</v>
      </c>
      <c r="E1000" s="5">
        <v>129638.5</v>
      </c>
      <c r="F1000" t="s">
        <v>2627</v>
      </c>
      <c r="G1000" t="s">
        <v>696</v>
      </c>
      <c r="H1000" t="s">
        <v>69</v>
      </c>
    </row>
    <row r="1001" spans="1:8" x14ac:dyDescent="0.3">
      <c r="A1001" t="s">
        <v>11</v>
      </c>
      <c r="B1001" t="s">
        <v>135</v>
      </c>
      <c r="C1001" t="s">
        <v>27</v>
      </c>
      <c r="D1001" t="s">
        <v>42</v>
      </c>
      <c r="E1001" s="5">
        <v>125016.5</v>
      </c>
      <c r="F1001" t="s">
        <v>3981</v>
      </c>
      <c r="G1001" t="s">
        <v>847</v>
      </c>
      <c r="H1001" t="s">
        <v>16</v>
      </c>
    </row>
    <row r="1002" spans="1:8" x14ac:dyDescent="0.3">
      <c r="A1002" t="s">
        <v>19</v>
      </c>
      <c r="B1002" t="s">
        <v>25</v>
      </c>
      <c r="C1002" t="s">
        <v>14</v>
      </c>
      <c r="D1002" t="s">
        <v>51</v>
      </c>
      <c r="E1002" s="5">
        <v>153106.5</v>
      </c>
      <c r="F1002" t="s">
        <v>3764</v>
      </c>
      <c r="G1002" t="s">
        <v>157</v>
      </c>
      <c r="H1002" t="s">
        <v>14</v>
      </c>
    </row>
    <row r="1003" spans="1:8" x14ac:dyDescent="0.3">
      <c r="A1003" t="s">
        <v>49</v>
      </c>
      <c r="B1003" t="s">
        <v>25</v>
      </c>
      <c r="C1003" t="s">
        <v>22</v>
      </c>
      <c r="D1003" t="s">
        <v>51</v>
      </c>
      <c r="E1003" s="5">
        <v>147292.5</v>
      </c>
      <c r="F1003" t="s">
        <v>1375</v>
      </c>
      <c r="G1003" t="s">
        <v>1085</v>
      </c>
      <c r="H1003" t="s">
        <v>69</v>
      </c>
    </row>
    <row r="1004" spans="1:8" x14ac:dyDescent="0.3">
      <c r="A1004" t="s">
        <v>11</v>
      </c>
      <c r="B1004" t="s">
        <v>54</v>
      </c>
      <c r="C1004" t="s">
        <v>27</v>
      </c>
      <c r="D1004" t="s">
        <v>42</v>
      </c>
      <c r="E1004" s="5">
        <v>93133</v>
      </c>
      <c r="F1004" t="s">
        <v>2316</v>
      </c>
      <c r="G1004" t="s">
        <v>507</v>
      </c>
      <c r="H1004" t="s">
        <v>69</v>
      </c>
    </row>
    <row r="1005" spans="1:8" x14ac:dyDescent="0.3">
      <c r="A1005" t="s">
        <v>19</v>
      </c>
      <c r="B1005" t="s">
        <v>20</v>
      </c>
      <c r="C1005" t="s">
        <v>22</v>
      </c>
      <c r="D1005" t="s">
        <v>51</v>
      </c>
      <c r="E1005" s="5">
        <v>107123.5</v>
      </c>
      <c r="F1005" t="s">
        <v>464</v>
      </c>
      <c r="G1005" t="s">
        <v>299</v>
      </c>
      <c r="H1005" t="s">
        <v>69</v>
      </c>
    </row>
    <row r="1006" spans="1:8" x14ac:dyDescent="0.3">
      <c r="A1006" t="s">
        <v>11</v>
      </c>
      <c r="B1006" t="s">
        <v>67</v>
      </c>
      <c r="C1006" t="s">
        <v>14</v>
      </c>
      <c r="D1006" t="s">
        <v>51</v>
      </c>
      <c r="E1006" s="5">
        <v>146118</v>
      </c>
      <c r="F1006" t="s">
        <v>1364</v>
      </c>
      <c r="G1006" t="s">
        <v>714</v>
      </c>
      <c r="H1006" t="s">
        <v>16</v>
      </c>
    </row>
    <row r="1007" spans="1:8" x14ac:dyDescent="0.3">
      <c r="A1007" t="s">
        <v>49</v>
      </c>
      <c r="B1007" t="s">
        <v>54</v>
      </c>
      <c r="C1007" t="s">
        <v>14</v>
      </c>
      <c r="D1007" t="s">
        <v>37</v>
      </c>
      <c r="E1007" s="5">
        <v>136828</v>
      </c>
      <c r="F1007" t="s">
        <v>1546</v>
      </c>
      <c r="G1007" t="s">
        <v>191</v>
      </c>
      <c r="H1007" t="s">
        <v>16</v>
      </c>
    </row>
    <row r="1008" spans="1:8" x14ac:dyDescent="0.3">
      <c r="A1008" t="s">
        <v>40</v>
      </c>
      <c r="B1008" t="s">
        <v>20</v>
      </c>
      <c r="C1008" t="s">
        <v>22</v>
      </c>
      <c r="D1008" t="s">
        <v>42</v>
      </c>
      <c r="E1008" s="5">
        <v>140628</v>
      </c>
      <c r="F1008" t="s">
        <v>1101</v>
      </c>
      <c r="G1008" t="s">
        <v>480</v>
      </c>
      <c r="H1008" t="s">
        <v>16</v>
      </c>
    </row>
    <row r="1009" spans="1:8" x14ac:dyDescent="0.3">
      <c r="A1009" t="s">
        <v>19</v>
      </c>
      <c r="B1009" t="s">
        <v>67</v>
      </c>
      <c r="C1009" t="s">
        <v>14</v>
      </c>
      <c r="D1009" t="s">
        <v>51</v>
      </c>
      <c r="E1009" s="5">
        <v>97499.5</v>
      </c>
      <c r="F1009" t="s">
        <v>1786</v>
      </c>
      <c r="G1009" t="s">
        <v>213</v>
      </c>
      <c r="H1009" t="s">
        <v>14</v>
      </c>
    </row>
    <row r="1010" spans="1:8" x14ac:dyDescent="0.3">
      <c r="A1010" t="s">
        <v>11</v>
      </c>
      <c r="B1010" t="s">
        <v>54</v>
      </c>
      <c r="C1010" t="s">
        <v>27</v>
      </c>
      <c r="D1010" t="s">
        <v>15</v>
      </c>
      <c r="E1010" s="5">
        <v>139418</v>
      </c>
      <c r="F1010" t="s">
        <v>2596</v>
      </c>
      <c r="G1010" t="s">
        <v>122</v>
      </c>
      <c r="H1010" t="s">
        <v>14</v>
      </c>
    </row>
    <row r="1011" spans="1:8" x14ac:dyDescent="0.3">
      <c r="A1011" t="s">
        <v>45</v>
      </c>
      <c r="B1011" t="s">
        <v>54</v>
      </c>
      <c r="C1011" t="s">
        <v>27</v>
      </c>
      <c r="D1011" t="s">
        <v>37</v>
      </c>
      <c r="E1011" s="5">
        <v>166623</v>
      </c>
      <c r="F1011" t="s">
        <v>3150</v>
      </c>
      <c r="G1011" t="s">
        <v>293</v>
      </c>
      <c r="H1011" t="s">
        <v>69</v>
      </c>
    </row>
    <row r="1012" spans="1:8" x14ac:dyDescent="0.3">
      <c r="A1012" t="s">
        <v>19</v>
      </c>
      <c r="B1012" t="s">
        <v>135</v>
      </c>
      <c r="C1012" t="s">
        <v>14</v>
      </c>
      <c r="D1012" t="s">
        <v>15</v>
      </c>
      <c r="E1012" s="5">
        <v>139914</v>
      </c>
      <c r="F1012" t="s">
        <v>1331</v>
      </c>
      <c r="G1012" t="s">
        <v>497</v>
      </c>
      <c r="H1012" t="s">
        <v>14</v>
      </c>
    </row>
    <row r="1013" spans="1:8" x14ac:dyDescent="0.3">
      <c r="A1013" t="s">
        <v>19</v>
      </c>
      <c r="B1013" t="s">
        <v>35</v>
      </c>
      <c r="C1013" t="s">
        <v>14</v>
      </c>
      <c r="D1013" t="s">
        <v>37</v>
      </c>
      <c r="E1013" s="5">
        <v>166891.5</v>
      </c>
      <c r="F1013" t="s">
        <v>1145</v>
      </c>
      <c r="G1013" t="s">
        <v>70</v>
      </c>
      <c r="H1013" t="s">
        <v>14</v>
      </c>
    </row>
    <row r="1014" spans="1:8" x14ac:dyDescent="0.3">
      <c r="A1014" t="s">
        <v>19</v>
      </c>
      <c r="B1014" t="s">
        <v>35</v>
      </c>
      <c r="C1014" t="s">
        <v>27</v>
      </c>
      <c r="D1014" t="s">
        <v>51</v>
      </c>
      <c r="E1014" s="5">
        <v>123411</v>
      </c>
      <c r="F1014" t="s">
        <v>1933</v>
      </c>
      <c r="G1014" t="s">
        <v>1384</v>
      </c>
      <c r="H1014" t="s">
        <v>69</v>
      </c>
    </row>
    <row r="1015" spans="1:8" x14ac:dyDescent="0.3">
      <c r="A1015" t="s">
        <v>49</v>
      </c>
      <c r="B1015" t="s">
        <v>35</v>
      </c>
      <c r="C1015" t="s">
        <v>22</v>
      </c>
      <c r="D1015" t="s">
        <v>51</v>
      </c>
      <c r="E1015" s="5">
        <v>98580.5</v>
      </c>
      <c r="F1015" t="s">
        <v>1333</v>
      </c>
      <c r="G1015" t="s">
        <v>847</v>
      </c>
      <c r="H1015" t="s">
        <v>14</v>
      </c>
    </row>
    <row r="1016" spans="1:8" x14ac:dyDescent="0.3">
      <c r="A1016" t="s">
        <v>45</v>
      </c>
      <c r="B1016" t="s">
        <v>67</v>
      </c>
      <c r="C1016" t="s">
        <v>22</v>
      </c>
      <c r="D1016" t="s">
        <v>42</v>
      </c>
      <c r="E1016" s="5">
        <v>85619</v>
      </c>
      <c r="F1016" t="s">
        <v>1642</v>
      </c>
      <c r="G1016" t="s">
        <v>77</v>
      </c>
      <c r="H1016" t="s">
        <v>69</v>
      </c>
    </row>
    <row r="1017" spans="1:8" x14ac:dyDescent="0.3">
      <c r="A1017" t="s">
        <v>11</v>
      </c>
      <c r="B1017" t="s">
        <v>35</v>
      </c>
      <c r="C1017" t="s">
        <v>22</v>
      </c>
      <c r="D1017" t="s">
        <v>15</v>
      </c>
      <c r="E1017" s="5">
        <v>112458.5</v>
      </c>
      <c r="F1017" t="s">
        <v>3109</v>
      </c>
      <c r="G1017" t="s">
        <v>407</v>
      </c>
      <c r="H1017" t="s">
        <v>69</v>
      </c>
    </row>
    <row r="1018" spans="1:8" x14ac:dyDescent="0.3">
      <c r="A1018" t="s">
        <v>45</v>
      </c>
      <c r="B1018" t="s">
        <v>35</v>
      </c>
      <c r="C1018" t="s">
        <v>14</v>
      </c>
      <c r="D1018" t="s">
        <v>51</v>
      </c>
      <c r="E1018" s="5">
        <v>154256.5</v>
      </c>
      <c r="F1018" t="s">
        <v>1143</v>
      </c>
      <c r="G1018" t="s">
        <v>90</v>
      </c>
      <c r="H1018" t="s">
        <v>69</v>
      </c>
    </row>
    <row r="1019" spans="1:8" x14ac:dyDescent="0.3">
      <c r="A1019" t="s">
        <v>45</v>
      </c>
      <c r="B1019" t="s">
        <v>12</v>
      </c>
      <c r="C1019" t="s">
        <v>27</v>
      </c>
      <c r="D1019" t="s">
        <v>37</v>
      </c>
      <c r="E1019" s="5">
        <v>137949.5</v>
      </c>
      <c r="F1019" t="s">
        <v>1195</v>
      </c>
      <c r="G1019" t="s">
        <v>1131</v>
      </c>
      <c r="H1019" t="s">
        <v>16</v>
      </c>
    </row>
    <row r="1020" spans="1:8" x14ac:dyDescent="0.3">
      <c r="A1020" t="s">
        <v>11</v>
      </c>
      <c r="B1020" t="s">
        <v>25</v>
      </c>
      <c r="C1020" t="s">
        <v>14</v>
      </c>
      <c r="D1020" t="s">
        <v>51</v>
      </c>
      <c r="E1020" s="5">
        <v>101987</v>
      </c>
      <c r="F1020" t="s">
        <v>2073</v>
      </c>
      <c r="G1020" t="s">
        <v>221</v>
      </c>
      <c r="H1020" t="s">
        <v>16</v>
      </c>
    </row>
    <row r="1021" spans="1:8" x14ac:dyDescent="0.3">
      <c r="A1021" t="s">
        <v>49</v>
      </c>
      <c r="B1021" t="s">
        <v>30</v>
      </c>
      <c r="C1021" t="s">
        <v>14</v>
      </c>
      <c r="D1021" t="s">
        <v>42</v>
      </c>
      <c r="E1021" s="5">
        <v>107404</v>
      </c>
      <c r="F1021" t="s">
        <v>3210</v>
      </c>
      <c r="G1021" t="s">
        <v>3211</v>
      </c>
      <c r="H1021" t="s">
        <v>14</v>
      </c>
    </row>
    <row r="1022" spans="1:8" x14ac:dyDescent="0.3">
      <c r="A1022" t="s">
        <v>49</v>
      </c>
      <c r="B1022" t="s">
        <v>67</v>
      </c>
      <c r="C1022" t="s">
        <v>14</v>
      </c>
      <c r="D1022" t="s">
        <v>42</v>
      </c>
      <c r="E1022" s="5">
        <v>136044.5</v>
      </c>
      <c r="F1022" t="s">
        <v>1103</v>
      </c>
      <c r="G1022" t="s">
        <v>526</v>
      </c>
      <c r="H1022" t="s">
        <v>69</v>
      </c>
    </row>
    <row r="1023" spans="1:8" x14ac:dyDescent="0.3">
      <c r="A1023" t="s">
        <v>40</v>
      </c>
      <c r="B1023" t="s">
        <v>35</v>
      </c>
      <c r="C1023" t="s">
        <v>14</v>
      </c>
      <c r="D1023" t="s">
        <v>15</v>
      </c>
      <c r="E1023" s="5">
        <v>172178.5</v>
      </c>
      <c r="F1023" t="s">
        <v>2333</v>
      </c>
      <c r="G1023" t="s">
        <v>80</v>
      </c>
      <c r="H1023" t="s">
        <v>14</v>
      </c>
    </row>
    <row r="1024" spans="1:8" x14ac:dyDescent="0.3">
      <c r="A1024" t="s">
        <v>45</v>
      </c>
      <c r="B1024" t="s">
        <v>20</v>
      </c>
      <c r="C1024" t="s">
        <v>27</v>
      </c>
      <c r="D1024" t="s">
        <v>51</v>
      </c>
      <c r="E1024" s="5">
        <v>125080</v>
      </c>
      <c r="F1024" t="s">
        <v>2210</v>
      </c>
      <c r="G1024" t="s">
        <v>101</v>
      </c>
      <c r="H1024" t="s">
        <v>16</v>
      </c>
    </row>
    <row r="1025" spans="1:8" x14ac:dyDescent="0.3">
      <c r="A1025" t="s">
        <v>11</v>
      </c>
      <c r="B1025" t="s">
        <v>67</v>
      </c>
      <c r="C1025" t="s">
        <v>22</v>
      </c>
      <c r="D1025" t="s">
        <v>37</v>
      </c>
      <c r="E1025" s="5">
        <v>55813.5</v>
      </c>
      <c r="F1025" t="s">
        <v>452</v>
      </c>
      <c r="G1025" t="s">
        <v>226</v>
      </c>
      <c r="H1025" t="s">
        <v>16</v>
      </c>
    </row>
    <row r="1026" spans="1:8" x14ac:dyDescent="0.3">
      <c r="A1026" t="s">
        <v>45</v>
      </c>
      <c r="B1026" t="s">
        <v>30</v>
      </c>
      <c r="C1026" t="s">
        <v>14</v>
      </c>
      <c r="D1026" t="s">
        <v>42</v>
      </c>
      <c r="E1026" s="5">
        <v>148009.5</v>
      </c>
      <c r="F1026" t="s">
        <v>3889</v>
      </c>
      <c r="G1026" t="s">
        <v>128</v>
      </c>
      <c r="H1026" t="s">
        <v>69</v>
      </c>
    </row>
    <row r="1027" spans="1:8" x14ac:dyDescent="0.3">
      <c r="A1027" t="s">
        <v>11</v>
      </c>
      <c r="B1027" t="s">
        <v>12</v>
      </c>
      <c r="C1027" t="s">
        <v>27</v>
      </c>
      <c r="D1027" t="s">
        <v>15</v>
      </c>
      <c r="E1027" s="5">
        <v>98204.5</v>
      </c>
      <c r="F1027" t="s">
        <v>3314</v>
      </c>
      <c r="G1027" t="s">
        <v>101</v>
      </c>
      <c r="H1027" t="s">
        <v>69</v>
      </c>
    </row>
    <row r="1028" spans="1:8" x14ac:dyDescent="0.3">
      <c r="A1028" t="s">
        <v>19</v>
      </c>
      <c r="B1028" t="s">
        <v>25</v>
      </c>
      <c r="C1028" t="s">
        <v>27</v>
      </c>
      <c r="D1028" t="s">
        <v>15</v>
      </c>
      <c r="E1028" s="5">
        <v>170850</v>
      </c>
      <c r="F1028" t="s">
        <v>26</v>
      </c>
      <c r="G1028" t="s">
        <v>28</v>
      </c>
      <c r="H1028" t="s">
        <v>16</v>
      </c>
    </row>
    <row r="1029" spans="1:8" x14ac:dyDescent="0.3">
      <c r="A1029" t="s">
        <v>49</v>
      </c>
      <c r="B1029" t="s">
        <v>35</v>
      </c>
      <c r="C1029" t="s">
        <v>27</v>
      </c>
      <c r="D1029" t="s">
        <v>37</v>
      </c>
      <c r="E1029" s="5">
        <v>92240.5</v>
      </c>
      <c r="F1029" t="s">
        <v>3244</v>
      </c>
      <c r="G1029" t="s">
        <v>2790</v>
      </c>
      <c r="H1029" t="s">
        <v>16</v>
      </c>
    </row>
    <row r="1030" spans="1:8" x14ac:dyDescent="0.3">
      <c r="A1030" t="s">
        <v>49</v>
      </c>
      <c r="B1030" t="s">
        <v>67</v>
      </c>
      <c r="C1030" t="s">
        <v>27</v>
      </c>
      <c r="D1030" t="s">
        <v>37</v>
      </c>
      <c r="E1030" s="5">
        <v>55065</v>
      </c>
      <c r="F1030" t="s">
        <v>2553</v>
      </c>
      <c r="G1030" t="s">
        <v>2554</v>
      </c>
      <c r="H1030" t="s">
        <v>69</v>
      </c>
    </row>
    <row r="1031" spans="1:8" x14ac:dyDescent="0.3">
      <c r="A1031" t="s">
        <v>45</v>
      </c>
      <c r="B1031" t="s">
        <v>25</v>
      </c>
      <c r="C1031" t="s">
        <v>14</v>
      </c>
      <c r="D1031" t="s">
        <v>51</v>
      </c>
      <c r="E1031" s="5">
        <v>197776.5</v>
      </c>
      <c r="F1031" t="s">
        <v>551</v>
      </c>
      <c r="G1031" t="s">
        <v>80</v>
      </c>
      <c r="H1031" t="s">
        <v>69</v>
      </c>
    </row>
    <row r="1032" spans="1:8" x14ac:dyDescent="0.3">
      <c r="A1032" t="s">
        <v>34</v>
      </c>
      <c r="B1032" t="s">
        <v>30</v>
      </c>
      <c r="C1032" t="s">
        <v>27</v>
      </c>
      <c r="D1032" t="s">
        <v>37</v>
      </c>
      <c r="E1032" s="5">
        <v>60422</v>
      </c>
      <c r="F1032" t="s">
        <v>1260</v>
      </c>
      <c r="G1032" t="s">
        <v>80</v>
      </c>
      <c r="H1032" t="s">
        <v>14</v>
      </c>
    </row>
    <row r="1033" spans="1:8" x14ac:dyDescent="0.3">
      <c r="A1033" t="s">
        <v>34</v>
      </c>
      <c r="B1033" t="s">
        <v>54</v>
      </c>
      <c r="C1033" t="s">
        <v>22</v>
      </c>
      <c r="D1033" t="s">
        <v>51</v>
      </c>
      <c r="E1033" s="5">
        <v>69070.5</v>
      </c>
      <c r="F1033" t="s">
        <v>3356</v>
      </c>
      <c r="G1033" t="s">
        <v>90</v>
      </c>
      <c r="H1033" t="s">
        <v>14</v>
      </c>
    </row>
    <row r="1034" spans="1:8" x14ac:dyDescent="0.3">
      <c r="A1034" t="s">
        <v>72</v>
      </c>
      <c r="B1034" t="s">
        <v>20</v>
      </c>
      <c r="C1034" t="s">
        <v>22</v>
      </c>
      <c r="D1034" t="s">
        <v>15</v>
      </c>
      <c r="E1034" s="5">
        <v>149302.5</v>
      </c>
      <c r="F1034" t="s">
        <v>617</v>
      </c>
      <c r="G1034" t="s">
        <v>618</v>
      </c>
      <c r="H1034" t="s">
        <v>69</v>
      </c>
    </row>
    <row r="1035" spans="1:8" x14ac:dyDescent="0.3">
      <c r="A1035" t="s">
        <v>49</v>
      </c>
      <c r="B1035" t="s">
        <v>35</v>
      </c>
      <c r="C1035" t="s">
        <v>27</v>
      </c>
      <c r="D1035" t="s">
        <v>51</v>
      </c>
      <c r="E1035" s="5">
        <v>105729.5</v>
      </c>
      <c r="F1035" t="s">
        <v>649</v>
      </c>
      <c r="G1035" t="s">
        <v>407</v>
      </c>
      <c r="H1035" t="s">
        <v>14</v>
      </c>
    </row>
    <row r="1036" spans="1:8" x14ac:dyDescent="0.3">
      <c r="A1036" t="s">
        <v>49</v>
      </c>
      <c r="B1036" t="s">
        <v>12</v>
      </c>
      <c r="C1036" t="s">
        <v>27</v>
      </c>
      <c r="D1036" t="s">
        <v>15</v>
      </c>
      <c r="E1036" s="5">
        <v>100062</v>
      </c>
      <c r="F1036" t="s">
        <v>259</v>
      </c>
      <c r="G1036" t="s">
        <v>260</v>
      </c>
      <c r="H1036" t="s">
        <v>14</v>
      </c>
    </row>
    <row r="1037" spans="1:8" x14ac:dyDescent="0.3">
      <c r="A1037" t="s">
        <v>40</v>
      </c>
      <c r="B1037" t="s">
        <v>25</v>
      </c>
      <c r="C1037" t="s">
        <v>14</v>
      </c>
      <c r="D1037" t="s">
        <v>15</v>
      </c>
      <c r="E1037" s="5">
        <v>189270</v>
      </c>
      <c r="F1037" t="s">
        <v>3164</v>
      </c>
      <c r="G1037" t="s">
        <v>80</v>
      </c>
      <c r="H1037" t="s">
        <v>69</v>
      </c>
    </row>
    <row r="1038" spans="1:8" x14ac:dyDescent="0.3">
      <c r="A1038" t="s">
        <v>49</v>
      </c>
      <c r="B1038" t="s">
        <v>12</v>
      </c>
      <c r="C1038" t="s">
        <v>14</v>
      </c>
      <c r="D1038" t="s">
        <v>51</v>
      </c>
      <c r="E1038" s="5">
        <v>150564</v>
      </c>
      <c r="F1038" t="s">
        <v>854</v>
      </c>
      <c r="G1038" t="s">
        <v>362</v>
      </c>
      <c r="H1038" t="s">
        <v>16</v>
      </c>
    </row>
    <row r="1039" spans="1:8" x14ac:dyDescent="0.3">
      <c r="A1039" t="s">
        <v>45</v>
      </c>
      <c r="B1039" t="s">
        <v>12</v>
      </c>
      <c r="C1039" t="s">
        <v>14</v>
      </c>
      <c r="D1039" t="s">
        <v>51</v>
      </c>
      <c r="E1039" s="5">
        <v>162453</v>
      </c>
      <c r="F1039" t="s">
        <v>2708</v>
      </c>
      <c r="G1039" t="s">
        <v>293</v>
      </c>
      <c r="H1039" t="s">
        <v>69</v>
      </c>
    </row>
    <row r="1040" spans="1:8" x14ac:dyDescent="0.3">
      <c r="A1040" t="s">
        <v>19</v>
      </c>
      <c r="B1040" t="s">
        <v>12</v>
      </c>
      <c r="C1040" t="s">
        <v>14</v>
      </c>
      <c r="D1040" t="s">
        <v>42</v>
      </c>
      <c r="E1040" s="5">
        <v>155205</v>
      </c>
      <c r="F1040" t="s">
        <v>3774</v>
      </c>
      <c r="G1040" t="s">
        <v>80</v>
      </c>
      <c r="H1040" t="s">
        <v>16</v>
      </c>
    </row>
    <row r="1041" spans="1:8" x14ac:dyDescent="0.3">
      <c r="A1041" t="s">
        <v>19</v>
      </c>
      <c r="B1041" t="s">
        <v>12</v>
      </c>
      <c r="C1041" t="s">
        <v>22</v>
      </c>
      <c r="D1041" t="s">
        <v>42</v>
      </c>
      <c r="E1041" s="5">
        <v>83111</v>
      </c>
      <c r="F1041" t="s">
        <v>3162</v>
      </c>
      <c r="G1041" t="s">
        <v>101</v>
      </c>
      <c r="H1041" t="s">
        <v>16</v>
      </c>
    </row>
    <row r="1042" spans="1:8" x14ac:dyDescent="0.3">
      <c r="A1042" t="s">
        <v>72</v>
      </c>
      <c r="B1042" t="s">
        <v>20</v>
      </c>
      <c r="C1042" t="s">
        <v>14</v>
      </c>
      <c r="D1042" t="s">
        <v>37</v>
      </c>
      <c r="E1042" s="5">
        <v>163892</v>
      </c>
      <c r="F1042" t="s">
        <v>1816</v>
      </c>
      <c r="G1042" t="s">
        <v>80</v>
      </c>
      <c r="H1042" t="s">
        <v>16</v>
      </c>
    </row>
    <row r="1043" spans="1:8" x14ac:dyDescent="0.3">
      <c r="A1043" t="s">
        <v>19</v>
      </c>
      <c r="B1043" t="s">
        <v>35</v>
      </c>
      <c r="C1043" t="s">
        <v>22</v>
      </c>
      <c r="D1043" t="s">
        <v>37</v>
      </c>
      <c r="E1043" s="5">
        <v>88078</v>
      </c>
      <c r="F1043" t="s">
        <v>716</v>
      </c>
      <c r="G1043" t="s">
        <v>128</v>
      </c>
      <c r="H1043" t="s">
        <v>69</v>
      </c>
    </row>
    <row r="1044" spans="1:8" x14ac:dyDescent="0.3">
      <c r="A1044" t="s">
        <v>45</v>
      </c>
      <c r="B1044" t="s">
        <v>54</v>
      </c>
      <c r="C1044" t="s">
        <v>27</v>
      </c>
      <c r="D1044" t="s">
        <v>15</v>
      </c>
      <c r="E1044" s="5">
        <v>133110.5</v>
      </c>
      <c r="F1044" t="s">
        <v>1062</v>
      </c>
      <c r="G1044" t="s">
        <v>520</v>
      </c>
      <c r="H1044" t="s">
        <v>69</v>
      </c>
    </row>
    <row r="1045" spans="1:8" x14ac:dyDescent="0.3">
      <c r="A1045" t="s">
        <v>19</v>
      </c>
      <c r="B1045" t="s">
        <v>30</v>
      </c>
      <c r="C1045" t="s">
        <v>14</v>
      </c>
      <c r="D1045" t="s">
        <v>15</v>
      </c>
      <c r="E1045" s="5">
        <v>144139</v>
      </c>
      <c r="F1045" t="s">
        <v>2639</v>
      </c>
      <c r="G1045" t="s">
        <v>2522</v>
      </c>
      <c r="H1045" t="s">
        <v>69</v>
      </c>
    </row>
    <row r="1046" spans="1:8" x14ac:dyDescent="0.3">
      <c r="A1046" t="s">
        <v>34</v>
      </c>
      <c r="B1046" t="s">
        <v>67</v>
      </c>
      <c r="C1046" t="s">
        <v>22</v>
      </c>
      <c r="D1046" t="s">
        <v>51</v>
      </c>
      <c r="E1046" s="5">
        <v>146755</v>
      </c>
      <c r="F1046" t="s">
        <v>127</v>
      </c>
      <c r="G1046" t="s">
        <v>128</v>
      </c>
      <c r="H1046" t="s">
        <v>69</v>
      </c>
    </row>
    <row r="1047" spans="1:8" x14ac:dyDescent="0.3">
      <c r="A1047" t="s">
        <v>49</v>
      </c>
      <c r="B1047" t="s">
        <v>25</v>
      </c>
      <c r="C1047" t="s">
        <v>27</v>
      </c>
      <c r="D1047" t="s">
        <v>42</v>
      </c>
      <c r="E1047" s="5">
        <v>94482</v>
      </c>
      <c r="F1047" t="s">
        <v>933</v>
      </c>
      <c r="G1047" t="s">
        <v>680</v>
      </c>
      <c r="H1047" t="s">
        <v>14</v>
      </c>
    </row>
    <row r="1048" spans="1:8" x14ac:dyDescent="0.3">
      <c r="A1048" t="s">
        <v>49</v>
      </c>
      <c r="B1048" t="s">
        <v>12</v>
      </c>
      <c r="C1048" t="s">
        <v>27</v>
      </c>
      <c r="D1048" t="s">
        <v>37</v>
      </c>
      <c r="E1048" s="5">
        <v>109805.5</v>
      </c>
      <c r="F1048" t="s">
        <v>2646</v>
      </c>
      <c r="G1048" t="s">
        <v>507</v>
      </c>
      <c r="H1048" t="s">
        <v>69</v>
      </c>
    </row>
    <row r="1049" spans="1:8" x14ac:dyDescent="0.3">
      <c r="A1049" t="s">
        <v>49</v>
      </c>
      <c r="B1049" t="s">
        <v>30</v>
      </c>
      <c r="C1049" t="s">
        <v>14</v>
      </c>
      <c r="D1049" t="s">
        <v>15</v>
      </c>
      <c r="E1049" s="5">
        <v>121662.5</v>
      </c>
      <c r="F1049" t="s">
        <v>607</v>
      </c>
      <c r="G1049" t="s">
        <v>80</v>
      </c>
      <c r="H1049" t="s">
        <v>14</v>
      </c>
    </row>
    <row r="1050" spans="1:8" x14ac:dyDescent="0.3">
      <c r="A1050" t="s">
        <v>49</v>
      </c>
      <c r="B1050" t="s">
        <v>35</v>
      </c>
      <c r="C1050" t="s">
        <v>22</v>
      </c>
      <c r="D1050" t="s">
        <v>15</v>
      </c>
      <c r="E1050" s="5">
        <v>135069.5</v>
      </c>
      <c r="F1050" t="s">
        <v>2827</v>
      </c>
      <c r="G1050" t="s">
        <v>677</v>
      </c>
      <c r="H1050" t="s">
        <v>16</v>
      </c>
    </row>
    <row r="1051" spans="1:8" x14ac:dyDescent="0.3">
      <c r="A1051" t="s">
        <v>11</v>
      </c>
      <c r="B1051" t="s">
        <v>30</v>
      </c>
      <c r="C1051" t="s">
        <v>27</v>
      </c>
      <c r="D1051" t="s">
        <v>42</v>
      </c>
      <c r="E1051" s="5">
        <v>167986.5</v>
      </c>
      <c r="F1051" t="s">
        <v>404</v>
      </c>
      <c r="G1051" t="s">
        <v>213</v>
      </c>
      <c r="H1051" t="s">
        <v>16</v>
      </c>
    </row>
    <row r="1052" spans="1:8" x14ac:dyDescent="0.3">
      <c r="A1052" t="s">
        <v>72</v>
      </c>
      <c r="B1052" t="s">
        <v>54</v>
      </c>
      <c r="C1052" t="s">
        <v>22</v>
      </c>
      <c r="D1052" t="s">
        <v>37</v>
      </c>
      <c r="E1052" s="5">
        <v>162662</v>
      </c>
      <c r="F1052" t="s">
        <v>2027</v>
      </c>
      <c r="G1052" t="s">
        <v>56</v>
      </c>
      <c r="H1052" t="s">
        <v>69</v>
      </c>
    </row>
    <row r="1053" spans="1:8" x14ac:dyDescent="0.3">
      <c r="A1053" t="s">
        <v>45</v>
      </c>
      <c r="B1053" t="s">
        <v>54</v>
      </c>
      <c r="C1053" t="s">
        <v>22</v>
      </c>
      <c r="D1053" t="s">
        <v>42</v>
      </c>
      <c r="E1053" s="5">
        <v>171045.5</v>
      </c>
      <c r="F1053" t="s">
        <v>237</v>
      </c>
      <c r="G1053" t="s">
        <v>157</v>
      </c>
      <c r="H1053" t="s">
        <v>69</v>
      </c>
    </row>
    <row r="1054" spans="1:8" x14ac:dyDescent="0.3">
      <c r="A1054" t="s">
        <v>72</v>
      </c>
      <c r="B1054" t="s">
        <v>35</v>
      </c>
      <c r="C1054" t="s">
        <v>22</v>
      </c>
      <c r="D1054" t="s">
        <v>15</v>
      </c>
      <c r="E1054" s="5">
        <v>109075</v>
      </c>
      <c r="F1054" t="s">
        <v>2274</v>
      </c>
      <c r="G1054" t="s">
        <v>2275</v>
      </c>
      <c r="H1054" t="s">
        <v>14</v>
      </c>
    </row>
    <row r="1055" spans="1:8" x14ac:dyDescent="0.3">
      <c r="A1055" t="s">
        <v>49</v>
      </c>
      <c r="B1055" t="s">
        <v>12</v>
      </c>
      <c r="C1055" t="s">
        <v>22</v>
      </c>
      <c r="D1055" t="s">
        <v>51</v>
      </c>
      <c r="E1055" s="5">
        <v>107496</v>
      </c>
      <c r="F1055" t="s">
        <v>373</v>
      </c>
      <c r="G1055" t="s">
        <v>101</v>
      </c>
      <c r="H1055" t="s">
        <v>69</v>
      </c>
    </row>
    <row r="1056" spans="1:8" x14ac:dyDescent="0.3">
      <c r="A1056" t="s">
        <v>40</v>
      </c>
      <c r="B1056" t="s">
        <v>20</v>
      </c>
      <c r="C1056" t="s">
        <v>27</v>
      </c>
      <c r="D1056" t="s">
        <v>42</v>
      </c>
      <c r="E1056" s="5">
        <v>136501.5</v>
      </c>
      <c r="F1056" t="s">
        <v>1838</v>
      </c>
      <c r="G1056" t="s">
        <v>520</v>
      </c>
      <c r="H1056" t="s">
        <v>16</v>
      </c>
    </row>
    <row r="1057" spans="1:8" x14ac:dyDescent="0.3">
      <c r="A1057" t="s">
        <v>34</v>
      </c>
      <c r="B1057" t="s">
        <v>67</v>
      </c>
      <c r="C1057" t="s">
        <v>14</v>
      </c>
      <c r="D1057" t="s">
        <v>51</v>
      </c>
      <c r="E1057" s="5">
        <v>102865.5</v>
      </c>
      <c r="F1057" t="s">
        <v>2132</v>
      </c>
      <c r="G1057" t="s">
        <v>128</v>
      </c>
      <c r="H1057" t="s">
        <v>16</v>
      </c>
    </row>
    <row r="1058" spans="1:8" x14ac:dyDescent="0.3">
      <c r="A1058" t="s">
        <v>49</v>
      </c>
      <c r="B1058" t="s">
        <v>135</v>
      </c>
      <c r="C1058" t="s">
        <v>27</v>
      </c>
      <c r="D1058" t="s">
        <v>15</v>
      </c>
      <c r="E1058" s="5">
        <v>126487.5</v>
      </c>
      <c r="F1058" t="s">
        <v>3199</v>
      </c>
      <c r="G1058" t="s">
        <v>3200</v>
      </c>
      <c r="H1058" t="s">
        <v>69</v>
      </c>
    </row>
    <row r="1059" spans="1:8" x14ac:dyDescent="0.3">
      <c r="A1059" t="s">
        <v>34</v>
      </c>
      <c r="B1059" t="s">
        <v>54</v>
      </c>
      <c r="C1059" t="s">
        <v>22</v>
      </c>
      <c r="D1059" t="s">
        <v>42</v>
      </c>
      <c r="E1059" s="5">
        <v>62766</v>
      </c>
      <c r="F1059" t="s">
        <v>2302</v>
      </c>
      <c r="G1059" t="s">
        <v>938</v>
      </c>
      <c r="H1059" t="s">
        <v>14</v>
      </c>
    </row>
    <row r="1060" spans="1:8" x14ac:dyDescent="0.3">
      <c r="A1060" t="s">
        <v>72</v>
      </c>
      <c r="B1060" t="s">
        <v>20</v>
      </c>
      <c r="C1060" t="s">
        <v>22</v>
      </c>
      <c r="D1060" t="s">
        <v>15</v>
      </c>
      <c r="E1060" s="5">
        <v>122933</v>
      </c>
      <c r="F1060" t="s">
        <v>2118</v>
      </c>
      <c r="G1060" t="s">
        <v>70</v>
      </c>
      <c r="H1060" t="s">
        <v>14</v>
      </c>
    </row>
    <row r="1061" spans="1:8" x14ac:dyDescent="0.3">
      <c r="A1061" t="s">
        <v>34</v>
      </c>
      <c r="B1061" t="s">
        <v>135</v>
      </c>
      <c r="C1061" t="s">
        <v>14</v>
      </c>
      <c r="D1061" t="s">
        <v>37</v>
      </c>
      <c r="E1061" s="5">
        <v>121813</v>
      </c>
      <c r="F1061" t="s">
        <v>4113</v>
      </c>
      <c r="G1061" t="s">
        <v>38</v>
      </c>
      <c r="H1061" t="s">
        <v>69</v>
      </c>
    </row>
    <row r="1062" spans="1:8" x14ac:dyDescent="0.3">
      <c r="A1062" t="s">
        <v>34</v>
      </c>
      <c r="B1062" t="s">
        <v>67</v>
      </c>
      <c r="C1062" t="s">
        <v>27</v>
      </c>
      <c r="D1062" t="s">
        <v>15</v>
      </c>
      <c r="E1062" s="5">
        <v>163185.5</v>
      </c>
      <c r="F1062" t="s">
        <v>878</v>
      </c>
      <c r="G1062" t="s">
        <v>729</v>
      </c>
      <c r="H1062" t="s">
        <v>16</v>
      </c>
    </row>
    <row r="1063" spans="1:8" x14ac:dyDescent="0.3">
      <c r="A1063" t="s">
        <v>72</v>
      </c>
      <c r="B1063" t="s">
        <v>135</v>
      </c>
      <c r="C1063" t="s">
        <v>14</v>
      </c>
      <c r="D1063" t="s">
        <v>15</v>
      </c>
      <c r="E1063" s="5">
        <v>98758.5</v>
      </c>
      <c r="F1063" t="s">
        <v>1904</v>
      </c>
      <c r="G1063" t="s">
        <v>444</v>
      </c>
      <c r="H1063" t="s">
        <v>14</v>
      </c>
    </row>
    <row r="1064" spans="1:8" x14ac:dyDescent="0.3">
      <c r="A1064" t="s">
        <v>40</v>
      </c>
      <c r="B1064" t="s">
        <v>12</v>
      </c>
      <c r="C1064" t="s">
        <v>22</v>
      </c>
      <c r="D1064" t="s">
        <v>15</v>
      </c>
      <c r="E1064" s="5">
        <v>64929</v>
      </c>
      <c r="F1064" t="s">
        <v>1792</v>
      </c>
      <c r="G1064" t="s">
        <v>101</v>
      </c>
      <c r="H1064" t="s">
        <v>16</v>
      </c>
    </row>
    <row r="1065" spans="1:8" x14ac:dyDescent="0.3">
      <c r="A1065" t="s">
        <v>34</v>
      </c>
      <c r="B1065" t="s">
        <v>35</v>
      </c>
      <c r="C1065" t="s">
        <v>27</v>
      </c>
      <c r="D1065" t="s">
        <v>15</v>
      </c>
      <c r="E1065" s="5">
        <v>166363.5</v>
      </c>
      <c r="F1065" t="s">
        <v>3424</v>
      </c>
      <c r="G1065" t="s">
        <v>226</v>
      </c>
      <c r="H1065" t="s">
        <v>16</v>
      </c>
    </row>
    <row r="1066" spans="1:8" x14ac:dyDescent="0.3">
      <c r="A1066" t="s">
        <v>40</v>
      </c>
      <c r="B1066" t="s">
        <v>67</v>
      </c>
      <c r="C1066" t="s">
        <v>22</v>
      </c>
      <c r="D1066" t="s">
        <v>15</v>
      </c>
      <c r="E1066" s="5">
        <v>152291</v>
      </c>
      <c r="F1066" t="s">
        <v>3826</v>
      </c>
      <c r="G1066" t="s">
        <v>1675</v>
      </c>
      <c r="H1066" t="s">
        <v>69</v>
      </c>
    </row>
    <row r="1067" spans="1:8" x14ac:dyDescent="0.3">
      <c r="A1067" t="s">
        <v>19</v>
      </c>
      <c r="B1067" t="s">
        <v>54</v>
      </c>
      <c r="C1067" t="s">
        <v>22</v>
      </c>
      <c r="D1067" t="s">
        <v>42</v>
      </c>
      <c r="E1067" s="5">
        <v>163599</v>
      </c>
      <c r="F1067" t="s">
        <v>1945</v>
      </c>
      <c r="G1067" t="s">
        <v>1946</v>
      </c>
      <c r="H1067" t="s">
        <v>16</v>
      </c>
    </row>
    <row r="1068" spans="1:8" x14ac:dyDescent="0.3">
      <c r="A1068" t="s">
        <v>49</v>
      </c>
      <c r="B1068" t="s">
        <v>135</v>
      </c>
      <c r="C1068" t="s">
        <v>27</v>
      </c>
      <c r="D1068" t="s">
        <v>51</v>
      </c>
      <c r="E1068" s="5">
        <v>154689</v>
      </c>
      <c r="F1068" t="s">
        <v>3137</v>
      </c>
      <c r="G1068" t="s">
        <v>293</v>
      </c>
      <c r="H1068" t="s">
        <v>16</v>
      </c>
    </row>
    <row r="1069" spans="1:8" x14ac:dyDescent="0.3">
      <c r="A1069" t="s">
        <v>11</v>
      </c>
      <c r="B1069" t="s">
        <v>12</v>
      </c>
      <c r="C1069" t="s">
        <v>27</v>
      </c>
      <c r="D1069" t="s">
        <v>15</v>
      </c>
      <c r="E1069" s="5">
        <v>73812.5</v>
      </c>
      <c r="F1069" t="s">
        <v>1233</v>
      </c>
      <c r="G1069" t="s">
        <v>1234</v>
      </c>
      <c r="H1069" t="s">
        <v>14</v>
      </c>
    </row>
    <row r="1070" spans="1:8" x14ac:dyDescent="0.3">
      <c r="A1070" t="s">
        <v>11</v>
      </c>
      <c r="B1070" t="s">
        <v>25</v>
      </c>
      <c r="C1070" t="s">
        <v>14</v>
      </c>
      <c r="D1070" t="s">
        <v>51</v>
      </c>
      <c r="E1070" s="5">
        <v>92827</v>
      </c>
      <c r="F1070" t="s">
        <v>1505</v>
      </c>
      <c r="G1070" t="s">
        <v>683</v>
      </c>
      <c r="H1070" t="s">
        <v>16</v>
      </c>
    </row>
    <row r="1071" spans="1:8" x14ac:dyDescent="0.3">
      <c r="A1071" t="s">
        <v>40</v>
      </c>
      <c r="B1071" t="s">
        <v>135</v>
      </c>
      <c r="C1071" t="s">
        <v>27</v>
      </c>
      <c r="D1071" t="s">
        <v>37</v>
      </c>
      <c r="E1071" s="5">
        <v>136707.5</v>
      </c>
      <c r="F1071" t="s">
        <v>4138</v>
      </c>
      <c r="G1071" t="s">
        <v>520</v>
      </c>
      <c r="H1071" t="s">
        <v>69</v>
      </c>
    </row>
    <row r="1072" spans="1:8" x14ac:dyDescent="0.3">
      <c r="A1072" t="s">
        <v>11</v>
      </c>
      <c r="B1072" t="s">
        <v>25</v>
      </c>
      <c r="C1072" t="s">
        <v>14</v>
      </c>
      <c r="D1072" t="s">
        <v>42</v>
      </c>
      <c r="E1072" s="5">
        <v>72275</v>
      </c>
      <c r="F1072" t="s">
        <v>2143</v>
      </c>
      <c r="G1072" t="s">
        <v>59</v>
      </c>
      <c r="H1072" t="s">
        <v>16</v>
      </c>
    </row>
    <row r="1073" spans="1:8" x14ac:dyDescent="0.3">
      <c r="A1073" t="s">
        <v>72</v>
      </c>
      <c r="B1073" t="s">
        <v>35</v>
      </c>
      <c r="C1073" t="s">
        <v>22</v>
      </c>
      <c r="D1073" t="s">
        <v>51</v>
      </c>
      <c r="E1073" s="5">
        <v>147706</v>
      </c>
      <c r="F1073" t="s">
        <v>530</v>
      </c>
      <c r="G1073" t="s">
        <v>122</v>
      </c>
      <c r="H1073" t="s">
        <v>16</v>
      </c>
    </row>
    <row r="1074" spans="1:8" x14ac:dyDescent="0.3">
      <c r="A1074" t="s">
        <v>34</v>
      </c>
      <c r="B1074" t="s">
        <v>30</v>
      </c>
      <c r="C1074" t="s">
        <v>14</v>
      </c>
      <c r="D1074" t="s">
        <v>37</v>
      </c>
      <c r="E1074" s="5">
        <v>145323</v>
      </c>
      <c r="F1074" t="s">
        <v>2607</v>
      </c>
      <c r="G1074" t="s">
        <v>523</v>
      </c>
      <c r="H1074" t="s">
        <v>69</v>
      </c>
    </row>
    <row r="1075" spans="1:8" x14ac:dyDescent="0.3">
      <c r="A1075" t="s">
        <v>40</v>
      </c>
      <c r="B1075" t="s">
        <v>54</v>
      </c>
      <c r="C1075" t="s">
        <v>27</v>
      </c>
      <c r="D1075" t="s">
        <v>15</v>
      </c>
      <c r="E1075" s="5">
        <v>158810</v>
      </c>
      <c r="F1075" t="s">
        <v>82</v>
      </c>
      <c r="G1075" t="s">
        <v>70</v>
      </c>
      <c r="H1075" t="s">
        <v>14</v>
      </c>
    </row>
    <row r="1076" spans="1:8" x14ac:dyDescent="0.3">
      <c r="A1076" t="s">
        <v>19</v>
      </c>
      <c r="B1076" t="s">
        <v>12</v>
      </c>
      <c r="C1076" t="s">
        <v>14</v>
      </c>
      <c r="D1076" t="s">
        <v>37</v>
      </c>
      <c r="E1076" s="5">
        <v>92775</v>
      </c>
      <c r="F1076" t="s">
        <v>2372</v>
      </c>
      <c r="G1076" t="s">
        <v>615</v>
      </c>
      <c r="H1076" t="s">
        <v>69</v>
      </c>
    </row>
    <row r="1077" spans="1:8" x14ac:dyDescent="0.3">
      <c r="A1077" t="s">
        <v>34</v>
      </c>
      <c r="B1077" t="s">
        <v>35</v>
      </c>
      <c r="C1077" t="s">
        <v>27</v>
      </c>
      <c r="D1077" t="s">
        <v>42</v>
      </c>
      <c r="E1077" s="5">
        <v>152899</v>
      </c>
      <c r="F1077" t="s">
        <v>4064</v>
      </c>
      <c r="G1077" t="s">
        <v>779</v>
      </c>
      <c r="H1077" t="s">
        <v>69</v>
      </c>
    </row>
    <row r="1078" spans="1:8" x14ac:dyDescent="0.3">
      <c r="A1078" t="s">
        <v>11</v>
      </c>
      <c r="B1078" t="s">
        <v>67</v>
      </c>
      <c r="C1078" t="s">
        <v>14</v>
      </c>
      <c r="D1078" t="s">
        <v>51</v>
      </c>
      <c r="E1078" s="5">
        <v>79692.5</v>
      </c>
      <c r="F1078" t="s">
        <v>1325</v>
      </c>
      <c r="G1078" t="s">
        <v>779</v>
      </c>
      <c r="H1078" t="s">
        <v>14</v>
      </c>
    </row>
    <row r="1079" spans="1:8" x14ac:dyDescent="0.3">
      <c r="A1079" t="s">
        <v>34</v>
      </c>
      <c r="B1079" t="s">
        <v>30</v>
      </c>
      <c r="C1079" t="s">
        <v>14</v>
      </c>
      <c r="D1079" t="s">
        <v>37</v>
      </c>
      <c r="E1079" s="5">
        <v>149901</v>
      </c>
      <c r="F1079" t="s">
        <v>830</v>
      </c>
      <c r="G1079" t="s">
        <v>666</v>
      </c>
      <c r="H1079" t="s">
        <v>14</v>
      </c>
    </row>
    <row r="1080" spans="1:8" x14ac:dyDescent="0.3">
      <c r="A1080" t="s">
        <v>11</v>
      </c>
      <c r="B1080" t="s">
        <v>135</v>
      </c>
      <c r="C1080" t="s">
        <v>27</v>
      </c>
      <c r="D1080" t="s">
        <v>37</v>
      </c>
      <c r="E1080" s="5">
        <v>142079</v>
      </c>
      <c r="F1080" t="s">
        <v>697</v>
      </c>
      <c r="G1080" t="s">
        <v>128</v>
      </c>
      <c r="H1080" t="s">
        <v>69</v>
      </c>
    </row>
    <row r="1081" spans="1:8" x14ac:dyDescent="0.3">
      <c r="A1081" t="s">
        <v>45</v>
      </c>
      <c r="B1081" t="s">
        <v>67</v>
      </c>
      <c r="C1081" t="s">
        <v>22</v>
      </c>
      <c r="D1081" t="s">
        <v>15</v>
      </c>
      <c r="E1081" s="5">
        <v>123228</v>
      </c>
      <c r="F1081" t="s">
        <v>1817</v>
      </c>
      <c r="G1081" t="s">
        <v>77</v>
      </c>
      <c r="H1081" t="s">
        <v>69</v>
      </c>
    </row>
    <row r="1082" spans="1:8" x14ac:dyDescent="0.3">
      <c r="A1082" t="s">
        <v>45</v>
      </c>
      <c r="B1082" t="s">
        <v>20</v>
      </c>
      <c r="C1082" t="s">
        <v>27</v>
      </c>
      <c r="D1082" t="s">
        <v>15</v>
      </c>
      <c r="E1082" s="5">
        <v>148387</v>
      </c>
      <c r="F1082" t="s">
        <v>3268</v>
      </c>
      <c r="G1082" t="s">
        <v>52</v>
      </c>
      <c r="H1082" t="s">
        <v>69</v>
      </c>
    </row>
    <row r="1083" spans="1:8" x14ac:dyDescent="0.3">
      <c r="A1083" t="s">
        <v>72</v>
      </c>
      <c r="B1083" t="s">
        <v>135</v>
      </c>
      <c r="C1083" t="s">
        <v>14</v>
      </c>
      <c r="D1083" t="s">
        <v>37</v>
      </c>
      <c r="E1083" s="5">
        <v>159376.5</v>
      </c>
      <c r="F1083" t="s">
        <v>1892</v>
      </c>
      <c r="G1083" t="s">
        <v>588</v>
      </c>
      <c r="H1083" t="s">
        <v>14</v>
      </c>
    </row>
    <row r="1084" spans="1:8" x14ac:dyDescent="0.3">
      <c r="A1084" t="s">
        <v>49</v>
      </c>
      <c r="B1084" t="s">
        <v>12</v>
      </c>
      <c r="C1084" t="s">
        <v>27</v>
      </c>
      <c r="D1084" t="s">
        <v>51</v>
      </c>
      <c r="E1084" s="5">
        <v>100524</v>
      </c>
      <c r="F1084" t="s">
        <v>2467</v>
      </c>
      <c r="G1084" t="s">
        <v>216</v>
      </c>
      <c r="H1084" t="s">
        <v>16</v>
      </c>
    </row>
    <row r="1085" spans="1:8" x14ac:dyDescent="0.3">
      <c r="A1085" t="s">
        <v>11</v>
      </c>
      <c r="B1085" t="s">
        <v>25</v>
      </c>
      <c r="C1085" t="s">
        <v>22</v>
      </c>
      <c r="D1085" t="s">
        <v>42</v>
      </c>
      <c r="E1085" s="5">
        <v>106257</v>
      </c>
      <c r="F1085" t="s">
        <v>3316</v>
      </c>
      <c r="G1085" t="s">
        <v>615</v>
      </c>
      <c r="H1085" t="s">
        <v>16</v>
      </c>
    </row>
    <row r="1086" spans="1:8" x14ac:dyDescent="0.3">
      <c r="A1086" t="s">
        <v>45</v>
      </c>
      <c r="B1086" t="s">
        <v>30</v>
      </c>
      <c r="C1086" t="s">
        <v>14</v>
      </c>
      <c r="D1086" t="s">
        <v>42</v>
      </c>
      <c r="E1086" s="5">
        <v>88491.5</v>
      </c>
      <c r="F1086" t="s">
        <v>1212</v>
      </c>
      <c r="G1086" t="s">
        <v>80</v>
      </c>
      <c r="H1086" t="s">
        <v>16</v>
      </c>
    </row>
    <row r="1087" spans="1:8" x14ac:dyDescent="0.3">
      <c r="A1087" t="s">
        <v>40</v>
      </c>
      <c r="B1087" t="s">
        <v>30</v>
      </c>
      <c r="C1087" t="s">
        <v>27</v>
      </c>
      <c r="D1087" t="s">
        <v>51</v>
      </c>
      <c r="E1087" s="5">
        <v>161903.5</v>
      </c>
      <c r="F1087" t="s">
        <v>3736</v>
      </c>
      <c r="G1087" t="s">
        <v>52</v>
      </c>
      <c r="H1087" t="s">
        <v>69</v>
      </c>
    </row>
    <row r="1088" spans="1:8" x14ac:dyDescent="0.3">
      <c r="A1088" t="s">
        <v>72</v>
      </c>
      <c r="B1088" t="s">
        <v>20</v>
      </c>
      <c r="C1088" t="s">
        <v>27</v>
      </c>
      <c r="D1088" t="s">
        <v>51</v>
      </c>
      <c r="E1088" s="5">
        <v>104374</v>
      </c>
      <c r="F1088" t="s">
        <v>3174</v>
      </c>
      <c r="G1088" t="s">
        <v>77</v>
      </c>
      <c r="H1088" t="s">
        <v>16</v>
      </c>
    </row>
    <row r="1089" spans="1:8" x14ac:dyDescent="0.3">
      <c r="A1089" t="s">
        <v>49</v>
      </c>
      <c r="B1089" t="s">
        <v>135</v>
      </c>
      <c r="C1089" t="s">
        <v>14</v>
      </c>
      <c r="D1089" t="s">
        <v>42</v>
      </c>
      <c r="E1089" s="5">
        <v>87502.5</v>
      </c>
      <c r="F1089" t="s">
        <v>424</v>
      </c>
      <c r="G1089" t="s">
        <v>425</v>
      </c>
      <c r="H1089" t="s">
        <v>69</v>
      </c>
    </row>
    <row r="1090" spans="1:8" x14ac:dyDescent="0.3">
      <c r="A1090" t="s">
        <v>45</v>
      </c>
      <c r="B1090" t="s">
        <v>54</v>
      </c>
      <c r="C1090" t="s">
        <v>14</v>
      </c>
      <c r="D1090" t="s">
        <v>37</v>
      </c>
      <c r="E1090" s="5">
        <v>128469</v>
      </c>
      <c r="F1090" t="s">
        <v>1153</v>
      </c>
      <c r="G1090" t="s">
        <v>80</v>
      </c>
      <c r="H1090" t="s">
        <v>16</v>
      </c>
    </row>
    <row r="1091" spans="1:8" x14ac:dyDescent="0.3">
      <c r="A1091" t="s">
        <v>40</v>
      </c>
      <c r="B1091" t="s">
        <v>25</v>
      </c>
      <c r="C1091" t="s">
        <v>22</v>
      </c>
      <c r="D1091" t="s">
        <v>42</v>
      </c>
      <c r="E1091" s="5">
        <v>68771.5</v>
      </c>
      <c r="F1091" t="s">
        <v>146</v>
      </c>
      <c r="G1091" t="s">
        <v>147</v>
      </c>
      <c r="H1091" t="s">
        <v>14</v>
      </c>
    </row>
    <row r="1092" spans="1:8" x14ac:dyDescent="0.3">
      <c r="A1092" t="s">
        <v>49</v>
      </c>
      <c r="B1092" t="s">
        <v>30</v>
      </c>
      <c r="C1092" t="s">
        <v>27</v>
      </c>
      <c r="D1092" t="s">
        <v>15</v>
      </c>
      <c r="E1092" s="5">
        <v>150517.5</v>
      </c>
      <c r="F1092" t="s">
        <v>543</v>
      </c>
      <c r="G1092" t="s">
        <v>128</v>
      </c>
      <c r="H1092" t="s">
        <v>69</v>
      </c>
    </row>
    <row r="1093" spans="1:8" x14ac:dyDescent="0.3">
      <c r="A1093" t="s">
        <v>40</v>
      </c>
      <c r="B1093" t="s">
        <v>67</v>
      </c>
      <c r="C1093" t="s">
        <v>27</v>
      </c>
      <c r="D1093" t="s">
        <v>37</v>
      </c>
      <c r="E1093" s="5">
        <v>116557</v>
      </c>
      <c r="F1093" t="s">
        <v>1655</v>
      </c>
      <c r="G1093" t="s">
        <v>77</v>
      </c>
      <c r="H1093" t="s">
        <v>14</v>
      </c>
    </row>
    <row r="1094" spans="1:8" x14ac:dyDescent="0.3">
      <c r="A1094" t="s">
        <v>72</v>
      </c>
      <c r="B1094" t="s">
        <v>30</v>
      </c>
      <c r="C1094" t="s">
        <v>27</v>
      </c>
      <c r="D1094" t="s">
        <v>42</v>
      </c>
      <c r="E1094" s="5">
        <v>107687</v>
      </c>
      <c r="F1094" t="s">
        <v>1952</v>
      </c>
      <c r="G1094" t="s">
        <v>182</v>
      </c>
      <c r="H1094" t="s">
        <v>14</v>
      </c>
    </row>
    <row r="1095" spans="1:8" x14ac:dyDescent="0.3">
      <c r="A1095" t="s">
        <v>72</v>
      </c>
      <c r="B1095" t="s">
        <v>20</v>
      </c>
      <c r="C1095" t="s">
        <v>27</v>
      </c>
      <c r="D1095" t="s">
        <v>15</v>
      </c>
      <c r="E1095" s="5">
        <v>144661.5</v>
      </c>
      <c r="F1095" t="s">
        <v>1758</v>
      </c>
      <c r="G1095" t="s">
        <v>80</v>
      </c>
      <c r="H1095" t="s">
        <v>14</v>
      </c>
    </row>
    <row r="1096" spans="1:8" x14ac:dyDescent="0.3">
      <c r="A1096" t="s">
        <v>34</v>
      </c>
      <c r="B1096" t="s">
        <v>20</v>
      </c>
      <c r="C1096" t="s">
        <v>22</v>
      </c>
      <c r="D1096" t="s">
        <v>51</v>
      </c>
      <c r="E1096" s="5">
        <v>132844.5</v>
      </c>
      <c r="F1096" t="s">
        <v>600</v>
      </c>
      <c r="G1096" t="s">
        <v>420</v>
      </c>
      <c r="H1096" t="s">
        <v>14</v>
      </c>
    </row>
    <row r="1097" spans="1:8" x14ac:dyDescent="0.3">
      <c r="A1097" t="s">
        <v>49</v>
      </c>
      <c r="B1097" t="s">
        <v>135</v>
      </c>
      <c r="C1097" t="s">
        <v>27</v>
      </c>
      <c r="D1097" t="s">
        <v>51</v>
      </c>
      <c r="E1097" s="5">
        <v>144512.5</v>
      </c>
      <c r="F1097" t="s">
        <v>1842</v>
      </c>
      <c r="G1097" t="s">
        <v>1830</v>
      </c>
      <c r="H1097" t="s">
        <v>69</v>
      </c>
    </row>
    <row r="1098" spans="1:8" x14ac:dyDescent="0.3">
      <c r="A1098" t="s">
        <v>49</v>
      </c>
      <c r="B1098" t="s">
        <v>30</v>
      </c>
      <c r="C1098" t="s">
        <v>22</v>
      </c>
      <c r="D1098" t="s">
        <v>42</v>
      </c>
      <c r="E1098" s="5">
        <v>50712.5</v>
      </c>
      <c r="F1098" t="s">
        <v>3895</v>
      </c>
      <c r="G1098" t="s">
        <v>128</v>
      </c>
      <c r="H1098" t="s">
        <v>69</v>
      </c>
    </row>
    <row r="1099" spans="1:8" x14ac:dyDescent="0.3">
      <c r="A1099" t="s">
        <v>11</v>
      </c>
      <c r="B1099" t="s">
        <v>67</v>
      </c>
      <c r="C1099" t="s">
        <v>27</v>
      </c>
      <c r="D1099" t="s">
        <v>37</v>
      </c>
      <c r="E1099" s="5">
        <v>79447</v>
      </c>
      <c r="F1099" t="s">
        <v>2765</v>
      </c>
      <c r="G1099" t="s">
        <v>216</v>
      </c>
      <c r="H1099" t="s">
        <v>69</v>
      </c>
    </row>
    <row r="1100" spans="1:8" x14ac:dyDescent="0.3">
      <c r="A1100" t="s">
        <v>49</v>
      </c>
      <c r="B1100" t="s">
        <v>25</v>
      </c>
      <c r="C1100" t="s">
        <v>27</v>
      </c>
      <c r="D1100" t="s">
        <v>15</v>
      </c>
      <c r="E1100" s="5">
        <v>159897.5</v>
      </c>
      <c r="F1100" t="s">
        <v>3893</v>
      </c>
      <c r="G1100" t="s">
        <v>52</v>
      </c>
      <c r="H1100" t="s">
        <v>14</v>
      </c>
    </row>
    <row r="1101" spans="1:8" x14ac:dyDescent="0.3">
      <c r="A1101" t="s">
        <v>34</v>
      </c>
      <c r="B1101" t="s">
        <v>25</v>
      </c>
      <c r="C1101" t="s">
        <v>14</v>
      </c>
      <c r="D1101" t="s">
        <v>37</v>
      </c>
      <c r="E1101" s="5">
        <v>153136</v>
      </c>
      <c r="F1101" t="s">
        <v>366</v>
      </c>
      <c r="G1101" t="s">
        <v>101</v>
      </c>
      <c r="H1101" t="s">
        <v>16</v>
      </c>
    </row>
    <row r="1102" spans="1:8" x14ac:dyDescent="0.3">
      <c r="A1102" t="s">
        <v>45</v>
      </c>
      <c r="B1102" t="s">
        <v>20</v>
      </c>
      <c r="C1102" t="s">
        <v>22</v>
      </c>
      <c r="D1102" t="s">
        <v>42</v>
      </c>
      <c r="E1102" s="5">
        <v>133710.5</v>
      </c>
      <c r="F1102" t="s">
        <v>2795</v>
      </c>
      <c r="G1102" t="s">
        <v>2796</v>
      </c>
      <c r="H1102" t="s">
        <v>14</v>
      </c>
    </row>
    <row r="1103" spans="1:8" x14ac:dyDescent="0.3">
      <c r="A1103" t="s">
        <v>34</v>
      </c>
      <c r="B1103" t="s">
        <v>30</v>
      </c>
      <c r="C1103" t="s">
        <v>27</v>
      </c>
      <c r="D1103" t="s">
        <v>37</v>
      </c>
      <c r="E1103" s="5">
        <v>108857</v>
      </c>
      <c r="F1103" t="s">
        <v>547</v>
      </c>
      <c r="G1103" t="s">
        <v>43</v>
      </c>
      <c r="H1103" t="s">
        <v>14</v>
      </c>
    </row>
    <row r="1104" spans="1:8" x14ac:dyDescent="0.3">
      <c r="A1104" t="s">
        <v>11</v>
      </c>
      <c r="B1104" t="s">
        <v>67</v>
      </c>
      <c r="C1104" t="s">
        <v>27</v>
      </c>
      <c r="D1104" t="s">
        <v>15</v>
      </c>
      <c r="E1104" s="5">
        <v>139688.5</v>
      </c>
      <c r="F1104" t="s">
        <v>2783</v>
      </c>
      <c r="G1104" t="s">
        <v>680</v>
      </c>
      <c r="H1104" t="s">
        <v>16</v>
      </c>
    </row>
    <row r="1105" spans="1:8" x14ac:dyDescent="0.3">
      <c r="A1105" t="s">
        <v>45</v>
      </c>
      <c r="B1105" t="s">
        <v>35</v>
      </c>
      <c r="C1105" t="s">
        <v>27</v>
      </c>
      <c r="D1105" t="s">
        <v>37</v>
      </c>
      <c r="E1105" s="5">
        <v>164737</v>
      </c>
      <c r="F1105" t="s">
        <v>1343</v>
      </c>
      <c r="G1105" t="s">
        <v>333</v>
      </c>
      <c r="H1105" t="s">
        <v>14</v>
      </c>
    </row>
    <row r="1106" spans="1:8" x14ac:dyDescent="0.3">
      <c r="A1106" t="s">
        <v>45</v>
      </c>
      <c r="B1106" t="s">
        <v>20</v>
      </c>
      <c r="C1106" t="s">
        <v>14</v>
      </c>
      <c r="D1106" t="s">
        <v>51</v>
      </c>
      <c r="E1106" s="5">
        <v>143740.5</v>
      </c>
      <c r="F1106" t="s">
        <v>2383</v>
      </c>
      <c r="G1106" t="s">
        <v>293</v>
      </c>
      <c r="H1106" t="s">
        <v>16</v>
      </c>
    </row>
    <row r="1107" spans="1:8" x14ac:dyDescent="0.3">
      <c r="A1107" t="s">
        <v>49</v>
      </c>
      <c r="B1107" t="s">
        <v>12</v>
      </c>
      <c r="C1107" t="s">
        <v>14</v>
      </c>
      <c r="D1107" t="s">
        <v>15</v>
      </c>
      <c r="E1107" s="5">
        <v>138243</v>
      </c>
      <c r="F1107" t="s">
        <v>3029</v>
      </c>
      <c r="G1107" t="s">
        <v>59</v>
      </c>
      <c r="H1107" t="s">
        <v>16</v>
      </c>
    </row>
    <row r="1108" spans="1:8" x14ac:dyDescent="0.3">
      <c r="A1108" t="s">
        <v>34</v>
      </c>
      <c r="B1108" t="s">
        <v>25</v>
      </c>
      <c r="C1108" t="s">
        <v>27</v>
      </c>
      <c r="D1108" t="s">
        <v>42</v>
      </c>
      <c r="E1108" s="5">
        <v>150172.5</v>
      </c>
      <c r="F1108" t="s">
        <v>1900</v>
      </c>
      <c r="G1108" t="s">
        <v>157</v>
      </c>
      <c r="H1108" t="s">
        <v>16</v>
      </c>
    </row>
    <row r="1109" spans="1:8" x14ac:dyDescent="0.3">
      <c r="A1109" t="s">
        <v>11</v>
      </c>
      <c r="B1109" t="s">
        <v>54</v>
      </c>
      <c r="C1109" t="s">
        <v>27</v>
      </c>
      <c r="D1109" t="s">
        <v>15</v>
      </c>
      <c r="E1109" s="5">
        <v>119020.5</v>
      </c>
      <c r="F1109" t="s">
        <v>3074</v>
      </c>
      <c r="G1109" t="s">
        <v>1437</v>
      </c>
      <c r="H1109" t="s">
        <v>14</v>
      </c>
    </row>
    <row r="1110" spans="1:8" x14ac:dyDescent="0.3">
      <c r="A1110" t="s">
        <v>11</v>
      </c>
      <c r="B1110" t="s">
        <v>135</v>
      </c>
      <c r="C1110" t="s">
        <v>22</v>
      </c>
      <c r="D1110" t="s">
        <v>37</v>
      </c>
      <c r="E1110" s="5">
        <v>131509</v>
      </c>
      <c r="F1110" t="s">
        <v>1960</v>
      </c>
      <c r="G1110" t="s">
        <v>70</v>
      </c>
      <c r="H1110" t="s">
        <v>14</v>
      </c>
    </row>
    <row r="1111" spans="1:8" x14ac:dyDescent="0.3">
      <c r="A1111" t="s">
        <v>40</v>
      </c>
      <c r="B1111" t="s">
        <v>54</v>
      </c>
      <c r="C1111" t="s">
        <v>27</v>
      </c>
      <c r="D1111" t="s">
        <v>42</v>
      </c>
      <c r="E1111" s="5">
        <v>135398.5</v>
      </c>
      <c r="F1111" t="s">
        <v>1993</v>
      </c>
      <c r="G1111" t="s">
        <v>1398</v>
      </c>
      <c r="H1111" t="s">
        <v>16</v>
      </c>
    </row>
    <row r="1112" spans="1:8" x14ac:dyDescent="0.3">
      <c r="A1112" t="s">
        <v>45</v>
      </c>
      <c r="B1112" t="s">
        <v>12</v>
      </c>
      <c r="C1112" t="s">
        <v>27</v>
      </c>
      <c r="D1112" t="s">
        <v>51</v>
      </c>
      <c r="E1112" s="5">
        <v>177117</v>
      </c>
      <c r="F1112" t="s">
        <v>1822</v>
      </c>
      <c r="G1112" t="s">
        <v>1440</v>
      </c>
      <c r="H1112" t="s">
        <v>69</v>
      </c>
    </row>
    <row r="1113" spans="1:8" x14ac:dyDescent="0.3">
      <c r="A1113" t="s">
        <v>11</v>
      </c>
      <c r="B1113" t="s">
        <v>135</v>
      </c>
      <c r="C1113" t="s">
        <v>27</v>
      </c>
      <c r="D1113" t="s">
        <v>37</v>
      </c>
      <c r="E1113" s="5">
        <v>133985.5</v>
      </c>
      <c r="F1113" t="s">
        <v>1902</v>
      </c>
      <c r="G1113" t="s">
        <v>128</v>
      </c>
      <c r="H1113" t="s">
        <v>16</v>
      </c>
    </row>
    <row r="1114" spans="1:8" x14ac:dyDescent="0.3">
      <c r="A1114" t="s">
        <v>40</v>
      </c>
      <c r="B1114" t="s">
        <v>20</v>
      </c>
      <c r="C1114" t="s">
        <v>27</v>
      </c>
      <c r="D1114" t="s">
        <v>42</v>
      </c>
      <c r="E1114" s="5">
        <v>81237.5</v>
      </c>
      <c r="F1114" t="s">
        <v>2953</v>
      </c>
      <c r="G1114" t="s">
        <v>2839</v>
      </c>
      <c r="H1114" t="s">
        <v>14</v>
      </c>
    </row>
    <row r="1115" spans="1:8" x14ac:dyDescent="0.3">
      <c r="A1115" t="s">
        <v>19</v>
      </c>
      <c r="B1115" t="s">
        <v>67</v>
      </c>
      <c r="C1115" t="s">
        <v>14</v>
      </c>
      <c r="D1115" t="s">
        <v>51</v>
      </c>
      <c r="E1115" s="5">
        <v>108868.5</v>
      </c>
      <c r="F1115" t="s">
        <v>3246</v>
      </c>
      <c r="G1115" t="s">
        <v>157</v>
      </c>
      <c r="H1115" t="s">
        <v>69</v>
      </c>
    </row>
    <row r="1116" spans="1:8" x14ac:dyDescent="0.3">
      <c r="A1116" t="s">
        <v>49</v>
      </c>
      <c r="B1116" t="s">
        <v>135</v>
      </c>
      <c r="C1116" t="s">
        <v>22</v>
      </c>
      <c r="D1116" t="s">
        <v>37</v>
      </c>
      <c r="E1116" s="5">
        <v>150750.5</v>
      </c>
      <c r="F1116" t="s">
        <v>875</v>
      </c>
      <c r="G1116" t="s">
        <v>876</v>
      </c>
      <c r="H1116" t="s">
        <v>69</v>
      </c>
    </row>
    <row r="1117" spans="1:8" x14ac:dyDescent="0.3">
      <c r="A1117" t="s">
        <v>72</v>
      </c>
      <c r="B1117" t="s">
        <v>25</v>
      </c>
      <c r="C1117" t="s">
        <v>27</v>
      </c>
      <c r="D1117" t="s">
        <v>37</v>
      </c>
      <c r="E1117" s="5">
        <v>90035</v>
      </c>
      <c r="F1117" t="s">
        <v>3803</v>
      </c>
      <c r="G1117" t="s">
        <v>70</v>
      </c>
      <c r="H1117" t="s">
        <v>16</v>
      </c>
    </row>
    <row r="1118" spans="1:8" x14ac:dyDescent="0.3">
      <c r="A1118" t="s">
        <v>45</v>
      </c>
      <c r="B1118" t="s">
        <v>67</v>
      </c>
      <c r="C1118" t="s">
        <v>22</v>
      </c>
      <c r="D1118" t="s">
        <v>15</v>
      </c>
      <c r="E1118" s="5">
        <v>121986.5</v>
      </c>
      <c r="F1118" t="s">
        <v>2299</v>
      </c>
      <c r="G1118" t="s">
        <v>2300</v>
      </c>
      <c r="H1118" t="s">
        <v>16</v>
      </c>
    </row>
    <row r="1119" spans="1:8" x14ac:dyDescent="0.3">
      <c r="A1119" t="s">
        <v>49</v>
      </c>
      <c r="B1119" t="s">
        <v>54</v>
      </c>
      <c r="C1119" t="s">
        <v>14</v>
      </c>
      <c r="D1119" t="s">
        <v>51</v>
      </c>
      <c r="E1119" s="5">
        <v>165696.5</v>
      </c>
      <c r="F1119" t="s">
        <v>2642</v>
      </c>
      <c r="G1119" t="s">
        <v>1979</v>
      </c>
      <c r="H1119" t="s">
        <v>14</v>
      </c>
    </row>
    <row r="1120" spans="1:8" x14ac:dyDescent="0.3">
      <c r="A1120" t="s">
        <v>40</v>
      </c>
      <c r="B1120" t="s">
        <v>35</v>
      </c>
      <c r="C1120" t="s">
        <v>14</v>
      </c>
      <c r="D1120" t="s">
        <v>37</v>
      </c>
      <c r="E1120" s="5">
        <v>60277</v>
      </c>
      <c r="F1120" t="s">
        <v>4191</v>
      </c>
      <c r="G1120" t="s">
        <v>4192</v>
      </c>
      <c r="H1120" t="s">
        <v>16</v>
      </c>
    </row>
    <row r="1121" spans="1:8" x14ac:dyDescent="0.3">
      <c r="A1121" t="s">
        <v>40</v>
      </c>
      <c r="B1121" t="s">
        <v>30</v>
      </c>
      <c r="C1121" t="s">
        <v>14</v>
      </c>
      <c r="D1121" t="s">
        <v>51</v>
      </c>
      <c r="E1121" s="5">
        <v>130657.5</v>
      </c>
      <c r="F1121" t="s">
        <v>2482</v>
      </c>
      <c r="G1121" t="s">
        <v>299</v>
      </c>
      <c r="H1121" t="s">
        <v>69</v>
      </c>
    </row>
    <row r="1122" spans="1:8" x14ac:dyDescent="0.3">
      <c r="A1122" t="s">
        <v>11</v>
      </c>
      <c r="B1122" t="s">
        <v>135</v>
      </c>
      <c r="C1122" t="s">
        <v>22</v>
      </c>
      <c r="D1122" t="s">
        <v>51</v>
      </c>
      <c r="E1122" s="5">
        <v>107741</v>
      </c>
      <c r="F1122" t="s">
        <v>3380</v>
      </c>
      <c r="G1122" t="s">
        <v>362</v>
      </c>
      <c r="H1122" t="s">
        <v>69</v>
      </c>
    </row>
    <row r="1123" spans="1:8" x14ac:dyDescent="0.3">
      <c r="A1123" t="s">
        <v>34</v>
      </c>
      <c r="B1123" t="s">
        <v>20</v>
      </c>
      <c r="C1123" t="s">
        <v>27</v>
      </c>
      <c r="D1123" t="s">
        <v>15</v>
      </c>
      <c r="E1123" s="5">
        <v>112013</v>
      </c>
      <c r="F1123" t="s">
        <v>2035</v>
      </c>
      <c r="G1123" t="s">
        <v>1029</v>
      </c>
      <c r="H1123" t="s">
        <v>14</v>
      </c>
    </row>
    <row r="1124" spans="1:8" x14ac:dyDescent="0.3">
      <c r="A1124" t="s">
        <v>19</v>
      </c>
      <c r="B1124" t="s">
        <v>67</v>
      </c>
      <c r="C1124" t="s">
        <v>27</v>
      </c>
      <c r="D1124" t="s">
        <v>42</v>
      </c>
      <c r="E1124" s="5">
        <v>125130</v>
      </c>
      <c r="F1124" t="s">
        <v>4177</v>
      </c>
      <c r="G1124" t="s">
        <v>1158</v>
      </c>
      <c r="H1124" t="s">
        <v>16</v>
      </c>
    </row>
    <row r="1125" spans="1:8" x14ac:dyDescent="0.3">
      <c r="A1125" t="s">
        <v>45</v>
      </c>
      <c r="B1125" t="s">
        <v>54</v>
      </c>
      <c r="C1125" t="s">
        <v>14</v>
      </c>
      <c r="D1125" t="s">
        <v>37</v>
      </c>
      <c r="E1125" s="5">
        <v>159928.5</v>
      </c>
      <c r="F1125" t="s">
        <v>2092</v>
      </c>
      <c r="G1125" t="s">
        <v>976</v>
      </c>
      <c r="H1125" t="s">
        <v>14</v>
      </c>
    </row>
    <row r="1126" spans="1:8" x14ac:dyDescent="0.3">
      <c r="A1126" t="s">
        <v>40</v>
      </c>
      <c r="B1126" t="s">
        <v>12</v>
      </c>
      <c r="C1126" t="s">
        <v>22</v>
      </c>
      <c r="D1126" t="s">
        <v>37</v>
      </c>
      <c r="E1126" s="5">
        <v>133540</v>
      </c>
      <c r="F1126" t="s">
        <v>1253</v>
      </c>
      <c r="G1126" t="s">
        <v>1254</v>
      </c>
      <c r="H1126" t="s">
        <v>16</v>
      </c>
    </row>
    <row r="1127" spans="1:8" x14ac:dyDescent="0.3">
      <c r="A1127" t="s">
        <v>72</v>
      </c>
      <c r="B1127" t="s">
        <v>20</v>
      </c>
      <c r="C1127" t="s">
        <v>14</v>
      </c>
      <c r="D1127" t="s">
        <v>51</v>
      </c>
      <c r="E1127" s="5">
        <v>114004.5</v>
      </c>
      <c r="F1127" t="s">
        <v>2900</v>
      </c>
      <c r="G1127" t="s">
        <v>101</v>
      </c>
      <c r="H1127" t="s">
        <v>69</v>
      </c>
    </row>
    <row r="1128" spans="1:8" x14ac:dyDescent="0.3">
      <c r="A1128" t="s">
        <v>49</v>
      </c>
      <c r="B1128" t="s">
        <v>67</v>
      </c>
      <c r="C1128" t="s">
        <v>27</v>
      </c>
      <c r="D1128" t="s">
        <v>15</v>
      </c>
      <c r="E1128" s="5">
        <v>176787.5</v>
      </c>
      <c r="F1128" t="s">
        <v>340</v>
      </c>
      <c r="G1128" t="s">
        <v>90</v>
      </c>
      <c r="H1128" t="s">
        <v>16</v>
      </c>
    </row>
    <row r="1129" spans="1:8" x14ac:dyDescent="0.3">
      <c r="A1129" t="s">
        <v>72</v>
      </c>
      <c r="B1129" t="s">
        <v>35</v>
      </c>
      <c r="C1129" t="s">
        <v>27</v>
      </c>
      <c r="D1129" t="s">
        <v>37</v>
      </c>
      <c r="E1129" s="5">
        <v>104207</v>
      </c>
      <c r="F1129" t="s">
        <v>3833</v>
      </c>
      <c r="G1129" t="s">
        <v>293</v>
      </c>
      <c r="H1129" t="s">
        <v>69</v>
      </c>
    </row>
    <row r="1130" spans="1:8" x14ac:dyDescent="0.3">
      <c r="A1130" t="s">
        <v>34</v>
      </c>
      <c r="B1130" t="s">
        <v>67</v>
      </c>
      <c r="C1130" t="s">
        <v>14</v>
      </c>
      <c r="D1130" t="s">
        <v>15</v>
      </c>
      <c r="E1130" s="5">
        <v>84044</v>
      </c>
      <c r="F1130" t="s">
        <v>2140</v>
      </c>
      <c r="G1130" t="s">
        <v>2141</v>
      </c>
      <c r="H1130" t="s">
        <v>69</v>
      </c>
    </row>
    <row r="1131" spans="1:8" x14ac:dyDescent="0.3">
      <c r="A1131" t="s">
        <v>19</v>
      </c>
      <c r="B1131" t="s">
        <v>135</v>
      </c>
      <c r="C1131" t="s">
        <v>14</v>
      </c>
      <c r="D1131" t="s">
        <v>37</v>
      </c>
      <c r="E1131" s="5">
        <v>120100.5</v>
      </c>
      <c r="F1131" t="s">
        <v>1812</v>
      </c>
      <c r="G1131" t="s">
        <v>90</v>
      </c>
      <c r="H1131" t="s">
        <v>69</v>
      </c>
    </row>
    <row r="1132" spans="1:8" x14ac:dyDescent="0.3">
      <c r="A1132" t="s">
        <v>45</v>
      </c>
      <c r="B1132" t="s">
        <v>54</v>
      </c>
      <c r="C1132" t="s">
        <v>22</v>
      </c>
      <c r="D1132" t="s">
        <v>37</v>
      </c>
      <c r="E1132" s="5">
        <v>66730</v>
      </c>
      <c r="F1132" t="s">
        <v>1089</v>
      </c>
      <c r="G1132" t="s">
        <v>80</v>
      </c>
      <c r="H1132" t="s">
        <v>16</v>
      </c>
    </row>
    <row r="1133" spans="1:8" x14ac:dyDescent="0.3">
      <c r="A1133" t="s">
        <v>45</v>
      </c>
      <c r="B1133" t="s">
        <v>54</v>
      </c>
      <c r="C1133" t="s">
        <v>27</v>
      </c>
      <c r="D1133" t="s">
        <v>51</v>
      </c>
      <c r="E1133" s="5">
        <v>93009</v>
      </c>
      <c r="F1133" t="s">
        <v>764</v>
      </c>
      <c r="G1133" t="s">
        <v>70</v>
      </c>
      <c r="H1133" t="s">
        <v>14</v>
      </c>
    </row>
    <row r="1134" spans="1:8" x14ac:dyDescent="0.3">
      <c r="A1134" t="s">
        <v>34</v>
      </c>
      <c r="B1134" t="s">
        <v>12</v>
      </c>
      <c r="C1134" t="s">
        <v>22</v>
      </c>
      <c r="D1134" t="s">
        <v>42</v>
      </c>
      <c r="E1134" s="5">
        <v>74952</v>
      </c>
      <c r="F1134" t="s">
        <v>3055</v>
      </c>
      <c r="G1134" t="s">
        <v>1674</v>
      </c>
      <c r="H1134" t="s">
        <v>69</v>
      </c>
    </row>
    <row r="1135" spans="1:8" x14ac:dyDescent="0.3">
      <c r="A1135" t="s">
        <v>72</v>
      </c>
      <c r="B1135" t="s">
        <v>30</v>
      </c>
      <c r="C1135" t="s">
        <v>14</v>
      </c>
      <c r="D1135" t="s">
        <v>51</v>
      </c>
      <c r="E1135" s="5">
        <v>122493</v>
      </c>
      <c r="F1135" t="s">
        <v>479</v>
      </c>
      <c r="G1135" t="s">
        <v>480</v>
      </c>
      <c r="H1135" t="s">
        <v>16</v>
      </c>
    </row>
    <row r="1136" spans="1:8" x14ac:dyDescent="0.3">
      <c r="A1136" t="s">
        <v>49</v>
      </c>
      <c r="B1136" t="s">
        <v>30</v>
      </c>
      <c r="C1136" t="s">
        <v>27</v>
      </c>
      <c r="D1136" t="s">
        <v>51</v>
      </c>
      <c r="E1136" s="5">
        <v>187422.5</v>
      </c>
      <c r="F1136" t="s">
        <v>651</v>
      </c>
      <c r="G1136" t="s">
        <v>52</v>
      </c>
      <c r="H1136" t="s">
        <v>69</v>
      </c>
    </row>
    <row r="1137" spans="1:8" x14ac:dyDescent="0.3">
      <c r="A1137" t="s">
        <v>34</v>
      </c>
      <c r="B1137" t="s">
        <v>12</v>
      </c>
      <c r="C1137" t="s">
        <v>27</v>
      </c>
      <c r="D1137" t="s">
        <v>42</v>
      </c>
      <c r="E1137" s="5">
        <v>156825.5</v>
      </c>
      <c r="F1137" t="s">
        <v>3901</v>
      </c>
      <c r="G1137" t="s">
        <v>194</v>
      </c>
      <c r="H1137" t="s">
        <v>16</v>
      </c>
    </row>
    <row r="1138" spans="1:8" x14ac:dyDescent="0.3">
      <c r="A1138" t="s">
        <v>49</v>
      </c>
      <c r="B1138" t="s">
        <v>20</v>
      </c>
      <c r="C1138" t="s">
        <v>14</v>
      </c>
      <c r="D1138" t="s">
        <v>15</v>
      </c>
      <c r="E1138" s="5">
        <v>165074</v>
      </c>
      <c r="F1138" t="s">
        <v>390</v>
      </c>
      <c r="G1138" t="s">
        <v>391</v>
      </c>
      <c r="H1138" t="s">
        <v>14</v>
      </c>
    </row>
    <row r="1139" spans="1:8" x14ac:dyDescent="0.3">
      <c r="A1139" t="s">
        <v>45</v>
      </c>
      <c r="B1139" t="s">
        <v>12</v>
      </c>
      <c r="C1139" t="s">
        <v>27</v>
      </c>
      <c r="D1139" t="s">
        <v>37</v>
      </c>
      <c r="E1139" s="5">
        <v>185407.5</v>
      </c>
      <c r="F1139" t="s">
        <v>1054</v>
      </c>
      <c r="G1139" t="s">
        <v>779</v>
      </c>
      <c r="H1139" t="s">
        <v>16</v>
      </c>
    </row>
    <row r="1140" spans="1:8" x14ac:dyDescent="0.3">
      <c r="A1140" t="s">
        <v>40</v>
      </c>
      <c r="B1140" t="s">
        <v>30</v>
      </c>
      <c r="C1140" t="s">
        <v>14</v>
      </c>
      <c r="D1140" t="s">
        <v>51</v>
      </c>
      <c r="E1140" s="5">
        <v>83889.5</v>
      </c>
      <c r="F1140" t="s">
        <v>1834</v>
      </c>
      <c r="G1140" t="s">
        <v>826</v>
      </c>
      <c r="H1140" t="s">
        <v>14</v>
      </c>
    </row>
    <row r="1141" spans="1:8" x14ac:dyDescent="0.3">
      <c r="A1141" t="s">
        <v>40</v>
      </c>
      <c r="B1141" t="s">
        <v>35</v>
      </c>
      <c r="C1141" t="s">
        <v>14</v>
      </c>
      <c r="D1141" t="s">
        <v>37</v>
      </c>
      <c r="E1141" s="5">
        <v>75497</v>
      </c>
      <c r="F1141" t="s">
        <v>2021</v>
      </c>
      <c r="G1141" t="s">
        <v>52</v>
      </c>
      <c r="H1141" t="s">
        <v>69</v>
      </c>
    </row>
    <row r="1142" spans="1:8" x14ac:dyDescent="0.3">
      <c r="A1142" t="s">
        <v>19</v>
      </c>
      <c r="B1142" t="s">
        <v>12</v>
      </c>
      <c r="C1142" t="s">
        <v>14</v>
      </c>
      <c r="D1142" t="s">
        <v>42</v>
      </c>
      <c r="E1142" s="5">
        <v>185318</v>
      </c>
      <c r="F1142" t="s">
        <v>1652</v>
      </c>
      <c r="G1142" t="s">
        <v>1653</v>
      </c>
      <c r="H1142" t="s">
        <v>14</v>
      </c>
    </row>
    <row r="1143" spans="1:8" x14ac:dyDescent="0.3">
      <c r="A1143" t="s">
        <v>19</v>
      </c>
      <c r="B1143" t="s">
        <v>30</v>
      </c>
      <c r="C1143" t="s">
        <v>14</v>
      </c>
      <c r="D1143" t="s">
        <v>37</v>
      </c>
      <c r="E1143" s="5">
        <v>101783.5</v>
      </c>
      <c r="F1143" t="s">
        <v>611</v>
      </c>
      <c r="G1143" t="s">
        <v>612</v>
      </c>
      <c r="H1143" t="s">
        <v>14</v>
      </c>
    </row>
    <row r="1144" spans="1:8" x14ac:dyDescent="0.3">
      <c r="A1144" t="s">
        <v>49</v>
      </c>
      <c r="B1144" t="s">
        <v>35</v>
      </c>
      <c r="C1144" t="s">
        <v>22</v>
      </c>
      <c r="D1144" t="s">
        <v>42</v>
      </c>
      <c r="E1144" s="5">
        <v>173635.5</v>
      </c>
      <c r="F1144" t="s">
        <v>2824</v>
      </c>
      <c r="G1144" t="s">
        <v>2825</v>
      </c>
      <c r="H1144" t="s">
        <v>14</v>
      </c>
    </row>
    <row r="1145" spans="1:8" x14ac:dyDescent="0.3">
      <c r="A1145" t="s">
        <v>34</v>
      </c>
      <c r="B1145" t="s">
        <v>20</v>
      </c>
      <c r="C1145" t="s">
        <v>27</v>
      </c>
      <c r="D1145" t="s">
        <v>15</v>
      </c>
      <c r="E1145" s="5">
        <v>104414</v>
      </c>
      <c r="F1145" t="s">
        <v>1460</v>
      </c>
      <c r="G1145" t="s">
        <v>1461</v>
      </c>
      <c r="H1145" t="s">
        <v>69</v>
      </c>
    </row>
    <row r="1146" spans="1:8" x14ac:dyDescent="0.3">
      <c r="A1146" t="s">
        <v>45</v>
      </c>
      <c r="B1146" t="s">
        <v>54</v>
      </c>
      <c r="C1146" t="s">
        <v>14</v>
      </c>
      <c r="D1146" t="s">
        <v>15</v>
      </c>
      <c r="E1146" s="5">
        <v>145203</v>
      </c>
      <c r="F1146" t="s">
        <v>2792</v>
      </c>
      <c r="G1146" t="s">
        <v>194</v>
      </c>
      <c r="H1146" t="s">
        <v>14</v>
      </c>
    </row>
    <row r="1147" spans="1:8" x14ac:dyDescent="0.3">
      <c r="A1147" t="s">
        <v>19</v>
      </c>
      <c r="B1147" t="s">
        <v>30</v>
      </c>
      <c r="C1147" t="s">
        <v>22</v>
      </c>
      <c r="D1147" t="s">
        <v>15</v>
      </c>
      <c r="E1147" s="5">
        <v>150713</v>
      </c>
      <c r="F1147" t="s">
        <v>2196</v>
      </c>
      <c r="G1147" t="s">
        <v>157</v>
      </c>
      <c r="H1147" t="s">
        <v>16</v>
      </c>
    </row>
    <row r="1148" spans="1:8" x14ac:dyDescent="0.3">
      <c r="A1148" t="s">
        <v>49</v>
      </c>
      <c r="B1148" t="s">
        <v>25</v>
      </c>
      <c r="C1148" t="s">
        <v>14</v>
      </c>
      <c r="D1148" t="s">
        <v>37</v>
      </c>
      <c r="E1148" s="5">
        <v>75049</v>
      </c>
      <c r="F1148" t="s">
        <v>3701</v>
      </c>
      <c r="G1148" t="s">
        <v>157</v>
      </c>
      <c r="H1148" t="s">
        <v>14</v>
      </c>
    </row>
    <row r="1149" spans="1:8" x14ac:dyDescent="0.3">
      <c r="A1149" t="s">
        <v>19</v>
      </c>
      <c r="B1149" t="s">
        <v>30</v>
      </c>
      <c r="C1149" t="s">
        <v>14</v>
      </c>
      <c r="D1149" t="s">
        <v>37</v>
      </c>
      <c r="E1149" s="5">
        <v>104934.5</v>
      </c>
      <c r="F1149" t="s">
        <v>2559</v>
      </c>
      <c r="G1149" t="s">
        <v>2560</v>
      </c>
      <c r="H1149" t="s">
        <v>14</v>
      </c>
    </row>
    <row r="1150" spans="1:8" x14ac:dyDescent="0.3">
      <c r="A1150" t="s">
        <v>72</v>
      </c>
      <c r="B1150" t="s">
        <v>12</v>
      </c>
      <c r="C1150" t="s">
        <v>22</v>
      </c>
      <c r="D1150" t="s">
        <v>42</v>
      </c>
      <c r="E1150" s="5">
        <v>47578.5</v>
      </c>
      <c r="F1150" t="s">
        <v>218</v>
      </c>
      <c r="G1150" t="s">
        <v>128</v>
      </c>
      <c r="H1150" t="s">
        <v>69</v>
      </c>
    </row>
    <row r="1151" spans="1:8" x14ac:dyDescent="0.3">
      <c r="A1151" t="s">
        <v>19</v>
      </c>
      <c r="B1151" t="s">
        <v>20</v>
      </c>
      <c r="C1151" t="s">
        <v>14</v>
      </c>
      <c r="D1151" t="s">
        <v>51</v>
      </c>
      <c r="E1151" s="5">
        <v>149789.5</v>
      </c>
      <c r="F1151" t="s">
        <v>3820</v>
      </c>
      <c r="G1151" t="s">
        <v>784</v>
      </c>
      <c r="H1151" t="s">
        <v>69</v>
      </c>
    </row>
    <row r="1152" spans="1:8" x14ac:dyDescent="0.3">
      <c r="A1152" t="s">
        <v>49</v>
      </c>
      <c r="B1152" t="s">
        <v>25</v>
      </c>
      <c r="C1152" t="s">
        <v>27</v>
      </c>
      <c r="D1152" t="s">
        <v>37</v>
      </c>
      <c r="E1152" s="5">
        <v>109146</v>
      </c>
      <c r="F1152" t="s">
        <v>3953</v>
      </c>
      <c r="G1152" t="s">
        <v>226</v>
      </c>
      <c r="H1152" t="s">
        <v>14</v>
      </c>
    </row>
    <row r="1153" spans="1:8" x14ac:dyDescent="0.3">
      <c r="A1153" t="s">
        <v>40</v>
      </c>
      <c r="B1153" t="s">
        <v>12</v>
      </c>
      <c r="C1153" t="s">
        <v>27</v>
      </c>
      <c r="D1153" t="s">
        <v>51</v>
      </c>
      <c r="E1153" s="5">
        <v>188940.5</v>
      </c>
      <c r="F1153" t="s">
        <v>1814</v>
      </c>
      <c r="G1153" t="s">
        <v>255</v>
      </c>
      <c r="H1153" t="s">
        <v>14</v>
      </c>
    </row>
    <row r="1154" spans="1:8" x14ac:dyDescent="0.3">
      <c r="A1154" t="s">
        <v>11</v>
      </c>
      <c r="B1154" t="s">
        <v>54</v>
      </c>
      <c r="C1154" t="s">
        <v>22</v>
      </c>
      <c r="D1154" t="s">
        <v>51</v>
      </c>
      <c r="E1154" s="5">
        <v>127196</v>
      </c>
      <c r="F1154" t="s">
        <v>3188</v>
      </c>
      <c r="G1154" t="s">
        <v>128</v>
      </c>
      <c r="H1154" t="s">
        <v>14</v>
      </c>
    </row>
    <row r="1155" spans="1:8" x14ac:dyDescent="0.3">
      <c r="A1155" t="s">
        <v>34</v>
      </c>
      <c r="B1155" t="s">
        <v>35</v>
      </c>
      <c r="C1155" t="s">
        <v>22</v>
      </c>
      <c r="D1155" t="s">
        <v>42</v>
      </c>
      <c r="E1155" s="5">
        <v>64477</v>
      </c>
      <c r="F1155" t="s">
        <v>1987</v>
      </c>
      <c r="G1155" t="s">
        <v>447</v>
      </c>
      <c r="H1155" t="s">
        <v>14</v>
      </c>
    </row>
    <row r="1156" spans="1:8" x14ac:dyDescent="0.3">
      <c r="A1156" t="s">
        <v>45</v>
      </c>
      <c r="B1156" t="s">
        <v>25</v>
      </c>
      <c r="C1156" t="s">
        <v>27</v>
      </c>
      <c r="D1156" t="s">
        <v>51</v>
      </c>
      <c r="E1156" s="5">
        <v>91939</v>
      </c>
      <c r="F1156" t="s">
        <v>3097</v>
      </c>
      <c r="G1156" t="s">
        <v>74</v>
      </c>
      <c r="H1156" t="s">
        <v>16</v>
      </c>
    </row>
    <row r="1157" spans="1:8" x14ac:dyDescent="0.3">
      <c r="A1157" t="s">
        <v>19</v>
      </c>
      <c r="B1157" t="s">
        <v>54</v>
      </c>
      <c r="C1157" t="s">
        <v>27</v>
      </c>
      <c r="D1157" t="s">
        <v>51</v>
      </c>
      <c r="E1157" s="5">
        <v>126862</v>
      </c>
      <c r="F1157" t="s">
        <v>3219</v>
      </c>
      <c r="G1157" t="s">
        <v>526</v>
      </c>
      <c r="H1157" t="s">
        <v>14</v>
      </c>
    </row>
    <row r="1158" spans="1:8" x14ac:dyDescent="0.3">
      <c r="A1158" t="s">
        <v>45</v>
      </c>
      <c r="B1158" t="s">
        <v>67</v>
      </c>
      <c r="C1158" t="s">
        <v>22</v>
      </c>
      <c r="D1158" t="s">
        <v>42</v>
      </c>
      <c r="E1158" s="5">
        <v>114547</v>
      </c>
      <c r="F1158" t="s">
        <v>4057</v>
      </c>
      <c r="G1158" t="s">
        <v>128</v>
      </c>
      <c r="H1158" t="s">
        <v>14</v>
      </c>
    </row>
    <row r="1159" spans="1:8" x14ac:dyDescent="0.3">
      <c r="A1159" t="s">
        <v>19</v>
      </c>
      <c r="B1159" t="s">
        <v>30</v>
      </c>
      <c r="C1159" t="s">
        <v>27</v>
      </c>
      <c r="D1159" t="s">
        <v>37</v>
      </c>
      <c r="E1159" s="5">
        <v>107572</v>
      </c>
      <c r="F1159" t="s">
        <v>482</v>
      </c>
      <c r="G1159" t="s">
        <v>483</v>
      </c>
      <c r="H1159" t="s">
        <v>14</v>
      </c>
    </row>
    <row r="1160" spans="1:8" x14ac:dyDescent="0.3">
      <c r="A1160" t="s">
        <v>45</v>
      </c>
      <c r="B1160" t="s">
        <v>135</v>
      </c>
      <c r="C1160" t="s">
        <v>27</v>
      </c>
      <c r="D1160" t="s">
        <v>37</v>
      </c>
      <c r="E1160" s="5">
        <v>160403</v>
      </c>
      <c r="F1160" t="s">
        <v>2031</v>
      </c>
      <c r="G1160" t="s">
        <v>546</v>
      </c>
      <c r="H1160" t="s">
        <v>16</v>
      </c>
    </row>
    <row r="1161" spans="1:8" x14ac:dyDescent="0.3">
      <c r="A1161" t="s">
        <v>19</v>
      </c>
      <c r="B1161" t="s">
        <v>135</v>
      </c>
      <c r="C1161" t="s">
        <v>14</v>
      </c>
      <c r="D1161" t="s">
        <v>42</v>
      </c>
      <c r="E1161" s="5">
        <v>72408.5</v>
      </c>
      <c r="F1161" t="s">
        <v>2876</v>
      </c>
      <c r="G1161" t="s">
        <v>157</v>
      </c>
      <c r="H1161" t="s">
        <v>16</v>
      </c>
    </row>
    <row r="1162" spans="1:8" x14ac:dyDescent="0.3">
      <c r="A1162" t="s">
        <v>40</v>
      </c>
      <c r="B1162" t="s">
        <v>25</v>
      </c>
      <c r="C1162" t="s">
        <v>27</v>
      </c>
      <c r="D1162" t="s">
        <v>51</v>
      </c>
      <c r="E1162" s="5">
        <v>93868.5</v>
      </c>
      <c r="F1162" t="s">
        <v>2045</v>
      </c>
      <c r="G1162" t="s">
        <v>2046</v>
      </c>
      <c r="H1162" t="s">
        <v>69</v>
      </c>
    </row>
    <row r="1163" spans="1:8" x14ac:dyDescent="0.3">
      <c r="A1163" t="s">
        <v>34</v>
      </c>
      <c r="B1163" t="s">
        <v>30</v>
      </c>
      <c r="C1163" t="s">
        <v>27</v>
      </c>
      <c r="D1163" t="s">
        <v>42</v>
      </c>
      <c r="E1163" s="5">
        <v>135744.5</v>
      </c>
      <c r="F1163" t="s">
        <v>368</v>
      </c>
      <c r="G1163" t="s">
        <v>122</v>
      </c>
      <c r="H1163" t="s">
        <v>16</v>
      </c>
    </row>
    <row r="1164" spans="1:8" x14ac:dyDescent="0.3">
      <c r="A1164" t="s">
        <v>19</v>
      </c>
      <c r="B1164" t="s">
        <v>25</v>
      </c>
      <c r="C1164" t="s">
        <v>22</v>
      </c>
      <c r="D1164" t="s">
        <v>51</v>
      </c>
      <c r="E1164" s="5">
        <v>76767</v>
      </c>
      <c r="F1164" t="s">
        <v>1647</v>
      </c>
      <c r="G1164" t="s">
        <v>128</v>
      </c>
      <c r="H1164" t="s">
        <v>69</v>
      </c>
    </row>
    <row r="1165" spans="1:8" x14ac:dyDescent="0.3">
      <c r="A1165" t="s">
        <v>11</v>
      </c>
      <c r="B1165" t="s">
        <v>20</v>
      </c>
      <c r="C1165" t="s">
        <v>27</v>
      </c>
      <c r="D1165" t="s">
        <v>37</v>
      </c>
      <c r="E1165" s="5">
        <v>70497</v>
      </c>
      <c r="F1165" t="s">
        <v>2882</v>
      </c>
      <c r="G1165" t="s">
        <v>90</v>
      </c>
      <c r="H1165" t="s">
        <v>14</v>
      </c>
    </row>
    <row r="1166" spans="1:8" x14ac:dyDescent="0.3">
      <c r="A1166" t="s">
        <v>72</v>
      </c>
      <c r="B1166" t="s">
        <v>20</v>
      </c>
      <c r="C1166" t="s">
        <v>14</v>
      </c>
      <c r="D1166" t="s">
        <v>51</v>
      </c>
      <c r="E1166" s="5">
        <v>139140.5</v>
      </c>
      <c r="F1166" t="s">
        <v>1989</v>
      </c>
      <c r="G1166" t="s">
        <v>799</v>
      </c>
      <c r="H1166" t="s">
        <v>16</v>
      </c>
    </row>
    <row r="1167" spans="1:8" x14ac:dyDescent="0.3">
      <c r="A1167" t="s">
        <v>11</v>
      </c>
      <c r="B1167" t="s">
        <v>20</v>
      </c>
      <c r="C1167" t="s">
        <v>14</v>
      </c>
      <c r="D1167" t="s">
        <v>15</v>
      </c>
      <c r="E1167" s="5">
        <v>67924.5</v>
      </c>
      <c r="F1167" t="s">
        <v>2733</v>
      </c>
      <c r="G1167" t="s">
        <v>216</v>
      </c>
      <c r="H1167" t="s">
        <v>14</v>
      </c>
    </row>
    <row r="1168" spans="1:8" x14ac:dyDescent="0.3">
      <c r="A1168" t="s">
        <v>11</v>
      </c>
      <c r="B1168" t="s">
        <v>12</v>
      </c>
      <c r="C1168" t="s">
        <v>22</v>
      </c>
      <c r="D1168" t="s">
        <v>15</v>
      </c>
      <c r="E1168" s="5">
        <v>155008.5</v>
      </c>
      <c r="F1168" t="s">
        <v>2587</v>
      </c>
      <c r="G1168" t="s">
        <v>157</v>
      </c>
      <c r="H1168" t="s">
        <v>16</v>
      </c>
    </row>
    <row r="1169" spans="1:8" x14ac:dyDescent="0.3">
      <c r="A1169" t="s">
        <v>34</v>
      </c>
      <c r="B1169" t="s">
        <v>30</v>
      </c>
      <c r="C1169" t="s">
        <v>14</v>
      </c>
      <c r="D1169" t="s">
        <v>42</v>
      </c>
      <c r="E1169" s="5">
        <v>118122</v>
      </c>
      <c r="F1169" t="s">
        <v>4249</v>
      </c>
      <c r="G1169" t="s">
        <v>959</v>
      </c>
      <c r="H1169" t="s">
        <v>16</v>
      </c>
    </row>
    <row r="1170" spans="1:8" x14ac:dyDescent="0.3">
      <c r="A1170" t="s">
        <v>40</v>
      </c>
      <c r="B1170" t="s">
        <v>12</v>
      </c>
      <c r="C1170" t="s">
        <v>27</v>
      </c>
      <c r="D1170" t="s">
        <v>37</v>
      </c>
      <c r="E1170" s="5">
        <v>141388.5</v>
      </c>
      <c r="F1170" t="s">
        <v>511</v>
      </c>
      <c r="G1170" t="s">
        <v>52</v>
      </c>
      <c r="H1170" t="s">
        <v>16</v>
      </c>
    </row>
    <row r="1171" spans="1:8" x14ac:dyDescent="0.3">
      <c r="A1171" t="s">
        <v>34</v>
      </c>
      <c r="B1171" t="s">
        <v>12</v>
      </c>
      <c r="C1171" t="s">
        <v>14</v>
      </c>
      <c r="D1171" t="s">
        <v>37</v>
      </c>
      <c r="E1171" s="5">
        <v>173442.5</v>
      </c>
      <c r="F1171" t="s">
        <v>807</v>
      </c>
      <c r="G1171" t="s">
        <v>808</v>
      </c>
      <c r="H1171" t="s">
        <v>14</v>
      </c>
    </row>
    <row r="1172" spans="1:8" x14ac:dyDescent="0.3">
      <c r="A1172" t="s">
        <v>45</v>
      </c>
      <c r="B1172" t="s">
        <v>20</v>
      </c>
      <c r="C1172" t="s">
        <v>27</v>
      </c>
      <c r="D1172" t="s">
        <v>51</v>
      </c>
      <c r="E1172" s="5">
        <v>172321</v>
      </c>
      <c r="F1172" t="s">
        <v>3365</v>
      </c>
      <c r="G1172" t="s">
        <v>410</v>
      </c>
      <c r="H1172" t="s">
        <v>14</v>
      </c>
    </row>
    <row r="1173" spans="1:8" x14ac:dyDescent="0.3">
      <c r="A1173" t="s">
        <v>19</v>
      </c>
      <c r="B1173" t="s">
        <v>12</v>
      </c>
      <c r="C1173" t="s">
        <v>14</v>
      </c>
      <c r="D1173" t="s">
        <v>51</v>
      </c>
      <c r="E1173" s="5">
        <v>121696</v>
      </c>
      <c r="F1173" t="s">
        <v>522</v>
      </c>
      <c r="G1173" t="s">
        <v>523</v>
      </c>
      <c r="H1173" t="s">
        <v>14</v>
      </c>
    </row>
    <row r="1174" spans="1:8" x14ac:dyDescent="0.3">
      <c r="A1174" t="s">
        <v>40</v>
      </c>
      <c r="B1174" t="s">
        <v>30</v>
      </c>
      <c r="C1174" t="s">
        <v>14</v>
      </c>
      <c r="D1174" t="s">
        <v>42</v>
      </c>
      <c r="E1174" s="5">
        <v>140386.5</v>
      </c>
      <c r="F1174" t="s">
        <v>1731</v>
      </c>
      <c r="G1174" t="s">
        <v>743</v>
      </c>
      <c r="H1174" t="s">
        <v>16</v>
      </c>
    </row>
    <row r="1175" spans="1:8" x14ac:dyDescent="0.3">
      <c r="A1175" t="s">
        <v>34</v>
      </c>
      <c r="B1175" t="s">
        <v>135</v>
      </c>
      <c r="C1175" t="s">
        <v>14</v>
      </c>
      <c r="D1175" t="s">
        <v>37</v>
      </c>
      <c r="E1175" s="5">
        <v>57358.5</v>
      </c>
      <c r="F1175" t="s">
        <v>3598</v>
      </c>
      <c r="G1175" t="s">
        <v>3599</v>
      </c>
      <c r="H1175" t="s">
        <v>69</v>
      </c>
    </row>
    <row r="1176" spans="1:8" x14ac:dyDescent="0.3">
      <c r="A1176" t="s">
        <v>34</v>
      </c>
      <c r="B1176" t="s">
        <v>30</v>
      </c>
      <c r="C1176" t="s">
        <v>27</v>
      </c>
      <c r="D1176" t="s">
        <v>15</v>
      </c>
      <c r="E1176" s="5">
        <v>152580</v>
      </c>
      <c r="F1176" t="s">
        <v>560</v>
      </c>
      <c r="G1176" t="s">
        <v>561</v>
      </c>
      <c r="H1176" t="s">
        <v>16</v>
      </c>
    </row>
    <row r="1177" spans="1:8" x14ac:dyDescent="0.3">
      <c r="A1177" t="s">
        <v>11</v>
      </c>
      <c r="B1177" t="s">
        <v>135</v>
      </c>
      <c r="C1177" t="s">
        <v>27</v>
      </c>
      <c r="D1177" t="s">
        <v>51</v>
      </c>
      <c r="E1177" s="5">
        <v>82997.5</v>
      </c>
      <c r="F1177" t="s">
        <v>1864</v>
      </c>
      <c r="G1177" t="s">
        <v>80</v>
      </c>
      <c r="H1177" t="s">
        <v>14</v>
      </c>
    </row>
    <row r="1178" spans="1:8" x14ac:dyDescent="0.3">
      <c r="A1178" t="s">
        <v>45</v>
      </c>
      <c r="B1178" t="s">
        <v>30</v>
      </c>
      <c r="C1178" t="s">
        <v>27</v>
      </c>
      <c r="D1178" t="s">
        <v>42</v>
      </c>
      <c r="E1178" s="5">
        <v>62985.5</v>
      </c>
      <c r="F1178" t="s">
        <v>3556</v>
      </c>
      <c r="G1178" t="s">
        <v>734</v>
      </c>
      <c r="H1178" t="s">
        <v>14</v>
      </c>
    </row>
    <row r="1179" spans="1:8" x14ac:dyDescent="0.3">
      <c r="A1179" t="s">
        <v>11</v>
      </c>
      <c r="B1179" t="s">
        <v>25</v>
      </c>
      <c r="C1179" t="s">
        <v>27</v>
      </c>
      <c r="D1179" t="s">
        <v>51</v>
      </c>
      <c r="E1179" s="5">
        <v>69606</v>
      </c>
      <c r="F1179" t="s">
        <v>3951</v>
      </c>
      <c r="G1179" t="s">
        <v>80</v>
      </c>
      <c r="H1179" t="s">
        <v>16</v>
      </c>
    </row>
    <row r="1180" spans="1:8" x14ac:dyDescent="0.3">
      <c r="A1180" t="s">
        <v>11</v>
      </c>
      <c r="B1180" t="s">
        <v>12</v>
      </c>
      <c r="C1180" t="s">
        <v>14</v>
      </c>
      <c r="D1180" t="s">
        <v>15</v>
      </c>
      <c r="E1180" s="5">
        <v>101229</v>
      </c>
      <c r="F1180" t="s">
        <v>13</v>
      </c>
      <c r="G1180" t="s">
        <v>17</v>
      </c>
      <c r="H1180" t="s">
        <v>16</v>
      </c>
    </row>
    <row r="1181" spans="1:8" x14ac:dyDescent="0.3">
      <c r="A1181" t="s">
        <v>49</v>
      </c>
      <c r="B1181" t="s">
        <v>54</v>
      </c>
      <c r="C1181" t="s">
        <v>14</v>
      </c>
      <c r="D1181" t="s">
        <v>51</v>
      </c>
      <c r="E1181" s="5">
        <v>68090</v>
      </c>
      <c r="F1181" t="s">
        <v>454</v>
      </c>
      <c r="G1181" t="s">
        <v>455</v>
      </c>
      <c r="H1181" t="s">
        <v>69</v>
      </c>
    </row>
    <row r="1182" spans="1:8" x14ac:dyDescent="0.3">
      <c r="A1182" t="s">
        <v>40</v>
      </c>
      <c r="B1182" t="s">
        <v>12</v>
      </c>
      <c r="C1182" t="s">
        <v>27</v>
      </c>
      <c r="D1182" t="s">
        <v>42</v>
      </c>
      <c r="E1182" s="5">
        <v>185232.5</v>
      </c>
      <c r="F1182" t="s">
        <v>2122</v>
      </c>
      <c r="G1182" t="s">
        <v>128</v>
      </c>
      <c r="H1182" t="s">
        <v>14</v>
      </c>
    </row>
    <row r="1183" spans="1:8" x14ac:dyDescent="0.3">
      <c r="A1183" t="s">
        <v>45</v>
      </c>
      <c r="B1183" t="s">
        <v>12</v>
      </c>
      <c r="C1183" t="s">
        <v>27</v>
      </c>
      <c r="D1183" t="s">
        <v>37</v>
      </c>
      <c r="E1183" s="5">
        <v>112397.5</v>
      </c>
      <c r="F1183" t="s">
        <v>342</v>
      </c>
      <c r="G1183" t="s">
        <v>122</v>
      </c>
      <c r="H1183" t="s">
        <v>16</v>
      </c>
    </row>
    <row r="1184" spans="1:8" x14ac:dyDescent="0.3">
      <c r="A1184" t="s">
        <v>11</v>
      </c>
      <c r="B1184" t="s">
        <v>135</v>
      </c>
      <c r="C1184" t="s">
        <v>22</v>
      </c>
      <c r="D1184" t="s">
        <v>51</v>
      </c>
      <c r="E1184" s="5">
        <v>113999.5</v>
      </c>
      <c r="F1184" t="s">
        <v>3772</v>
      </c>
      <c r="G1184" t="s">
        <v>677</v>
      </c>
      <c r="H1184" t="s">
        <v>69</v>
      </c>
    </row>
    <row r="1185" spans="1:8" x14ac:dyDescent="0.3">
      <c r="A1185" t="s">
        <v>40</v>
      </c>
      <c r="B1185" t="s">
        <v>54</v>
      </c>
      <c r="C1185" t="s">
        <v>22</v>
      </c>
      <c r="D1185" t="s">
        <v>42</v>
      </c>
      <c r="E1185" s="5">
        <v>143268.5</v>
      </c>
      <c r="F1185" t="s">
        <v>1719</v>
      </c>
      <c r="G1185" t="s">
        <v>455</v>
      </c>
      <c r="H1185" t="s">
        <v>69</v>
      </c>
    </row>
    <row r="1186" spans="1:8" x14ac:dyDescent="0.3">
      <c r="A1186" t="s">
        <v>40</v>
      </c>
      <c r="B1186" t="s">
        <v>54</v>
      </c>
      <c r="C1186" t="s">
        <v>27</v>
      </c>
      <c r="D1186" t="s">
        <v>15</v>
      </c>
      <c r="E1186" s="5">
        <v>117497</v>
      </c>
      <c r="F1186" t="s">
        <v>2864</v>
      </c>
      <c r="G1186" t="s">
        <v>80</v>
      </c>
      <c r="H1186" t="s">
        <v>69</v>
      </c>
    </row>
    <row r="1187" spans="1:8" x14ac:dyDescent="0.3">
      <c r="A1187" t="s">
        <v>11</v>
      </c>
      <c r="B1187" t="s">
        <v>30</v>
      </c>
      <c r="C1187" t="s">
        <v>27</v>
      </c>
      <c r="D1187" t="s">
        <v>15</v>
      </c>
      <c r="E1187" s="5">
        <v>144976.5</v>
      </c>
      <c r="F1187" t="s">
        <v>151</v>
      </c>
      <c r="G1187" t="s">
        <v>43</v>
      </c>
      <c r="H1187" t="s">
        <v>16</v>
      </c>
    </row>
    <row r="1188" spans="1:8" x14ac:dyDescent="0.3">
      <c r="A1188" t="s">
        <v>34</v>
      </c>
      <c r="B1188" t="s">
        <v>135</v>
      </c>
      <c r="C1188" t="s">
        <v>27</v>
      </c>
      <c r="D1188" t="s">
        <v>42</v>
      </c>
      <c r="E1188" s="5">
        <v>86460.5</v>
      </c>
      <c r="F1188" t="s">
        <v>1850</v>
      </c>
      <c r="G1188" t="s">
        <v>1114</v>
      </c>
      <c r="H1188" t="s">
        <v>14</v>
      </c>
    </row>
    <row r="1189" spans="1:8" x14ac:dyDescent="0.3">
      <c r="A1189" t="s">
        <v>49</v>
      </c>
      <c r="B1189" t="s">
        <v>35</v>
      </c>
      <c r="C1189" t="s">
        <v>14</v>
      </c>
      <c r="D1189" t="s">
        <v>37</v>
      </c>
      <c r="E1189" s="5">
        <v>87613.5</v>
      </c>
      <c r="F1189" t="s">
        <v>406</v>
      </c>
      <c r="G1189" t="s">
        <v>407</v>
      </c>
      <c r="H1189" t="s">
        <v>69</v>
      </c>
    </row>
    <row r="1190" spans="1:8" x14ac:dyDescent="0.3">
      <c r="A1190" t="s">
        <v>19</v>
      </c>
      <c r="B1190" t="s">
        <v>67</v>
      </c>
      <c r="C1190" t="s">
        <v>22</v>
      </c>
      <c r="D1190" t="s">
        <v>51</v>
      </c>
      <c r="E1190" s="5">
        <v>138587</v>
      </c>
      <c r="F1190" t="s">
        <v>2145</v>
      </c>
      <c r="G1190" t="s">
        <v>2071</v>
      </c>
      <c r="H1190" t="s">
        <v>16</v>
      </c>
    </row>
    <row r="1191" spans="1:8" x14ac:dyDescent="0.3">
      <c r="A1191" t="s">
        <v>19</v>
      </c>
      <c r="B1191" t="s">
        <v>35</v>
      </c>
      <c r="C1191" t="s">
        <v>22</v>
      </c>
      <c r="D1191" t="s">
        <v>51</v>
      </c>
      <c r="E1191" s="5">
        <v>160031</v>
      </c>
      <c r="F1191" t="s">
        <v>2697</v>
      </c>
      <c r="G1191" t="s">
        <v>52</v>
      </c>
      <c r="H1191" t="s">
        <v>16</v>
      </c>
    </row>
    <row r="1192" spans="1:8" x14ac:dyDescent="0.3">
      <c r="A1192" t="s">
        <v>34</v>
      </c>
      <c r="B1192" t="s">
        <v>20</v>
      </c>
      <c r="C1192" t="s">
        <v>27</v>
      </c>
      <c r="D1192" t="s">
        <v>15</v>
      </c>
      <c r="E1192" s="5">
        <v>112341.5</v>
      </c>
      <c r="F1192" t="s">
        <v>3393</v>
      </c>
      <c r="G1192" t="s">
        <v>3394</v>
      </c>
      <c r="H1192" t="s">
        <v>69</v>
      </c>
    </row>
    <row r="1193" spans="1:8" x14ac:dyDescent="0.3">
      <c r="A1193" t="s">
        <v>40</v>
      </c>
      <c r="B1193" t="s">
        <v>30</v>
      </c>
      <c r="C1193" t="s">
        <v>14</v>
      </c>
      <c r="D1193" t="s">
        <v>37</v>
      </c>
      <c r="E1193" s="5">
        <v>72481</v>
      </c>
      <c r="F1193" t="s">
        <v>2637</v>
      </c>
      <c r="G1193" t="s">
        <v>80</v>
      </c>
      <c r="H1193" t="s">
        <v>14</v>
      </c>
    </row>
    <row r="1194" spans="1:8" x14ac:dyDescent="0.3">
      <c r="A1194" t="s">
        <v>72</v>
      </c>
      <c r="B1194" t="s">
        <v>12</v>
      </c>
      <c r="C1194" t="s">
        <v>14</v>
      </c>
      <c r="D1194" t="s">
        <v>15</v>
      </c>
      <c r="E1194" s="5">
        <v>138134</v>
      </c>
      <c r="F1194" t="s">
        <v>1507</v>
      </c>
      <c r="G1194" t="s">
        <v>80</v>
      </c>
      <c r="H1194" t="s">
        <v>69</v>
      </c>
    </row>
    <row r="1195" spans="1:8" x14ac:dyDescent="0.3">
      <c r="A1195" t="s">
        <v>49</v>
      </c>
      <c r="B1195" t="s">
        <v>25</v>
      </c>
      <c r="C1195" t="s">
        <v>22</v>
      </c>
      <c r="D1195" t="s">
        <v>42</v>
      </c>
      <c r="E1195" s="5">
        <v>100901</v>
      </c>
      <c r="F1195" t="s">
        <v>593</v>
      </c>
      <c r="G1195" t="s">
        <v>90</v>
      </c>
      <c r="H1195" t="s">
        <v>16</v>
      </c>
    </row>
    <row r="1196" spans="1:8" x14ac:dyDescent="0.3">
      <c r="A1196" t="s">
        <v>45</v>
      </c>
      <c r="B1196" t="s">
        <v>12</v>
      </c>
      <c r="C1196" t="s">
        <v>27</v>
      </c>
      <c r="D1196" t="s">
        <v>37</v>
      </c>
      <c r="E1196" s="5">
        <v>69148.5</v>
      </c>
      <c r="F1196" t="s">
        <v>553</v>
      </c>
      <c r="G1196" t="s">
        <v>52</v>
      </c>
      <c r="H1196" t="s">
        <v>14</v>
      </c>
    </row>
    <row r="1197" spans="1:8" x14ac:dyDescent="0.3">
      <c r="A1197" t="s">
        <v>49</v>
      </c>
      <c r="B1197" t="s">
        <v>20</v>
      </c>
      <c r="C1197" t="s">
        <v>22</v>
      </c>
      <c r="D1197" t="s">
        <v>51</v>
      </c>
      <c r="E1197" s="5">
        <v>127691</v>
      </c>
      <c r="F1197" t="s">
        <v>4189</v>
      </c>
      <c r="G1197" t="s">
        <v>537</v>
      </c>
      <c r="H1197" t="s">
        <v>14</v>
      </c>
    </row>
    <row r="1198" spans="1:8" x14ac:dyDescent="0.3">
      <c r="A1198" t="s">
        <v>11</v>
      </c>
      <c r="B1198" t="s">
        <v>135</v>
      </c>
      <c r="C1198" t="s">
        <v>22</v>
      </c>
      <c r="D1198" t="s">
        <v>51</v>
      </c>
      <c r="E1198" s="5">
        <v>185570.5</v>
      </c>
      <c r="F1198" t="s">
        <v>3468</v>
      </c>
      <c r="G1198" t="s">
        <v>1074</v>
      </c>
      <c r="H1198" t="s">
        <v>14</v>
      </c>
    </row>
    <row r="1199" spans="1:8" x14ac:dyDescent="0.3">
      <c r="A1199" t="s">
        <v>34</v>
      </c>
      <c r="B1199" t="s">
        <v>12</v>
      </c>
      <c r="C1199" t="s">
        <v>14</v>
      </c>
      <c r="D1199" t="s">
        <v>42</v>
      </c>
      <c r="E1199" s="5">
        <v>134607</v>
      </c>
      <c r="F1199" t="s">
        <v>1105</v>
      </c>
      <c r="G1199" t="s">
        <v>216</v>
      </c>
      <c r="H1199" t="s">
        <v>69</v>
      </c>
    </row>
    <row r="1200" spans="1:8" x14ac:dyDescent="0.3">
      <c r="A1200" t="s">
        <v>45</v>
      </c>
      <c r="B1200" t="s">
        <v>67</v>
      </c>
      <c r="C1200" t="s">
        <v>14</v>
      </c>
      <c r="D1200" t="s">
        <v>42</v>
      </c>
      <c r="E1200" s="5">
        <v>85044.5</v>
      </c>
      <c r="F1200" t="s">
        <v>1709</v>
      </c>
      <c r="G1200" t="s">
        <v>1710</v>
      </c>
      <c r="H1200" t="s">
        <v>14</v>
      </c>
    </row>
    <row r="1201" spans="1:8" x14ac:dyDescent="0.3">
      <c r="A1201" t="s">
        <v>11</v>
      </c>
      <c r="B1201" t="s">
        <v>20</v>
      </c>
      <c r="C1201" t="s">
        <v>22</v>
      </c>
      <c r="D1201" t="s">
        <v>15</v>
      </c>
      <c r="E1201" s="5">
        <v>124579</v>
      </c>
      <c r="F1201" t="s">
        <v>3099</v>
      </c>
      <c r="G1201" t="s">
        <v>407</v>
      </c>
      <c r="H1201" t="s">
        <v>69</v>
      </c>
    </row>
    <row r="1202" spans="1:8" x14ac:dyDescent="0.3">
      <c r="A1202" t="s">
        <v>11</v>
      </c>
      <c r="B1202" t="s">
        <v>54</v>
      </c>
      <c r="C1202" t="s">
        <v>27</v>
      </c>
      <c r="D1202" t="s">
        <v>51</v>
      </c>
      <c r="E1202" s="5">
        <v>144133</v>
      </c>
      <c r="F1202" t="s">
        <v>4119</v>
      </c>
      <c r="G1202" t="s">
        <v>526</v>
      </c>
      <c r="H1202" t="s">
        <v>14</v>
      </c>
    </row>
    <row r="1203" spans="1:8" x14ac:dyDescent="0.3">
      <c r="A1203" t="s">
        <v>34</v>
      </c>
      <c r="B1203" t="s">
        <v>20</v>
      </c>
      <c r="C1203" t="s">
        <v>27</v>
      </c>
      <c r="D1203" t="s">
        <v>51</v>
      </c>
      <c r="E1203" s="5">
        <v>89196</v>
      </c>
      <c r="F1203" t="s">
        <v>2591</v>
      </c>
      <c r="G1203" t="s">
        <v>2592</v>
      </c>
      <c r="H1203" t="s">
        <v>14</v>
      </c>
    </row>
    <row r="1204" spans="1:8" x14ac:dyDescent="0.3">
      <c r="A1204" t="s">
        <v>72</v>
      </c>
      <c r="B1204" t="s">
        <v>135</v>
      </c>
      <c r="C1204" t="s">
        <v>14</v>
      </c>
      <c r="D1204" t="s">
        <v>37</v>
      </c>
      <c r="E1204" s="5">
        <v>167789</v>
      </c>
      <c r="F1204" t="s">
        <v>1046</v>
      </c>
      <c r="G1204" t="s">
        <v>70</v>
      </c>
      <c r="H1204" t="s">
        <v>14</v>
      </c>
    </row>
    <row r="1205" spans="1:8" x14ac:dyDescent="0.3">
      <c r="A1205" t="s">
        <v>40</v>
      </c>
      <c r="B1205" t="s">
        <v>135</v>
      </c>
      <c r="C1205" t="s">
        <v>22</v>
      </c>
      <c r="D1205" t="s">
        <v>51</v>
      </c>
      <c r="E1205" s="5">
        <v>84673</v>
      </c>
      <c r="F1205" t="s">
        <v>738</v>
      </c>
      <c r="G1205" t="s">
        <v>77</v>
      </c>
      <c r="H1205" t="s">
        <v>69</v>
      </c>
    </row>
    <row r="1206" spans="1:8" x14ac:dyDescent="0.3">
      <c r="A1206" t="s">
        <v>34</v>
      </c>
      <c r="B1206" t="s">
        <v>67</v>
      </c>
      <c r="C1206" t="s">
        <v>27</v>
      </c>
      <c r="D1206" t="s">
        <v>15</v>
      </c>
      <c r="E1206" s="5">
        <v>146010</v>
      </c>
      <c r="F1206" t="s">
        <v>913</v>
      </c>
      <c r="G1206" t="s">
        <v>914</v>
      </c>
      <c r="H1206" t="s">
        <v>14</v>
      </c>
    </row>
    <row r="1207" spans="1:8" x14ac:dyDescent="0.3">
      <c r="A1207" t="s">
        <v>34</v>
      </c>
      <c r="B1207" t="s">
        <v>54</v>
      </c>
      <c r="C1207" t="s">
        <v>27</v>
      </c>
      <c r="D1207" t="s">
        <v>37</v>
      </c>
      <c r="E1207" s="5">
        <v>63082</v>
      </c>
      <c r="F1207" t="s">
        <v>1790</v>
      </c>
      <c r="G1207" t="s">
        <v>52</v>
      </c>
      <c r="H1207" t="s">
        <v>69</v>
      </c>
    </row>
    <row r="1208" spans="1:8" x14ac:dyDescent="0.3">
      <c r="A1208" t="s">
        <v>49</v>
      </c>
      <c r="B1208" t="s">
        <v>67</v>
      </c>
      <c r="C1208" t="s">
        <v>14</v>
      </c>
      <c r="D1208" t="s">
        <v>42</v>
      </c>
      <c r="E1208" s="5">
        <v>173291.5</v>
      </c>
      <c r="F1208" t="s">
        <v>76</v>
      </c>
      <c r="G1208" t="s">
        <v>77</v>
      </c>
      <c r="H1208" t="s">
        <v>16</v>
      </c>
    </row>
    <row r="1209" spans="1:8" x14ac:dyDescent="0.3">
      <c r="A1209" t="s">
        <v>49</v>
      </c>
      <c r="B1209" t="s">
        <v>135</v>
      </c>
      <c r="C1209" t="s">
        <v>22</v>
      </c>
      <c r="D1209" t="s">
        <v>15</v>
      </c>
      <c r="E1209" s="5">
        <v>155486</v>
      </c>
      <c r="F1209" t="s">
        <v>525</v>
      </c>
      <c r="G1209" t="s">
        <v>526</v>
      </c>
      <c r="H1209" t="s">
        <v>14</v>
      </c>
    </row>
    <row r="1210" spans="1:8" x14ac:dyDescent="0.3">
      <c r="A1210" t="s">
        <v>19</v>
      </c>
      <c r="B1210" t="s">
        <v>67</v>
      </c>
      <c r="C1210" t="s">
        <v>27</v>
      </c>
      <c r="D1210" t="s">
        <v>51</v>
      </c>
      <c r="E1210" s="5">
        <v>153788.5</v>
      </c>
      <c r="F1210" t="s">
        <v>1480</v>
      </c>
      <c r="G1210" t="s">
        <v>260</v>
      </c>
      <c r="H1210" t="s">
        <v>14</v>
      </c>
    </row>
    <row r="1211" spans="1:8" x14ac:dyDescent="0.3">
      <c r="A1211" t="s">
        <v>11</v>
      </c>
      <c r="B1211" t="s">
        <v>12</v>
      </c>
      <c r="C1211" t="s">
        <v>27</v>
      </c>
      <c r="D1211" t="s">
        <v>42</v>
      </c>
      <c r="E1211" s="5">
        <v>125039</v>
      </c>
      <c r="F1211" t="s">
        <v>3537</v>
      </c>
      <c r="G1211" t="s">
        <v>432</v>
      </c>
      <c r="H1211" t="s">
        <v>69</v>
      </c>
    </row>
    <row r="1212" spans="1:8" x14ac:dyDescent="0.3">
      <c r="A1212" t="s">
        <v>40</v>
      </c>
      <c r="B1212" t="s">
        <v>25</v>
      </c>
      <c r="C1212" t="s">
        <v>14</v>
      </c>
      <c r="D1212" t="s">
        <v>15</v>
      </c>
      <c r="E1212" s="5">
        <v>113066</v>
      </c>
      <c r="F1212" t="s">
        <v>2506</v>
      </c>
      <c r="G1212" t="s">
        <v>1580</v>
      </c>
      <c r="H1212" t="s">
        <v>16</v>
      </c>
    </row>
    <row r="1213" spans="1:8" x14ac:dyDescent="0.3">
      <c r="A1213" t="s">
        <v>49</v>
      </c>
      <c r="B1213" t="s">
        <v>135</v>
      </c>
      <c r="C1213" t="s">
        <v>22</v>
      </c>
      <c r="D1213" t="s">
        <v>51</v>
      </c>
      <c r="E1213" s="5">
        <v>120583.5</v>
      </c>
      <c r="F1213" t="s">
        <v>825</v>
      </c>
      <c r="G1213" t="s">
        <v>826</v>
      </c>
      <c r="H1213" t="s">
        <v>69</v>
      </c>
    </row>
    <row r="1214" spans="1:8" x14ac:dyDescent="0.3">
      <c r="A1214" t="s">
        <v>40</v>
      </c>
      <c r="B1214" t="s">
        <v>135</v>
      </c>
      <c r="C1214" t="s">
        <v>22</v>
      </c>
      <c r="D1214" t="s">
        <v>42</v>
      </c>
      <c r="E1214" s="5">
        <v>130630.5</v>
      </c>
      <c r="F1214" t="s">
        <v>4065</v>
      </c>
      <c r="G1214" t="s">
        <v>386</v>
      </c>
      <c r="H1214" t="s">
        <v>69</v>
      </c>
    </row>
    <row r="1215" spans="1:8" x14ac:dyDescent="0.3">
      <c r="A1215" t="s">
        <v>40</v>
      </c>
      <c r="B1215" t="s">
        <v>35</v>
      </c>
      <c r="C1215" t="s">
        <v>14</v>
      </c>
      <c r="D1215" t="s">
        <v>37</v>
      </c>
      <c r="E1215" s="5">
        <v>125687</v>
      </c>
      <c r="F1215" t="s">
        <v>2917</v>
      </c>
      <c r="G1215" t="s">
        <v>128</v>
      </c>
      <c r="H1215" t="s">
        <v>16</v>
      </c>
    </row>
    <row r="1216" spans="1:8" x14ac:dyDescent="0.3">
      <c r="A1216" t="s">
        <v>45</v>
      </c>
      <c r="B1216" t="s">
        <v>35</v>
      </c>
      <c r="C1216" t="s">
        <v>22</v>
      </c>
      <c r="D1216" t="s">
        <v>51</v>
      </c>
      <c r="E1216" s="5">
        <v>129759.5</v>
      </c>
      <c r="F1216" t="s">
        <v>2184</v>
      </c>
      <c r="G1216" t="s">
        <v>497</v>
      </c>
      <c r="H1216" t="s">
        <v>69</v>
      </c>
    </row>
    <row r="1217" spans="1:8" x14ac:dyDescent="0.3">
      <c r="A1217" t="s">
        <v>45</v>
      </c>
      <c r="B1217" t="s">
        <v>25</v>
      </c>
      <c r="C1217" t="s">
        <v>22</v>
      </c>
      <c r="D1217" t="s">
        <v>15</v>
      </c>
      <c r="E1217" s="5">
        <v>74424.5</v>
      </c>
      <c r="F1217" t="s">
        <v>1307</v>
      </c>
      <c r="G1217" t="s">
        <v>70</v>
      </c>
      <c r="H1217" t="s">
        <v>69</v>
      </c>
    </row>
    <row r="1218" spans="1:8" x14ac:dyDescent="0.3">
      <c r="A1218" t="s">
        <v>19</v>
      </c>
      <c r="B1218" t="s">
        <v>25</v>
      </c>
      <c r="C1218" t="s">
        <v>14</v>
      </c>
      <c r="D1218" t="s">
        <v>15</v>
      </c>
      <c r="E1218" s="5">
        <v>53651</v>
      </c>
      <c r="F1218" t="s">
        <v>3809</v>
      </c>
      <c r="G1218" t="s">
        <v>3810</v>
      </c>
      <c r="H1218" t="s">
        <v>69</v>
      </c>
    </row>
    <row r="1219" spans="1:8" x14ac:dyDescent="0.3">
      <c r="A1219" t="s">
        <v>11</v>
      </c>
      <c r="B1219" t="s">
        <v>35</v>
      </c>
      <c r="C1219" t="s">
        <v>14</v>
      </c>
      <c r="D1219" t="s">
        <v>42</v>
      </c>
      <c r="E1219" s="5">
        <v>91011</v>
      </c>
      <c r="F1219" t="s">
        <v>828</v>
      </c>
      <c r="G1219" t="s">
        <v>59</v>
      </c>
      <c r="H1219" t="s">
        <v>14</v>
      </c>
    </row>
    <row r="1220" spans="1:8" x14ac:dyDescent="0.3">
      <c r="A1220" t="s">
        <v>19</v>
      </c>
      <c r="B1220" t="s">
        <v>54</v>
      </c>
      <c r="C1220" t="s">
        <v>22</v>
      </c>
      <c r="D1220" t="s">
        <v>15</v>
      </c>
      <c r="E1220" s="5">
        <v>187345.5</v>
      </c>
      <c r="F1220" t="s">
        <v>839</v>
      </c>
      <c r="G1220" t="s">
        <v>90</v>
      </c>
      <c r="H1220" t="s">
        <v>16</v>
      </c>
    </row>
    <row r="1221" spans="1:8" x14ac:dyDescent="0.3">
      <c r="A1221" t="s">
        <v>40</v>
      </c>
      <c r="B1221" t="s">
        <v>67</v>
      </c>
      <c r="C1221" t="s">
        <v>14</v>
      </c>
      <c r="D1221" t="s">
        <v>51</v>
      </c>
      <c r="E1221" s="5">
        <v>59075</v>
      </c>
      <c r="F1221" t="s">
        <v>244</v>
      </c>
      <c r="G1221" t="s">
        <v>245</v>
      </c>
      <c r="H1221" t="s">
        <v>69</v>
      </c>
    </row>
    <row r="1222" spans="1:8" x14ac:dyDescent="0.3">
      <c r="A1222" t="s">
        <v>49</v>
      </c>
      <c r="B1222" t="s">
        <v>30</v>
      </c>
      <c r="C1222" t="s">
        <v>14</v>
      </c>
      <c r="D1222" t="s">
        <v>15</v>
      </c>
      <c r="E1222" s="5">
        <v>145588</v>
      </c>
      <c r="F1222" t="s">
        <v>1753</v>
      </c>
      <c r="G1222" t="s">
        <v>157</v>
      </c>
      <c r="H1222" t="s">
        <v>69</v>
      </c>
    </row>
    <row r="1223" spans="1:8" x14ac:dyDescent="0.3">
      <c r="A1223" t="s">
        <v>19</v>
      </c>
      <c r="B1223" t="s">
        <v>67</v>
      </c>
      <c r="C1223" t="s">
        <v>14</v>
      </c>
      <c r="D1223" t="s">
        <v>51</v>
      </c>
      <c r="E1223" s="5">
        <v>98561</v>
      </c>
      <c r="F1223" t="s">
        <v>3129</v>
      </c>
      <c r="G1223" t="s">
        <v>2300</v>
      </c>
      <c r="H1223" t="s">
        <v>69</v>
      </c>
    </row>
    <row r="1224" spans="1:8" x14ac:dyDescent="0.3">
      <c r="A1224" t="s">
        <v>72</v>
      </c>
      <c r="B1224" t="s">
        <v>35</v>
      </c>
      <c r="C1224" t="s">
        <v>22</v>
      </c>
      <c r="D1224" t="s">
        <v>51</v>
      </c>
      <c r="E1224" s="5">
        <v>117722</v>
      </c>
      <c r="F1224" t="s">
        <v>661</v>
      </c>
      <c r="G1224" t="s">
        <v>90</v>
      </c>
      <c r="H1224" t="s">
        <v>69</v>
      </c>
    </row>
    <row r="1225" spans="1:8" x14ac:dyDescent="0.3">
      <c r="A1225" t="s">
        <v>45</v>
      </c>
      <c r="B1225" t="s">
        <v>135</v>
      </c>
      <c r="C1225" t="s">
        <v>14</v>
      </c>
      <c r="D1225" t="s">
        <v>42</v>
      </c>
      <c r="E1225" s="5">
        <v>100565.5</v>
      </c>
      <c r="F1225" t="s">
        <v>2001</v>
      </c>
      <c r="G1225" t="s">
        <v>128</v>
      </c>
      <c r="H1225" t="s">
        <v>16</v>
      </c>
    </row>
    <row r="1226" spans="1:8" x14ac:dyDescent="0.3">
      <c r="A1226" t="s">
        <v>34</v>
      </c>
      <c r="B1226" t="s">
        <v>54</v>
      </c>
      <c r="C1226" t="s">
        <v>27</v>
      </c>
      <c r="D1226" t="s">
        <v>15</v>
      </c>
      <c r="E1226" s="5">
        <v>157521.5</v>
      </c>
      <c r="F1226" t="s">
        <v>1381</v>
      </c>
      <c r="G1226" t="s">
        <v>268</v>
      </c>
      <c r="H1226" t="s">
        <v>16</v>
      </c>
    </row>
    <row r="1227" spans="1:8" x14ac:dyDescent="0.3">
      <c r="A1227" t="s">
        <v>11</v>
      </c>
      <c r="B1227" t="s">
        <v>135</v>
      </c>
      <c r="C1227" t="s">
        <v>22</v>
      </c>
      <c r="D1227" t="s">
        <v>51</v>
      </c>
      <c r="E1227" s="5">
        <v>140169</v>
      </c>
      <c r="F1227" t="s">
        <v>2869</v>
      </c>
      <c r="G1227" t="s">
        <v>338</v>
      </c>
      <c r="H1227" t="s">
        <v>69</v>
      </c>
    </row>
    <row r="1228" spans="1:8" x14ac:dyDescent="0.3">
      <c r="A1228" t="s">
        <v>45</v>
      </c>
      <c r="B1228" t="s">
        <v>20</v>
      </c>
      <c r="C1228" t="s">
        <v>14</v>
      </c>
      <c r="D1228" t="s">
        <v>51</v>
      </c>
      <c r="E1228" s="5">
        <v>89002.5</v>
      </c>
      <c r="F1228" t="s">
        <v>1093</v>
      </c>
      <c r="G1228" t="s">
        <v>77</v>
      </c>
      <c r="H1228" t="s">
        <v>16</v>
      </c>
    </row>
    <row r="1229" spans="1:8" x14ac:dyDescent="0.3">
      <c r="A1229" t="s">
        <v>34</v>
      </c>
      <c r="B1229" t="s">
        <v>25</v>
      </c>
      <c r="C1229" t="s">
        <v>22</v>
      </c>
      <c r="D1229" t="s">
        <v>15</v>
      </c>
      <c r="E1229" s="5">
        <v>98668</v>
      </c>
      <c r="F1229" t="s">
        <v>1498</v>
      </c>
      <c r="G1229" t="s">
        <v>530</v>
      </c>
      <c r="H1229" t="s">
        <v>69</v>
      </c>
    </row>
    <row r="1230" spans="1:8" x14ac:dyDescent="0.3">
      <c r="A1230" t="s">
        <v>34</v>
      </c>
      <c r="B1230" t="s">
        <v>25</v>
      </c>
      <c r="C1230" t="s">
        <v>22</v>
      </c>
      <c r="D1230" t="s">
        <v>42</v>
      </c>
      <c r="E1230" s="5">
        <v>82491.5</v>
      </c>
      <c r="F1230" t="s">
        <v>633</v>
      </c>
      <c r="G1230" t="s">
        <v>47</v>
      </c>
      <c r="H1230" t="s">
        <v>16</v>
      </c>
    </row>
    <row r="1231" spans="1:8" x14ac:dyDescent="0.3">
      <c r="A1231" t="s">
        <v>45</v>
      </c>
      <c r="B1231" t="s">
        <v>30</v>
      </c>
      <c r="C1231" t="s">
        <v>14</v>
      </c>
      <c r="D1231" t="s">
        <v>51</v>
      </c>
      <c r="E1231" s="5">
        <v>138534.5</v>
      </c>
      <c r="F1231" t="s">
        <v>1001</v>
      </c>
      <c r="G1231" t="s">
        <v>52</v>
      </c>
      <c r="H1231" t="s">
        <v>69</v>
      </c>
    </row>
    <row r="1232" spans="1:8" x14ac:dyDescent="0.3">
      <c r="A1232" t="s">
        <v>40</v>
      </c>
      <c r="B1232" t="s">
        <v>54</v>
      </c>
      <c r="C1232" t="s">
        <v>27</v>
      </c>
      <c r="D1232" t="s">
        <v>37</v>
      </c>
      <c r="E1232" s="5">
        <v>154210.5</v>
      </c>
      <c r="F1232" t="s">
        <v>1923</v>
      </c>
      <c r="G1232" t="s">
        <v>70</v>
      </c>
      <c r="H1232" t="s">
        <v>14</v>
      </c>
    </row>
    <row r="1233" spans="1:8" x14ac:dyDescent="0.3">
      <c r="A1233" t="s">
        <v>49</v>
      </c>
      <c r="B1233" t="s">
        <v>12</v>
      </c>
      <c r="C1233" t="s">
        <v>27</v>
      </c>
      <c r="D1233" t="s">
        <v>15</v>
      </c>
      <c r="E1233" s="5">
        <v>60658.5</v>
      </c>
      <c r="F1233" t="s">
        <v>3303</v>
      </c>
      <c r="G1233" t="s">
        <v>101</v>
      </c>
      <c r="H1233" t="s">
        <v>14</v>
      </c>
    </row>
    <row r="1234" spans="1:8" x14ac:dyDescent="0.3">
      <c r="A1234" t="s">
        <v>11</v>
      </c>
      <c r="B1234" t="s">
        <v>54</v>
      </c>
      <c r="C1234" t="s">
        <v>27</v>
      </c>
      <c r="D1234" t="s">
        <v>51</v>
      </c>
      <c r="E1234" s="5">
        <v>161371.5</v>
      </c>
      <c r="F1234" t="s">
        <v>55</v>
      </c>
      <c r="G1234" t="s">
        <v>56</v>
      </c>
      <c r="H1234" t="s">
        <v>16</v>
      </c>
    </row>
    <row r="1235" spans="1:8" x14ac:dyDescent="0.3">
      <c r="A1235" t="s">
        <v>40</v>
      </c>
      <c r="B1235" t="s">
        <v>54</v>
      </c>
      <c r="C1235" t="s">
        <v>22</v>
      </c>
      <c r="D1235" t="s">
        <v>51</v>
      </c>
      <c r="E1235" s="5">
        <v>149377.5</v>
      </c>
      <c r="F1235" t="s">
        <v>1302</v>
      </c>
      <c r="G1235" t="s">
        <v>1303</v>
      </c>
      <c r="H1235" t="s">
        <v>69</v>
      </c>
    </row>
    <row r="1236" spans="1:8" x14ac:dyDescent="0.3">
      <c r="A1236" t="s">
        <v>40</v>
      </c>
      <c r="B1236" t="s">
        <v>35</v>
      </c>
      <c r="C1236" t="s">
        <v>22</v>
      </c>
      <c r="D1236" t="s">
        <v>15</v>
      </c>
      <c r="E1236" s="5">
        <v>181922</v>
      </c>
      <c r="F1236" t="s">
        <v>590</v>
      </c>
      <c r="G1236" t="s">
        <v>591</v>
      </c>
      <c r="H1236" t="s">
        <v>16</v>
      </c>
    </row>
    <row r="1237" spans="1:8" x14ac:dyDescent="0.3">
      <c r="A1237" t="s">
        <v>40</v>
      </c>
      <c r="B1237" t="s">
        <v>67</v>
      </c>
      <c r="C1237" t="s">
        <v>14</v>
      </c>
      <c r="D1237" t="s">
        <v>51</v>
      </c>
      <c r="E1237" s="5">
        <v>157099</v>
      </c>
      <c r="F1237" t="s">
        <v>3215</v>
      </c>
      <c r="G1237" t="s">
        <v>270</v>
      </c>
      <c r="H1237" t="s">
        <v>69</v>
      </c>
    </row>
    <row r="1238" spans="1:8" x14ac:dyDescent="0.3">
      <c r="A1238" t="s">
        <v>11</v>
      </c>
      <c r="B1238" t="s">
        <v>54</v>
      </c>
      <c r="C1238" t="s">
        <v>27</v>
      </c>
      <c r="D1238" t="s">
        <v>37</v>
      </c>
      <c r="E1238" s="5">
        <v>92458.5</v>
      </c>
      <c r="F1238" t="s">
        <v>303</v>
      </c>
      <c r="G1238" t="s">
        <v>80</v>
      </c>
      <c r="H1238" t="s">
        <v>69</v>
      </c>
    </row>
    <row r="1239" spans="1:8" x14ac:dyDescent="0.3">
      <c r="A1239" t="s">
        <v>40</v>
      </c>
      <c r="B1239" t="s">
        <v>135</v>
      </c>
      <c r="C1239" t="s">
        <v>22</v>
      </c>
      <c r="D1239" t="s">
        <v>15</v>
      </c>
      <c r="E1239" s="5">
        <v>140329.5</v>
      </c>
      <c r="F1239" t="s">
        <v>3232</v>
      </c>
      <c r="G1239" t="s">
        <v>77</v>
      </c>
      <c r="H1239" t="s">
        <v>14</v>
      </c>
    </row>
    <row r="1240" spans="1:8" x14ac:dyDescent="0.3">
      <c r="A1240" t="s">
        <v>49</v>
      </c>
      <c r="B1240" t="s">
        <v>25</v>
      </c>
      <c r="C1240" t="s">
        <v>22</v>
      </c>
      <c r="D1240" t="s">
        <v>51</v>
      </c>
      <c r="E1240" s="5">
        <v>102683.5</v>
      </c>
      <c r="F1240" t="s">
        <v>3182</v>
      </c>
      <c r="G1240" t="s">
        <v>1131</v>
      </c>
      <c r="H1240" t="s">
        <v>69</v>
      </c>
    </row>
    <row r="1241" spans="1:8" x14ac:dyDescent="0.3">
      <c r="A1241" t="s">
        <v>34</v>
      </c>
      <c r="B1241" t="s">
        <v>20</v>
      </c>
      <c r="C1241" t="s">
        <v>14</v>
      </c>
      <c r="D1241" t="s">
        <v>42</v>
      </c>
      <c r="E1241" s="5">
        <v>98020</v>
      </c>
      <c r="F1241" t="s">
        <v>1416</v>
      </c>
      <c r="G1241" t="s">
        <v>702</v>
      </c>
      <c r="H1241" t="s">
        <v>69</v>
      </c>
    </row>
    <row r="1242" spans="1:8" x14ac:dyDescent="0.3">
      <c r="A1242" t="s">
        <v>72</v>
      </c>
      <c r="B1242" t="s">
        <v>30</v>
      </c>
      <c r="C1242" t="s">
        <v>14</v>
      </c>
      <c r="D1242" t="s">
        <v>51</v>
      </c>
      <c r="E1242" s="5">
        <v>84088.5</v>
      </c>
      <c r="F1242" t="s">
        <v>1888</v>
      </c>
      <c r="G1242" t="s">
        <v>80</v>
      </c>
      <c r="H1242" t="s">
        <v>14</v>
      </c>
    </row>
    <row r="1243" spans="1:8" x14ac:dyDescent="0.3">
      <c r="A1243" t="s">
        <v>34</v>
      </c>
      <c r="B1243" t="s">
        <v>30</v>
      </c>
      <c r="C1243" t="s">
        <v>27</v>
      </c>
      <c r="D1243" t="s">
        <v>51</v>
      </c>
      <c r="E1243" s="5">
        <v>61675</v>
      </c>
      <c r="F1243" t="s">
        <v>1560</v>
      </c>
      <c r="G1243" t="s">
        <v>206</v>
      </c>
      <c r="H1243" t="s">
        <v>16</v>
      </c>
    </row>
    <row r="1244" spans="1:8" x14ac:dyDescent="0.3">
      <c r="A1244" t="s">
        <v>49</v>
      </c>
      <c r="B1244" t="s">
        <v>35</v>
      </c>
      <c r="C1244" t="s">
        <v>22</v>
      </c>
      <c r="D1244" t="s">
        <v>51</v>
      </c>
      <c r="E1244" s="5">
        <v>128120</v>
      </c>
      <c r="F1244" t="s">
        <v>2621</v>
      </c>
      <c r="G1244" t="s">
        <v>2049</v>
      </c>
      <c r="H1244" t="s">
        <v>14</v>
      </c>
    </row>
    <row r="1245" spans="1:8" x14ac:dyDescent="0.3">
      <c r="A1245" t="s">
        <v>11</v>
      </c>
      <c r="B1245" t="s">
        <v>12</v>
      </c>
      <c r="C1245" t="s">
        <v>22</v>
      </c>
      <c r="D1245" t="s">
        <v>51</v>
      </c>
      <c r="E1245" s="5">
        <v>137313.5</v>
      </c>
      <c r="F1245" t="s">
        <v>3745</v>
      </c>
      <c r="G1245" t="s">
        <v>410</v>
      </c>
      <c r="H1245" t="s">
        <v>69</v>
      </c>
    </row>
    <row r="1246" spans="1:8" x14ac:dyDescent="0.3">
      <c r="A1246" t="s">
        <v>11</v>
      </c>
      <c r="B1246" t="s">
        <v>12</v>
      </c>
      <c r="C1246" t="s">
        <v>22</v>
      </c>
      <c r="D1246" t="s">
        <v>42</v>
      </c>
      <c r="E1246" s="5">
        <v>159548.5</v>
      </c>
      <c r="F1246" t="s">
        <v>3757</v>
      </c>
      <c r="G1246" t="s">
        <v>17</v>
      </c>
      <c r="H1246" t="s">
        <v>69</v>
      </c>
    </row>
    <row r="1247" spans="1:8" x14ac:dyDescent="0.3">
      <c r="A1247" t="s">
        <v>72</v>
      </c>
      <c r="B1247" t="s">
        <v>30</v>
      </c>
      <c r="C1247" t="s">
        <v>27</v>
      </c>
      <c r="D1247" t="s">
        <v>51</v>
      </c>
      <c r="E1247" s="5">
        <v>158674</v>
      </c>
      <c r="F1247" t="s">
        <v>3927</v>
      </c>
      <c r="G1247" t="s">
        <v>260</v>
      </c>
      <c r="H1247" t="s">
        <v>69</v>
      </c>
    </row>
    <row r="1248" spans="1:8" x14ac:dyDescent="0.3">
      <c r="A1248" t="s">
        <v>11</v>
      </c>
      <c r="B1248" t="s">
        <v>67</v>
      </c>
      <c r="C1248" t="s">
        <v>22</v>
      </c>
      <c r="D1248" t="s">
        <v>15</v>
      </c>
      <c r="E1248" s="5">
        <v>166738</v>
      </c>
      <c r="F1248" t="s">
        <v>3266</v>
      </c>
      <c r="G1248" t="s">
        <v>1503</v>
      </c>
      <c r="H1248" t="s">
        <v>16</v>
      </c>
    </row>
    <row r="1249" spans="1:8" x14ac:dyDescent="0.3">
      <c r="A1249" t="s">
        <v>34</v>
      </c>
      <c r="B1249" t="s">
        <v>30</v>
      </c>
      <c r="C1249" t="s">
        <v>22</v>
      </c>
      <c r="D1249" t="s">
        <v>51</v>
      </c>
      <c r="E1249" s="5">
        <v>143568</v>
      </c>
      <c r="F1249" t="s">
        <v>4018</v>
      </c>
      <c r="G1249" t="s">
        <v>928</v>
      </c>
      <c r="H1249" t="s">
        <v>69</v>
      </c>
    </row>
    <row r="1250" spans="1:8" x14ac:dyDescent="0.3">
      <c r="A1250" t="s">
        <v>49</v>
      </c>
      <c r="B1250" t="s">
        <v>12</v>
      </c>
      <c r="C1250" t="s">
        <v>22</v>
      </c>
      <c r="D1250" t="s">
        <v>15</v>
      </c>
      <c r="E1250" s="5">
        <v>65167</v>
      </c>
      <c r="F1250" t="s">
        <v>2288</v>
      </c>
      <c r="G1250" t="s">
        <v>77</v>
      </c>
      <c r="H1250" t="s">
        <v>69</v>
      </c>
    </row>
    <row r="1251" spans="1:8" x14ac:dyDescent="0.3">
      <c r="A1251" t="s">
        <v>19</v>
      </c>
      <c r="B1251" t="s">
        <v>12</v>
      </c>
      <c r="C1251" t="s">
        <v>14</v>
      </c>
      <c r="D1251" t="s">
        <v>37</v>
      </c>
      <c r="E1251" s="5">
        <v>90825.5</v>
      </c>
      <c r="F1251" t="s">
        <v>4225</v>
      </c>
      <c r="G1251" t="s">
        <v>4226</v>
      </c>
      <c r="H1251" t="s">
        <v>69</v>
      </c>
    </row>
    <row r="1252" spans="1:8" x14ac:dyDescent="0.3">
      <c r="A1252" t="s">
        <v>11</v>
      </c>
      <c r="B1252" t="s">
        <v>135</v>
      </c>
      <c r="C1252" t="s">
        <v>14</v>
      </c>
      <c r="D1252" t="s">
        <v>37</v>
      </c>
      <c r="E1252" s="5">
        <v>126804</v>
      </c>
      <c r="F1252" t="s">
        <v>3022</v>
      </c>
      <c r="G1252" t="s">
        <v>2082</v>
      </c>
      <c r="H1252" t="s">
        <v>16</v>
      </c>
    </row>
    <row r="1253" spans="1:8" x14ac:dyDescent="0.3">
      <c r="A1253" t="s">
        <v>49</v>
      </c>
      <c r="B1253" t="s">
        <v>12</v>
      </c>
      <c r="C1253" t="s">
        <v>22</v>
      </c>
      <c r="D1253" t="s">
        <v>15</v>
      </c>
      <c r="E1253" s="5">
        <v>95606.5</v>
      </c>
      <c r="F1253" t="s">
        <v>1386</v>
      </c>
      <c r="G1253" t="s">
        <v>70</v>
      </c>
      <c r="H1253" t="s">
        <v>16</v>
      </c>
    </row>
    <row r="1254" spans="1:8" x14ac:dyDescent="0.3">
      <c r="A1254" t="s">
        <v>40</v>
      </c>
      <c r="B1254" t="s">
        <v>12</v>
      </c>
      <c r="C1254" t="s">
        <v>14</v>
      </c>
      <c r="D1254" t="s">
        <v>51</v>
      </c>
      <c r="E1254" s="5">
        <v>151403.5</v>
      </c>
      <c r="F1254" t="s">
        <v>3776</v>
      </c>
      <c r="G1254" t="s">
        <v>1010</v>
      </c>
      <c r="H1254" t="s">
        <v>69</v>
      </c>
    </row>
    <row r="1255" spans="1:8" x14ac:dyDescent="0.3">
      <c r="A1255" t="s">
        <v>49</v>
      </c>
      <c r="B1255" t="s">
        <v>135</v>
      </c>
      <c r="C1255" t="s">
        <v>22</v>
      </c>
      <c r="D1255" t="s">
        <v>15</v>
      </c>
      <c r="E1255" s="5">
        <v>158743</v>
      </c>
      <c r="F1255" t="s">
        <v>292</v>
      </c>
      <c r="G1255" t="s">
        <v>293</v>
      </c>
      <c r="H1255" t="s">
        <v>69</v>
      </c>
    </row>
    <row r="1256" spans="1:8" x14ac:dyDescent="0.3">
      <c r="A1256" t="s">
        <v>34</v>
      </c>
      <c r="B1256" t="s">
        <v>54</v>
      </c>
      <c r="C1256" t="s">
        <v>14</v>
      </c>
      <c r="D1256" t="s">
        <v>15</v>
      </c>
      <c r="E1256" s="5">
        <v>107741</v>
      </c>
      <c r="F1256" t="s">
        <v>1448</v>
      </c>
      <c r="G1256" t="s">
        <v>938</v>
      </c>
      <c r="H1256" t="s">
        <v>14</v>
      </c>
    </row>
    <row r="1257" spans="1:8" x14ac:dyDescent="0.3">
      <c r="A1257" t="s">
        <v>11</v>
      </c>
      <c r="B1257" t="s">
        <v>25</v>
      </c>
      <c r="C1257" t="s">
        <v>14</v>
      </c>
      <c r="D1257" t="s">
        <v>51</v>
      </c>
      <c r="E1257" s="5">
        <v>155547</v>
      </c>
      <c r="F1257" t="s">
        <v>532</v>
      </c>
      <c r="G1257" t="s">
        <v>101</v>
      </c>
      <c r="H1257" t="s">
        <v>14</v>
      </c>
    </row>
    <row r="1258" spans="1:8" x14ac:dyDescent="0.3">
      <c r="A1258" t="s">
        <v>11</v>
      </c>
      <c r="B1258" t="s">
        <v>35</v>
      </c>
      <c r="C1258" t="s">
        <v>22</v>
      </c>
      <c r="D1258" t="s">
        <v>37</v>
      </c>
      <c r="E1258" s="5">
        <v>111299.5</v>
      </c>
      <c r="F1258" t="s">
        <v>2856</v>
      </c>
      <c r="G1258" t="s">
        <v>77</v>
      </c>
      <c r="H1258" t="s">
        <v>69</v>
      </c>
    </row>
    <row r="1259" spans="1:8" x14ac:dyDescent="0.3">
      <c r="A1259" t="s">
        <v>45</v>
      </c>
      <c r="B1259" t="s">
        <v>12</v>
      </c>
      <c r="C1259" t="s">
        <v>27</v>
      </c>
      <c r="D1259" t="s">
        <v>51</v>
      </c>
      <c r="E1259" s="5">
        <v>168636.5</v>
      </c>
      <c r="F1259" t="s">
        <v>4105</v>
      </c>
      <c r="G1259" t="s">
        <v>591</v>
      </c>
      <c r="H1259" t="s">
        <v>16</v>
      </c>
    </row>
    <row r="1260" spans="1:8" x14ac:dyDescent="0.3">
      <c r="A1260" t="s">
        <v>40</v>
      </c>
      <c r="B1260" t="s">
        <v>30</v>
      </c>
      <c r="C1260" t="s">
        <v>14</v>
      </c>
      <c r="D1260" t="s">
        <v>37</v>
      </c>
      <c r="E1260" s="5">
        <v>180039</v>
      </c>
      <c r="F1260" t="s">
        <v>3326</v>
      </c>
      <c r="G1260" t="s">
        <v>1010</v>
      </c>
      <c r="H1260" t="s">
        <v>14</v>
      </c>
    </row>
    <row r="1261" spans="1:8" x14ac:dyDescent="0.3">
      <c r="A1261" t="s">
        <v>40</v>
      </c>
      <c r="B1261" t="s">
        <v>30</v>
      </c>
      <c r="C1261" t="s">
        <v>27</v>
      </c>
      <c r="D1261" t="s">
        <v>51</v>
      </c>
      <c r="E1261" s="5">
        <v>81577.5</v>
      </c>
      <c r="F1261" t="s">
        <v>3458</v>
      </c>
      <c r="G1261" t="s">
        <v>101</v>
      </c>
      <c r="H1261" t="s">
        <v>14</v>
      </c>
    </row>
    <row r="1262" spans="1:8" x14ac:dyDescent="0.3">
      <c r="A1262" t="s">
        <v>11</v>
      </c>
      <c r="B1262" t="s">
        <v>20</v>
      </c>
      <c r="C1262" t="s">
        <v>27</v>
      </c>
      <c r="D1262" t="s">
        <v>42</v>
      </c>
      <c r="E1262" s="5">
        <v>123220</v>
      </c>
      <c r="F1262" t="s">
        <v>791</v>
      </c>
      <c r="G1262" t="s">
        <v>260</v>
      </c>
      <c r="H1262" t="s">
        <v>69</v>
      </c>
    </row>
    <row r="1263" spans="1:8" x14ac:dyDescent="0.3">
      <c r="A1263" t="s">
        <v>45</v>
      </c>
      <c r="B1263" t="s">
        <v>67</v>
      </c>
      <c r="C1263" t="s">
        <v>22</v>
      </c>
      <c r="D1263" t="s">
        <v>15</v>
      </c>
      <c r="E1263" s="5">
        <v>181105.5</v>
      </c>
      <c r="F1263" t="s">
        <v>2594</v>
      </c>
      <c r="G1263" t="s">
        <v>77</v>
      </c>
      <c r="H1263" t="s">
        <v>69</v>
      </c>
    </row>
    <row r="1264" spans="1:8" x14ac:dyDescent="0.3">
      <c r="A1264" t="s">
        <v>45</v>
      </c>
      <c r="B1264" t="s">
        <v>35</v>
      </c>
      <c r="C1264" t="s">
        <v>22</v>
      </c>
      <c r="D1264" t="s">
        <v>15</v>
      </c>
      <c r="E1264" s="5">
        <v>181452</v>
      </c>
      <c r="F1264" t="s">
        <v>2389</v>
      </c>
      <c r="G1264" t="s">
        <v>1756</v>
      </c>
      <c r="H1264" t="s">
        <v>69</v>
      </c>
    </row>
    <row r="1265" spans="1:8" x14ac:dyDescent="0.3">
      <c r="A1265" t="s">
        <v>45</v>
      </c>
      <c r="B1265" t="s">
        <v>30</v>
      </c>
      <c r="C1265" t="s">
        <v>22</v>
      </c>
      <c r="D1265" t="s">
        <v>51</v>
      </c>
      <c r="E1265" s="5">
        <v>103970</v>
      </c>
      <c r="F1265" t="s">
        <v>2557</v>
      </c>
      <c r="G1265" t="s">
        <v>1509</v>
      </c>
      <c r="H1265" t="s">
        <v>14</v>
      </c>
    </row>
    <row r="1266" spans="1:8" x14ac:dyDescent="0.3">
      <c r="A1266" t="s">
        <v>45</v>
      </c>
      <c r="B1266" t="s">
        <v>12</v>
      </c>
      <c r="C1266" t="s">
        <v>22</v>
      </c>
      <c r="D1266" t="s">
        <v>42</v>
      </c>
      <c r="E1266" s="5">
        <v>149303</v>
      </c>
      <c r="F1266" t="s">
        <v>4053</v>
      </c>
      <c r="G1266" t="s">
        <v>3394</v>
      </c>
      <c r="H1266" t="s">
        <v>16</v>
      </c>
    </row>
    <row r="1267" spans="1:8" x14ac:dyDescent="0.3">
      <c r="A1267" t="s">
        <v>34</v>
      </c>
      <c r="B1267" t="s">
        <v>20</v>
      </c>
      <c r="C1267" t="s">
        <v>14</v>
      </c>
      <c r="D1267" t="s">
        <v>37</v>
      </c>
      <c r="E1267" s="5">
        <v>158420.5</v>
      </c>
      <c r="F1267" t="s">
        <v>3166</v>
      </c>
      <c r="G1267" t="s">
        <v>80</v>
      </c>
      <c r="H1267" t="s">
        <v>69</v>
      </c>
    </row>
    <row r="1268" spans="1:8" x14ac:dyDescent="0.3">
      <c r="A1268" t="s">
        <v>11</v>
      </c>
      <c r="B1268" t="s">
        <v>12</v>
      </c>
      <c r="C1268" t="s">
        <v>14</v>
      </c>
      <c r="D1268" t="s">
        <v>15</v>
      </c>
      <c r="E1268" s="5">
        <v>156624.5</v>
      </c>
      <c r="F1268" t="s">
        <v>1640</v>
      </c>
      <c r="G1268" t="s">
        <v>52</v>
      </c>
      <c r="H1268" t="s">
        <v>14</v>
      </c>
    </row>
    <row r="1269" spans="1:8" x14ac:dyDescent="0.3">
      <c r="A1269" t="s">
        <v>49</v>
      </c>
      <c r="B1269" t="s">
        <v>30</v>
      </c>
      <c r="C1269" t="s">
        <v>27</v>
      </c>
      <c r="D1269" t="s">
        <v>42</v>
      </c>
      <c r="E1269" s="5">
        <v>87973</v>
      </c>
      <c r="F1269" t="s">
        <v>1717</v>
      </c>
      <c r="G1269" t="s">
        <v>1512</v>
      </c>
      <c r="H1269" t="s">
        <v>14</v>
      </c>
    </row>
    <row r="1270" spans="1:8" x14ac:dyDescent="0.3">
      <c r="A1270" t="s">
        <v>11</v>
      </c>
      <c r="B1270" t="s">
        <v>12</v>
      </c>
      <c r="C1270" t="s">
        <v>14</v>
      </c>
      <c r="D1270" t="s">
        <v>15</v>
      </c>
      <c r="E1270" s="5">
        <v>88231</v>
      </c>
      <c r="F1270" t="s">
        <v>772</v>
      </c>
      <c r="G1270" t="s">
        <v>773</v>
      </c>
      <c r="H1270" t="s">
        <v>69</v>
      </c>
    </row>
    <row r="1271" spans="1:8" x14ac:dyDescent="0.3">
      <c r="A1271" t="s">
        <v>11</v>
      </c>
      <c r="B1271" t="s">
        <v>12</v>
      </c>
      <c r="C1271" t="s">
        <v>14</v>
      </c>
      <c r="D1271" t="s">
        <v>15</v>
      </c>
      <c r="E1271" s="5">
        <v>161300</v>
      </c>
      <c r="F1271" t="s">
        <v>220</v>
      </c>
      <c r="G1271" t="s">
        <v>221</v>
      </c>
      <c r="H1271" t="s">
        <v>14</v>
      </c>
    </row>
    <row r="1272" spans="1:8" x14ac:dyDescent="0.3">
      <c r="A1272" t="s">
        <v>11</v>
      </c>
      <c r="B1272" t="s">
        <v>54</v>
      </c>
      <c r="C1272" t="s">
        <v>27</v>
      </c>
      <c r="D1272" t="s">
        <v>15</v>
      </c>
      <c r="E1272" s="5">
        <v>115101.5</v>
      </c>
      <c r="F1272" t="s">
        <v>4121</v>
      </c>
      <c r="G1272" t="s">
        <v>216</v>
      </c>
      <c r="H1272" t="s">
        <v>14</v>
      </c>
    </row>
    <row r="1273" spans="1:8" x14ac:dyDescent="0.3">
      <c r="A1273" t="s">
        <v>40</v>
      </c>
      <c r="B1273" t="s">
        <v>67</v>
      </c>
      <c r="C1273" t="s">
        <v>14</v>
      </c>
      <c r="D1273" t="s">
        <v>51</v>
      </c>
      <c r="E1273" s="5">
        <v>149964.5</v>
      </c>
      <c r="F1273" t="s">
        <v>1377</v>
      </c>
      <c r="G1273" t="s">
        <v>794</v>
      </c>
      <c r="H1273" t="s">
        <v>14</v>
      </c>
    </row>
    <row r="1274" spans="1:8" x14ac:dyDescent="0.3">
      <c r="A1274" t="s">
        <v>45</v>
      </c>
      <c r="B1274" t="s">
        <v>67</v>
      </c>
      <c r="C1274" t="s">
        <v>14</v>
      </c>
      <c r="D1274" t="s">
        <v>37</v>
      </c>
      <c r="E1274" s="5">
        <v>176327.5</v>
      </c>
      <c r="F1274" t="s">
        <v>485</v>
      </c>
      <c r="G1274" t="s">
        <v>450</v>
      </c>
      <c r="H1274" t="s">
        <v>14</v>
      </c>
    </row>
    <row r="1275" spans="1:8" x14ac:dyDescent="0.3">
      <c r="A1275" t="s">
        <v>34</v>
      </c>
      <c r="B1275" t="s">
        <v>54</v>
      </c>
      <c r="C1275" t="s">
        <v>27</v>
      </c>
      <c r="D1275" t="s">
        <v>37</v>
      </c>
      <c r="E1275" s="5">
        <v>63998</v>
      </c>
      <c r="F1275" t="s">
        <v>2664</v>
      </c>
      <c r="G1275" t="s">
        <v>2665</v>
      </c>
      <c r="H1275" t="s">
        <v>16</v>
      </c>
    </row>
    <row r="1276" spans="1:8" x14ac:dyDescent="0.3">
      <c r="A1276" t="s">
        <v>49</v>
      </c>
      <c r="B1276" t="s">
        <v>135</v>
      </c>
      <c r="C1276" t="s">
        <v>14</v>
      </c>
      <c r="D1276" t="s">
        <v>42</v>
      </c>
      <c r="E1276" s="5">
        <v>106855</v>
      </c>
      <c r="F1276" t="s">
        <v>597</v>
      </c>
      <c r="G1276" t="s">
        <v>598</v>
      </c>
      <c r="H1276" t="s">
        <v>14</v>
      </c>
    </row>
    <row r="1277" spans="1:8" x14ac:dyDescent="0.3">
      <c r="A1277" t="s">
        <v>11</v>
      </c>
      <c r="B1277" t="s">
        <v>25</v>
      </c>
      <c r="C1277" t="s">
        <v>22</v>
      </c>
      <c r="D1277" t="s">
        <v>51</v>
      </c>
      <c r="E1277" s="5">
        <v>134476.5</v>
      </c>
      <c r="F1277" t="s">
        <v>2149</v>
      </c>
      <c r="G1277" t="s">
        <v>1074</v>
      </c>
      <c r="H1277" t="s">
        <v>14</v>
      </c>
    </row>
    <row r="1278" spans="1:8" x14ac:dyDescent="0.3">
      <c r="A1278" t="s">
        <v>11</v>
      </c>
      <c r="B1278" t="s">
        <v>35</v>
      </c>
      <c r="C1278" t="s">
        <v>22</v>
      </c>
      <c r="D1278" t="s">
        <v>15</v>
      </c>
      <c r="E1278" s="5">
        <v>134504</v>
      </c>
      <c r="F1278" t="s">
        <v>563</v>
      </c>
      <c r="G1278" t="s">
        <v>564</v>
      </c>
      <c r="H1278" t="s">
        <v>14</v>
      </c>
    </row>
    <row r="1279" spans="1:8" x14ac:dyDescent="0.3">
      <c r="A1279" t="s">
        <v>34</v>
      </c>
      <c r="B1279" t="s">
        <v>12</v>
      </c>
      <c r="C1279" t="s">
        <v>27</v>
      </c>
      <c r="D1279" t="s">
        <v>42</v>
      </c>
      <c r="E1279" s="5">
        <v>156088.5</v>
      </c>
      <c r="F1279" t="s">
        <v>635</v>
      </c>
      <c r="G1279" t="s">
        <v>394</v>
      </c>
      <c r="H1279" t="s">
        <v>16</v>
      </c>
    </row>
    <row r="1280" spans="1:8" x14ac:dyDescent="0.3">
      <c r="A1280" t="s">
        <v>72</v>
      </c>
      <c r="B1280" t="s">
        <v>135</v>
      </c>
      <c r="C1280" t="s">
        <v>14</v>
      </c>
      <c r="D1280" t="s">
        <v>37</v>
      </c>
      <c r="E1280" s="5">
        <v>104345.5</v>
      </c>
      <c r="F1280" t="s">
        <v>1829</v>
      </c>
      <c r="G1280" t="s">
        <v>1830</v>
      </c>
      <c r="H1280" t="s">
        <v>14</v>
      </c>
    </row>
    <row r="1281" spans="1:8" x14ac:dyDescent="0.3">
      <c r="A1281" t="s">
        <v>11</v>
      </c>
      <c r="B1281" t="s">
        <v>135</v>
      </c>
      <c r="C1281" t="s">
        <v>14</v>
      </c>
      <c r="D1281" t="s">
        <v>42</v>
      </c>
      <c r="E1281" s="5">
        <v>115330.5</v>
      </c>
      <c r="F1281" t="s">
        <v>655</v>
      </c>
      <c r="G1281" t="s">
        <v>80</v>
      </c>
      <c r="H1281" t="s">
        <v>16</v>
      </c>
    </row>
    <row r="1282" spans="1:8" x14ac:dyDescent="0.3">
      <c r="A1282" t="s">
        <v>11</v>
      </c>
      <c r="B1282" t="s">
        <v>30</v>
      </c>
      <c r="C1282" t="s">
        <v>22</v>
      </c>
      <c r="D1282" t="s">
        <v>51</v>
      </c>
      <c r="E1282" s="5">
        <v>98814</v>
      </c>
      <c r="F1282" t="s">
        <v>668</v>
      </c>
      <c r="G1282" t="s">
        <v>163</v>
      </c>
      <c r="H1282" t="s">
        <v>16</v>
      </c>
    </row>
    <row r="1283" spans="1:8" x14ac:dyDescent="0.3">
      <c r="A1283" t="s">
        <v>49</v>
      </c>
      <c r="B1283" t="s">
        <v>25</v>
      </c>
      <c r="C1283" t="s">
        <v>22</v>
      </c>
      <c r="D1283" t="s">
        <v>15</v>
      </c>
      <c r="E1283" s="5">
        <v>138395.5</v>
      </c>
      <c r="F1283" t="s">
        <v>668</v>
      </c>
      <c r="G1283" t="s">
        <v>191</v>
      </c>
      <c r="H1283" t="s">
        <v>14</v>
      </c>
    </row>
    <row r="1284" spans="1:8" x14ac:dyDescent="0.3">
      <c r="A1284" t="s">
        <v>19</v>
      </c>
      <c r="B1284" t="s">
        <v>67</v>
      </c>
      <c r="C1284" t="s">
        <v>22</v>
      </c>
      <c r="D1284" t="s">
        <v>37</v>
      </c>
      <c r="E1284" s="5">
        <v>170093.5</v>
      </c>
      <c r="F1284" t="s">
        <v>1319</v>
      </c>
      <c r="G1284" t="s">
        <v>52</v>
      </c>
      <c r="H1284" t="s">
        <v>69</v>
      </c>
    </row>
    <row r="1285" spans="1:8" x14ac:dyDescent="0.3">
      <c r="A1285" t="s">
        <v>49</v>
      </c>
      <c r="B1285" t="s">
        <v>54</v>
      </c>
      <c r="C1285" t="s">
        <v>27</v>
      </c>
      <c r="D1285" t="s">
        <v>42</v>
      </c>
      <c r="E1285" s="5">
        <v>92758</v>
      </c>
      <c r="F1285" t="s">
        <v>3760</v>
      </c>
      <c r="G1285" t="s">
        <v>447</v>
      </c>
      <c r="H1285" t="s">
        <v>14</v>
      </c>
    </row>
    <row r="1286" spans="1:8" x14ac:dyDescent="0.3">
      <c r="A1286" t="s">
        <v>34</v>
      </c>
      <c r="B1286" t="s">
        <v>67</v>
      </c>
      <c r="C1286" t="s">
        <v>14</v>
      </c>
      <c r="D1286" t="s">
        <v>15</v>
      </c>
      <c r="E1286" s="5">
        <v>98026</v>
      </c>
      <c r="F1286" t="s">
        <v>171</v>
      </c>
      <c r="G1286" t="s">
        <v>172</v>
      </c>
      <c r="H1286" t="s">
        <v>16</v>
      </c>
    </row>
    <row r="1287" spans="1:8" x14ac:dyDescent="0.3">
      <c r="A1287" t="s">
        <v>40</v>
      </c>
      <c r="B1287" t="s">
        <v>12</v>
      </c>
      <c r="C1287" t="s">
        <v>22</v>
      </c>
      <c r="D1287" t="s">
        <v>37</v>
      </c>
      <c r="E1287" s="5">
        <v>82880</v>
      </c>
      <c r="F1287" t="s">
        <v>3250</v>
      </c>
      <c r="G1287" t="s">
        <v>789</v>
      </c>
      <c r="H1287" t="s">
        <v>69</v>
      </c>
    </row>
    <row r="1288" spans="1:8" x14ac:dyDescent="0.3">
      <c r="A1288" t="s">
        <v>40</v>
      </c>
      <c r="B1288" t="s">
        <v>12</v>
      </c>
      <c r="C1288" t="s">
        <v>27</v>
      </c>
      <c r="D1288" t="s">
        <v>51</v>
      </c>
      <c r="E1288" s="5">
        <v>71421</v>
      </c>
      <c r="F1288" t="s">
        <v>3915</v>
      </c>
      <c r="G1288" t="s">
        <v>754</v>
      </c>
      <c r="H1288" t="s">
        <v>14</v>
      </c>
    </row>
    <row r="1289" spans="1:8" x14ac:dyDescent="0.3">
      <c r="A1289" t="s">
        <v>49</v>
      </c>
      <c r="B1289" t="s">
        <v>54</v>
      </c>
      <c r="C1289" t="s">
        <v>22</v>
      </c>
      <c r="D1289" t="s">
        <v>51</v>
      </c>
      <c r="E1289" s="5">
        <v>108522.5</v>
      </c>
      <c r="F1289" t="s">
        <v>3881</v>
      </c>
      <c r="G1289" t="s">
        <v>439</v>
      </c>
      <c r="H1289" t="s">
        <v>69</v>
      </c>
    </row>
    <row r="1290" spans="1:8" x14ac:dyDescent="0.3">
      <c r="A1290" t="s">
        <v>45</v>
      </c>
      <c r="B1290" t="s">
        <v>135</v>
      </c>
      <c r="C1290" t="s">
        <v>22</v>
      </c>
      <c r="D1290" t="s">
        <v>37</v>
      </c>
      <c r="E1290" s="5">
        <v>163805.5</v>
      </c>
      <c r="F1290" t="s">
        <v>380</v>
      </c>
      <c r="G1290" t="s">
        <v>381</v>
      </c>
      <c r="H1290" t="s">
        <v>14</v>
      </c>
    </row>
    <row r="1291" spans="1:8" x14ac:dyDescent="0.3">
      <c r="A1291" t="s">
        <v>49</v>
      </c>
      <c r="B1291" t="s">
        <v>30</v>
      </c>
      <c r="C1291" t="s">
        <v>27</v>
      </c>
      <c r="D1291" t="s">
        <v>42</v>
      </c>
      <c r="E1291" s="5">
        <v>111332.5</v>
      </c>
      <c r="F1291" t="s">
        <v>380</v>
      </c>
      <c r="G1291" t="s">
        <v>235</v>
      </c>
      <c r="H1291" t="s">
        <v>69</v>
      </c>
    </row>
    <row r="1292" spans="1:8" x14ac:dyDescent="0.3">
      <c r="A1292" t="s">
        <v>19</v>
      </c>
      <c r="B1292" t="s">
        <v>54</v>
      </c>
      <c r="C1292" t="s">
        <v>27</v>
      </c>
      <c r="D1292" t="s">
        <v>51</v>
      </c>
      <c r="E1292" s="5">
        <v>125098</v>
      </c>
      <c r="F1292" t="s">
        <v>4212</v>
      </c>
      <c r="G1292" t="s">
        <v>77</v>
      </c>
      <c r="H1292" t="s">
        <v>16</v>
      </c>
    </row>
    <row r="1293" spans="1:8" x14ac:dyDescent="0.3">
      <c r="A1293" t="s">
        <v>34</v>
      </c>
      <c r="B1293" t="s">
        <v>135</v>
      </c>
      <c r="C1293" t="s">
        <v>27</v>
      </c>
      <c r="D1293" t="s">
        <v>37</v>
      </c>
      <c r="E1293" s="5">
        <v>149314</v>
      </c>
      <c r="F1293" t="s">
        <v>4004</v>
      </c>
      <c r="G1293" t="s">
        <v>206</v>
      </c>
      <c r="H1293" t="s">
        <v>16</v>
      </c>
    </row>
    <row r="1294" spans="1:8" x14ac:dyDescent="0.3">
      <c r="A1294" t="s">
        <v>34</v>
      </c>
      <c r="B1294" t="s">
        <v>12</v>
      </c>
      <c r="C1294" t="s">
        <v>22</v>
      </c>
      <c r="D1294" t="s">
        <v>42</v>
      </c>
      <c r="E1294" s="5">
        <v>101113.5</v>
      </c>
      <c r="F1294" t="s">
        <v>201</v>
      </c>
      <c r="G1294" t="s">
        <v>90</v>
      </c>
      <c r="H1294" t="s">
        <v>14</v>
      </c>
    </row>
    <row r="1295" spans="1:8" x14ac:dyDescent="0.3">
      <c r="A1295" t="s">
        <v>49</v>
      </c>
      <c r="B1295" t="s">
        <v>67</v>
      </c>
      <c r="C1295" t="s">
        <v>22</v>
      </c>
      <c r="D1295" t="s">
        <v>51</v>
      </c>
      <c r="E1295" s="5">
        <v>155592.5</v>
      </c>
      <c r="F1295" t="s">
        <v>3154</v>
      </c>
      <c r="G1295" t="s">
        <v>70</v>
      </c>
      <c r="H1295" t="s">
        <v>69</v>
      </c>
    </row>
    <row r="1296" spans="1:8" x14ac:dyDescent="0.3">
      <c r="A1296" t="s">
        <v>34</v>
      </c>
      <c r="B1296" t="s">
        <v>12</v>
      </c>
      <c r="C1296" t="s">
        <v>27</v>
      </c>
      <c r="D1296" t="s">
        <v>15</v>
      </c>
      <c r="E1296" s="5">
        <v>128378</v>
      </c>
      <c r="F1296" t="s">
        <v>468</v>
      </c>
      <c r="G1296" t="s">
        <v>469</v>
      </c>
      <c r="H1296" t="s">
        <v>69</v>
      </c>
    </row>
    <row r="1297" spans="1:8" x14ac:dyDescent="0.3">
      <c r="A1297" t="s">
        <v>34</v>
      </c>
      <c r="B1297" t="s">
        <v>25</v>
      </c>
      <c r="C1297" t="s">
        <v>27</v>
      </c>
      <c r="D1297" t="s">
        <v>15</v>
      </c>
      <c r="E1297" s="5">
        <v>104384</v>
      </c>
      <c r="F1297" t="s">
        <v>953</v>
      </c>
      <c r="G1297" t="s">
        <v>954</v>
      </c>
      <c r="H1297" t="s">
        <v>14</v>
      </c>
    </row>
    <row r="1298" spans="1:8" x14ac:dyDescent="0.3">
      <c r="A1298" t="s">
        <v>19</v>
      </c>
      <c r="B1298" t="s">
        <v>30</v>
      </c>
      <c r="C1298" t="s">
        <v>22</v>
      </c>
      <c r="D1298" t="s">
        <v>37</v>
      </c>
      <c r="E1298" s="5">
        <v>144219</v>
      </c>
      <c r="F1298" t="s">
        <v>321</v>
      </c>
      <c r="G1298" t="s">
        <v>322</v>
      </c>
      <c r="H1298" t="s">
        <v>16</v>
      </c>
    </row>
    <row r="1299" spans="1:8" x14ac:dyDescent="0.3">
      <c r="A1299" t="s">
        <v>72</v>
      </c>
      <c r="B1299" t="s">
        <v>67</v>
      </c>
      <c r="C1299" t="s">
        <v>14</v>
      </c>
      <c r="D1299" t="s">
        <v>42</v>
      </c>
      <c r="E1299" s="5">
        <v>80304</v>
      </c>
      <c r="F1299" t="s">
        <v>417</v>
      </c>
      <c r="G1299" t="s">
        <v>77</v>
      </c>
      <c r="H1299" t="s">
        <v>16</v>
      </c>
    </row>
    <row r="1300" spans="1:8" x14ac:dyDescent="0.3">
      <c r="A1300" t="s">
        <v>49</v>
      </c>
      <c r="B1300" t="s">
        <v>12</v>
      </c>
      <c r="C1300" t="s">
        <v>14</v>
      </c>
      <c r="D1300" t="s">
        <v>37</v>
      </c>
      <c r="E1300" s="5">
        <v>111709</v>
      </c>
      <c r="F1300" t="s">
        <v>446</v>
      </c>
      <c r="G1300" t="s">
        <v>447</v>
      </c>
      <c r="H1300" t="s">
        <v>16</v>
      </c>
    </row>
    <row r="1301" spans="1:8" x14ac:dyDescent="0.3">
      <c r="A1301" t="s">
        <v>34</v>
      </c>
      <c r="B1301" t="s">
        <v>67</v>
      </c>
      <c r="C1301" t="s">
        <v>27</v>
      </c>
      <c r="D1301" t="s">
        <v>42</v>
      </c>
      <c r="E1301" s="5">
        <v>109295</v>
      </c>
      <c r="F1301" t="s">
        <v>549</v>
      </c>
      <c r="G1301" t="s">
        <v>177</v>
      </c>
      <c r="H1301" t="s">
        <v>16</v>
      </c>
    </row>
    <row r="1302" spans="1:8" x14ac:dyDescent="0.3">
      <c r="A1302" t="s">
        <v>40</v>
      </c>
      <c r="B1302" t="s">
        <v>12</v>
      </c>
      <c r="C1302" t="s">
        <v>27</v>
      </c>
      <c r="D1302" t="s">
        <v>42</v>
      </c>
      <c r="E1302" s="5">
        <v>152812.5</v>
      </c>
      <c r="F1302" t="s">
        <v>3697</v>
      </c>
      <c r="G1302" t="s">
        <v>507</v>
      </c>
      <c r="H1302" t="s">
        <v>69</v>
      </c>
    </row>
    <row r="1303" spans="1:8" x14ac:dyDescent="0.3">
      <c r="A1303" t="s">
        <v>45</v>
      </c>
      <c r="B1303" t="s">
        <v>135</v>
      </c>
      <c r="C1303" t="s">
        <v>27</v>
      </c>
      <c r="D1303" t="s">
        <v>15</v>
      </c>
      <c r="E1303" s="5">
        <v>149394.5</v>
      </c>
      <c r="F1303" t="s">
        <v>585</v>
      </c>
      <c r="G1303" t="s">
        <v>119</v>
      </c>
      <c r="H1303" t="s">
        <v>69</v>
      </c>
    </row>
    <row r="1304" spans="1:8" x14ac:dyDescent="0.3">
      <c r="A1304" t="s">
        <v>72</v>
      </c>
      <c r="B1304" t="s">
        <v>12</v>
      </c>
      <c r="C1304" t="s">
        <v>22</v>
      </c>
      <c r="D1304" t="s">
        <v>15</v>
      </c>
      <c r="E1304" s="5">
        <v>76397.5</v>
      </c>
      <c r="F1304" t="s">
        <v>3225</v>
      </c>
      <c r="G1304" t="s">
        <v>270</v>
      </c>
      <c r="H1304" t="s">
        <v>14</v>
      </c>
    </row>
    <row r="1305" spans="1:8" x14ac:dyDescent="0.3">
      <c r="A1305" t="s">
        <v>49</v>
      </c>
      <c r="B1305" t="s">
        <v>35</v>
      </c>
      <c r="C1305" t="s">
        <v>27</v>
      </c>
      <c r="D1305" t="s">
        <v>37</v>
      </c>
      <c r="E1305" s="5">
        <v>169421.5</v>
      </c>
      <c r="F1305" t="s">
        <v>2221</v>
      </c>
      <c r="G1305" t="s">
        <v>77</v>
      </c>
      <c r="H1305" t="s">
        <v>16</v>
      </c>
    </row>
    <row r="1306" spans="1:8" x14ac:dyDescent="0.3">
      <c r="A1306" t="s">
        <v>34</v>
      </c>
      <c r="B1306" t="s">
        <v>35</v>
      </c>
      <c r="C1306" t="s">
        <v>22</v>
      </c>
      <c r="D1306" t="s">
        <v>51</v>
      </c>
      <c r="E1306" s="5">
        <v>151408.5</v>
      </c>
      <c r="F1306" t="s">
        <v>310</v>
      </c>
      <c r="G1306" t="s">
        <v>80</v>
      </c>
      <c r="H1306" t="s">
        <v>14</v>
      </c>
    </row>
    <row r="1307" spans="1:8" x14ac:dyDescent="0.3">
      <c r="A1307" t="s">
        <v>19</v>
      </c>
      <c r="B1307" t="s">
        <v>12</v>
      </c>
      <c r="C1307" t="s">
        <v>27</v>
      </c>
      <c r="D1307" t="s">
        <v>51</v>
      </c>
      <c r="E1307" s="5">
        <v>67315.5</v>
      </c>
      <c r="F1307" t="s">
        <v>310</v>
      </c>
      <c r="G1307" t="s">
        <v>17</v>
      </c>
      <c r="H1307" t="s">
        <v>16</v>
      </c>
    </row>
    <row r="1308" spans="1:8" x14ac:dyDescent="0.3">
      <c r="A1308" t="s">
        <v>72</v>
      </c>
      <c r="B1308" t="s">
        <v>67</v>
      </c>
      <c r="C1308" t="s">
        <v>27</v>
      </c>
      <c r="D1308" t="s">
        <v>51</v>
      </c>
      <c r="E1308" s="5">
        <v>159655</v>
      </c>
      <c r="F1308" t="s">
        <v>975</v>
      </c>
      <c r="G1308" t="s">
        <v>976</v>
      </c>
      <c r="H1308" t="s">
        <v>69</v>
      </c>
    </row>
    <row r="1309" spans="1:8" x14ac:dyDescent="0.3">
      <c r="A1309" t="s">
        <v>19</v>
      </c>
      <c r="B1309" t="s">
        <v>20</v>
      </c>
      <c r="C1309" t="s">
        <v>14</v>
      </c>
      <c r="D1309" t="s">
        <v>37</v>
      </c>
      <c r="E1309" s="5">
        <v>127626.5</v>
      </c>
      <c r="F1309" t="s">
        <v>3172</v>
      </c>
      <c r="G1309" t="s">
        <v>546</v>
      </c>
      <c r="H1309" t="s">
        <v>14</v>
      </c>
    </row>
    <row r="1310" spans="1:8" x14ac:dyDescent="0.3">
      <c r="A1310" t="s">
        <v>40</v>
      </c>
      <c r="B1310" t="s">
        <v>25</v>
      </c>
      <c r="C1310" t="s">
        <v>27</v>
      </c>
      <c r="D1310" t="s">
        <v>51</v>
      </c>
      <c r="E1310" s="5">
        <v>107475</v>
      </c>
      <c r="F1310" t="s">
        <v>1935</v>
      </c>
      <c r="G1310" t="s">
        <v>52</v>
      </c>
      <c r="H1310" t="s">
        <v>14</v>
      </c>
    </row>
    <row r="1311" spans="1:8" x14ac:dyDescent="0.3">
      <c r="A1311" t="s">
        <v>49</v>
      </c>
      <c r="B1311" t="s">
        <v>25</v>
      </c>
      <c r="C1311" t="s">
        <v>22</v>
      </c>
      <c r="D1311" t="s">
        <v>37</v>
      </c>
      <c r="E1311" s="5">
        <v>153824</v>
      </c>
      <c r="F1311" t="s">
        <v>1087</v>
      </c>
      <c r="G1311" t="s">
        <v>101</v>
      </c>
      <c r="H1311" t="s">
        <v>16</v>
      </c>
    </row>
    <row r="1312" spans="1:8" x14ac:dyDescent="0.3">
      <c r="A1312" t="s">
        <v>49</v>
      </c>
      <c r="B1312" t="s">
        <v>67</v>
      </c>
      <c r="C1312" t="s">
        <v>14</v>
      </c>
      <c r="D1312" t="s">
        <v>51</v>
      </c>
      <c r="E1312" s="5">
        <v>110280.5</v>
      </c>
      <c r="F1312" t="s">
        <v>3742</v>
      </c>
      <c r="G1312" t="s">
        <v>2665</v>
      </c>
      <c r="H1312" t="s">
        <v>16</v>
      </c>
    </row>
    <row r="1313" spans="1:8" x14ac:dyDescent="0.3">
      <c r="A1313" t="s">
        <v>34</v>
      </c>
      <c r="B1313" t="s">
        <v>135</v>
      </c>
      <c r="C1313" t="s">
        <v>27</v>
      </c>
      <c r="D1313" t="s">
        <v>37</v>
      </c>
      <c r="E1313" s="5">
        <v>165701</v>
      </c>
      <c r="F1313" t="s">
        <v>605</v>
      </c>
      <c r="G1313" t="s">
        <v>70</v>
      </c>
      <c r="H1313" t="s">
        <v>14</v>
      </c>
    </row>
    <row r="1314" spans="1:8" x14ac:dyDescent="0.3">
      <c r="A1314" t="s">
        <v>11</v>
      </c>
      <c r="B1314" t="s">
        <v>25</v>
      </c>
      <c r="C1314" t="s">
        <v>27</v>
      </c>
      <c r="D1314" t="s">
        <v>51</v>
      </c>
      <c r="E1314" s="5">
        <v>109527</v>
      </c>
      <c r="F1314" t="s">
        <v>3740</v>
      </c>
      <c r="G1314" t="s">
        <v>157</v>
      </c>
      <c r="H1314" t="s">
        <v>14</v>
      </c>
    </row>
    <row r="1315" spans="1:8" x14ac:dyDescent="0.3">
      <c r="A1315" t="s">
        <v>34</v>
      </c>
      <c r="B1315" t="s">
        <v>35</v>
      </c>
      <c r="C1315" t="s">
        <v>14</v>
      </c>
      <c r="D1315" t="s">
        <v>15</v>
      </c>
      <c r="E1315" s="5">
        <v>119568</v>
      </c>
      <c r="F1315" t="s">
        <v>1133</v>
      </c>
      <c r="G1315" t="s">
        <v>1029</v>
      </c>
      <c r="H1315" t="s">
        <v>69</v>
      </c>
    </row>
    <row r="1316" spans="1:8" x14ac:dyDescent="0.3">
      <c r="A1316" t="s">
        <v>19</v>
      </c>
      <c r="B1316" t="s">
        <v>135</v>
      </c>
      <c r="C1316" t="s">
        <v>14</v>
      </c>
      <c r="D1316" t="s">
        <v>42</v>
      </c>
      <c r="E1316" s="5">
        <v>125651</v>
      </c>
      <c r="F1316" t="s">
        <v>3312</v>
      </c>
      <c r="G1316" t="s">
        <v>80</v>
      </c>
      <c r="H1316" t="s">
        <v>16</v>
      </c>
    </row>
    <row r="1317" spans="1:8" x14ac:dyDescent="0.3">
      <c r="A1317" t="s">
        <v>49</v>
      </c>
      <c r="B1317" t="s">
        <v>135</v>
      </c>
      <c r="C1317" t="s">
        <v>22</v>
      </c>
      <c r="D1317" t="s">
        <v>37</v>
      </c>
      <c r="E1317" s="5">
        <v>145712</v>
      </c>
      <c r="F1317" t="s">
        <v>3378</v>
      </c>
      <c r="G1317" t="s">
        <v>125</v>
      </c>
      <c r="H1317" t="s">
        <v>16</v>
      </c>
    </row>
    <row r="1318" spans="1:8" x14ac:dyDescent="0.3">
      <c r="A1318" t="s">
        <v>34</v>
      </c>
      <c r="B1318" t="s">
        <v>54</v>
      </c>
      <c r="C1318" t="s">
        <v>22</v>
      </c>
      <c r="D1318" t="s">
        <v>37</v>
      </c>
      <c r="E1318" s="5">
        <v>110756.5</v>
      </c>
      <c r="F1318" t="s">
        <v>2735</v>
      </c>
      <c r="G1318" t="s">
        <v>313</v>
      </c>
      <c r="H1318" t="s">
        <v>14</v>
      </c>
    </row>
    <row r="1319" spans="1:8" x14ac:dyDescent="0.3">
      <c r="A1319" t="s">
        <v>45</v>
      </c>
      <c r="B1319" t="s">
        <v>67</v>
      </c>
      <c r="C1319" t="s">
        <v>27</v>
      </c>
      <c r="D1319" t="s">
        <v>42</v>
      </c>
      <c r="E1319" s="5">
        <v>126876.5</v>
      </c>
      <c r="F1319" t="s">
        <v>908</v>
      </c>
      <c r="G1319" t="s">
        <v>909</v>
      </c>
      <c r="H1319" t="s">
        <v>16</v>
      </c>
    </row>
    <row r="1320" spans="1:8" x14ac:dyDescent="0.3">
      <c r="A1320" t="s">
        <v>19</v>
      </c>
      <c r="B1320" t="s">
        <v>67</v>
      </c>
      <c r="C1320" t="s">
        <v>22</v>
      </c>
      <c r="D1320" t="s">
        <v>15</v>
      </c>
      <c r="E1320" s="5">
        <v>156797</v>
      </c>
      <c r="F1320" t="s">
        <v>3906</v>
      </c>
      <c r="G1320" t="s">
        <v>2612</v>
      </c>
      <c r="H1320" t="s">
        <v>14</v>
      </c>
    </row>
    <row r="1321" spans="1:8" x14ac:dyDescent="0.3">
      <c r="A1321" t="s">
        <v>72</v>
      </c>
      <c r="B1321" t="s">
        <v>25</v>
      </c>
      <c r="C1321" t="s">
        <v>14</v>
      </c>
      <c r="D1321" t="s">
        <v>37</v>
      </c>
      <c r="E1321" s="5">
        <v>150454</v>
      </c>
      <c r="F1321" t="s">
        <v>3554</v>
      </c>
      <c r="G1321" t="s">
        <v>1979</v>
      </c>
      <c r="H1321" t="s">
        <v>69</v>
      </c>
    </row>
    <row r="1322" spans="1:8" x14ac:dyDescent="0.3">
      <c r="A1322" t="s">
        <v>19</v>
      </c>
      <c r="B1322" t="s">
        <v>54</v>
      </c>
      <c r="C1322" t="s">
        <v>22</v>
      </c>
      <c r="D1322" t="s">
        <v>42</v>
      </c>
      <c r="E1322" s="5">
        <v>182426.5</v>
      </c>
      <c r="F1322" t="s">
        <v>187</v>
      </c>
      <c r="G1322" t="s">
        <v>188</v>
      </c>
      <c r="H1322" t="s">
        <v>69</v>
      </c>
    </row>
    <row r="1323" spans="1:8" x14ac:dyDescent="0.3">
      <c r="A1323" t="s">
        <v>49</v>
      </c>
      <c r="B1323" t="s">
        <v>54</v>
      </c>
      <c r="C1323" t="s">
        <v>22</v>
      </c>
      <c r="D1323" t="s">
        <v>51</v>
      </c>
      <c r="E1323" s="5">
        <v>86092</v>
      </c>
      <c r="F1323" t="s">
        <v>3780</v>
      </c>
      <c r="G1323" t="s">
        <v>353</v>
      </c>
      <c r="H1323" t="s">
        <v>16</v>
      </c>
    </row>
    <row r="1324" spans="1:8" x14ac:dyDescent="0.3">
      <c r="A1324" t="s">
        <v>49</v>
      </c>
      <c r="B1324" t="s">
        <v>30</v>
      </c>
      <c r="C1324" t="s">
        <v>14</v>
      </c>
      <c r="D1324" t="s">
        <v>15</v>
      </c>
      <c r="E1324" s="5">
        <v>136295.5</v>
      </c>
      <c r="F1324" t="s">
        <v>1511</v>
      </c>
      <c r="G1324" t="s">
        <v>1512</v>
      </c>
      <c r="H1324" t="s">
        <v>69</v>
      </c>
    </row>
    <row r="1325" spans="1:8" x14ac:dyDescent="0.3">
      <c r="A1325" t="s">
        <v>11</v>
      </c>
      <c r="B1325" t="s">
        <v>30</v>
      </c>
      <c r="C1325" t="s">
        <v>22</v>
      </c>
      <c r="D1325" t="s">
        <v>15</v>
      </c>
      <c r="E1325" s="5">
        <v>163893.5</v>
      </c>
      <c r="F1325" t="s">
        <v>490</v>
      </c>
      <c r="G1325" t="s">
        <v>491</v>
      </c>
      <c r="H1325" t="s">
        <v>69</v>
      </c>
    </row>
    <row r="1326" spans="1:8" x14ac:dyDescent="0.3">
      <c r="A1326" t="s">
        <v>34</v>
      </c>
      <c r="B1326" t="s">
        <v>12</v>
      </c>
      <c r="C1326" t="s">
        <v>27</v>
      </c>
      <c r="D1326" t="s">
        <v>15</v>
      </c>
      <c r="E1326" s="5">
        <v>119570.5</v>
      </c>
      <c r="F1326" t="s">
        <v>2005</v>
      </c>
      <c r="G1326" t="s">
        <v>157</v>
      </c>
      <c r="H1326" t="s">
        <v>69</v>
      </c>
    </row>
    <row r="1327" spans="1:8" x14ac:dyDescent="0.3">
      <c r="A1327" t="s">
        <v>40</v>
      </c>
      <c r="B1327" t="s">
        <v>12</v>
      </c>
      <c r="C1327" t="s">
        <v>27</v>
      </c>
      <c r="D1327" t="s">
        <v>15</v>
      </c>
      <c r="E1327" s="5">
        <v>160895.5</v>
      </c>
      <c r="F1327" t="s">
        <v>1896</v>
      </c>
      <c r="G1327" t="s">
        <v>119</v>
      </c>
      <c r="H1327" t="s">
        <v>16</v>
      </c>
    </row>
    <row r="1328" spans="1:8" x14ac:dyDescent="0.3">
      <c r="A1328" t="s">
        <v>72</v>
      </c>
      <c r="B1328" t="s">
        <v>30</v>
      </c>
      <c r="C1328" t="s">
        <v>14</v>
      </c>
      <c r="D1328" t="s">
        <v>15</v>
      </c>
      <c r="E1328" s="5">
        <v>164311.5</v>
      </c>
      <c r="F1328" t="s">
        <v>2585</v>
      </c>
      <c r="G1328" t="s">
        <v>2049</v>
      </c>
      <c r="H1328" t="s">
        <v>14</v>
      </c>
    </row>
    <row r="1329" spans="1:8" x14ac:dyDescent="0.3">
      <c r="A1329" t="s">
        <v>19</v>
      </c>
      <c r="B1329" t="s">
        <v>12</v>
      </c>
      <c r="C1329" t="s">
        <v>22</v>
      </c>
      <c r="D1329" t="s">
        <v>42</v>
      </c>
      <c r="E1329" s="5">
        <v>101885</v>
      </c>
      <c r="F1329" t="s">
        <v>902</v>
      </c>
      <c r="G1329" t="s">
        <v>77</v>
      </c>
      <c r="H1329" t="s">
        <v>14</v>
      </c>
    </row>
    <row r="1330" spans="1:8" x14ac:dyDescent="0.3">
      <c r="A1330" t="s">
        <v>49</v>
      </c>
      <c r="B1330" t="s">
        <v>135</v>
      </c>
      <c r="C1330" t="s">
        <v>22</v>
      </c>
      <c r="D1330" t="s">
        <v>15</v>
      </c>
      <c r="E1330" s="5">
        <v>75864.5</v>
      </c>
      <c r="F1330" t="s">
        <v>2935</v>
      </c>
      <c r="G1330" t="s">
        <v>157</v>
      </c>
      <c r="H1330" t="s">
        <v>14</v>
      </c>
    </row>
    <row r="1331" spans="1:8" x14ac:dyDescent="0.3">
      <c r="A1331" t="s">
        <v>40</v>
      </c>
      <c r="B1331" t="s">
        <v>12</v>
      </c>
      <c r="C1331" t="s">
        <v>22</v>
      </c>
      <c r="D1331" t="s">
        <v>37</v>
      </c>
      <c r="E1331" s="5">
        <v>123360.5</v>
      </c>
      <c r="F1331" t="s">
        <v>1484</v>
      </c>
      <c r="G1331" t="s">
        <v>507</v>
      </c>
      <c r="H1331" t="s">
        <v>16</v>
      </c>
    </row>
    <row r="1332" spans="1:8" x14ac:dyDescent="0.3">
      <c r="A1332" t="s">
        <v>34</v>
      </c>
      <c r="B1332" t="s">
        <v>12</v>
      </c>
      <c r="C1332" t="s">
        <v>27</v>
      </c>
      <c r="D1332" t="s">
        <v>15</v>
      </c>
      <c r="E1332" s="5">
        <v>72767.5</v>
      </c>
      <c r="F1332" t="s">
        <v>3943</v>
      </c>
      <c r="G1332" t="s">
        <v>206</v>
      </c>
      <c r="H1332" t="s">
        <v>16</v>
      </c>
    </row>
    <row r="1333" spans="1:8" x14ac:dyDescent="0.3">
      <c r="A1333" t="s">
        <v>72</v>
      </c>
      <c r="B1333" t="s">
        <v>20</v>
      </c>
      <c r="C1333" t="s">
        <v>22</v>
      </c>
      <c r="D1333" t="s">
        <v>15</v>
      </c>
      <c r="E1333" s="5">
        <v>152158.5</v>
      </c>
      <c r="F1333" t="s">
        <v>3168</v>
      </c>
      <c r="G1333" t="s">
        <v>319</v>
      </c>
      <c r="H1333" t="s">
        <v>69</v>
      </c>
    </row>
    <row r="1334" spans="1:8" x14ac:dyDescent="0.3">
      <c r="A1334" t="s">
        <v>34</v>
      </c>
      <c r="B1334" t="s">
        <v>135</v>
      </c>
      <c r="C1334" t="s">
        <v>14</v>
      </c>
      <c r="D1334" t="s">
        <v>42</v>
      </c>
      <c r="E1334" s="5">
        <v>188156.5</v>
      </c>
      <c r="F1334" t="s">
        <v>1379</v>
      </c>
      <c r="G1334" t="s">
        <v>80</v>
      </c>
      <c r="H1334" t="s">
        <v>16</v>
      </c>
    </row>
    <row r="1335" spans="1:8" x14ac:dyDescent="0.3">
      <c r="A1335" t="s">
        <v>40</v>
      </c>
      <c r="B1335" t="s">
        <v>12</v>
      </c>
      <c r="C1335" t="s">
        <v>14</v>
      </c>
      <c r="D1335" t="s">
        <v>15</v>
      </c>
      <c r="E1335" s="5">
        <v>92000</v>
      </c>
      <c r="F1335" t="s">
        <v>1379</v>
      </c>
      <c r="G1335" t="s">
        <v>77</v>
      </c>
      <c r="H1335" t="s">
        <v>16</v>
      </c>
    </row>
    <row r="1336" spans="1:8" x14ac:dyDescent="0.3">
      <c r="A1336" t="s">
        <v>11</v>
      </c>
      <c r="B1336" t="s">
        <v>67</v>
      </c>
      <c r="C1336" t="s">
        <v>22</v>
      </c>
      <c r="D1336" t="s">
        <v>42</v>
      </c>
      <c r="E1336" s="5">
        <v>111782.5</v>
      </c>
      <c r="F1336" t="s">
        <v>3939</v>
      </c>
      <c r="G1336" t="s">
        <v>1767</v>
      </c>
      <c r="H1336" t="s">
        <v>16</v>
      </c>
    </row>
    <row r="1337" spans="1:8" x14ac:dyDescent="0.3">
      <c r="A1337" t="s">
        <v>40</v>
      </c>
      <c r="B1337" t="s">
        <v>12</v>
      </c>
      <c r="C1337" t="s">
        <v>27</v>
      </c>
      <c r="D1337" t="s">
        <v>37</v>
      </c>
      <c r="E1337" s="5">
        <v>80571.5</v>
      </c>
      <c r="F1337" t="s">
        <v>2330</v>
      </c>
      <c r="G1337" t="s">
        <v>928</v>
      </c>
      <c r="H1337" t="s">
        <v>14</v>
      </c>
    </row>
    <row r="1338" spans="1:8" x14ac:dyDescent="0.3">
      <c r="A1338" t="s">
        <v>45</v>
      </c>
      <c r="B1338" t="s">
        <v>25</v>
      </c>
      <c r="C1338" t="s">
        <v>27</v>
      </c>
      <c r="D1338" t="s">
        <v>51</v>
      </c>
      <c r="E1338" s="5">
        <v>75687.5</v>
      </c>
      <c r="F1338" t="s">
        <v>2290</v>
      </c>
      <c r="G1338" t="s">
        <v>52</v>
      </c>
      <c r="H1338" t="s">
        <v>16</v>
      </c>
    </row>
    <row r="1339" spans="1:8" x14ac:dyDescent="0.3">
      <c r="A1339" t="s">
        <v>49</v>
      </c>
      <c r="B1339" t="s">
        <v>135</v>
      </c>
      <c r="C1339" t="s">
        <v>14</v>
      </c>
      <c r="D1339" t="s">
        <v>15</v>
      </c>
      <c r="E1339" s="5">
        <v>142676.5</v>
      </c>
      <c r="F1339" t="s">
        <v>2771</v>
      </c>
      <c r="G1339" t="s">
        <v>128</v>
      </c>
      <c r="H1339" t="s">
        <v>16</v>
      </c>
    </row>
    <row r="1340" spans="1:8" x14ac:dyDescent="0.3">
      <c r="A1340" t="s">
        <v>45</v>
      </c>
      <c r="B1340" t="s">
        <v>135</v>
      </c>
      <c r="C1340" t="s">
        <v>14</v>
      </c>
      <c r="D1340" t="s">
        <v>15</v>
      </c>
      <c r="E1340" s="5">
        <v>79460</v>
      </c>
      <c r="F1340" t="s">
        <v>1390</v>
      </c>
      <c r="G1340" t="s">
        <v>1391</v>
      </c>
      <c r="H1340" t="s">
        <v>16</v>
      </c>
    </row>
    <row r="1341" spans="1:8" x14ac:dyDescent="0.3">
      <c r="A1341" t="s">
        <v>11</v>
      </c>
      <c r="B1341" t="s">
        <v>35</v>
      </c>
      <c r="C1341" t="s">
        <v>27</v>
      </c>
      <c r="D1341" t="s">
        <v>42</v>
      </c>
      <c r="E1341" s="5">
        <v>145244</v>
      </c>
      <c r="F1341" t="s">
        <v>3877</v>
      </c>
      <c r="G1341" t="s">
        <v>3391</v>
      </c>
      <c r="H1341" t="s">
        <v>16</v>
      </c>
    </row>
    <row r="1342" spans="1:8" x14ac:dyDescent="0.3">
      <c r="A1342" t="s">
        <v>19</v>
      </c>
      <c r="B1342" t="s">
        <v>12</v>
      </c>
      <c r="C1342" t="s">
        <v>27</v>
      </c>
      <c r="D1342" t="s">
        <v>15</v>
      </c>
      <c r="E1342" s="5">
        <v>88779.5</v>
      </c>
      <c r="F1342" t="s">
        <v>2495</v>
      </c>
      <c r="G1342" t="s">
        <v>2496</v>
      </c>
      <c r="H1342" t="s">
        <v>69</v>
      </c>
    </row>
    <row r="1343" spans="1:8" x14ac:dyDescent="0.3">
      <c r="A1343" t="s">
        <v>72</v>
      </c>
      <c r="B1343" t="s">
        <v>30</v>
      </c>
      <c r="C1343" t="s">
        <v>27</v>
      </c>
      <c r="D1343" t="s">
        <v>15</v>
      </c>
      <c r="E1343" s="5">
        <v>99836.5</v>
      </c>
      <c r="F1343" t="s">
        <v>3084</v>
      </c>
      <c r="G1343" t="s">
        <v>362</v>
      </c>
      <c r="H1343" t="s">
        <v>14</v>
      </c>
    </row>
    <row r="1344" spans="1:8" x14ac:dyDescent="0.3">
      <c r="A1344" t="s">
        <v>45</v>
      </c>
      <c r="B1344" t="s">
        <v>12</v>
      </c>
      <c r="C1344" t="s">
        <v>27</v>
      </c>
      <c r="D1344" t="s">
        <v>51</v>
      </c>
      <c r="E1344" s="5">
        <v>123785</v>
      </c>
      <c r="F1344" t="s">
        <v>143</v>
      </c>
      <c r="G1344" t="s">
        <v>144</v>
      </c>
      <c r="H1344" t="s">
        <v>14</v>
      </c>
    </row>
    <row r="1345" spans="1:8" x14ac:dyDescent="0.3">
      <c r="A1345" t="s">
        <v>45</v>
      </c>
      <c r="B1345" t="s">
        <v>30</v>
      </c>
      <c r="C1345" t="s">
        <v>14</v>
      </c>
      <c r="D1345" t="s">
        <v>15</v>
      </c>
      <c r="E1345" s="5">
        <v>60307.5</v>
      </c>
      <c r="F1345" t="s">
        <v>1491</v>
      </c>
      <c r="G1345" t="s">
        <v>101</v>
      </c>
      <c r="H1345" t="s">
        <v>14</v>
      </c>
    </row>
    <row r="1346" spans="1:8" x14ac:dyDescent="0.3">
      <c r="A1346" t="s">
        <v>19</v>
      </c>
      <c r="B1346" t="s">
        <v>135</v>
      </c>
      <c r="C1346" t="s">
        <v>27</v>
      </c>
      <c r="D1346" t="s">
        <v>15</v>
      </c>
      <c r="E1346" s="5">
        <v>139391.5</v>
      </c>
      <c r="F1346" t="s">
        <v>1135</v>
      </c>
      <c r="G1346" t="s">
        <v>128</v>
      </c>
      <c r="H1346" t="s">
        <v>14</v>
      </c>
    </row>
    <row r="1347" spans="1:8" x14ac:dyDescent="0.3">
      <c r="A1347" t="s">
        <v>11</v>
      </c>
      <c r="B1347" t="s">
        <v>12</v>
      </c>
      <c r="C1347" t="s">
        <v>27</v>
      </c>
      <c r="D1347" t="s">
        <v>15</v>
      </c>
      <c r="E1347" s="5">
        <v>111235.5</v>
      </c>
      <c r="F1347" t="s">
        <v>2537</v>
      </c>
      <c r="G1347" t="s">
        <v>216</v>
      </c>
      <c r="H1347" t="s">
        <v>14</v>
      </c>
    </row>
    <row r="1348" spans="1:8" x14ac:dyDescent="0.3">
      <c r="A1348" t="s">
        <v>19</v>
      </c>
      <c r="B1348" t="s">
        <v>20</v>
      </c>
      <c r="C1348" t="s">
        <v>27</v>
      </c>
      <c r="D1348" t="s">
        <v>37</v>
      </c>
      <c r="E1348" s="5">
        <v>165585</v>
      </c>
      <c r="F1348" t="s">
        <v>1760</v>
      </c>
      <c r="G1348" t="s">
        <v>1761</v>
      </c>
      <c r="H1348" t="s">
        <v>14</v>
      </c>
    </row>
    <row r="1349" spans="1:8" x14ac:dyDescent="0.3">
      <c r="A1349" t="s">
        <v>34</v>
      </c>
      <c r="B1349" t="s">
        <v>35</v>
      </c>
      <c r="C1349" t="s">
        <v>27</v>
      </c>
      <c r="D1349" t="s">
        <v>51</v>
      </c>
      <c r="E1349" s="5">
        <v>140450.5</v>
      </c>
      <c r="F1349" t="s">
        <v>2487</v>
      </c>
      <c r="G1349" t="s">
        <v>157</v>
      </c>
      <c r="H1349" t="s">
        <v>16</v>
      </c>
    </row>
    <row r="1350" spans="1:8" x14ac:dyDescent="0.3">
      <c r="A1350" t="s">
        <v>19</v>
      </c>
      <c r="B1350" t="s">
        <v>20</v>
      </c>
      <c r="C1350" t="s">
        <v>14</v>
      </c>
      <c r="D1350" t="s">
        <v>51</v>
      </c>
      <c r="E1350" s="5">
        <v>158679</v>
      </c>
      <c r="F1350" t="s">
        <v>864</v>
      </c>
      <c r="G1350" t="s">
        <v>865</v>
      </c>
      <c r="H1350" t="s">
        <v>16</v>
      </c>
    </row>
    <row r="1351" spans="1:8" x14ac:dyDescent="0.3">
      <c r="A1351" t="s">
        <v>45</v>
      </c>
      <c r="B1351" t="s">
        <v>67</v>
      </c>
      <c r="C1351" t="s">
        <v>27</v>
      </c>
      <c r="D1351" t="s">
        <v>37</v>
      </c>
      <c r="E1351" s="5">
        <v>162491.5</v>
      </c>
      <c r="F1351" t="s">
        <v>3305</v>
      </c>
      <c r="G1351" t="s">
        <v>3306</v>
      </c>
      <c r="H1351" t="s">
        <v>69</v>
      </c>
    </row>
    <row r="1352" spans="1:8" x14ac:dyDescent="0.3">
      <c r="A1352" t="s">
        <v>49</v>
      </c>
      <c r="B1352" t="s">
        <v>35</v>
      </c>
      <c r="C1352" t="s">
        <v>14</v>
      </c>
      <c r="D1352" t="s">
        <v>51</v>
      </c>
      <c r="E1352" s="5">
        <v>153218.5</v>
      </c>
      <c r="F1352" t="s">
        <v>3910</v>
      </c>
      <c r="G1352" t="s">
        <v>3514</v>
      </c>
      <c r="H1352" t="s">
        <v>69</v>
      </c>
    </row>
    <row r="1353" spans="1:8" x14ac:dyDescent="0.3">
      <c r="A1353" t="s">
        <v>19</v>
      </c>
      <c r="B1353" t="s">
        <v>35</v>
      </c>
      <c r="C1353" t="s">
        <v>22</v>
      </c>
      <c r="D1353" t="s">
        <v>51</v>
      </c>
      <c r="E1353" s="5">
        <v>187241.5</v>
      </c>
      <c r="F1353" t="s">
        <v>3069</v>
      </c>
      <c r="G1353" t="s">
        <v>293</v>
      </c>
      <c r="H1353" t="s">
        <v>69</v>
      </c>
    </row>
    <row r="1354" spans="1:8" x14ac:dyDescent="0.3">
      <c r="A1354" t="s">
        <v>11</v>
      </c>
      <c r="B1354" t="s">
        <v>35</v>
      </c>
      <c r="C1354" t="s">
        <v>22</v>
      </c>
      <c r="D1354" t="s">
        <v>51</v>
      </c>
      <c r="E1354" s="5">
        <v>90220</v>
      </c>
      <c r="F1354" t="s">
        <v>3971</v>
      </c>
      <c r="G1354" t="s">
        <v>362</v>
      </c>
      <c r="H1354" t="s">
        <v>16</v>
      </c>
    </row>
    <row r="1355" spans="1:8" x14ac:dyDescent="0.3">
      <c r="A1355" t="s">
        <v>45</v>
      </c>
      <c r="B1355" t="s">
        <v>12</v>
      </c>
      <c r="C1355" t="s">
        <v>22</v>
      </c>
      <c r="D1355" t="s">
        <v>15</v>
      </c>
      <c r="E1355" s="5">
        <v>111778</v>
      </c>
      <c r="F1355" t="s">
        <v>2432</v>
      </c>
      <c r="G1355" t="s">
        <v>1631</v>
      </c>
      <c r="H1355" t="s">
        <v>16</v>
      </c>
    </row>
    <row r="1356" spans="1:8" x14ac:dyDescent="0.3">
      <c r="A1356" t="s">
        <v>49</v>
      </c>
      <c r="B1356" t="s">
        <v>12</v>
      </c>
      <c r="C1356" t="s">
        <v>14</v>
      </c>
      <c r="D1356" t="s">
        <v>51</v>
      </c>
      <c r="E1356" s="5">
        <v>170132</v>
      </c>
      <c r="F1356" t="s">
        <v>2007</v>
      </c>
      <c r="G1356" t="s">
        <v>191</v>
      </c>
      <c r="H1356" t="s">
        <v>16</v>
      </c>
    </row>
    <row r="1357" spans="1:8" x14ac:dyDescent="0.3">
      <c r="A1357" t="s">
        <v>19</v>
      </c>
      <c r="B1357" t="s">
        <v>30</v>
      </c>
      <c r="C1357" t="s">
        <v>27</v>
      </c>
      <c r="D1357" t="s">
        <v>42</v>
      </c>
      <c r="E1357" s="5">
        <v>88446.5</v>
      </c>
      <c r="F1357" t="s">
        <v>869</v>
      </c>
      <c r="G1357" t="s">
        <v>77</v>
      </c>
      <c r="H1357" t="s">
        <v>69</v>
      </c>
    </row>
    <row r="1358" spans="1:8" x14ac:dyDescent="0.3">
      <c r="A1358" t="s">
        <v>40</v>
      </c>
      <c r="B1358" t="s">
        <v>67</v>
      </c>
      <c r="C1358" t="s">
        <v>22</v>
      </c>
      <c r="D1358" t="s">
        <v>37</v>
      </c>
      <c r="E1358" s="5">
        <v>160519</v>
      </c>
      <c r="F1358" t="s">
        <v>1404</v>
      </c>
      <c r="G1358" t="s">
        <v>483</v>
      </c>
      <c r="H1358" t="s">
        <v>16</v>
      </c>
    </row>
    <row r="1359" spans="1:8" x14ac:dyDescent="0.3">
      <c r="A1359" t="s">
        <v>11</v>
      </c>
      <c r="B1359" t="s">
        <v>12</v>
      </c>
      <c r="C1359" t="s">
        <v>27</v>
      </c>
      <c r="D1359" t="s">
        <v>15</v>
      </c>
      <c r="E1359" s="5">
        <v>110114.5</v>
      </c>
      <c r="F1359" t="s">
        <v>2310</v>
      </c>
      <c r="G1359" t="s">
        <v>70</v>
      </c>
      <c r="H1359" t="s">
        <v>14</v>
      </c>
    </row>
    <row r="1360" spans="1:8" x14ac:dyDescent="0.3">
      <c r="A1360" t="s">
        <v>19</v>
      </c>
      <c r="B1360" t="s">
        <v>30</v>
      </c>
      <c r="C1360" t="s">
        <v>14</v>
      </c>
      <c r="D1360" t="s">
        <v>51</v>
      </c>
      <c r="E1360" s="5">
        <v>122711</v>
      </c>
      <c r="F1360" t="s">
        <v>2398</v>
      </c>
      <c r="G1360" t="s">
        <v>1738</v>
      </c>
      <c r="H1360" t="s">
        <v>69</v>
      </c>
    </row>
    <row r="1361" spans="1:8" x14ac:dyDescent="0.3">
      <c r="A1361" t="s">
        <v>45</v>
      </c>
      <c r="B1361" t="s">
        <v>30</v>
      </c>
      <c r="C1361" t="s">
        <v>22</v>
      </c>
      <c r="D1361" t="s">
        <v>51</v>
      </c>
      <c r="E1361" s="5">
        <v>74838.5</v>
      </c>
      <c r="F1361" t="s">
        <v>2623</v>
      </c>
      <c r="G1361" t="s">
        <v>101</v>
      </c>
      <c r="H1361" t="s">
        <v>14</v>
      </c>
    </row>
    <row r="1362" spans="1:8" x14ac:dyDescent="0.3">
      <c r="A1362" t="s">
        <v>72</v>
      </c>
      <c r="B1362" t="s">
        <v>135</v>
      </c>
      <c r="C1362" t="s">
        <v>27</v>
      </c>
      <c r="D1362" t="s">
        <v>51</v>
      </c>
      <c r="E1362" s="5">
        <v>117453.5</v>
      </c>
      <c r="F1362" t="s">
        <v>496</v>
      </c>
      <c r="G1362" t="s">
        <v>497</v>
      </c>
      <c r="H1362" t="s">
        <v>69</v>
      </c>
    </row>
    <row r="1363" spans="1:8" x14ac:dyDescent="0.3">
      <c r="A1363" t="s">
        <v>40</v>
      </c>
      <c r="B1363" t="s">
        <v>135</v>
      </c>
      <c r="C1363" t="s">
        <v>22</v>
      </c>
      <c r="D1363" t="s">
        <v>15</v>
      </c>
      <c r="E1363" s="5">
        <v>119385.5</v>
      </c>
      <c r="F1363" t="s">
        <v>3016</v>
      </c>
      <c r="G1363" t="s">
        <v>80</v>
      </c>
      <c r="H1363" t="s">
        <v>69</v>
      </c>
    </row>
    <row r="1364" spans="1:8" x14ac:dyDescent="0.3">
      <c r="A1364" t="s">
        <v>49</v>
      </c>
      <c r="B1364" t="s">
        <v>12</v>
      </c>
      <c r="C1364" t="s">
        <v>27</v>
      </c>
      <c r="D1364" t="s">
        <v>15</v>
      </c>
      <c r="E1364" s="5">
        <v>186466</v>
      </c>
      <c r="F1364" t="s">
        <v>1638</v>
      </c>
      <c r="G1364" t="s">
        <v>77</v>
      </c>
      <c r="H1364" t="s">
        <v>16</v>
      </c>
    </row>
    <row r="1365" spans="1:8" x14ac:dyDescent="0.3">
      <c r="A1365" t="s">
        <v>34</v>
      </c>
      <c r="B1365" t="s">
        <v>67</v>
      </c>
      <c r="C1365" t="s">
        <v>14</v>
      </c>
      <c r="D1365" t="s">
        <v>42</v>
      </c>
      <c r="E1365" s="5">
        <v>59185</v>
      </c>
      <c r="F1365" t="s">
        <v>3252</v>
      </c>
      <c r="G1365" t="s">
        <v>77</v>
      </c>
      <c r="H1365" t="s">
        <v>69</v>
      </c>
    </row>
    <row r="1366" spans="1:8" x14ac:dyDescent="0.3">
      <c r="A1366" t="s">
        <v>11</v>
      </c>
      <c r="B1366" t="s">
        <v>54</v>
      </c>
      <c r="C1366" t="s">
        <v>14</v>
      </c>
      <c r="D1366" t="s">
        <v>37</v>
      </c>
      <c r="E1366" s="5">
        <v>155566.5</v>
      </c>
      <c r="F1366" t="s">
        <v>1502</v>
      </c>
      <c r="G1366" t="s">
        <v>1503</v>
      </c>
      <c r="H1366" t="s">
        <v>14</v>
      </c>
    </row>
    <row r="1367" spans="1:8" x14ac:dyDescent="0.3">
      <c r="A1367" t="s">
        <v>34</v>
      </c>
      <c r="B1367" t="s">
        <v>12</v>
      </c>
      <c r="C1367" t="s">
        <v>27</v>
      </c>
      <c r="D1367" t="s">
        <v>15</v>
      </c>
      <c r="E1367" s="5">
        <v>71298.5</v>
      </c>
      <c r="F1367" t="s">
        <v>1329</v>
      </c>
      <c r="G1367" t="s">
        <v>77</v>
      </c>
      <c r="H1367" t="s">
        <v>14</v>
      </c>
    </row>
    <row r="1368" spans="1:8" x14ac:dyDescent="0.3">
      <c r="A1368" t="s">
        <v>72</v>
      </c>
      <c r="B1368" t="s">
        <v>67</v>
      </c>
      <c r="C1368" t="s">
        <v>14</v>
      </c>
      <c r="D1368" t="s">
        <v>42</v>
      </c>
      <c r="E1368" s="5">
        <v>149956</v>
      </c>
      <c r="F1368" t="s">
        <v>2440</v>
      </c>
      <c r="G1368" t="s">
        <v>77</v>
      </c>
      <c r="H1368" t="s">
        <v>14</v>
      </c>
    </row>
    <row r="1369" spans="1:8" x14ac:dyDescent="0.3">
      <c r="A1369" t="s">
        <v>11</v>
      </c>
      <c r="B1369" t="s">
        <v>67</v>
      </c>
      <c r="C1369" t="s">
        <v>22</v>
      </c>
      <c r="D1369" t="s">
        <v>51</v>
      </c>
      <c r="E1369" s="5">
        <v>54889.5</v>
      </c>
      <c r="F1369" t="s">
        <v>1122</v>
      </c>
      <c r="G1369" t="s">
        <v>229</v>
      </c>
      <c r="H1369" t="s">
        <v>16</v>
      </c>
    </row>
    <row r="1370" spans="1:8" x14ac:dyDescent="0.3">
      <c r="A1370" t="s">
        <v>40</v>
      </c>
      <c r="B1370" t="s">
        <v>30</v>
      </c>
      <c r="C1370" t="s">
        <v>22</v>
      </c>
      <c r="D1370" t="s">
        <v>15</v>
      </c>
      <c r="E1370" s="5">
        <v>173480.5</v>
      </c>
      <c r="F1370" t="s">
        <v>3488</v>
      </c>
      <c r="G1370" t="s">
        <v>90</v>
      </c>
      <c r="H1370" t="s">
        <v>16</v>
      </c>
    </row>
    <row r="1371" spans="1:8" x14ac:dyDescent="0.3">
      <c r="A1371" t="s">
        <v>19</v>
      </c>
      <c r="B1371" t="s">
        <v>54</v>
      </c>
      <c r="C1371" t="s">
        <v>14</v>
      </c>
      <c r="D1371" t="s">
        <v>15</v>
      </c>
      <c r="E1371" s="5">
        <v>77083</v>
      </c>
      <c r="F1371" t="s">
        <v>745</v>
      </c>
      <c r="G1371" t="s">
        <v>70</v>
      </c>
      <c r="H1371" t="s">
        <v>16</v>
      </c>
    </row>
    <row r="1372" spans="1:8" x14ac:dyDescent="0.3">
      <c r="A1372" t="s">
        <v>11</v>
      </c>
      <c r="B1372" t="s">
        <v>25</v>
      </c>
      <c r="C1372" t="s">
        <v>22</v>
      </c>
      <c r="D1372" t="s">
        <v>51</v>
      </c>
      <c r="E1372" s="5">
        <v>98151.5</v>
      </c>
      <c r="F1372" t="s">
        <v>1446</v>
      </c>
      <c r="G1372" t="s">
        <v>144</v>
      </c>
      <c r="H1372" t="s">
        <v>69</v>
      </c>
    </row>
    <row r="1373" spans="1:8" x14ac:dyDescent="0.3">
      <c r="A1373" t="s">
        <v>49</v>
      </c>
      <c r="B1373" t="s">
        <v>12</v>
      </c>
      <c r="C1373" t="s">
        <v>22</v>
      </c>
      <c r="D1373" t="s">
        <v>37</v>
      </c>
      <c r="E1373" s="5">
        <v>87857</v>
      </c>
      <c r="F1373" t="s">
        <v>3213</v>
      </c>
      <c r="G1373" t="s">
        <v>213</v>
      </c>
      <c r="H1373" t="s">
        <v>16</v>
      </c>
    </row>
    <row r="1374" spans="1:8" x14ac:dyDescent="0.3">
      <c r="A1374" t="s">
        <v>19</v>
      </c>
      <c r="B1374" t="s">
        <v>135</v>
      </c>
      <c r="C1374" t="s">
        <v>14</v>
      </c>
      <c r="D1374" t="s">
        <v>51</v>
      </c>
      <c r="E1374" s="5">
        <v>83045.5</v>
      </c>
      <c r="F1374" t="s">
        <v>3330</v>
      </c>
      <c r="G1374" t="s">
        <v>353</v>
      </c>
      <c r="H1374" t="s">
        <v>69</v>
      </c>
    </row>
    <row r="1375" spans="1:8" x14ac:dyDescent="0.3">
      <c r="A1375" t="s">
        <v>72</v>
      </c>
      <c r="B1375" t="s">
        <v>20</v>
      </c>
      <c r="C1375" t="s">
        <v>27</v>
      </c>
      <c r="D1375" t="s">
        <v>42</v>
      </c>
      <c r="E1375" s="5">
        <v>89313</v>
      </c>
      <c r="F1375" t="s">
        <v>1182</v>
      </c>
      <c r="G1375" t="s">
        <v>1183</v>
      </c>
      <c r="H1375" t="s">
        <v>69</v>
      </c>
    </row>
    <row r="1376" spans="1:8" x14ac:dyDescent="0.3">
      <c r="A1376" t="s">
        <v>49</v>
      </c>
      <c r="B1376" t="s">
        <v>35</v>
      </c>
      <c r="C1376" t="s">
        <v>22</v>
      </c>
      <c r="D1376" t="s">
        <v>42</v>
      </c>
      <c r="E1376" s="5">
        <v>167293</v>
      </c>
      <c r="F1376" t="s">
        <v>1230</v>
      </c>
      <c r="G1376" t="s">
        <v>1231</v>
      </c>
      <c r="H1376" t="s">
        <v>69</v>
      </c>
    </row>
    <row r="1377" spans="1:8" x14ac:dyDescent="0.3">
      <c r="A1377" t="s">
        <v>34</v>
      </c>
      <c r="B1377" t="s">
        <v>25</v>
      </c>
      <c r="C1377" t="s">
        <v>27</v>
      </c>
      <c r="D1377" t="s">
        <v>37</v>
      </c>
      <c r="E1377" s="5">
        <v>114291</v>
      </c>
      <c r="F1377" t="s">
        <v>4255</v>
      </c>
      <c r="G1377" t="s">
        <v>693</v>
      </c>
      <c r="H1377" t="s">
        <v>69</v>
      </c>
    </row>
    <row r="1378" spans="1:8" x14ac:dyDescent="0.3">
      <c r="A1378" t="s">
        <v>72</v>
      </c>
      <c r="B1378" t="s">
        <v>30</v>
      </c>
      <c r="C1378" t="s">
        <v>27</v>
      </c>
      <c r="D1378" t="s">
        <v>51</v>
      </c>
      <c r="E1378" s="5">
        <v>92981</v>
      </c>
      <c r="F1378" t="s">
        <v>1840</v>
      </c>
      <c r="G1378" t="s">
        <v>702</v>
      </c>
      <c r="H1378" t="s">
        <v>16</v>
      </c>
    </row>
    <row r="1379" spans="1:8" x14ac:dyDescent="0.3">
      <c r="A1379" t="s">
        <v>11</v>
      </c>
      <c r="B1379" t="s">
        <v>20</v>
      </c>
      <c r="C1379" t="s">
        <v>14</v>
      </c>
      <c r="D1379" t="s">
        <v>51</v>
      </c>
      <c r="E1379" s="5">
        <v>128032</v>
      </c>
      <c r="F1379" t="s">
        <v>3704</v>
      </c>
      <c r="G1379" t="s">
        <v>59</v>
      </c>
      <c r="H1379" t="s">
        <v>16</v>
      </c>
    </row>
    <row r="1380" spans="1:8" x14ac:dyDescent="0.3">
      <c r="A1380" t="s">
        <v>49</v>
      </c>
      <c r="B1380" t="s">
        <v>54</v>
      </c>
      <c r="C1380" t="s">
        <v>22</v>
      </c>
      <c r="D1380" t="s">
        <v>15</v>
      </c>
      <c r="E1380" s="5">
        <v>151426.5</v>
      </c>
      <c r="F1380" t="s">
        <v>1927</v>
      </c>
      <c r="G1380" t="s">
        <v>157</v>
      </c>
      <c r="H1380" t="s">
        <v>16</v>
      </c>
    </row>
    <row r="1381" spans="1:8" x14ac:dyDescent="0.3">
      <c r="A1381" t="s">
        <v>40</v>
      </c>
      <c r="B1381" t="s">
        <v>25</v>
      </c>
      <c r="C1381" t="s">
        <v>22</v>
      </c>
      <c r="D1381" t="s">
        <v>42</v>
      </c>
      <c r="E1381" s="5">
        <v>133737.5</v>
      </c>
      <c r="F1381" t="s">
        <v>2445</v>
      </c>
      <c r="G1381" t="s">
        <v>1384</v>
      </c>
      <c r="H1381" t="s">
        <v>14</v>
      </c>
    </row>
    <row r="1382" spans="1:8" x14ac:dyDescent="0.3">
      <c r="A1382" t="s">
        <v>49</v>
      </c>
      <c r="B1382" t="s">
        <v>54</v>
      </c>
      <c r="C1382" t="s">
        <v>14</v>
      </c>
      <c r="D1382" t="s">
        <v>51</v>
      </c>
      <c r="E1382" s="5">
        <v>72866</v>
      </c>
      <c r="F1382" t="s">
        <v>3885</v>
      </c>
      <c r="G1382" t="s">
        <v>413</v>
      </c>
      <c r="H1382" t="s">
        <v>14</v>
      </c>
    </row>
    <row r="1383" spans="1:8" x14ac:dyDescent="0.3">
      <c r="A1383" t="s">
        <v>40</v>
      </c>
      <c r="B1383" t="s">
        <v>35</v>
      </c>
      <c r="C1383" t="s">
        <v>27</v>
      </c>
      <c r="D1383" t="s">
        <v>37</v>
      </c>
      <c r="E1383" s="5">
        <v>115405</v>
      </c>
      <c r="F1383" t="s">
        <v>3897</v>
      </c>
      <c r="G1383" t="s">
        <v>90</v>
      </c>
      <c r="H1383" t="s">
        <v>16</v>
      </c>
    </row>
    <row r="1384" spans="1:8" x14ac:dyDescent="0.3">
      <c r="A1384" t="s">
        <v>72</v>
      </c>
      <c r="B1384" t="s">
        <v>54</v>
      </c>
      <c r="C1384" t="s">
        <v>22</v>
      </c>
      <c r="D1384" t="s">
        <v>37</v>
      </c>
      <c r="E1384" s="5">
        <v>84285.5</v>
      </c>
      <c r="F1384" t="s">
        <v>1729</v>
      </c>
      <c r="G1384" t="s">
        <v>206</v>
      </c>
      <c r="H1384" t="s">
        <v>69</v>
      </c>
    </row>
    <row r="1385" spans="1:8" x14ac:dyDescent="0.3">
      <c r="A1385" t="s">
        <v>34</v>
      </c>
      <c r="B1385" t="s">
        <v>25</v>
      </c>
      <c r="C1385" t="s">
        <v>14</v>
      </c>
      <c r="D1385" t="s">
        <v>42</v>
      </c>
      <c r="E1385" s="5">
        <v>91347</v>
      </c>
      <c r="F1385" t="s">
        <v>2767</v>
      </c>
      <c r="G1385" t="s">
        <v>892</v>
      </c>
      <c r="H1385" t="s">
        <v>69</v>
      </c>
    </row>
    <row r="1386" spans="1:8" x14ac:dyDescent="0.3">
      <c r="A1386" t="s">
        <v>19</v>
      </c>
      <c r="B1386" t="s">
        <v>135</v>
      </c>
      <c r="C1386" t="s">
        <v>14</v>
      </c>
      <c r="D1386" t="s">
        <v>51</v>
      </c>
      <c r="E1386" s="5">
        <v>78521.5</v>
      </c>
      <c r="F1386" t="s">
        <v>1529</v>
      </c>
      <c r="G1386" t="s">
        <v>128</v>
      </c>
      <c r="H1386" t="s">
        <v>16</v>
      </c>
    </row>
    <row r="1387" spans="1:8" x14ac:dyDescent="0.3">
      <c r="A1387" t="s">
        <v>45</v>
      </c>
      <c r="B1387" t="s">
        <v>35</v>
      </c>
      <c r="C1387" t="s">
        <v>14</v>
      </c>
      <c r="D1387" t="s">
        <v>51</v>
      </c>
      <c r="E1387" s="5">
        <v>79422</v>
      </c>
      <c r="F1387" t="s">
        <v>2039</v>
      </c>
      <c r="G1387" t="s">
        <v>77</v>
      </c>
      <c r="H1387" t="s">
        <v>69</v>
      </c>
    </row>
    <row r="1388" spans="1:8" x14ac:dyDescent="0.3">
      <c r="A1388" t="s">
        <v>11</v>
      </c>
      <c r="B1388" t="s">
        <v>67</v>
      </c>
      <c r="C1388" t="s">
        <v>14</v>
      </c>
      <c r="D1388" t="s">
        <v>15</v>
      </c>
      <c r="E1388" s="5">
        <v>146611.5</v>
      </c>
      <c r="F1388" t="s">
        <v>332</v>
      </c>
      <c r="G1388" t="s">
        <v>333</v>
      </c>
      <c r="H1388" t="s">
        <v>14</v>
      </c>
    </row>
    <row r="1389" spans="1:8" x14ac:dyDescent="0.3">
      <c r="A1389" t="s">
        <v>72</v>
      </c>
      <c r="B1389" t="s">
        <v>30</v>
      </c>
      <c r="C1389" t="s">
        <v>27</v>
      </c>
      <c r="D1389" t="s">
        <v>42</v>
      </c>
      <c r="E1389" s="5">
        <v>88546</v>
      </c>
      <c r="F1389" t="s">
        <v>203</v>
      </c>
      <c r="G1389" t="s">
        <v>70</v>
      </c>
      <c r="H1389" t="s">
        <v>69</v>
      </c>
    </row>
    <row r="1390" spans="1:8" x14ac:dyDescent="0.3">
      <c r="A1390" t="s">
        <v>49</v>
      </c>
      <c r="B1390" t="s">
        <v>35</v>
      </c>
      <c r="C1390" t="s">
        <v>14</v>
      </c>
      <c r="D1390" t="s">
        <v>37</v>
      </c>
      <c r="E1390" s="5">
        <v>153934</v>
      </c>
      <c r="F1390" t="s">
        <v>3152</v>
      </c>
      <c r="G1390" t="s">
        <v>362</v>
      </c>
      <c r="H1390" t="s">
        <v>14</v>
      </c>
    </row>
    <row r="1391" spans="1:8" x14ac:dyDescent="0.3">
      <c r="A1391" t="s">
        <v>72</v>
      </c>
      <c r="B1391" t="s">
        <v>67</v>
      </c>
      <c r="C1391" t="s">
        <v>22</v>
      </c>
      <c r="D1391" t="s">
        <v>37</v>
      </c>
      <c r="E1391" s="5">
        <v>142484.5</v>
      </c>
      <c r="F1391" t="s">
        <v>1223</v>
      </c>
      <c r="G1391" t="s">
        <v>1224</v>
      </c>
      <c r="H1391" t="s">
        <v>69</v>
      </c>
    </row>
    <row r="1392" spans="1:8" x14ac:dyDescent="0.3">
      <c r="A1392" t="s">
        <v>45</v>
      </c>
      <c r="B1392" t="s">
        <v>12</v>
      </c>
      <c r="C1392" t="s">
        <v>14</v>
      </c>
      <c r="D1392" t="s">
        <v>15</v>
      </c>
      <c r="E1392" s="5">
        <v>79584.5</v>
      </c>
      <c r="F1392" t="s">
        <v>46</v>
      </c>
      <c r="G1392" t="s">
        <v>47</v>
      </c>
      <c r="H1392" t="s">
        <v>16</v>
      </c>
    </row>
    <row r="1393" spans="1:8" x14ac:dyDescent="0.3">
      <c r="A1393" t="s">
        <v>45</v>
      </c>
      <c r="B1393" t="s">
        <v>20</v>
      </c>
      <c r="C1393" t="s">
        <v>27</v>
      </c>
      <c r="D1393" t="s">
        <v>51</v>
      </c>
      <c r="E1393" s="5">
        <v>133841</v>
      </c>
      <c r="F1393" t="s">
        <v>1981</v>
      </c>
      <c r="G1393" t="s">
        <v>1029</v>
      </c>
      <c r="H1393" t="s">
        <v>69</v>
      </c>
    </row>
    <row r="1394" spans="1:8" x14ac:dyDescent="0.3">
      <c r="A1394" t="s">
        <v>34</v>
      </c>
      <c r="B1394" t="s">
        <v>25</v>
      </c>
      <c r="C1394" t="s">
        <v>27</v>
      </c>
      <c r="D1394" t="s">
        <v>42</v>
      </c>
      <c r="E1394" s="5">
        <v>132937.5</v>
      </c>
      <c r="F1394" t="s">
        <v>3828</v>
      </c>
      <c r="G1394" t="s">
        <v>3394</v>
      </c>
      <c r="H1394" t="s">
        <v>16</v>
      </c>
    </row>
    <row r="1395" spans="1:8" x14ac:dyDescent="0.3">
      <c r="A1395" t="s">
        <v>49</v>
      </c>
      <c r="B1395" t="s">
        <v>54</v>
      </c>
      <c r="C1395" t="s">
        <v>22</v>
      </c>
      <c r="D1395" t="s">
        <v>51</v>
      </c>
      <c r="E1395" s="5">
        <v>118072.5</v>
      </c>
      <c r="F1395" t="s">
        <v>2335</v>
      </c>
      <c r="G1395" t="s">
        <v>80</v>
      </c>
      <c r="H1395" t="s">
        <v>14</v>
      </c>
    </row>
    <row r="1396" spans="1:8" x14ac:dyDescent="0.3">
      <c r="A1396" t="s">
        <v>45</v>
      </c>
      <c r="B1396" t="s">
        <v>135</v>
      </c>
      <c r="C1396" t="s">
        <v>27</v>
      </c>
      <c r="D1396" t="s">
        <v>15</v>
      </c>
      <c r="E1396" s="5">
        <v>125840.5</v>
      </c>
      <c r="F1396" t="s">
        <v>3264</v>
      </c>
      <c r="G1396" t="s">
        <v>523</v>
      </c>
      <c r="H1396" t="s">
        <v>14</v>
      </c>
    </row>
    <row r="1397" spans="1:8" x14ac:dyDescent="0.3">
      <c r="A1397" t="s">
        <v>45</v>
      </c>
      <c r="B1397" t="s">
        <v>135</v>
      </c>
      <c r="C1397" t="s">
        <v>22</v>
      </c>
      <c r="D1397" t="s">
        <v>15</v>
      </c>
      <c r="E1397" s="5">
        <v>75695.5</v>
      </c>
      <c r="F1397" t="s">
        <v>4088</v>
      </c>
      <c r="G1397" t="s">
        <v>90</v>
      </c>
      <c r="H1397" t="s">
        <v>69</v>
      </c>
    </row>
    <row r="1398" spans="1:8" x14ac:dyDescent="0.3">
      <c r="A1398" t="s">
        <v>45</v>
      </c>
      <c r="B1398" t="s">
        <v>54</v>
      </c>
      <c r="C1398" t="s">
        <v>27</v>
      </c>
      <c r="D1398" t="s">
        <v>51</v>
      </c>
      <c r="E1398" s="5">
        <v>133893.5</v>
      </c>
      <c r="F1398" t="s">
        <v>3947</v>
      </c>
      <c r="G1398" t="s">
        <v>157</v>
      </c>
      <c r="H1398" t="s">
        <v>69</v>
      </c>
    </row>
    <row r="1399" spans="1:8" x14ac:dyDescent="0.3">
      <c r="A1399" t="s">
        <v>34</v>
      </c>
      <c r="B1399" t="s">
        <v>25</v>
      </c>
      <c r="C1399" t="s">
        <v>14</v>
      </c>
      <c r="D1399" t="s">
        <v>42</v>
      </c>
      <c r="E1399" s="5">
        <v>96103</v>
      </c>
      <c r="F1399" t="s">
        <v>3640</v>
      </c>
      <c r="G1399" t="s">
        <v>90</v>
      </c>
      <c r="H1399" t="s">
        <v>16</v>
      </c>
    </row>
    <row r="1400" spans="1:8" x14ac:dyDescent="0.3">
      <c r="A1400" t="s">
        <v>11</v>
      </c>
      <c r="B1400" t="s">
        <v>30</v>
      </c>
      <c r="C1400" t="s">
        <v>27</v>
      </c>
      <c r="D1400" t="s">
        <v>37</v>
      </c>
      <c r="E1400" s="5">
        <v>85317.5</v>
      </c>
      <c r="F1400" t="s">
        <v>1240</v>
      </c>
      <c r="G1400" t="s">
        <v>410</v>
      </c>
      <c r="H1400" t="s">
        <v>16</v>
      </c>
    </row>
    <row r="1401" spans="1:8" x14ac:dyDescent="0.3">
      <c r="A1401" t="s">
        <v>40</v>
      </c>
      <c r="B1401" t="s">
        <v>135</v>
      </c>
      <c r="C1401" t="s">
        <v>27</v>
      </c>
      <c r="D1401" t="s">
        <v>15</v>
      </c>
      <c r="E1401" s="5">
        <v>101291.5</v>
      </c>
      <c r="F1401" t="s">
        <v>2261</v>
      </c>
      <c r="G1401" t="s">
        <v>2262</v>
      </c>
      <c r="H1401" t="s">
        <v>16</v>
      </c>
    </row>
    <row r="1402" spans="1:8" x14ac:dyDescent="0.3">
      <c r="A1402" t="s">
        <v>11</v>
      </c>
      <c r="B1402" t="s">
        <v>20</v>
      </c>
      <c r="C1402" t="s">
        <v>14</v>
      </c>
      <c r="D1402" t="s">
        <v>42</v>
      </c>
      <c r="E1402" s="5">
        <v>81691</v>
      </c>
      <c r="F1402" t="s">
        <v>1548</v>
      </c>
      <c r="G1402" t="s">
        <v>128</v>
      </c>
      <c r="H1402" t="s">
        <v>14</v>
      </c>
    </row>
    <row r="1403" spans="1:8" x14ac:dyDescent="0.3">
      <c r="A1403" t="s">
        <v>19</v>
      </c>
      <c r="B1403" t="s">
        <v>54</v>
      </c>
      <c r="C1403" t="s">
        <v>27</v>
      </c>
      <c r="D1403" t="s">
        <v>15</v>
      </c>
      <c r="E1403" s="5">
        <v>126096.5</v>
      </c>
      <c r="F1403" t="s">
        <v>3156</v>
      </c>
      <c r="G1403" t="s">
        <v>90</v>
      </c>
      <c r="H1403" t="s">
        <v>14</v>
      </c>
    </row>
    <row r="1404" spans="1:8" x14ac:dyDescent="0.3">
      <c r="A1404" t="s">
        <v>45</v>
      </c>
      <c r="B1404" t="s">
        <v>135</v>
      </c>
      <c r="C1404" t="s">
        <v>22</v>
      </c>
      <c r="D1404" t="s">
        <v>51</v>
      </c>
      <c r="E1404" s="5">
        <v>100950</v>
      </c>
      <c r="F1404" t="s">
        <v>2975</v>
      </c>
      <c r="G1404" t="s">
        <v>794</v>
      </c>
      <c r="H1404" t="s">
        <v>16</v>
      </c>
    </row>
    <row r="1405" spans="1:8" x14ac:dyDescent="0.3">
      <c r="A1405" t="s">
        <v>40</v>
      </c>
      <c r="B1405" t="s">
        <v>54</v>
      </c>
      <c r="C1405" t="s">
        <v>14</v>
      </c>
      <c r="D1405" t="s">
        <v>51</v>
      </c>
      <c r="E1405" s="5">
        <v>126039.5</v>
      </c>
      <c r="F1405" t="s">
        <v>427</v>
      </c>
      <c r="G1405" t="s">
        <v>101</v>
      </c>
      <c r="H1405" t="s">
        <v>14</v>
      </c>
    </row>
    <row r="1406" spans="1:8" x14ac:dyDescent="0.3">
      <c r="A1406" t="s">
        <v>45</v>
      </c>
      <c r="B1406" t="s">
        <v>35</v>
      </c>
      <c r="C1406" t="s">
        <v>27</v>
      </c>
      <c r="D1406" t="s">
        <v>51</v>
      </c>
      <c r="E1406" s="5">
        <v>164119</v>
      </c>
      <c r="F1406" t="s">
        <v>1939</v>
      </c>
      <c r="G1406" t="s">
        <v>80</v>
      </c>
      <c r="H1406" t="s">
        <v>16</v>
      </c>
    </row>
    <row r="1407" spans="1:8" x14ac:dyDescent="0.3">
      <c r="A1407" t="s">
        <v>34</v>
      </c>
      <c r="B1407" t="s">
        <v>135</v>
      </c>
      <c r="C1407" t="s">
        <v>14</v>
      </c>
      <c r="D1407" t="s">
        <v>15</v>
      </c>
      <c r="E1407" s="5">
        <v>101909</v>
      </c>
      <c r="F1407" t="s">
        <v>1039</v>
      </c>
      <c r="G1407" t="s">
        <v>70</v>
      </c>
      <c r="H1407" t="s">
        <v>14</v>
      </c>
    </row>
    <row r="1408" spans="1:8" x14ac:dyDescent="0.3">
      <c r="A1408" t="s">
        <v>49</v>
      </c>
      <c r="B1408" t="s">
        <v>20</v>
      </c>
      <c r="C1408" t="s">
        <v>22</v>
      </c>
      <c r="D1408" t="s">
        <v>51</v>
      </c>
      <c r="E1408" s="5">
        <v>97376.5</v>
      </c>
      <c r="F1408" t="s">
        <v>438</v>
      </c>
      <c r="G1408" t="s">
        <v>439</v>
      </c>
      <c r="H1408" t="s">
        <v>69</v>
      </c>
    </row>
    <row r="1409" spans="1:8" x14ac:dyDescent="0.3">
      <c r="A1409" t="s">
        <v>72</v>
      </c>
      <c r="B1409" t="s">
        <v>25</v>
      </c>
      <c r="C1409" t="s">
        <v>14</v>
      </c>
      <c r="D1409" t="s">
        <v>51</v>
      </c>
      <c r="E1409" s="5">
        <v>97518</v>
      </c>
      <c r="F1409" t="s">
        <v>1395</v>
      </c>
      <c r="G1409" t="s">
        <v>90</v>
      </c>
      <c r="H1409" t="s">
        <v>69</v>
      </c>
    </row>
    <row r="1410" spans="1:8" x14ac:dyDescent="0.3">
      <c r="A1410" t="s">
        <v>72</v>
      </c>
      <c r="B1410" t="s">
        <v>54</v>
      </c>
      <c r="C1410" t="s">
        <v>27</v>
      </c>
      <c r="D1410" t="s">
        <v>37</v>
      </c>
      <c r="E1410" s="5">
        <v>124873.5</v>
      </c>
      <c r="F1410" t="s">
        <v>4039</v>
      </c>
      <c r="G1410" t="s">
        <v>80</v>
      </c>
      <c r="H1410" t="s">
        <v>14</v>
      </c>
    </row>
    <row r="1411" spans="1:8" x14ac:dyDescent="0.3">
      <c r="A1411" t="s">
        <v>40</v>
      </c>
      <c r="B1411" t="s">
        <v>20</v>
      </c>
      <c r="C1411" t="s">
        <v>14</v>
      </c>
      <c r="D1411" t="s">
        <v>15</v>
      </c>
      <c r="E1411" s="5">
        <v>107029</v>
      </c>
      <c r="F1411" t="s">
        <v>1777</v>
      </c>
      <c r="G1411" t="s">
        <v>80</v>
      </c>
      <c r="H1411" t="s">
        <v>69</v>
      </c>
    </row>
    <row r="1412" spans="1:8" x14ac:dyDescent="0.3">
      <c r="A1412" t="s">
        <v>49</v>
      </c>
      <c r="B1412" t="s">
        <v>30</v>
      </c>
      <c r="C1412" t="s">
        <v>27</v>
      </c>
      <c r="D1412" t="s">
        <v>51</v>
      </c>
      <c r="E1412" s="5">
        <v>99725</v>
      </c>
      <c r="F1412" t="s">
        <v>3037</v>
      </c>
      <c r="G1412" t="s">
        <v>985</v>
      </c>
      <c r="H1412" t="s">
        <v>16</v>
      </c>
    </row>
    <row r="1413" spans="1:8" x14ac:dyDescent="0.3">
      <c r="A1413" t="s">
        <v>49</v>
      </c>
      <c r="B1413" t="s">
        <v>20</v>
      </c>
      <c r="C1413" t="s">
        <v>27</v>
      </c>
      <c r="D1413" t="s">
        <v>42</v>
      </c>
      <c r="E1413" s="5">
        <v>164636</v>
      </c>
      <c r="F1413" t="s">
        <v>509</v>
      </c>
      <c r="G1413" t="s">
        <v>80</v>
      </c>
      <c r="H1413" t="s">
        <v>14</v>
      </c>
    </row>
    <row r="1414" spans="1:8" x14ac:dyDescent="0.3">
      <c r="A1414" t="s">
        <v>72</v>
      </c>
      <c r="B1414" t="s">
        <v>67</v>
      </c>
      <c r="C1414" t="s">
        <v>27</v>
      </c>
      <c r="D1414" t="s">
        <v>15</v>
      </c>
      <c r="E1414" s="5">
        <v>159086.5</v>
      </c>
      <c r="F1414" t="s">
        <v>2060</v>
      </c>
      <c r="G1414" t="s">
        <v>526</v>
      </c>
      <c r="H1414" t="s">
        <v>16</v>
      </c>
    </row>
    <row r="1415" spans="1:8" x14ac:dyDescent="0.3">
      <c r="A1415" t="s">
        <v>45</v>
      </c>
      <c r="B1415" t="s">
        <v>30</v>
      </c>
      <c r="C1415" t="s">
        <v>27</v>
      </c>
      <c r="D1415" t="s">
        <v>15</v>
      </c>
      <c r="E1415" s="5">
        <v>127538</v>
      </c>
      <c r="F1415" t="s">
        <v>2442</v>
      </c>
      <c r="G1415" t="s">
        <v>255</v>
      </c>
      <c r="H1415" t="s">
        <v>69</v>
      </c>
    </row>
    <row r="1416" spans="1:8" x14ac:dyDescent="0.3">
      <c r="A1416" t="s">
        <v>34</v>
      </c>
      <c r="B1416" t="s">
        <v>67</v>
      </c>
      <c r="C1416" t="s">
        <v>22</v>
      </c>
      <c r="D1416" t="s">
        <v>15</v>
      </c>
      <c r="E1416" s="5">
        <v>164228</v>
      </c>
      <c r="F1416" t="s">
        <v>4006</v>
      </c>
      <c r="G1416" t="s">
        <v>2046</v>
      </c>
      <c r="H1416" t="s">
        <v>14</v>
      </c>
    </row>
    <row r="1417" spans="1:8" x14ac:dyDescent="0.3">
      <c r="A1417" t="s">
        <v>34</v>
      </c>
      <c r="B1417" t="s">
        <v>67</v>
      </c>
      <c r="C1417" t="s">
        <v>22</v>
      </c>
      <c r="D1417" t="s">
        <v>15</v>
      </c>
      <c r="E1417" s="5">
        <v>104649.5</v>
      </c>
      <c r="F1417" t="s">
        <v>3766</v>
      </c>
      <c r="G1417" t="s">
        <v>2905</v>
      </c>
      <c r="H1417" t="s">
        <v>69</v>
      </c>
    </row>
    <row r="1418" spans="1:8" x14ac:dyDescent="0.3">
      <c r="A1418" t="s">
        <v>72</v>
      </c>
      <c r="B1418" t="s">
        <v>54</v>
      </c>
      <c r="C1418" t="s">
        <v>14</v>
      </c>
      <c r="D1418" t="s">
        <v>51</v>
      </c>
      <c r="E1418" s="5">
        <v>165557</v>
      </c>
      <c r="F1418" t="s">
        <v>1597</v>
      </c>
      <c r="G1418" t="s">
        <v>70</v>
      </c>
      <c r="H1418" t="s">
        <v>16</v>
      </c>
    </row>
    <row r="1419" spans="1:8" x14ac:dyDescent="0.3">
      <c r="A1419" t="s">
        <v>45</v>
      </c>
      <c r="B1419" t="s">
        <v>135</v>
      </c>
      <c r="C1419" t="s">
        <v>14</v>
      </c>
      <c r="D1419" t="s">
        <v>51</v>
      </c>
      <c r="E1419" s="5">
        <v>55346.5</v>
      </c>
      <c r="F1419" t="s">
        <v>1297</v>
      </c>
      <c r="G1419" t="s">
        <v>1298</v>
      </c>
      <c r="H1419" t="s">
        <v>16</v>
      </c>
    </row>
    <row r="1420" spans="1:8" x14ac:dyDescent="0.3">
      <c r="A1420" t="s">
        <v>19</v>
      </c>
      <c r="B1420" t="s">
        <v>25</v>
      </c>
      <c r="C1420" t="s">
        <v>27</v>
      </c>
      <c r="D1420" t="s">
        <v>37</v>
      </c>
      <c r="E1420" s="5">
        <v>82120</v>
      </c>
      <c r="F1420" t="s">
        <v>583</v>
      </c>
      <c r="G1420" t="s">
        <v>546</v>
      </c>
      <c r="H1420" t="s">
        <v>14</v>
      </c>
    </row>
    <row r="1421" spans="1:8" x14ac:dyDescent="0.3">
      <c r="A1421" t="s">
        <v>11</v>
      </c>
      <c r="B1421" t="s">
        <v>135</v>
      </c>
      <c r="C1421" t="s">
        <v>27</v>
      </c>
      <c r="D1421" t="s">
        <v>51</v>
      </c>
      <c r="E1421" s="5">
        <v>119939</v>
      </c>
      <c r="F1421" t="s">
        <v>504</v>
      </c>
      <c r="G1421" t="s">
        <v>362</v>
      </c>
      <c r="H1421" t="s">
        <v>69</v>
      </c>
    </row>
    <row r="1422" spans="1:8" x14ac:dyDescent="0.3">
      <c r="A1422" t="s">
        <v>11</v>
      </c>
      <c r="B1422" t="s">
        <v>35</v>
      </c>
      <c r="C1422" t="s">
        <v>22</v>
      </c>
      <c r="D1422" t="s">
        <v>37</v>
      </c>
      <c r="E1422" s="5">
        <v>58967.5</v>
      </c>
      <c r="F1422" t="s">
        <v>2402</v>
      </c>
      <c r="G1422" t="s">
        <v>938</v>
      </c>
      <c r="H1422" t="s">
        <v>14</v>
      </c>
    </row>
    <row r="1423" spans="1:8" x14ac:dyDescent="0.3">
      <c r="A1423" t="s">
        <v>40</v>
      </c>
      <c r="B1423" t="s">
        <v>20</v>
      </c>
      <c r="C1423" t="s">
        <v>22</v>
      </c>
      <c r="D1423" t="s">
        <v>42</v>
      </c>
      <c r="E1423" s="5">
        <v>112227</v>
      </c>
      <c r="F1423" t="s">
        <v>566</v>
      </c>
      <c r="G1423" t="s">
        <v>378</v>
      </c>
      <c r="H1423" t="s">
        <v>14</v>
      </c>
    </row>
    <row r="1424" spans="1:8" x14ac:dyDescent="0.3">
      <c r="A1424" t="s">
        <v>49</v>
      </c>
      <c r="B1424" t="s">
        <v>67</v>
      </c>
      <c r="C1424" t="s">
        <v>27</v>
      </c>
      <c r="D1424" t="s">
        <v>15</v>
      </c>
      <c r="E1424" s="5">
        <v>129042.5</v>
      </c>
      <c r="F1424" t="s">
        <v>3239</v>
      </c>
      <c r="G1424" t="s">
        <v>1527</v>
      </c>
      <c r="H1424" t="s">
        <v>16</v>
      </c>
    </row>
    <row r="1425" spans="1:8" x14ac:dyDescent="0.3">
      <c r="A1425" t="s">
        <v>40</v>
      </c>
      <c r="B1425" t="s">
        <v>20</v>
      </c>
      <c r="C1425" t="s">
        <v>27</v>
      </c>
      <c r="D1425" t="s">
        <v>42</v>
      </c>
      <c r="E1425" s="5">
        <v>80276</v>
      </c>
      <c r="F1425" t="s">
        <v>1249</v>
      </c>
      <c r="G1425" t="s">
        <v>928</v>
      </c>
      <c r="H1425" t="s">
        <v>69</v>
      </c>
    </row>
    <row r="1426" spans="1:8" x14ac:dyDescent="0.3">
      <c r="A1426" t="s">
        <v>45</v>
      </c>
      <c r="B1426" t="s">
        <v>20</v>
      </c>
      <c r="C1426" t="s">
        <v>27</v>
      </c>
      <c r="D1426" t="s">
        <v>15</v>
      </c>
      <c r="E1426" s="5">
        <v>56714</v>
      </c>
      <c r="F1426" t="s">
        <v>3318</v>
      </c>
      <c r="G1426" t="s">
        <v>1674</v>
      </c>
      <c r="H1426" t="s">
        <v>16</v>
      </c>
    </row>
    <row r="1427" spans="1:8" x14ac:dyDescent="0.3">
      <c r="A1427" t="s">
        <v>49</v>
      </c>
      <c r="B1427" t="s">
        <v>25</v>
      </c>
      <c r="C1427" t="s">
        <v>27</v>
      </c>
      <c r="D1427" t="s">
        <v>15</v>
      </c>
      <c r="E1427" s="5">
        <v>144737</v>
      </c>
      <c r="F1427" t="s">
        <v>308</v>
      </c>
      <c r="G1427" t="s">
        <v>157</v>
      </c>
      <c r="H1427" t="s">
        <v>14</v>
      </c>
    </row>
    <row r="1428" spans="1:8" x14ac:dyDescent="0.3">
      <c r="A1428" t="s">
        <v>11</v>
      </c>
      <c r="B1428" t="s">
        <v>12</v>
      </c>
      <c r="C1428" t="s">
        <v>27</v>
      </c>
      <c r="D1428" t="s">
        <v>37</v>
      </c>
      <c r="E1428" s="5">
        <v>91839</v>
      </c>
      <c r="F1428" t="s">
        <v>740</v>
      </c>
      <c r="G1428" t="s">
        <v>47</v>
      </c>
      <c r="H1428" t="s">
        <v>69</v>
      </c>
    </row>
    <row r="1429" spans="1:8" x14ac:dyDescent="0.3">
      <c r="A1429" t="s">
        <v>72</v>
      </c>
      <c r="B1429" t="s">
        <v>35</v>
      </c>
      <c r="C1429" t="s">
        <v>27</v>
      </c>
      <c r="D1429" t="s">
        <v>42</v>
      </c>
      <c r="E1429" s="5">
        <v>106557.5</v>
      </c>
      <c r="F1429" t="s">
        <v>2964</v>
      </c>
      <c r="G1429" t="s">
        <v>2706</v>
      </c>
      <c r="H1429" t="s">
        <v>16</v>
      </c>
    </row>
    <row r="1430" spans="1:8" x14ac:dyDescent="0.3">
      <c r="A1430" t="s">
        <v>11</v>
      </c>
      <c r="B1430" t="s">
        <v>135</v>
      </c>
      <c r="C1430" t="s">
        <v>27</v>
      </c>
      <c r="D1430" t="s">
        <v>51</v>
      </c>
      <c r="E1430" s="5">
        <v>122818</v>
      </c>
      <c r="F1430" t="s">
        <v>1349</v>
      </c>
      <c r="G1430" t="s">
        <v>1350</v>
      </c>
      <c r="H1430" t="s">
        <v>16</v>
      </c>
    </row>
    <row r="1431" spans="1:8" x14ac:dyDescent="0.3">
      <c r="A1431" t="s">
        <v>49</v>
      </c>
      <c r="B1431" t="s">
        <v>35</v>
      </c>
      <c r="C1431" t="s">
        <v>22</v>
      </c>
      <c r="D1431" t="s">
        <v>15</v>
      </c>
      <c r="E1431" s="5">
        <v>121501</v>
      </c>
      <c r="F1431" t="s">
        <v>3579</v>
      </c>
      <c r="G1431" t="s">
        <v>122</v>
      </c>
      <c r="H1431" t="s">
        <v>16</v>
      </c>
    </row>
    <row r="1432" spans="1:8" x14ac:dyDescent="0.3">
      <c r="A1432" t="s">
        <v>19</v>
      </c>
      <c r="B1432" t="s">
        <v>30</v>
      </c>
      <c r="C1432" t="s">
        <v>27</v>
      </c>
      <c r="D1432" t="s">
        <v>51</v>
      </c>
      <c r="E1432" s="5">
        <v>86841</v>
      </c>
      <c r="F1432" t="s">
        <v>3592</v>
      </c>
      <c r="G1432" t="s">
        <v>70</v>
      </c>
      <c r="H1432" t="s">
        <v>14</v>
      </c>
    </row>
    <row r="1433" spans="1:8" x14ac:dyDescent="0.3">
      <c r="A1433" t="s">
        <v>40</v>
      </c>
      <c r="B1433" t="s">
        <v>12</v>
      </c>
      <c r="C1433" t="s">
        <v>14</v>
      </c>
      <c r="D1433" t="s">
        <v>51</v>
      </c>
      <c r="E1433" s="5">
        <v>96104.5</v>
      </c>
      <c r="F1433" t="s">
        <v>4020</v>
      </c>
      <c r="G1433" t="s">
        <v>268</v>
      </c>
      <c r="H1433" t="s">
        <v>14</v>
      </c>
    </row>
    <row r="1434" spans="1:8" x14ac:dyDescent="0.3">
      <c r="A1434" t="s">
        <v>40</v>
      </c>
      <c r="B1434" t="s">
        <v>30</v>
      </c>
      <c r="C1434" t="s">
        <v>22</v>
      </c>
      <c r="D1434" t="s">
        <v>15</v>
      </c>
      <c r="E1434" s="5">
        <v>151538</v>
      </c>
      <c r="F1434" t="s">
        <v>4230</v>
      </c>
      <c r="G1434" t="s">
        <v>125</v>
      </c>
      <c r="H1434" t="s">
        <v>16</v>
      </c>
    </row>
    <row r="1435" spans="1:8" x14ac:dyDescent="0.3">
      <c r="A1435" t="s">
        <v>45</v>
      </c>
      <c r="B1435" t="s">
        <v>67</v>
      </c>
      <c r="C1435" t="s">
        <v>14</v>
      </c>
      <c r="D1435" t="s">
        <v>37</v>
      </c>
      <c r="E1435" s="5">
        <v>170122</v>
      </c>
      <c r="F1435" t="s">
        <v>346</v>
      </c>
      <c r="G1435" t="s">
        <v>347</v>
      </c>
      <c r="H1435" t="s">
        <v>14</v>
      </c>
    </row>
    <row r="1436" spans="1:8" x14ac:dyDescent="0.3">
      <c r="A1436" t="s">
        <v>11</v>
      </c>
      <c r="B1436" t="s">
        <v>35</v>
      </c>
      <c r="C1436" t="s">
        <v>22</v>
      </c>
      <c r="D1436" t="s">
        <v>15</v>
      </c>
      <c r="E1436" s="5">
        <v>95757.5</v>
      </c>
      <c r="F1436" t="s">
        <v>554</v>
      </c>
      <c r="G1436" t="s">
        <v>90</v>
      </c>
      <c r="H1436" t="s">
        <v>69</v>
      </c>
    </row>
    <row r="1437" spans="1:8" x14ac:dyDescent="0.3">
      <c r="A1437" t="s">
        <v>19</v>
      </c>
      <c r="B1437" t="s">
        <v>25</v>
      </c>
      <c r="C1437" t="s">
        <v>27</v>
      </c>
      <c r="D1437" t="s">
        <v>15</v>
      </c>
      <c r="E1437" s="5">
        <v>82620.5</v>
      </c>
      <c r="F1437" t="s">
        <v>904</v>
      </c>
      <c r="G1437" t="s">
        <v>128</v>
      </c>
      <c r="H1437" t="s">
        <v>16</v>
      </c>
    </row>
    <row r="1438" spans="1:8" x14ac:dyDescent="0.3">
      <c r="A1438" t="s">
        <v>49</v>
      </c>
      <c r="B1438" t="s">
        <v>54</v>
      </c>
      <c r="C1438" t="s">
        <v>27</v>
      </c>
      <c r="D1438" t="s">
        <v>37</v>
      </c>
      <c r="E1438" s="5">
        <v>98936</v>
      </c>
      <c r="F1438" t="s">
        <v>891</v>
      </c>
      <c r="G1438" t="s">
        <v>892</v>
      </c>
      <c r="H1438" t="s">
        <v>16</v>
      </c>
    </row>
    <row r="1439" spans="1:8" x14ac:dyDescent="0.3">
      <c r="A1439" t="s">
        <v>40</v>
      </c>
      <c r="B1439" t="s">
        <v>30</v>
      </c>
      <c r="C1439" t="s">
        <v>14</v>
      </c>
      <c r="D1439" t="s">
        <v>15</v>
      </c>
      <c r="E1439" s="5">
        <v>107283.5</v>
      </c>
      <c r="F1439" t="s">
        <v>3644</v>
      </c>
      <c r="G1439" t="s">
        <v>450</v>
      </c>
      <c r="H1439" t="s">
        <v>16</v>
      </c>
    </row>
    <row r="1440" spans="1:8" x14ac:dyDescent="0.3">
      <c r="A1440" t="s">
        <v>45</v>
      </c>
      <c r="B1440" t="s">
        <v>135</v>
      </c>
      <c r="C1440" t="s">
        <v>14</v>
      </c>
      <c r="D1440" t="s">
        <v>15</v>
      </c>
      <c r="E1440" s="5">
        <v>182329.5</v>
      </c>
      <c r="F1440" t="s">
        <v>1436</v>
      </c>
      <c r="G1440" t="s">
        <v>1437</v>
      </c>
      <c r="H1440" t="s">
        <v>69</v>
      </c>
    </row>
    <row r="1441" spans="1:8" x14ac:dyDescent="0.3">
      <c r="A1441" t="s">
        <v>72</v>
      </c>
      <c r="B1441" t="s">
        <v>20</v>
      </c>
      <c r="C1441" t="s">
        <v>22</v>
      </c>
      <c r="D1441" t="s">
        <v>42</v>
      </c>
      <c r="E1441" s="5">
        <v>123066</v>
      </c>
      <c r="F1441" t="s">
        <v>1099</v>
      </c>
      <c r="G1441" t="s">
        <v>52</v>
      </c>
      <c r="H1441" t="s">
        <v>69</v>
      </c>
    </row>
    <row r="1442" spans="1:8" x14ac:dyDescent="0.3">
      <c r="A1442" t="s">
        <v>72</v>
      </c>
      <c r="B1442" t="s">
        <v>25</v>
      </c>
      <c r="C1442" t="s">
        <v>14</v>
      </c>
      <c r="D1442" t="s">
        <v>37</v>
      </c>
      <c r="E1442" s="5">
        <v>54613</v>
      </c>
      <c r="F1442" t="s">
        <v>689</v>
      </c>
      <c r="G1442" t="s">
        <v>690</v>
      </c>
      <c r="H1442" t="s">
        <v>69</v>
      </c>
    </row>
    <row r="1443" spans="1:8" x14ac:dyDescent="0.3">
      <c r="A1443" t="s">
        <v>40</v>
      </c>
      <c r="B1443" t="s">
        <v>20</v>
      </c>
      <c r="C1443" t="s">
        <v>14</v>
      </c>
      <c r="D1443" t="s">
        <v>42</v>
      </c>
      <c r="E1443" s="5">
        <v>167099.5</v>
      </c>
      <c r="F1443" t="s">
        <v>1147</v>
      </c>
      <c r="G1443" t="s">
        <v>80</v>
      </c>
      <c r="H1443" t="s">
        <v>16</v>
      </c>
    </row>
    <row r="1444" spans="1:8" x14ac:dyDescent="0.3">
      <c r="A1444" t="s">
        <v>19</v>
      </c>
      <c r="B1444" t="s">
        <v>54</v>
      </c>
      <c r="C1444" t="s">
        <v>14</v>
      </c>
      <c r="D1444" t="s">
        <v>37</v>
      </c>
      <c r="E1444" s="5">
        <v>85361</v>
      </c>
      <c r="F1444" t="s">
        <v>1282</v>
      </c>
      <c r="G1444" t="s">
        <v>1283</v>
      </c>
      <c r="H1444" t="s">
        <v>69</v>
      </c>
    </row>
    <row r="1445" spans="1:8" x14ac:dyDescent="0.3">
      <c r="A1445" t="s">
        <v>34</v>
      </c>
      <c r="B1445" t="s">
        <v>20</v>
      </c>
      <c r="C1445" t="s">
        <v>14</v>
      </c>
      <c r="D1445" t="s">
        <v>37</v>
      </c>
      <c r="E1445" s="5">
        <v>137609</v>
      </c>
      <c r="F1445" t="s">
        <v>1725</v>
      </c>
      <c r="G1445" t="s">
        <v>847</v>
      </c>
      <c r="H1445" t="s">
        <v>69</v>
      </c>
    </row>
    <row r="1446" spans="1:8" x14ac:dyDescent="0.3">
      <c r="A1446" t="s">
        <v>45</v>
      </c>
      <c r="B1446" t="s">
        <v>54</v>
      </c>
      <c r="C1446" t="s">
        <v>27</v>
      </c>
      <c r="D1446" t="s">
        <v>42</v>
      </c>
      <c r="E1446" s="5">
        <v>72501</v>
      </c>
      <c r="F1446" t="s">
        <v>4179</v>
      </c>
      <c r="G1446" t="s">
        <v>229</v>
      </c>
      <c r="H1446" t="s">
        <v>16</v>
      </c>
    </row>
    <row r="1447" spans="1:8" x14ac:dyDescent="0.3">
      <c r="A1447" t="s">
        <v>34</v>
      </c>
      <c r="B1447" t="s">
        <v>135</v>
      </c>
      <c r="C1447" t="s">
        <v>14</v>
      </c>
      <c r="D1447" t="s">
        <v>37</v>
      </c>
      <c r="E1447" s="5">
        <v>89558.5</v>
      </c>
      <c r="F1447" t="s">
        <v>2615</v>
      </c>
      <c r="G1447" t="s">
        <v>826</v>
      </c>
      <c r="H1447" t="s">
        <v>14</v>
      </c>
    </row>
    <row r="1448" spans="1:8" x14ac:dyDescent="0.3">
      <c r="A1448" t="s">
        <v>34</v>
      </c>
      <c r="B1448" t="s">
        <v>25</v>
      </c>
      <c r="C1448" t="s">
        <v>27</v>
      </c>
      <c r="D1448" t="s">
        <v>37</v>
      </c>
      <c r="E1448" s="5">
        <v>58912</v>
      </c>
      <c r="F1448" t="s">
        <v>3390</v>
      </c>
      <c r="G1448" t="s">
        <v>3391</v>
      </c>
      <c r="H1448" t="s">
        <v>14</v>
      </c>
    </row>
    <row r="1449" spans="1:8" x14ac:dyDescent="0.3">
      <c r="A1449" t="s">
        <v>19</v>
      </c>
      <c r="B1449" t="s">
        <v>12</v>
      </c>
      <c r="C1449" t="s">
        <v>22</v>
      </c>
      <c r="D1449" t="s">
        <v>51</v>
      </c>
      <c r="E1449" s="5">
        <v>96137</v>
      </c>
      <c r="F1449" t="s">
        <v>3706</v>
      </c>
      <c r="G1449" t="s">
        <v>338</v>
      </c>
      <c r="H1449" t="s">
        <v>14</v>
      </c>
    </row>
    <row r="1450" spans="1:8" x14ac:dyDescent="0.3">
      <c r="A1450" t="s">
        <v>11</v>
      </c>
      <c r="B1450" t="s">
        <v>135</v>
      </c>
      <c r="C1450" t="s">
        <v>22</v>
      </c>
      <c r="D1450" t="s">
        <v>51</v>
      </c>
      <c r="E1450" s="5">
        <v>172099.5</v>
      </c>
      <c r="F1450" t="s">
        <v>3718</v>
      </c>
      <c r="G1450" t="s">
        <v>52</v>
      </c>
      <c r="H1450" t="s">
        <v>69</v>
      </c>
    </row>
    <row r="1451" spans="1:8" x14ac:dyDescent="0.3">
      <c r="A1451" t="s">
        <v>11</v>
      </c>
      <c r="B1451" t="s">
        <v>35</v>
      </c>
      <c r="C1451" t="s">
        <v>14</v>
      </c>
      <c r="D1451" t="s">
        <v>42</v>
      </c>
      <c r="E1451" s="5">
        <v>185408</v>
      </c>
      <c r="F1451" t="s">
        <v>3844</v>
      </c>
      <c r="G1451" t="s">
        <v>128</v>
      </c>
      <c r="H1451" t="s">
        <v>14</v>
      </c>
    </row>
    <row r="1452" spans="1:8" x14ac:dyDescent="0.3">
      <c r="A1452" t="s">
        <v>11</v>
      </c>
      <c r="B1452" t="s">
        <v>67</v>
      </c>
      <c r="C1452" t="s">
        <v>14</v>
      </c>
      <c r="D1452" t="s">
        <v>51</v>
      </c>
      <c r="E1452" s="5">
        <v>99766.5</v>
      </c>
      <c r="F1452" t="s">
        <v>103</v>
      </c>
      <c r="G1452" t="s">
        <v>77</v>
      </c>
      <c r="H1452" t="s">
        <v>14</v>
      </c>
    </row>
    <row r="1453" spans="1:8" x14ac:dyDescent="0.3">
      <c r="A1453" t="s">
        <v>40</v>
      </c>
      <c r="B1453" t="s">
        <v>20</v>
      </c>
      <c r="C1453" t="s">
        <v>14</v>
      </c>
      <c r="D1453" t="s">
        <v>42</v>
      </c>
      <c r="E1453" s="5">
        <v>71957</v>
      </c>
      <c r="F1453" t="s">
        <v>2151</v>
      </c>
      <c r="G1453" t="s">
        <v>101</v>
      </c>
      <c r="H1453" t="s">
        <v>16</v>
      </c>
    </row>
    <row r="1454" spans="1:8" x14ac:dyDescent="0.3">
      <c r="A1454" t="s">
        <v>34</v>
      </c>
      <c r="B1454" t="s">
        <v>135</v>
      </c>
      <c r="C1454" t="s">
        <v>14</v>
      </c>
      <c r="D1454" t="s">
        <v>15</v>
      </c>
      <c r="E1454" s="5">
        <v>138980.5</v>
      </c>
      <c r="F1454" t="s">
        <v>3728</v>
      </c>
      <c r="G1454" t="s">
        <v>80</v>
      </c>
      <c r="H1454" t="s">
        <v>14</v>
      </c>
    </row>
    <row r="1455" spans="1:8" x14ac:dyDescent="0.3">
      <c r="A1455" t="s">
        <v>34</v>
      </c>
      <c r="B1455" t="s">
        <v>135</v>
      </c>
      <c r="C1455" t="s">
        <v>27</v>
      </c>
      <c r="D1455" t="s">
        <v>51</v>
      </c>
      <c r="E1455" s="5">
        <v>149552</v>
      </c>
      <c r="F1455" t="s">
        <v>275</v>
      </c>
      <c r="G1455" t="s">
        <v>17</v>
      </c>
      <c r="H1455" t="s">
        <v>69</v>
      </c>
    </row>
    <row r="1456" spans="1:8" x14ac:dyDescent="0.3">
      <c r="A1456" t="s">
        <v>34</v>
      </c>
      <c r="B1456" t="s">
        <v>20</v>
      </c>
      <c r="C1456" t="s">
        <v>14</v>
      </c>
      <c r="D1456" t="s">
        <v>37</v>
      </c>
      <c r="E1456" s="5">
        <v>177820</v>
      </c>
      <c r="F1456" t="s">
        <v>295</v>
      </c>
      <c r="G1456" t="s">
        <v>296</v>
      </c>
      <c r="H1456" t="s">
        <v>16</v>
      </c>
    </row>
    <row r="1457" spans="1:8" x14ac:dyDescent="0.3">
      <c r="A1457" t="s">
        <v>49</v>
      </c>
      <c r="B1457" t="s">
        <v>12</v>
      </c>
      <c r="C1457" t="s">
        <v>22</v>
      </c>
      <c r="D1457" t="s">
        <v>51</v>
      </c>
      <c r="E1457" s="5">
        <v>95503.5</v>
      </c>
      <c r="F1457" t="s">
        <v>3996</v>
      </c>
      <c r="G1457" t="s">
        <v>353</v>
      </c>
      <c r="H1457" t="s">
        <v>69</v>
      </c>
    </row>
    <row r="1458" spans="1:8" x14ac:dyDescent="0.3">
      <c r="A1458" t="s">
        <v>34</v>
      </c>
      <c r="B1458" t="s">
        <v>20</v>
      </c>
      <c r="C1458" t="s">
        <v>27</v>
      </c>
      <c r="D1458" t="s">
        <v>37</v>
      </c>
      <c r="E1458" s="5">
        <v>56051</v>
      </c>
      <c r="F1458" t="s">
        <v>3414</v>
      </c>
      <c r="G1458" t="s">
        <v>847</v>
      </c>
      <c r="H1458" t="s">
        <v>14</v>
      </c>
    </row>
    <row r="1459" spans="1:8" x14ac:dyDescent="0.3">
      <c r="A1459" t="s">
        <v>72</v>
      </c>
      <c r="B1459" t="s">
        <v>135</v>
      </c>
      <c r="C1459" t="s">
        <v>22</v>
      </c>
      <c r="D1459" t="s">
        <v>15</v>
      </c>
      <c r="E1459" s="5">
        <v>90615</v>
      </c>
      <c r="F1459" t="s">
        <v>1432</v>
      </c>
      <c r="G1459" t="s">
        <v>353</v>
      </c>
      <c r="H1459" t="s">
        <v>14</v>
      </c>
    </row>
    <row r="1460" spans="1:8" x14ac:dyDescent="0.3">
      <c r="A1460" t="s">
        <v>45</v>
      </c>
      <c r="B1460" t="s">
        <v>12</v>
      </c>
      <c r="C1460" t="s">
        <v>27</v>
      </c>
      <c r="D1460" t="s">
        <v>42</v>
      </c>
      <c r="E1460" s="5">
        <v>174957.5</v>
      </c>
      <c r="F1460" t="s">
        <v>3160</v>
      </c>
      <c r="G1460" t="s">
        <v>23</v>
      </c>
      <c r="H1460" t="s">
        <v>14</v>
      </c>
    </row>
    <row r="1461" spans="1:8" x14ac:dyDescent="0.3">
      <c r="A1461" t="s">
        <v>11</v>
      </c>
      <c r="B1461" t="s">
        <v>35</v>
      </c>
      <c r="C1461" t="s">
        <v>27</v>
      </c>
      <c r="D1461" t="s">
        <v>15</v>
      </c>
      <c r="E1461" s="5">
        <v>146321.5</v>
      </c>
      <c r="F1461" t="s">
        <v>1721</v>
      </c>
      <c r="G1461" t="s">
        <v>362</v>
      </c>
      <c r="H1461" t="s">
        <v>14</v>
      </c>
    </row>
    <row r="1462" spans="1:8" x14ac:dyDescent="0.3">
      <c r="A1462" t="s">
        <v>34</v>
      </c>
      <c r="B1462" t="s">
        <v>35</v>
      </c>
      <c r="C1462" t="s">
        <v>14</v>
      </c>
      <c r="D1462" t="s">
        <v>42</v>
      </c>
      <c r="E1462" s="5">
        <v>87717</v>
      </c>
      <c r="F1462" t="s">
        <v>4200</v>
      </c>
      <c r="G1462" t="s">
        <v>2342</v>
      </c>
      <c r="H1462" t="s">
        <v>14</v>
      </c>
    </row>
    <row r="1463" spans="1:8" x14ac:dyDescent="0.3">
      <c r="A1463" t="s">
        <v>11</v>
      </c>
      <c r="B1463" t="s">
        <v>20</v>
      </c>
      <c r="C1463" t="s">
        <v>14</v>
      </c>
      <c r="D1463" t="s">
        <v>51</v>
      </c>
      <c r="E1463" s="5">
        <v>150204</v>
      </c>
      <c r="F1463" t="s">
        <v>3541</v>
      </c>
      <c r="G1463" t="s">
        <v>229</v>
      </c>
      <c r="H1463" t="s">
        <v>14</v>
      </c>
    </row>
    <row r="1464" spans="1:8" x14ac:dyDescent="0.3">
      <c r="A1464" t="s">
        <v>40</v>
      </c>
      <c r="B1464" t="s">
        <v>135</v>
      </c>
      <c r="C1464" t="s">
        <v>27</v>
      </c>
      <c r="D1464" t="s">
        <v>51</v>
      </c>
      <c r="E1464" s="5">
        <v>75883</v>
      </c>
      <c r="F1464" t="s">
        <v>781</v>
      </c>
      <c r="G1464" t="s">
        <v>319</v>
      </c>
      <c r="H1464" t="s">
        <v>14</v>
      </c>
    </row>
    <row r="1465" spans="1:8" x14ac:dyDescent="0.3">
      <c r="A1465" t="s">
        <v>40</v>
      </c>
      <c r="B1465" t="s">
        <v>12</v>
      </c>
      <c r="C1465" t="s">
        <v>22</v>
      </c>
      <c r="D1465" t="s">
        <v>42</v>
      </c>
      <c r="E1465" s="5">
        <v>139380.5</v>
      </c>
      <c r="F1465" t="s">
        <v>419</v>
      </c>
      <c r="G1465" t="s">
        <v>420</v>
      </c>
      <c r="H1465" t="s">
        <v>69</v>
      </c>
    </row>
    <row r="1466" spans="1:8" x14ac:dyDescent="0.3">
      <c r="A1466" t="s">
        <v>45</v>
      </c>
      <c r="B1466" t="s">
        <v>25</v>
      </c>
      <c r="C1466" t="s">
        <v>22</v>
      </c>
      <c r="D1466" t="s">
        <v>42</v>
      </c>
      <c r="E1466" s="5">
        <v>95213.5</v>
      </c>
      <c r="F1466" t="s">
        <v>419</v>
      </c>
      <c r="G1466" t="s">
        <v>526</v>
      </c>
      <c r="H1466" t="s">
        <v>14</v>
      </c>
    </row>
    <row r="1467" spans="1:8" x14ac:dyDescent="0.3">
      <c r="A1467" t="s">
        <v>40</v>
      </c>
      <c r="B1467" t="s">
        <v>35</v>
      </c>
      <c r="C1467" t="s">
        <v>27</v>
      </c>
      <c r="D1467" t="s">
        <v>15</v>
      </c>
      <c r="E1467" s="5">
        <v>136665.5</v>
      </c>
      <c r="F1467" t="s">
        <v>2761</v>
      </c>
      <c r="G1467" t="s">
        <v>677</v>
      </c>
      <c r="H1467" t="s">
        <v>16</v>
      </c>
    </row>
    <row r="1468" spans="1:8" x14ac:dyDescent="0.3">
      <c r="A1468" t="s">
        <v>72</v>
      </c>
      <c r="B1468" t="s">
        <v>54</v>
      </c>
      <c r="C1468" t="s">
        <v>22</v>
      </c>
      <c r="D1468" t="s">
        <v>15</v>
      </c>
      <c r="E1468" s="5">
        <v>69174</v>
      </c>
      <c r="F1468" t="s">
        <v>1872</v>
      </c>
      <c r="G1468" t="s">
        <v>52</v>
      </c>
      <c r="H1468" t="s">
        <v>69</v>
      </c>
    </row>
    <row r="1469" spans="1:8" x14ac:dyDescent="0.3">
      <c r="A1469" t="s">
        <v>11</v>
      </c>
      <c r="B1469" t="s">
        <v>54</v>
      </c>
      <c r="C1469" t="s">
        <v>22</v>
      </c>
      <c r="D1469" t="s">
        <v>51</v>
      </c>
      <c r="E1469" s="5">
        <v>163536</v>
      </c>
      <c r="F1469" t="s">
        <v>987</v>
      </c>
      <c r="G1469" t="s">
        <v>353</v>
      </c>
      <c r="H1469" t="s">
        <v>16</v>
      </c>
    </row>
    <row r="1470" spans="1:8" x14ac:dyDescent="0.3">
      <c r="A1470" t="s">
        <v>19</v>
      </c>
      <c r="B1470" t="s">
        <v>67</v>
      </c>
      <c r="C1470" t="s">
        <v>14</v>
      </c>
      <c r="D1470" t="s">
        <v>37</v>
      </c>
      <c r="E1470" s="5">
        <v>172856</v>
      </c>
      <c r="F1470" t="s">
        <v>1219</v>
      </c>
      <c r="G1470" t="s">
        <v>128</v>
      </c>
      <c r="H1470" t="s">
        <v>16</v>
      </c>
    </row>
    <row r="1471" spans="1:8" x14ac:dyDescent="0.3">
      <c r="A1471" t="s">
        <v>40</v>
      </c>
      <c r="B1471" t="s">
        <v>35</v>
      </c>
      <c r="C1471" t="s">
        <v>22</v>
      </c>
      <c r="D1471" t="s">
        <v>37</v>
      </c>
      <c r="E1471" s="5">
        <v>142204</v>
      </c>
      <c r="F1471" t="s">
        <v>2108</v>
      </c>
      <c r="G1471" t="s">
        <v>693</v>
      </c>
      <c r="H1471" t="s">
        <v>16</v>
      </c>
    </row>
    <row r="1472" spans="1:8" x14ac:dyDescent="0.3">
      <c r="A1472" t="s">
        <v>72</v>
      </c>
      <c r="B1472" t="s">
        <v>35</v>
      </c>
      <c r="C1472" t="s">
        <v>14</v>
      </c>
      <c r="D1472" t="s">
        <v>42</v>
      </c>
      <c r="E1472" s="5">
        <v>91022.5</v>
      </c>
      <c r="F1472" t="s">
        <v>2892</v>
      </c>
      <c r="G1472" t="s">
        <v>2893</v>
      </c>
      <c r="H1472" t="s">
        <v>69</v>
      </c>
    </row>
    <row r="1473" spans="1:8" x14ac:dyDescent="0.3">
      <c r="A1473" t="s">
        <v>19</v>
      </c>
      <c r="B1473" t="s">
        <v>20</v>
      </c>
      <c r="C1473" t="s">
        <v>14</v>
      </c>
      <c r="D1473" t="s">
        <v>37</v>
      </c>
      <c r="E1473" s="5">
        <v>105224.5</v>
      </c>
      <c r="F1473" t="s">
        <v>1633</v>
      </c>
      <c r="G1473" t="s">
        <v>507</v>
      </c>
      <c r="H1473" t="s">
        <v>16</v>
      </c>
    </row>
    <row r="1474" spans="1:8" x14ac:dyDescent="0.3">
      <c r="A1474" t="s">
        <v>72</v>
      </c>
      <c r="B1474" t="s">
        <v>12</v>
      </c>
      <c r="C1474" t="s">
        <v>22</v>
      </c>
      <c r="D1474" t="s">
        <v>42</v>
      </c>
      <c r="E1474" s="5">
        <v>177180</v>
      </c>
      <c r="F1474" t="s">
        <v>4061</v>
      </c>
      <c r="G1474" t="s">
        <v>70</v>
      </c>
      <c r="H1474" t="s">
        <v>16</v>
      </c>
    </row>
    <row r="1475" spans="1:8" x14ac:dyDescent="0.3">
      <c r="A1475" t="s">
        <v>49</v>
      </c>
      <c r="B1475" t="s">
        <v>25</v>
      </c>
      <c r="C1475" t="s">
        <v>27</v>
      </c>
      <c r="D1475" t="s">
        <v>15</v>
      </c>
      <c r="E1475" s="5">
        <v>90661</v>
      </c>
      <c r="F1475" t="s">
        <v>2413</v>
      </c>
      <c r="G1475" t="s">
        <v>591</v>
      </c>
      <c r="H1475" t="s">
        <v>14</v>
      </c>
    </row>
    <row r="1476" spans="1:8" x14ac:dyDescent="0.3">
      <c r="A1476" t="s">
        <v>45</v>
      </c>
      <c r="B1476" t="s">
        <v>20</v>
      </c>
      <c r="C1476" t="s">
        <v>22</v>
      </c>
      <c r="D1476" t="s">
        <v>51</v>
      </c>
      <c r="E1476" s="5">
        <v>151785.5</v>
      </c>
      <c r="F1476" t="s">
        <v>2134</v>
      </c>
      <c r="G1476" t="s">
        <v>52</v>
      </c>
      <c r="H1476" t="s">
        <v>16</v>
      </c>
    </row>
    <row r="1477" spans="1:8" x14ac:dyDescent="0.3">
      <c r="A1477" t="s">
        <v>19</v>
      </c>
      <c r="B1477" t="s">
        <v>67</v>
      </c>
      <c r="C1477" t="s">
        <v>22</v>
      </c>
      <c r="D1477" t="s">
        <v>51</v>
      </c>
      <c r="E1477" s="5">
        <v>96719</v>
      </c>
      <c r="F1477" t="s">
        <v>100</v>
      </c>
      <c r="G1477" t="s">
        <v>101</v>
      </c>
      <c r="H1477" t="s">
        <v>14</v>
      </c>
    </row>
    <row r="1478" spans="1:8" x14ac:dyDescent="0.3">
      <c r="A1478" t="s">
        <v>49</v>
      </c>
      <c r="B1478" t="s">
        <v>20</v>
      </c>
      <c r="C1478" t="s">
        <v>27</v>
      </c>
      <c r="D1478" t="s">
        <v>37</v>
      </c>
      <c r="E1478" s="5">
        <v>82124.5</v>
      </c>
      <c r="F1478" t="s">
        <v>3549</v>
      </c>
      <c r="G1478" t="s">
        <v>52</v>
      </c>
      <c r="H1478" t="s">
        <v>69</v>
      </c>
    </row>
    <row r="1479" spans="1:8" x14ac:dyDescent="0.3">
      <c r="A1479" t="s">
        <v>40</v>
      </c>
      <c r="B1479" t="s">
        <v>30</v>
      </c>
      <c r="C1479" t="s">
        <v>27</v>
      </c>
      <c r="D1479" t="s">
        <v>15</v>
      </c>
      <c r="E1479" s="5">
        <v>78558</v>
      </c>
      <c r="F1479" t="s">
        <v>1066</v>
      </c>
      <c r="G1479" t="s">
        <v>1067</v>
      </c>
      <c r="H1479" t="s">
        <v>14</v>
      </c>
    </row>
    <row r="1480" spans="1:8" x14ac:dyDescent="0.3">
      <c r="A1480" t="s">
        <v>34</v>
      </c>
      <c r="B1480" t="s">
        <v>25</v>
      </c>
      <c r="C1480" t="s">
        <v>22</v>
      </c>
      <c r="D1480" t="s">
        <v>15</v>
      </c>
      <c r="E1480" s="5">
        <v>138946.5</v>
      </c>
      <c r="F1480" t="s">
        <v>2850</v>
      </c>
      <c r="G1480" t="s">
        <v>101</v>
      </c>
      <c r="H1480" t="s">
        <v>69</v>
      </c>
    </row>
    <row r="1481" spans="1:8" x14ac:dyDescent="0.3">
      <c r="A1481" t="s">
        <v>45</v>
      </c>
      <c r="B1481" t="s">
        <v>135</v>
      </c>
      <c r="C1481" t="s">
        <v>14</v>
      </c>
      <c r="D1481" t="s">
        <v>42</v>
      </c>
      <c r="E1481" s="5">
        <v>176201.5</v>
      </c>
      <c r="F1481" t="s">
        <v>1784</v>
      </c>
      <c r="G1481" t="s">
        <v>293</v>
      </c>
      <c r="H1481" t="s">
        <v>14</v>
      </c>
    </row>
    <row r="1482" spans="1:8" x14ac:dyDescent="0.3">
      <c r="A1482" t="s">
        <v>45</v>
      </c>
      <c r="B1482" t="s">
        <v>67</v>
      </c>
      <c r="C1482" t="s">
        <v>22</v>
      </c>
      <c r="D1482" t="s">
        <v>15</v>
      </c>
      <c r="E1482" s="5">
        <v>94472.5</v>
      </c>
      <c r="F1482" t="s">
        <v>2904</v>
      </c>
      <c r="G1482" t="s">
        <v>2905</v>
      </c>
      <c r="H1482" t="s">
        <v>69</v>
      </c>
    </row>
    <row r="1483" spans="1:8" x14ac:dyDescent="0.3">
      <c r="A1483" t="s">
        <v>45</v>
      </c>
      <c r="B1483" t="s">
        <v>20</v>
      </c>
      <c r="C1483" t="s">
        <v>22</v>
      </c>
      <c r="D1483" t="s">
        <v>15</v>
      </c>
      <c r="E1483" s="5">
        <v>167177</v>
      </c>
      <c r="F1483" t="s">
        <v>3979</v>
      </c>
      <c r="G1483" t="s">
        <v>182</v>
      </c>
      <c r="H1483" t="s">
        <v>69</v>
      </c>
    </row>
    <row r="1484" spans="1:8" x14ac:dyDescent="0.3">
      <c r="A1484" t="s">
        <v>19</v>
      </c>
      <c r="B1484" t="s">
        <v>30</v>
      </c>
      <c r="C1484" t="s">
        <v>27</v>
      </c>
      <c r="D1484" t="s">
        <v>42</v>
      </c>
      <c r="E1484" s="5">
        <v>129693</v>
      </c>
      <c r="F1484" t="s">
        <v>624</v>
      </c>
      <c r="G1484" t="s">
        <v>216</v>
      </c>
      <c r="H1484" t="s">
        <v>14</v>
      </c>
    </row>
    <row r="1485" spans="1:8" x14ac:dyDescent="0.3">
      <c r="A1485" t="s">
        <v>34</v>
      </c>
      <c r="B1485" t="s">
        <v>35</v>
      </c>
      <c r="C1485" t="s">
        <v>14</v>
      </c>
      <c r="D1485" t="s">
        <v>51</v>
      </c>
      <c r="E1485" s="5">
        <v>136250</v>
      </c>
      <c r="F1485" t="s">
        <v>3027</v>
      </c>
      <c r="G1485" t="s">
        <v>59</v>
      </c>
      <c r="H1485" t="s">
        <v>14</v>
      </c>
    </row>
    <row r="1486" spans="1:8" x14ac:dyDescent="0.3">
      <c r="A1486" t="s">
        <v>11</v>
      </c>
      <c r="B1486" t="s">
        <v>67</v>
      </c>
      <c r="C1486" t="s">
        <v>27</v>
      </c>
      <c r="D1486" t="s">
        <v>51</v>
      </c>
      <c r="E1486" s="5">
        <v>119864.5</v>
      </c>
      <c r="F1486" t="s">
        <v>1571</v>
      </c>
      <c r="G1486" t="s">
        <v>52</v>
      </c>
      <c r="H1486" t="s">
        <v>14</v>
      </c>
    </row>
    <row r="1487" spans="1:8" x14ac:dyDescent="0.3">
      <c r="A1487" t="s">
        <v>19</v>
      </c>
      <c r="B1487" t="s">
        <v>20</v>
      </c>
      <c r="C1487" t="s">
        <v>14</v>
      </c>
      <c r="D1487" t="s">
        <v>51</v>
      </c>
      <c r="E1487" s="5">
        <v>97476</v>
      </c>
      <c r="F1487" t="s">
        <v>3614</v>
      </c>
      <c r="G1487" t="s">
        <v>17</v>
      </c>
      <c r="H1487" t="s">
        <v>69</v>
      </c>
    </row>
    <row r="1488" spans="1:8" x14ac:dyDescent="0.3">
      <c r="A1488" t="s">
        <v>45</v>
      </c>
      <c r="B1488" t="s">
        <v>12</v>
      </c>
      <c r="C1488" t="s">
        <v>27</v>
      </c>
      <c r="D1488" t="s">
        <v>51</v>
      </c>
      <c r="E1488" s="5">
        <v>152302</v>
      </c>
      <c r="F1488" t="s">
        <v>1493</v>
      </c>
      <c r="G1488" t="s">
        <v>1029</v>
      </c>
      <c r="H1488" t="s">
        <v>69</v>
      </c>
    </row>
    <row r="1489" spans="1:8" x14ac:dyDescent="0.3">
      <c r="A1489" t="s">
        <v>19</v>
      </c>
      <c r="B1489" t="s">
        <v>54</v>
      </c>
      <c r="C1489" t="s">
        <v>22</v>
      </c>
      <c r="D1489" t="s">
        <v>15</v>
      </c>
      <c r="E1489" s="5">
        <v>89763</v>
      </c>
      <c r="F1489" t="s">
        <v>1361</v>
      </c>
      <c r="G1489" t="s">
        <v>1362</v>
      </c>
      <c r="H1489" t="s">
        <v>69</v>
      </c>
    </row>
    <row r="1490" spans="1:8" x14ac:dyDescent="0.3">
      <c r="A1490" t="s">
        <v>45</v>
      </c>
      <c r="B1490" t="s">
        <v>25</v>
      </c>
      <c r="C1490" t="s">
        <v>27</v>
      </c>
      <c r="D1490" t="s">
        <v>15</v>
      </c>
      <c r="E1490" s="5">
        <v>101710.5</v>
      </c>
      <c r="F1490" t="s">
        <v>3653</v>
      </c>
      <c r="G1490" t="s">
        <v>17</v>
      </c>
      <c r="H1490" t="s">
        <v>69</v>
      </c>
    </row>
    <row r="1491" spans="1:8" x14ac:dyDescent="0.3">
      <c r="A1491" t="s">
        <v>11</v>
      </c>
      <c r="B1491" t="s">
        <v>25</v>
      </c>
      <c r="C1491" t="s">
        <v>22</v>
      </c>
      <c r="D1491" t="s">
        <v>15</v>
      </c>
      <c r="E1491" s="5">
        <v>105374.5</v>
      </c>
      <c r="F1491" t="s">
        <v>756</v>
      </c>
      <c r="G1491" t="s">
        <v>157</v>
      </c>
      <c r="H1491" t="s">
        <v>69</v>
      </c>
    </row>
    <row r="1492" spans="1:8" x14ac:dyDescent="0.3">
      <c r="A1492" t="s">
        <v>72</v>
      </c>
      <c r="B1492" t="s">
        <v>30</v>
      </c>
      <c r="C1492" t="s">
        <v>27</v>
      </c>
      <c r="D1492" t="s">
        <v>15</v>
      </c>
      <c r="E1492" s="5">
        <v>119146</v>
      </c>
      <c r="F1492" t="s">
        <v>3350</v>
      </c>
      <c r="G1492" t="s">
        <v>2692</v>
      </c>
      <c r="H1492" t="s">
        <v>16</v>
      </c>
    </row>
    <row r="1493" spans="1:8" x14ac:dyDescent="0.3">
      <c r="A1493" t="s">
        <v>19</v>
      </c>
      <c r="B1493" t="s">
        <v>67</v>
      </c>
      <c r="C1493" t="s">
        <v>27</v>
      </c>
      <c r="D1493" t="s">
        <v>15</v>
      </c>
      <c r="E1493" s="5">
        <v>107905</v>
      </c>
      <c r="F1493" t="s">
        <v>1691</v>
      </c>
      <c r="G1493" t="s">
        <v>59</v>
      </c>
      <c r="H1493" t="s">
        <v>69</v>
      </c>
    </row>
    <row r="1494" spans="1:8" x14ac:dyDescent="0.3">
      <c r="A1494" t="s">
        <v>72</v>
      </c>
      <c r="B1494" t="s">
        <v>67</v>
      </c>
      <c r="C1494" t="s">
        <v>27</v>
      </c>
      <c r="D1494" t="s">
        <v>37</v>
      </c>
      <c r="E1494" s="5">
        <v>72108</v>
      </c>
      <c r="F1494" t="s">
        <v>349</v>
      </c>
      <c r="G1494" t="s">
        <v>350</v>
      </c>
      <c r="H1494" t="s">
        <v>14</v>
      </c>
    </row>
    <row r="1495" spans="1:8" x14ac:dyDescent="0.3">
      <c r="A1495" t="s">
        <v>11</v>
      </c>
      <c r="B1495" t="s">
        <v>35</v>
      </c>
      <c r="C1495" t="s">
        <v>22</v>
      </c>
      <c r="D1495" t="s">
        <v>37</v>
      </c>
      <c r="E1495" s="5">
        <v>174160.5</v>
      </c>
      <c r="F1495" t="s">
        <v>3795</v>
      </c>
      <c r="G1495" t="s">
        <v>3796</v>
      </c>
      <c r="H1495" t="s">
        <v>69</v>
      </c>
    </row>
    <row r="1496" spans="1:8" x14ac:dyDescent="0.3">
      <c r="A1496" t="s">
        <v>49</v>
      </c>
      <c r="B1496" t="s">
        <v>25</v>
      </c>
      <c r="C1496" t="s">
        <v>14</v>
      </c>
      <c r="D1496" t="s">
        <v>42</v>
      </c>
      <c r="E1496" s="5">
        <v>124710.5</v>
      </c>
      <c r="F1496" t="s">
        <v>3254</v>
      </c>
      <c r="G1496" t="s">
        <v>500</v>
      </c>
      <c r="H1496" t="s">
        <v>14</v>
      </c>
    </row>
    <row r="1497" spans="1:8" x14ac:dyDescent="0.3">
      <c r="A1497" t="s">
        <v>45</v>
      </c>
      <c r="B1497" t="s">
        <v>30</v>
      </c>
      <c r="C1497" t="s">
        <v>27</v>
      </c>
      <c r="D1497" t="s">
        <v>42</v>
      </c>
      <c r="E1497" s="5">
        <v>185305.5</v>
      </c>
      <c r="F1497" t="s">
        <v>3490</v>
      </c>
      <c r="G1497" t="s">
        <v>80</v>
      </c>
      <c r="H1497" t="s">
        <v>69</v>
      </c>
    </row>
    <row r="1498" spans="1:8" x14ac:dyDescent="0.3">
      <c r="A1498" t="s">
        <v>19</v>
      </c>
      <c r="B1498" t="s">
        <v>35</v>
      </c>
      <c r="C1498" t="s">
        <v>27</v>
      </c>
      <c r="D1498" t="s">
        <v>42</v>
      </c>
      <c r="E1498" s="5">
        <v>88598.5</v>
      </c>
      <c r="F1498" t="s">
        <v>3958</v>
      </c>
      <c r="G1498" t="s">
        <v>90</v>
      </c>
      <c r="H1498" t="s">
        <v>16</v>
      </c>
    </row>
    <row r="1499" spans="1:8" x14ac:dyDescent="0.3">
      <c r="A1499" t="s">
        <v>40</v>
      </c>
      <c r="B1499" t="s">
        <v>25</v>
      </c>
      <c r="C1499" t="s">
        <v>14</v>
      </c>
      <c r="D1499" t="s">
        <v>15</v>
      </c>
      <c r="E1499" s="5">
        <v>139494</v>
      </c>
      <c r="F1499" t="s">
        <v>1191</v>
      </c>
      <c r="G1499" t="s">
        <v>101</v>
      </c>
      <c r="H1499" t="s">
        <v>16</v>
      </c>
    </row>
    <row r="1500" spans="1:8" x14ac:dyDescent="0.3">
      <c r="A1500" t="s">
        <v>34</v>
      </c>
      <c r="B1500" t="s">
        <v>135</v>
      </c>
      <c r="C1500" t="s">
        <v>14</v>
      </c>
      <c r="D1500" t="s">
        <v>42</v>
      </c>
      <c r="E1500" s="5">
        <v>81594</v>
      </c>
      <c r="F1500" t="s">
        <v>2774</v>
      </c>
      <c r="G1500" t="s">
        <v>101</v>
      </c>
      <c r="H1500" t="s">
        <v>16</v>
      </c>
    </row>
    <row r="1501" spans="1:8" x14ac:dyDescent="0.3">
      <c r="A1501" t="s">
        <v>34</v>
      </c>
      <c r="B1501" t="s">
        <v>30</v>
      </c>
      <c r="C1501" t="s">
        <v>27</v>
      </c>
      <c r="D1501" t="s">
        <v>37</v>
      </c>
      <c r="E1501" s="5">
        <v>166301</v>
      </c>
      <c r="F1501" t="s">
        <v>1788</v>
      </c>
      <c r="G1501" t="s">
        <v>188</v>
      </c>
      <c r="H1501" t="s">
        <v>16</v>
      </c>
    </row>
    <row r="1502" spans="1:8" x14ac:dyDescent="0.3">
      <c r="A1502" t="s">
        <v>45</v>
      </c>
      <c r="B1502" t="s">
        <v>30</v>
      </c>
      <c r="C1502" t="s">
        <v>22</v>
      </c>
      <c r="D1502" t="s">
        <v>15</v>
      </c>
      <c r="E1502" s="5">
        <v>109374.5</v>
      </c>
      <c r="F1502" t="s">
        <v>3342</v>
      </c>
      <c r="G1502" t="s">
        <v>17</v>
      </c>
      <c r="H1502" t="s">
        <v>16</v>
      </c>
    </row>
    <row r="1503" spans="1:8" x14ac:dyDescent="0.3">
      <c r="A1503" t="s">
        <v>40</v>
      </c>
      <c r="B1503" t="s">
        <v>25</v>
      </c>
      <c r="C1503" t="s">
        <v>22</v>
      </c>
      <c r="D1503" t="s">
        <v>51</v>
      </c>
      <c r="E1503" s="5">
        <v>147367</v>
      </c>
      <c r="F1503" t="s">
        <v>2162</v>
      </c>
      <c r="G1503" t="s">
        <v>353</v>
      </c>
      <c r="H1503" t="s">
        <v>14</v>
      </c>
    </row>
    <row r="1504" spans="1:8" x14ac:dyDescent="0.3">
      <c r="A1504" t="s">
        <v>40</v>
      </c>
      <c r="B1504" t="s">
        <v>54</v>
      </c>
      <c r="C1504" t="s">
        <v>27</v>
      </c>
      <c r="D1504" t="s">
        <v>42</v>
      </c>
      <c r="E1504" s="5">
        <v>137118.5</v>
      </c>
      <c r="F1504" t="s">
        <v>1875</v>
      </c>
      <c r="G1504" t="s">
        <v>235</v>
      </c>
      <c r="H1504" t="s">
        <v>14</v>
      </c>
    </row>
    <row r="1505" spans="1:8" x14ac:dyDescent="0.3">
      <c r="A1505" t="s">
        <v>19</v>
      </c>
      <c r="B1505" t="s">
        <v>135</v>
      </c>
      <c r="C1505" t="s">
        <v>27</v>
      </c>
      <c r="D1505" t="s">
        <v>51</v>
      </c>
      <c r="E1505" s="5">
        <v>149475.5</v>
      </c>
      <c r="F1505" t="s">
        <v>2785</v>
      </c>
      <c r="G1505" t="s">
        <v>77</v>
      </c>
      <c r="H1505" t="s">
        <v>14</v>
      </c>
    </row>
    <row r="1506" spans="1:8" x14ac:dyDescent="0.3">
      <c r="A1506" t="s">
        <v>19</v>
      </c>
      <c r="B1506" t="s">
        <v>25</v>
      </c>
      <c r="C1506" t="s">
        <v>22</v>
      </c>
      <c r="D1506" t="s">
        <v>15</v>
      </c>
      <c r="E1506" s="5">
        <v>153020.5</v>
      </c>
      <c r="F1506" t="s">
        <v>3502</v>
      </c>
      <c r="G1506" t="s">
        <v>157</v>
      </c>
      <c r="H1506" t="s">
        <v>14</v>
      </c>
    </row>
    <row r="1507" spans="1:8" x14ac:dyDescent="0.3">
      <c r="A1507" t="s">
        <v>34</v>
      </c>
      <c r="B1507" t="s">
        <v>20</v>
      </c>
      <c r="C1507" t="s">
        <v>14</v>
      </c>
      <c r="D1507" t="s">
        <v>42</v>
      </c>
      <c r="E1507" s="5">
        <v>122059.5</v>
      </c>
      <c r="F1507" t="s">
        <v>132</v>
      </c>
      <c r="G1507" t="s">
        <v>133</v>
      </c>
      <c r="H1507" t="s">
        <v>69</v>
      </c>
    </row>
    <row r="1508" spans="1:8" x14ac:dyDescent="0.3">
      <c r="A1508" t="s">
        <v>72</v>
      </c>
      <c r="B1508" t="s">
        <v>67</v>
      </c>
      <c r="C1508" t="s">
        <v>27</v>
      </c>
      <c r="D1508" t="s">
        <v>51</v>
      </c>
      <c r="E1508" s="5">
        <v>80093</v>
      </c>
      <c r="F1508" t="s">
        <v>993</v>
      </c>
      <c r="G1508" t="s">
        <v>157</v>
      </c>
      <c r="H1508" t="s">
        <v>14</v>
      </c>
    </row>
    <row r="1509" spans="1:8" x14ac:dyDescent="0.3">
      <c r="A1509" t="s">
        <v>49</v>
      </c>
      <c r="B1509" t="s">
        <v>135</v>
      </c>
      <c r="C1509" t="s">
        <v>14</v>
      </c>
      <c r="D1509" t="s">
        <v>37</v>
      </c>
      <c r="E1509" s="5">
        <v>107166</v>
      </c>
      <c r="F1509" t="s">
        <v>2247</v>
      </c>
      <c r="G1509" t="s">
        <v>52</v>
      </c>
      <c r="H1509" t="s">
        <v>16</v>
      </c>
    </row>
    <row r="1510" spans="1:8" x14ac:dyDescent="0.3">
      <c r="A1510" t="s">
        <v>45</v>
      </c>
      <c r="B1510" t="s">
        <v>25</v>
      </c>
      <c r="C1510" t="s">
        <v>27</v>
      </c>
      <c r="D1510" t="s">
        <v>51</v>
      </c>
      <c r="E1510" s="5">
        <v>65242</v>
      </c>
      <c r="F1510" t="s">
        <v>1674</v>
      </c>
      <c r="G1510" t="s">
        <v>1675</v>
      </c>
      <c r="H1510" t="s">
        <v>69</v>
      </c>
    </row>
    <row r="1511" spans="1:8" x14ac:dyDescent="0.3">
      <c r="A1511" t="s">
        <v>11</v>
      </c>
      <c r="B1511" t="s">
        <v>20</v>
      </c>
      <c r="C1511" t="s">
        <v>22</v>
      </c>
      <c r="D1511" t="s">
        <v>15</v>
      </c>
      <c r="E1511" s="5">
        <v>115784.5</v>
      </c>
      <c r="F1511" t="s">
        <v>290</v>
      </c>
      <c r="G1511" t="s">
        <v>70</v>
      </c>
      <c r="H1511" t="s">
        <v>69</v>
      </c>
    </row>
    <row r="1512" spans="1:8" x14ac:dyDescent="0.3">
      <c r="A1512" t="s">
        <v>49</v>
      </c>
      <c r="B1512" t="s">
        <v>35</v>
      </c>
      <c r="C1512" t="s">
        <v>22</v>
      </c>
      <c r="D1512" t="s">
        <v>51</v>
      </c>
      <c r="E1512" s="5">
        <v>137875.5</v>
      </c>
      <c r="F1512" t="s">
        <v>4079</v>
      </c>
      <c r="G1512" t="s">
        <v>1509</v>
      </c>
      <c r="H1512" t="s">
        <v>69</v>
      </c>
    </row>
    <row r="1513" spans="1:8" x14ac:dyDescent="0.3">
      <c r="A1513" t="s">
        <v>34</v>
      </c>
      <c r="B1513" t="s">
        <v>35</v>
      </c>
      <c r="C1513" t="s">
        <v>27</v>
      </c>
      <c r="D1513" t="s">
        <v>15</v>
      </c>
      <c r="E1513" s="5">
        <v>123764</v>
      </c>
      <c r="F1513" t="s">
        <v>3603</v>
      </c>
      <c r="G1513" t="s">
        <v>319</v>
      </c>
      <c r="H1513" t="s">
        <v>16</v>
      </c>
    </row>
    <row r="1514" spans="1:8" x14ac:dyDescent="0.3">
      <c r="A1514" t="s">
        <v>45</v>
      </c>
      <c r="B1514" t="s">
        <v>67</v>
      </c>
      <c r="C1514" t="s">
        <v>14</v>
      </c>
      <c r="D1514" t="s">
        <v>51</v>
      </c>
      <c r="E1514" s="5">
        <v>105810</v>
      </c>
      <c r="F1514" t="s">
        <v>3606</v>
      </c>
      <c r="G1514" t="s">
        <v>450</v>
      </c>
      <c r="H1514" t="s">
        <v>16</v>
      </c>
    </row>
    <row r="1515" spans="1:8" x14ac:dyDescent="0.3">
      <c r="A1515" t="s">
        <v>11</v>
      </c>
      <c r="B1515" t="s">
        <v>12</v>
      </c>
      <c r="C1515" t="s">
        <v>22</v>
      </c>
      <c r="D1515" t="s">
        <v>37</v>
      </c>
      <c r="E1515" s="5">
        <v>87503</v>
      </c>
      <c r="F1515" t="s">
        <v>3562</v>
      </c>
      <c r="G1515" t="s">
        <v>77</v>
      </c>
      <c r="H1515" t="s">
        <v>14</v>
      </c>
    </row>
    <row r="1516" spans="1:8" x14ac:dyDescent="0.3">
      <c r="A1516" t="s">
        <v>19</v>
      </c>
      <c r="B1516" t="s">
        <v>12</v>
      </c>
      <c r="C1516" t="s">
        <v>14</v>
      </c>
      <c r="D1516" t="s">
        <v>51</v>
      </c>
      <c r="E1516" s="5">
        <v>156339</v>
      </c>
      <c r="F1516" t="s">
        <v>2280</v>
      </c>
      <c r="G1516" t="s">
        <v>70</v>
      </c>
      <c r="H1516" t="s">
        <v>14</v>
      </c>
    </row>
    <row r="1517" spans="1:8" x14ac:dyDescent="0.3">
      <c r="A1517" t="s">
        <v>45</v>
      </c>
      <c r="B1517" t="s">
        <v>12</v>
      </c>
      <c r="C1517" t="s">
        <v>14</v>
      </c>
      <c r="D1517" t="s">
        <v>37</v>
      </c>
      <c r="E1517" s="5">
        <v>57532.5</v>
      </c>
      <c r="F1517" t="s">
        <v>1251</v>
      </c>
      <c r="G1517" t="s">
        <v>157</v>
      </c>
      <c r="H1517" t="s">
        <v>14</v>
      </c>
    </row>
    <row r="1518" spans="1:8" x14ac:dyDescent="0.3">
      <c r="A1518" t="s">
        <v>40</v>
      </c>
      <c r="B1518" t="s">
        <v>25</v>
      </c>
      <c r="C1518" t="s">
        <v>27</v>
      </c>
      <c r="D1518" t="s">
        <v>42</v>
      </c>
      <c r="E1518" s="5">
        <v>106509.5</v>
      </c>
      <c r="F1518" t="s">
        <v>3025</v>
      </c>
      <c r="G1518" t="s">
        <v>794</v>
      </c>
      <c r="H1518" t="s">
        <v>14</v>
      </c>
    </row>
    <row r="1519" spans="1:8" x14ac:dyDescent="0.3">
      <c r="A1519" t="s">
        <v>72</v>
      </c>
      <c r="B1519" t="s">
        <v>35</v>
      </c>
      <c r="C1519" t="s">
        <v>22</v>
      </c>
      <c r="D1519" t="s">
        <v>51</v>
      </c>
      <c r="E1519" s="5">
        <v>111758.5</v>
      </c>
      <c r="F1519" t="s">
        <v>141</v>
      </c>
      <c r="G1519" t="s">
        <v>70</v>
      </c>
      <c r="H1519" t="s">
        <v>14</v>
      </c>
    </row>
    <row r="1520" spans="1:8" x14ac:dyDescent="0.3">
      <c r="A1520" t="s">
        <v>45</v>
      </c>
      <c r="B1520" t="s">
        <v>12</v>
      </c>
      <c r="C1520" t="s">
        <v>27</v>
      </c>
      <c r="D1520" t="s">
        <v>51</v>
      </c>
      <c r="E1520" s="5">
        <v>179578</v>
      </c>
      <c r="F1520" t="s">
        <v>4045</v>
      </c>
      <c r="G1520" t="s">
        <v>591</v>
      </c>
      <c r="H1520" t="s">
        <v>16</v>
      </c>
    </row>
    <row r="1521" spans="1:8" x14ac:dyDescent="0.3">
      <c r="A1521" t="s">
        <v>45</v>
      </c>
      <c r="B1521" t="s">
        <v>20</v>
      </c>
      <c r="C1521" t="s">
        <v>22</v>
      </c>
      <c r="D1521" t="s">
        <v>37</v>
      </c>
      <c r="E1521" s="5">
        <v>73990</v>
      </c>
      <c r="F1521" t="s">
        <v>1737</v>
      </c>
      <c r="G1521" t="s">
        <v>1738</v>
      </c>
      <c r="H1521" t="s">
        <v>69</v>
      </c>
    </row>
    <row r="1522" spans="1:8" x14ac:dyDescent="0.3">
      <c r="A1522" t="s">
        <v>49</v>
      </c>
      <c r="B1522" t="s">
        <v>25</v>
      </c>
      <c r="C1522" t="s">
        <v>14</v>
      </c>
      <c r="D1522" t="s">
        <v>51</v>
      </c>
      <c r="E1522" s="5">
        <v>129939.5</v>
      </c>
      <c r="F1522" t="s">
        <v>3516</v>
      </c>
      <c r="G1522" t="s">
        <v>52</v>
      </c>
      <c r="H1522" t="s">
        <v>69</v>
      </c>
    </row>
    <row r="1523" spans="1:8" x14ac:dyDescent="0.3">
      <c r="A1523" t="s">
        <v>72</v>
      </c>
      <c r="B1523" t="s">
        <v>135</v>
      </c>
      <c r="C1523" t="s">
        <v>14</v>
      </c>
      <c r="D1523" t="s">
        <v>51</v>
      </c>
      <c r="E1523" s="5">
        <v>106784.5</v>
      </c>
      <c r="F1523" t="s">
        <v>2675</v>
      </c>
      <c r="G1523" t="s">
        <v>1830</v>
      </c>
      <c r="H1523" t="s">
        <v>69</v>
      </c>
    </row>
    <row r="1524" spans="1:8" x14ac:dyDescent="0.3">
      <c r="A1524" t="s">
        <v>11</v>
      </c>
      <c r="B1524" t="s">
        <v>35</v>
      </c>
      <c r="C1524" t="s">
        <v>27</v>
      </c>
      <c r="D1524" t="s">
        <v>42</v>
      </c>
      <c r="E1524" s="5">
        <v>114574.5</v>
      </c>
      <c r="F1524" t="s">
        <v>1026</v>
      </c>
      <c r="G1524" t="s">
        <v>270</v>
      </c>
      <c r="H1524" t="s">
        <v>69</v>
      </c>
    </row>
    <row r="1525" spans="1:8" x14ac:dyDescent="0.3">
      <c r="A1525" t="s">
        <v>49</v>
      </c>
      <c r="B1525" t="s">
        <v>35</v>
      </c>
      <c r="C1525" t="s">
        <v>14</v>
      </c>
      <c r="D1525" t="s">
        <v>37</v>
      </c>
      <c r="E1525" s="5">
        <v>168212</v>
      </c>
      <c r="F1525" t="s">
        <v>4035</v>
      </c>
      <c r="G1525" t="s">
        <v>480</v>
      </c>
      <c r="H1525" t="s">
        <v>16</v>
      </c>
    </row>
    <row r="1526" spans="1:8" x14ac:dyDescent="0.3">
      <c r="A1526" t="s">
        <v>45</v>
      </c>
      <c r="B1526" t="s">
        <v>12</v>
      </c>
      <c r="C1526" t="s">
        <v>22</v>
      </c>
      <c r="D1526" t="s">
        <v>42</v>
      </c>
      <c r="E1526" s="5">
        <v>169835.5</v>
      </c>
      <c r="F1526" t="s">
        <v>436</v>
      </c>
      <c r="G1526" t="s">
        <v>216</v>
      </c>
      <c r="H1526" t="s">
        <v>69</v>
      </c>
    </row>
    <row r="1527" spans="1:8" x14ac:dyDescent="0.3">
      <c r="A1527" t="s">
        <v>49</v>
      </c>
      <c r="B1527" t="s">
        <v>12</v>
      </c>
      <c r="C1527" t="s">
        <v>22</v>
      </c>
      <c r="D1527" t="s">
        <v>42</v>
      </c>
      <c r="E1527" s="5">
        <v>113679</v>
      </c>
      <c r="F1527" t="s">
        <v>2871</v>
      </c>
      <c r="G1527" t="s">
        <v>931</v>
      </c>
      <c r="H1527" t="s">
        <v>69</v>
      </c>
    </row>
    <row r="1528" spans="1:8" x14ac:dyDescent="0.3">
      <c r="A1528" t="s">
        <v>34</v>
      </c>
      <c r="B1528" t="s">
        <v>54</v>
      </c>
      <c r="C1528" t="s">
        <v>27</v>
      </c>
      <c r="D1528" t="s">
        <v>42</v>
      </c>
      <c r="E1528" s="5">
        <v>172814</v>
      </c>
      <c r="F1528" t="s">
        <v>3625</v>
      </c>
      <c r="G1528" t="s">
        <v>3626</v>
      </c>
      <c r="H1528" t="s">
        <v>16</v>
      </c>
    </row>
    <row r="1529" spans="1:8" x14ac:dyDescent="0.3">
      <c r="A1529" t="s">
        <v>19</v>
      </c>
      <c r="B1529" t="s">
        <v>35</v>
      </c>
      <c r="C1529" t="s">
        <v>27</v>
      </c>
      <c r="D1529" t="s">
        <v>51</v>
      </c>
      <c r="E1529" s="5">
        <v>113908</v>
      </c>
      <c r="F1529" t="s">
        <v>4185</v>
      </c>
      <c r="G1529" t="s">
        <v>1057</v>
      </c>
      <c r="H1529" t="s">
        <v>14</v>
      </c>
    </row>
    <row r="1530" spans="1:8" x14ac:dyDescent="0.3">
      <c r="A1530" t="s">
        <v>72</v>
      </c>
      <c r="B1530" t="s">
        <v>20</v>
      </c>
      <c r="C1530" t="s">
        <v>22</v>
      </c>
      <c r="D1530" t="s">
        <v>15</v>
      </c>
      <c r="E1530" s="5">
        <v>149045.5</v>
      </c>
      <c r="F1530" t="s">
        <v>2474</v>
      </c>
      <c r="G1530" t="s">
        <v>23</v>
      </c>
      <c r="H1530" t="s">
        <v>14</v>
      </c>
    </row>
    <row r="1531" spans="1:8" x14ac:dyDescent="0.3">
      <c r="A1531" t="s">
        <v>19</v>
      </c>
      <c r="B1531" t="s">
        <v>20</v>
      </c>
      <c r="C1531" t="s">
        <v>14</v>
      </c>
      <c r="D1531" t="s">
        <v>51</v>
      </c>
      <c r="E1531" s="5">
        <v>147701</v>
      </c>
      <c r="F1531" t="s">
        <v>3010</v>
      </c>
      <c r="G1531" t="s">
        <v>847</v>
      </c>
      <c r="H1531" t="s">
        <v>16</v>
      </c>
    </row>
    <row r="1532" spans="1:8" x14ac:dyDescent="0.3">
      <c r="A1532" t="s">
        <v>45</v>
      </c>
      <c r="B1532" t="s">
        <v>25</v>
      </c>
      <c r="C1532" t="s">
        <v>22</v>
      </c>
      <c r="D1532" t="s">
        <v>15</v>
      </c>
      <c r="E1532" s="5">
        <v>114837.5</v>
      </c>
      <c r="F1532" t="s">
        <v>506</v>
      </c>
      <c r="G1532" t="s">
        <v>507</v>
      </c>
      <c r="H1532" t="s">
        <v>16</v>
      </c>
    </row>
    <row r="1533" spans="1:8" x14ac:dyDescent="0.3">
      <c r="A1533" t="s">
        <v>19</v>
      </c>
      <c r="B1533" t="s">
        <v>135</v>
      </c>
      <c r="C1533" t="s">
        <v>22</v>
      </c>
      <c r="D1533" t="s">
        <v>51</v>
      </c>
      <c r="E1533" s="5">
        <v>106807.5</v>
      </c>
      <c r="F1533" t="s">
        <v>2601</v>
      </c>
      <c r="G1533" t="s">
        <v>157</v>
      </c>
      <c r="H1533" t="s">
        <v>16</v>
      </c>
    </row>
    <row r="1534" spans="1:8" x14ac:dyDescent="0.3">
      <c r="A1534" t="s">
        <v>45</v>
      </c>
      <c r="B1534" t="s">
        <v>54</v>
      </c>
      <c r="C1534" t="s">
        <v>14</v>
      </c>
      <c r="D1534" t="s">
        <v>37</v>
      </c>
      <c r="E1534" s="5">
        <v>83216</v>
      </c>
      <c r="F1534" t="s">
        <v>587</v>
      </c>
      <c r="G1534" t="s">
        <v>588</v>
      </c>
      <c r="H1534" t="s">
        <v>14</v>
      </c>
    </row>
    <row r="1535" spans="1:8" x14ac:dyDescent="0.3">
      <c r="A1535" t="s">
        <v>40</v>
      </c>
      <c r="B1535" t="s">
        <v>30</v>
      </c>
      <c r="C1535" t="s">
        <v>27</v>
      </c>
      <c r="D1535" t="s">
        <v>42</v>
      </c>
      <c r="E1535" s="5">
        <v>114216.5</v>
      </c>
      <c r="F1535" t="s">
        <v>3837</v>
      </c>
      <c r="G1535" t="s">
        <v>1029</v>
      </c>
      <c r="H1535" t="s">
        <v>16</v>
      </c>
    </row>
    <row r="1536" spans="1:8" x14ac:dyDescent="0.3">
      <c r="A1536" t="s">
        <v>34</v>
      </c>
      <c r="B1536" t="s">
        <v>67</v>
      </c>
      <c r="C1536" t="s">
        <v>14</v>
      </c>
      <c r="D1536" t="s">
        <v>42</v>
      </c>
      <c r="E1536" s="5">
        <v>117249.5</v>
      </c>
      <c r="F1536" t="s">
        <v>105</v>
      </c>
      <c r="G1536" t="s">
        <v>106</v>
      </c>
      <c r="H1536" t="s">
        <v>14</v>
      </c>
    </row>
    <row r="1537" spans="1:8" x14ac:dyDescent="0.3">
      <c r="A1537" t="s">
        <v>19</v>
      </c>
      <c r="B1537" t="s">
        <v>54</v>
      </c>
      <c r="C1537" t="s">
        <v>27</v>
      </c>
      <c r="D1537" t="s">
        <v>15</v>
      </c>
      <c r="E1537" s="5">
        <v>191811</v>
      </c>
      <c r="F1537" t="s">
        <v>1155</v>
      </c>
      <c r="G1537" t="s">
        <v>52</v>
      </c>
      <c r="H1537" t="s">
        <v>69</v>
      </c>
    </row>
    <row r="1538" spans="1:8" x14ac:dyDescent="0.3">
      <c r="A1538" t="s">
        <v>72</v>
      </c>
      <c r="B1538" t="s">
        <v>54</v>
      </c>
      <c r="C1538" t="s">
        <v>27</v>
      </c>
      <c r="D1538" t="s">
        <v>37</v>
      </c>
      <c r="E1538" s="5">
        <v>156943.5</v>
      </c>
      <c r="F1538" t="s">
        <v>2293</v>
      </c>
      <c r="G1538" t="s">
        <v>101</v>
      </c>
      <c r="H1538" t="s">
        <v>69</v>
      </c>
    </row>
    <row r="1539" spans="1:8" x14ac:dyDescent="0.3">
      <c r="A1539" t="s">
        <v>49</v>
      </c>
      <c r="B1539" t="s">
        <v>135</v>
      </c>
      <c r="C1539" t="s">
        <v>22</v>
      </c>
      <c r="D1539" t="s">
        <v>37</v>
      </c>
      <c r="E1539" s="5">
        <v>115371</v>
      </c>
      <c r="F1539" t="s">
        <v>3065</v>
      </c>
      <c r="G1539" t="s">
        <v>1468</v>
      </c>
      <c r="H1539" t="s">
        <v>69</v>
      </c>
    </row>
    <row r="1540" spans="1:8" x14ac:dyDescent="0.3">
      <c r="A1540" t="s">
        <v>45</v>
      </c>
      <c r="B1540" t="s">
        <v>67</v>
      </c>
      <c r="C1540" t="s">
        <v>14</v>
      </c>
      <c r="D1540" t="s">
        <v>51</v>
      </c>
      <c r="E1540" s="5">
        <v>141771</v>
      </c>
      <c r="F1540" t="s">
        <v>1141</v>
      </c>
      <c r="G1540" t="s">
        <v>226</v>
      </c>
      <c r="H1540" t="s">
        <v>69</v>
      </c>
    </row>
    <row r="1541" spans="1:8" x14ac:dyDescent="0.3">
      <c r="A1541" t="s">
        <v>19</v>
      </c>
      <c r="B1541" t="s">
        <v>135</v>
      </c>
      <c r="C1541" t="s">
        <v>14</v>
      </c>
      <c r="D1541" t="s">
        <v>51</v>
      </c>
      <c r="E1541" s="5">
        <v>191779.5</v>
      </c>
      <c r="F1541" t="s">
        <v>4122</v>
      </c>
      <c r="G1541" t="s">
        <v>90</v>
      </c>
      <c r="H1541" t="s">
        <v>16</v>
      </c>
    </row>
    <row r="1542" spans="1:8" x14ac:dyDescent="0.3">
      <c r="A1542" t="s">
        <v>19</v>
      </c>
      <c r="B1542" t="s">
        <v>30</v>
      </c>
      <c r="C1542" t="s">
        <v>14</v>
      </c>
      <c r="D1542" t="s">
        <v>51</v>
      </c>
      <c r="E1542" s="5">
        <v>155929</v>
      </c>
      <c r="F1542" t="s">
        <v>3738</v>
      </c>
      <c r="G1542" t="s">
        <v>90</v>
      </c>
      <c r="H1542" t="s">
        <v>16</v>
      </c>
    </row>
    <row r="1543" spans="1:8" x14ac:dyDescent="0.3">
      <c r="A1543" t="s">
        <v>72</v>
      </c>
      <c r="B1543" t="s">
        <v>67</v>
      </c>
      <c r="C1543" t="s">
        <v>22</v>
      </c>
      <c r="D1543" t="s">
        <v>42</v>
      </c>
      <c r="E1543" s="5">
        <v>129082</v>
      </c>
      <c r="F1543" t="s">
        <v>1672</v>
      </c>
      <c r="G1543" t="s">
        <v>270</v>
      </c>
      <c r="H1543" t="s">
        <v>14</v>
      </c>
    </row>
    <row r="1544" spans="1:8" x14ac:dyDescent="0.3">
      <c r="A1544" t="s">
        <v>49</v>
      </c>
      <c r="B1544" t="s">
        <v>35</v>
      </c>
      <c r="C1544" t="s">
        <v>14</v>
      </c>
      <c r="D1544" t="s">
        <v>15</v>
      </c>
      <c r="E1544" s="5">
        <v>121002</v>
      </c>
      <c r="F1544" t="s">
        <v>1727</v>
      </c>
      <c r="G1544" t="s">
        <v>450</v>
      </c>
      <c r="H1544" t="s">
        <v>16</v>
      </c>
    </row>
    <row r="1545" spans="1:8" x14ac:dyDescent="0.3">
      <c r="A1545" t="s">
        <v>40</v>
      </c>
      <c r="B1545" t="s">
        <v>67</v>
      </c>
      <c r="C1545" t="s">
        <v>27</v>
      </c>
      <c r="D1545" t="s">
        <v>42</v>
      </c>
      <c r="E1545" s="5">
        <v>132373.5</v>
      </c>
      <c r="F1545" t="s">
        <v>3524</v>
      </c>
      <c r="G1545" t="s">
        <v>229</v>
      </c>
      <c r="H1545" t="s">
        <v>69</v>
      </c>
    </row>
    <row r="1546" spans="1:8" x14ac:dyDescent="0.3">
      <c r="A1546" t="s">
        <v>45</v>
      </c>
      <c r="B1546" t="s">
        <v>35</v>
      </c>
      <c r="C1546" t="s">
        <v>27</v>
      </c>
      <c r="D1546" t="s">
        <v>51</v>
      </c>
      <c r="E1546" s="5">
        <v>79193.5</v>
      </c>
      <c r="F1546" t="s">
        <v>517</v>
      </c>
      <c r="G1546" t="s">
        <v>52</v>
      </c>
      <c r="H1546" t="s">
        <v>16</v>
      </c>
    </row>
    <row r="1547" spans="1:8" x14ac:dyDescent="0.3">
      <c r="A1547" t="s">
        <v>49</v>
      </c>
      <c r="B1547" t="s">
        <v>35</v>
      </c>
      <c r="C1547" t="s">
        <v>27</v>
      </c>
      <c r="D1547" t="s">
        <v>51</v>
      </c>
      <c r="E1547" s="5">
        <v>157053</v>
      </c>
      <c r="F1547" t="s">
        <v>2214</v>
      </c>
      <c r="G1547" t="s">
        <v>2215</v>
      </c>
      <c r="H1547" t="s">
        <v>69</v>
      </c>
    </row>
    <row r="1548" spans="1:8" x14ac:dyDescent="0.3">
      <c r="A1548" t="s">
        <v>34</v>
      </c>
      <c r="B1548" t="s">
        <v>12</v>
      </c>
      <c r="C1548" t="s">
        <v>14</v>
      </c>
      <c r="D1548" t="s">
        <v>15</v>
      </c>
      <c r="E1548" s="5">
        <v>119140.5</v>
      </c>
      <c r="F1548" t="s">
        <v>4087</v>
      </c>
      <c r="G1548" t="s">
        <v>938</v>
      </c>
      <c r="H1548" t="s">
        <v>14</v>
      </c>
    </row>
    <row r="1549" spans="1:8" x14ac:dyDescent="0.3">
      <c r="A1549" t="s">
        <v>19</v>
      </c>
      <c r="B1549" t="s">
        <v>54</v>
      </c>
      <c r="C1549" t="s">
        <v>22</v>
      </c>
      <c r="D1549" t="s">
        <v>42</v>
      </c>
      <c r="E1549" s="5">
        <v>166285.5</v>
      </c>
      <c r="F1549" t="s">
        <v>2068</v>
      </c>
      <c r="G1549" t="s">
        <v>101</v>
      </c>
      <c r="H1549" t="s">
        <v>14</v>
      </c>
    </row>
    <row r="1550" spans="1:8" x14ac:dyDescent="0.3">
      <c r="A1550" t="s">
        <v>34</v>
      </c>
      <c r="B1550" t="s">
        <v>54</v>
      </c>
      <c r="C1550" t="s">
        <v>22</v>
      </c>
      <c r="D1550" t="s">
        <v>37</v>
      </c>
      <c r="E1550" s="5">
        <v>164226.5</v>
      </c>
      <c r="F1550" t="s">
        <v>2962</v>
      </c>
      <c r="G1550" t="s">
        <v>52</v>
      </c>
      <c r="H1550" t="s">
        <v>69</v>
      </c>
    </row>
    <row r="1551" spans="1:8" x14ac:dyDescent="0.3">
      <c r="A1551" t="s">
        <v>72</v>
      </c>
      <c r="B1551" t="s">
        <v>25</v>
      </c>
      <c r="C1551" t="s">
        <v>22</v>
      </c>
      <c r="D1551" t="s">
        <v>42</v>
      </c>
      <c r="E1551" s="5">
        <v>169983.5</v>
      </c>
      <c r="F1551" t="s">
        <v>742</v>
      </c>
      <c r="G1551" t="s">
        <v>743</v>
      </c>
      <c r="H1551" t="s">
        <v>14</v>
      </c>
    </row>
    <row r="1552" spans="1:8" x14ac:dyDescent="0.3">
      <c r="A1552" t="s">
        <v>34</v>
      </c>
      <c r="B1552" t="s">
        <v>30</v>
      </c>
      <c r="C1552" t="s">
        <v>14</v>
      </c>
      <c r="D1552" t="s">
        <v>42</v>
      </c>
      <c r="E1552" s="5">
        <v>99750</v>
      </c>
      <c r="F1552" t="s">
        <v>3693</v>
      </c>
      <c r="G1552" t="s">
        <v>985</v>
      </c>
      <c r="H1552" t="s">
        <v>16</v>
      </c>
    </row>
    <row r="1553" spans="1:8" x14ac:dyDescent="0.3">
      <c r="A1553" t="s">
        <v>45</v>
      </c>
      <c r="B1553" t="s">
        <v>54</v>
      </c>
      <c r="C1553" t="s">
        <v>27</v>
      </c>
      <c r="D1553" t="s">
        <v>42</v>
      </c>
      <c r="E1553" s="5">
        <v>75601.5</v>
      </c>
      <c r="F1553" t="s">
        <v>708</v>
      </c>
      <c r="G1553" t="s">
        <v>507</v>
      </c>
      <c r="H1553" t="s">
        <v>16</v>
      </c>
    </row>
    <row r="1554" spans="1:8" x14ac:dyDescent="0.3">
      <c r="A1554" t="s">
        <v>40</v>
      </c>
      <c r="B1554" t="s">
        <v>135</v>
      </c>
      <c r="C1554" t="s">
        <v>14</v>
      </c>
      <c r="D1554" t="s">
        <v>15</v>
      </c>
      <c r="E1554" s="5">
        <v>82134.5</v>
      </c>
      <c r="F1554" t="s">
        <v>4117</v>
      </c>
      <c r="G1554" t="s">
        <v>1131</v>
      </c>
      <c r="H1554" t="s">
        <v>16</v>
      </c>
    </row>
    <row r="1555" spans="1:8" x14ac:dyDescent="0.3">
      <c r="A1555" t="s">
        <v>19</v>
      </c>
      <c r="B1555" t="s">
        <v>54</v>
      </c>
      <c r="C1555" t="s">
        <v>27</v>
      </c>
      <c r="D1555" t="s">
        <v>51</v>
      </c>
      <c r="E1555" s="5">
        <v>114685.5</v>
      </c>
      <c r="F1555" t="s">
        <v>1526</v>
      </c>
      <c r="G1555" t="s">
        <v>1527</v>
      </c>
      <c r="H1555" t="s">
        <v>14</v>
      </c>
    </row>
    <row r="1556" spans="1:8" x14ac:dyDescent="0.3">
      <c r="A1556" t="s">
        <v>72</v>
      </c>
      <c r="B1556" t="s">
        <v>67</v>
      </c>
      <c r="C1556" t="s">
        <v>14</v>
      </c>
      <c r="D1556" t="s">
        <v>15</v>
      </c>
      <c r="E1556" s="5">
        <v>64830.5</v>
      </c>
      <c r="F1556" t="s">
        <v>1755</v>
      </c>
      <c r="G1556" t="s">
        <v>1756</v>
      </c>
      <c r="H1556" t="s">
        <v>14</v>
      </c>
    </row>
    <row r="1557" spans="1:8" x14ac:dyDescent="0.3">
      <c r="A1557" t="s">
        <v>72</v>
      </c>
      <c r="B1557" t="s">
        <v>67</v>
      </c>
      <c r="C1557" t="s">
        <v>22</v>
      </c>
      <c r="D1557" t="s">
        <v>51</v>
      </c>
      <c r="E1557" s="5">
        <v>168046</v>
      </c>
      <c r="F1557" t="s">
        <v>2355</v>
      </c>
      <c r="G1557" t="s">
        <v>17</v>
      </c>
      <c r="H1557" t="s">
        <v>69</v>
      </c>
    </row>
    <row r="1558" spans="1:8" x14ac:dyDescent="0.3">
      <c r="A1558" t="s">
        <v>19</v>
      </c>
      <c r="B1558" t="s">
        <v>54</v>
      </c>
      <c r="C1558" t="s">
        <v>22</v>
      </c>
      <c r="D1558" t="s">
        <v>37</v>
      </c>
      <c r="E1558" s="5">
        <v>88778.5</v>
      </c>
      <c r="F1558" t="s">
        <v>1806</v>
      </c>
      <c r="G1558" t="s">
        <v>216</v>
      </c>
      <c r="H1558" t="s">
        <v>69</v>
      </c>
    </row>
    <row r="1559" spans="1:8" x14ac:dyDescent="0.3">
      <c r="A1559" t="s">
        <v>49</v>
      </c>
      <c r="B1559" t="s">
        <v>30</v>
      </c>
      <c r="C1559" t="s">
        <v>14</v>
      </c>
      <c r="D1559" t="s">
        <v>42</v>
      </c>
      <c r="E1559" s="5">
        <v>108013</v>
      </c>
      <c r="F1559" t="s">
        <v>3964</v>
      </c>
      <c r="G1559" t="s">
        <v>52</v>
      </c>
      <c r="H1559" t="s">
        <v>14</v>
      </c>
    </row>
    <row r="1560" spans="1:8" x14ac:dyDescent="0.3">
      <c r="A1560" t="s">
        <v>49</v>
      </c>
      <c r="B1560" t="s">
        <v>54</v>
      </c>
      <c r="C1560" t="s">
        <v>14</v>
      </c>
      <c r="D1560" t="s">
        <v>37</v>
      </c>
      <c r="E1560" s="5">
        <v>77279.5</v>
      </c>
      <c r="F1560" t="s">
        <v>3638</v>
      </c>
      <c r="G1560" t="s">
        <v>378</v>
      </c>
      <c r="H1560" t="s">
        <v>14</v>
      </c>
    </row>
    <row r="1561" spans="1:8" x14ac:dyDescent="0.3">
      <c r="A1561" t="s">
        <v>34</v>
      </c>
      <c r="B1561" t="s">
        <v>12</v>
      </c>
      <c r="C1561" t="s">
        <v>27</v>
      </c>
      <c r="D1561" t="s">
        <v>15</v>
      </c>
      <c r="E1561" s="5">
        <v>165480.5</v>
      </c>
      <c r="F1561" t="s">
        <v>254</v>
      </c>
      <c r="G1561" t="s">
        <v>255</v>
      </c>
      <c r="H1561" t="s">
        <v>16</v>
      </c>
    </row>
    <row r="1562" spans="1:8" x14ac:dyDescent="0.3">
      <c r="A1562" t="s">
        <v>19</v>
      </c>
      <c r="B1562" t="s">
        <v>25</v>
      </c>
      <c r="C1562" t="s">
        <v>22</v>
      </c>
      <c r="D1562" t="s">
        <v>15</v>
      </c>
      <c r="E1562" s="5">
        <v>117758</v>
      </c>
      <c r="F1562" t="s">
        <v>3720</v>
      </c>
      <c r="G1562" t="s">
        <v>90</v>
      </c>
      <c r="H1562" t="s">
        <v>16</v>
      </c>
    </row>
    <row r="1563" spans="1:8" x14ac:dyDescent="0.3">
      <c r="A1563" t="s">
        <v>40</v>
      </c>
      <c r="B1563" t="s">
        <v>67</v>
      </c>
      <c r="C1563" t="s">
        <v>14</v>
      </c>
      <c r="D1563" t="s">
        <v>15</v>
      </c>
      <c r="E1563" s="5">
        <v>146476</v>
      </c>
      <c r="F1563" t="s">
        <v>1679</v>
      </c>
      <c r="G1563" t="s">
        <v>1680</v>
      </c>
      <c r="H1563" t="s">
        <v>69</v>
      </c>
    </row>
    <row r="1564" spans="1:8" x14ac:dyDescent="0.3">
      <c r="A1564" t="s">
        <v>72</v>
      </c>
      <c r="B1564" t="s">
        <v>135</v>
      </c>
      <c r="C1564" t="s">
        <v>14</v>
      </c>
      <c r="D1564" t="s">
        <v>42</v>
      </c>
      <c r="E1564" s="5">
        <v>78485</v>
      </c>
      <c r="F1564" t="s">
        <v>3522</v>
      </c>
      <c r="G1564" t="s">
        <v>530</v>
      </c>
      <c r="H1564" t="s">
        <v>16</v>
      </c>
    </row>
    <row r="1565" spans="1:8" x14ac:dyDescent="0.3">
      <c r="A1565" t="s">
        <v>40</v>
      </c>
      <c r="B1565" t="s">
        <v>30</v>
      </c>
      <c r="C1565" t="s">
        <v>27</v>
      </c>
      <c r="D1565" t="s">
        <v>42</v>
      </c>
      <c r="E1565" s="5">
        <v>141440</v>
      </c>
      <c r="F1565" t="s">
        <v>3931</v>
      </c>
      <c r="G1565" t="s">
        <v>826</v>
      </c>
      <c r="H1565" t="s">
        <v>69</v>
      </c>
    </row>
    <row r="1566" spans="1:8" x14ac:dyDescent="0.3">
      <c r="A1566" t="s">
        <v>40</v>
      </c>
      <c r="B1566" t="s">
        <v>35</v>
      </c>
      <c r="C1566" t="s">
        <v>14</v>
      </c>
      <c r="D1566" t="s">
        <v>37</v>
      </c>
      <c r="E1566" s="5">
        <v>190330.5</v>
      </c>
      <c r="F1566" t="s">
        <v>2518</v>
      </c>
      <c r="G1566" t="s">
        <v>2519</v>
      </c>
      <c r="H1566" t="s">
        <v>16</v>
      </c>
    </row>
    <row r="1567" spans="1:8" x14ac:dyDescent="0.3">
      <c r="A1567" t="s">
        <v>45</v>
      </c>
      <c r="B1567" t="s">
        <v>35</v>
      </c>
      <c r="C1567" t="s">
        <v>14</v>
      </c>
      <c r="D1567" t="s">
        <v>42</v>
      </c>
      <c r="E1567" s="5">
        <v>113441.5</v>
      </c>
      <c r="F1567" t="s">
        <v>2164</v>
      </c>
      <c r="G1567" t="s">
        <v>2165</v>
      </c>
      <c r="H1567" t="s">
        <v>69</v>
      </c>
    </row>
    <row r="1568" spans="1:8" x14ac:dyDescent="0.3">
      <c r="A1568" t="s">
        <v>49</v>
      </c>
      <c r="B1568" t="s">
        <v>12</v>
      </c>
      <c r="C1568" t="s">
        <v>22</v>
      </c>
      <c r="D1568" t="s">
        <v>37</v>
      </c>
      <c r="E1568" s="5">
        <v>91813</v>
      </c>
      <c r="F1568" t="s">
        <v>1697</v>
      </c>
      <c r="G1568" t="s">
        <v>17</v>
      </c>
      <c r="H1568" t="s">
        <v>16</v>
      </c>
    </row>
    <row r="1569" spans="1:8" x14ac:dyDescent="0.3">
      <c r="A1569" t="s">
        <v>40</v>
      </c>
      <c r="B1569" t="s">
        <v>54</v>
      </c>
      <c r="C1569" t="s">
        <v>14</v>
      </c>
      <c r="D1569" t="s">
        <v>51</v>
      </c>
      <c r="E1569" s="5">
        <v>161379</v>
      </c>
      <c r="F1569" t="s">
        <v>89</v>
      </c>
      <c r="G1569" t="s">
        <v>90</v>
      </c>
      <c r="H1569" t="s">
        <v>16</v>
      </c>
    </row>
    <row r="1570" spans="1:8" x14ac:dyDescent="0.3">
      <c r="A1570" t="s">
        <v>11</v>
      </c>
      <c r="B1570" t="s">
        <v>25</v>
      </c>
      <c r="C1570" t="s">
        <v>22</v>
      </c>
      <c r="D1570" t="s">
        <v>51</v>
      </c>
      <c r="E1570" s="5">
        <v>78205.5</v>
      </c>
      <c r="F1570" t="s">
        <v>2500</v>
      </c>
      <c r="G1570" t="s">
        <v>32</v>
      </c>
      <c r="H1570" t="s">
        <v>69</v>
      </c>
    </row>
    <row r="1571" spans="1:8" x14ac:dyDescent="0.3">
      <c r="A1571" t="s">
        <v>34</v>
      </c>
      <c r="B1571" t="s">
        <v>54</v>
      </c>
      <c r="C1571" t="s">
        <v>22</v>
      </c>
      <c r="D1571" t="s">
        <v>51</v>
      </c>
      <c r="E1571" s="5">
        <v>159668</v>
      </c>
      <c r="F1571" t="s">
        <v>1418</v>
      </c>
      <c r="G1571" t="s">
        <v>38</v>
      </c>
      <c r="H1571" t="s">
        <v>16</v>
      </c>
    </row>
    <row r="1572" spans="1:8" x14ac:dyDescent="0.3">
      <c r="A1572" t="s">
        <v>11</v>
      </c>
      <c r="B1572" t="s">
        <v>135</v>
      </c>
      <c r="C1572" t="s">
        <v>27</v>
      </c>
      <c r="D1572" t="s">
        <v>15</v>
      </c>
      <c r="E1572" s="5">
        <v>120901.5</v>
      </c>
      <c r="F1572" t="s">
        <v>2955</v>
      </c>
      <c r="G1572" t="s">
        <v>2956</v>
      </c>
      <c r="H1572" t="s">
        <v>16</v>
      </c>
    </row>
    <row r="1573" spans="1:8" x14ac:dyDescent="0.3">
      <c r="A1573" t="s">
        <v>72</v>
      </c>
      <c r="B1573" t="s">
        <v>30</v>
      </c>
      <c r="C1573" t="s">
        <v>14</v>
      </c>
      <c r="D1573" t="s">
        <v>15</v>
      </c>
      <c r="E1573" s="5">
        <v>144195</v>
      </c>
      <c r="F1573" t="s">
        <v>3464</v>
      </c>
      <c r="G1573" t="s">
        <v>252</v>
      </c>
      <c r="H1573" t="s">
        <v>14</v>
      </c>
    </row>
    <row r="1574" spans="1:8" x14ac:dyDescent="0.3">
      <c r="A1574" t="s">
        <v>19</v>
      </c>
      <c r="B1574" t="s">
        <v>20</v>
      </c>
      <c r="C1574" t="s">
        <v>22</v>
      </c>
      <c r="D1574" t="s">
        <v>51</v>
      </c>
      <c r="E1574" s="5">
        <v>151679.5</v>
      </c>
      <c r="F1574" t="s">
        <v>2798</v>
      </c>
      <c r="G1574" t="s">
        <v>101</v>
      </c>
      <c r="H1574" t="s">
        <v>14</v>
      </c>
    </row>
    <row r="1575" spans="1:8" x14ac:dyDescent="0.3">
      <c r="A1575" t="s">
        <v>49</v>
      </c>
      <c r="B1575" t="s">
        <v>25</v>
      </c>
      <c r="C1575" t="s">
        <v>22</v>
      </c>
      <c r="D1575" t="s">
        <v>42</v>
      </c>
      <c r="E1575" s="5">
        <v>88181.5</v>
      </c>
      <c r="F1575" t="s">
        <v>3437</v>
      </c>
      <c r="G1575" t="s">
        <v>101</v>
      </c>
      <c r="H1575" t="s">
        <v>14</v>
      </c>
    </row>
    <row r="1576" spans="1:8" x14ac:dyDescent="0.3">
      <c r="A1576" t="s">
        <v>34</v>
      </c>
      <c r="B1576" t="s">
        <v>35</v>
      </c>
      <c r="C1576" t="s">
        <v>14</v>
      </c>
      <c r="D1576" t="s">
        <v>51</v>
      </c>
      <c r="E1576" s="5">
        <v>144822</v>
      </c>
      <c r="F1576" t="s">
        <v>1193</v>
      </c>
      <c r="G1576" t="s">
        <v>38</v>
      </c>
      <c r="H1576" t="s">
        <v>16</v>
      </c>
    </row>
    <row r="1577" spans="1:8" x14ac:dyDescent="0.3">
      <c r="A1577" t="s">
        <v>49</v>
      </c>
      <c r="B1577" t="s">
        <v>35</v>
      </c>
      <c r="C1577" t="s">
        <v>27</v>
      </c>
      <c r="D1577" t="s">
        <v>15</v>
      </c>
      <c r="E1577" s="5">
        <v>144477.5</v>
      </c>
      <c r="F1577" t="s">
        <v>3398</v>
      </c>
      <c r="G1577" t="s">
        <v>157</v>
      </c>
      <c r="H1577" t="s">
        <v>14</v>
      </c>
    </row>
    <row r="1578" spans="1:8" x14ac:dyDescent="0.3">
      <c r="A1578" t="s">
        <v>72</v>
      </c>
      <c r="B1578" t="s">
        <v>30</v>
      </c>
      <c r="C1578" t="s">
        <v>14</v>
      </c>
      <c r="D1578" t="s">
        <v>51</v>
      </c>
      <c r="E1578" s="5">
        <v>102334</v>
      </c>
      <c r="F1578" t="s">
        <v>2995</v>
      </c>
      <c r="G1578" t="s">
        <v>157</v>
      </c>
      <c r="H1578" t="s">
        <v>16</v>
      </c>
    </row>
    <row r="1579" spans="1:8" x14ac:dyDescent="0.3">
      <c r="A1579" t="s">
        <v>45</v>
      </c>
      <c r="B1579" t="s">
        <v>67</v>
      </c>
      <c r="C1579" t="s">
        <v>27</v>
      </c>
      <c r="D1579" t="s">
        <v>51</v>
      </c>
      <c r="E1579" s="5">
        <v>162945.5</v>
      </c>
      <c r="F1579" t="s">
        <v>2847</v>
      </c>
      <c r="G1579" t="s">
        <v>101</v>
      </c>
      <c r="H1579" t="s">
        <v>14</v>
      </c>
    </row>
    <row r="1580" spans="1:8" x14ac:dyDescent="0.3">
      <c r="A1580" t="s">
        <v>45</v>
      </c>
      <c r="B1580" t="s">
        <v>30</v>
      </c>
      <c r="C1580" t="s">
        <v>14</v>
      </c>
      <c r="D1580" t="s">
        <v>42</v>
      </c>
      <c r="E1580" s="5">
        <v>92521.5</v>
      </c>
      <c r="F1580" t="s">
        <v>4265</v>
      </c>
      <c r="G1580" t="s">
        <v>2612</v>
      </c>
      <c r="H1580" t="s">
        <v>16</v>
      </c>
    </row>
    <row r="1581" spans="1:8" x14ac:dyDescent="0.3">
      <c r="A1581" t="s">
        <v>11</v>
      </c>
      <c r="B1581" t="s">
        <v>67</v>
      </c>
      <c r="C1581" t="s">
        <v>14</v>
      </c>
      <c r="D1581" t="s">
        <v>15</v>
      </c>
      <c r="E1581" s="5">
        <v>62334</v>
      </c>
      <c r="F1581" t="s">
        <v>2428</v>
      </c>
      <c r="G1581" t="s">
        <v>101</v>
      </c>
      <c r="H1581" t="s">
        <v>69</v>
      </c>
    </row>
    <row r="1582" spans="1:8" x14ac:dyDescent="0.3">
      <c r="A1582" t="s">
        <v>40</v>
      </c>
      <c r="B1582" t="s">
        <v>20</v>
      </c>
      <c r="C1582" t="s">
        <v>27</v>
      </c>
      <c r="D1582" t="s">
        <v>15</v>
      </c>
      <c r="E1582" s="5">
        <v>184972</v>
      </c>
      <c r="F1582" t="s">
        <v>2341</v>
      </c>
      <c r="G1582" t="s">
        <v>2342</v>
      </c>
      <c r="H1582" t="s">
        <v>69</v>
      </c>
    </row>
    <row r="1583" spans="1:8" x14ac:dyDescent="0.3">
      <c r="A1583" t="s">
        <v>40</v>
      </c>
      <c r="B1583" t="s">
        <v>25</v>
      </c>
      <c r="C1583" t="s">
        <v>27</v>
      </c>
      <c r="D1583" t="s">
        <v>37</v>
      </c>
      <c r="E1583" s="5">
        <v>151071</v>
      </c>
      <c r="F1583" t="s">
        <v>3340</v>
      </c>
      <c r="G1583" t="s">
        <v>80</v>
      </c>
      <c r="H1583" t="s">
        <v>16</v>
      </c>
    </row>
    <row r="1584" spans="1:8" x14ac:dyDescent="0.3">
      <c r="A1584" t="s">
        <v>11</v>
      </c>
      <c r="B1584" t="s">
        <v>30</v>
      </c>
      <c r="C1584" t="s">
        <v>14</v>
      </c>
      <c r="D1584" t="s">
        <v>51</v>
      </c>
      <c r="E1584" s="5">
        <v>93042</v>
      </c>
      <c r="F1584" t="s">
        <v>3258</v>
      </c>
      <c r="G1584" t="s">
        <v>2519</v>
      </c>
      <c r="H1584" t="s">
        <v>69</v>
      </c>
    </row>
    <row r="1585" spans="1:8" x14ac:dyDescent="0.3">
      <c r="A1585" t="s">
        <v>11</v>
      </c>
      <c r="B1585" t="s">
        <v>30</v>
      </c>
      <c r="C1585" t="s">
        <v>27</v>
      </c>
      <c r="D1585" t="s">
        <v>42</v>
      </c>
      <c r="E1585" s="5">
        <v>182196.5</v>
      </c>
      <c r="F1585" t="s">
        <v>1544</v>
      </c>
      <c r="G1585" t="s">
        <v>77</v>
      </c>
      <c r="H1585" t="s">
        <v>14</v>
      </c>
    </row>
    <row r="1586" spans="1:8" x14ac:dyDescent="0.3">
      <c r="A1586" t="s">
        <v>72</v>
      </c>
      <c r="B1586" t="s">
        <v>20</v>
      </c>
      <c r="C1586" t="s">
        <v>27</v>
      </c>
      <c r="D1586" t="s">
        <v>51</v>
      </c>
      <c r="E1586" s="5">
        <v>79640</v>
      </c>
      <c r="F1586" t="s">
        <v>2175</v>
      </c>
      <c r="G1586" t="s">
        <v>80</v>
      </c>
      <c r="H1586" t="s">
        <v>16</v>
      </c>
    </row>
    <row r="1587" spans="1:8" x14ac:dyDescent="0.3">
      <c r="A1587" t="s">
        <v>72</v>
      </c>
      <c r="B1587" t="s">
        <v>20</v>
      </c>
      <c r="C1587" t="s">
        <v>14</v>
      </c>
      <c r="D1587" t="s">
        <v>15</v>
      </c>
      <c r="E1587" s="5">
        <v>188355</v>
      </c>
      <c r="F1587" t="s">
        <v>2175</v>
      </c>
      <c r="G1587" t="s">
        <v>982</v>
      </c>
      <c r="H1587" t="s">
        <v>16</v>
      </c>
    </row>
    <row r="1588" spans="1:8" x14ac:dyDescent="0.3">
      <c r="A1588" t="s">
        <v>72</v>
      </c>
      <c r="B1588" t="s">
        <v>30</v>
      </c>
      <c r="C1588" t="s">
        <v>27</v>
      </c>
      <c r="D1588" t="s">
        <v>51</v>
      </c>
      <c r="E1588" s="5">
        <v>167929</v>
      </c>
      <c r="F1588" t="s">
        <v>3734</v>
      </c>
      <c r="G1588" t="s">
        <v>157</v>
      </c>
      <c r="H1588" t="s">
        <v>14</v>
      </c>
    </row>
    <row r="1589" spans="1:8" x14ac:dyDescent="0.3">
      <c r="A1589" t="s">
        <v>72</v>
      </c>
      <c r="B1589" t="s">
        <v>135</v>
      </c>
      <c r="C1589" t="s">
        <v>27</v>
      </c>
      <c r="D1589" t="s">
        <v>51</v>
      </c>
      <c r="E1589" s="5">
        <v>166406</v>
      </c>
      <c r="F1589" t="s">
        <v>2729</v>
      </c>
      <c r="G1589" t="s">
        <v>62</v>
      </c>
      <c r="H1589" t="s">
        <v>14</v>
      </c>
    </row>
    <row r="1590" spans="1:8" x14ac:dyDescent="0.3">
      <c r="A1590" t="s">
        <v>34</v>
      </c>
      <c r="B1590" t="s">
        <v>67</v>
      </c>
      <c r="C1590" t="s">
        <v>27</v>
      </c>
      <c r="D1590" t="s">
        <v>42</v>
      </c>
      <c r="E1590" s="5">
        <v>123737</v>
      </c>
      <c r="F1590" t="s">
        <v>457</v>
      </c>
      <c r="G1590" t="s">
        <v>439</v>
      </c>
      <c r="H1590" t="s">
        <v>14</v>
      </c>
    </row>
    <row r="1591" spans="1:8" x14ac:dyDescent="0.3">
      <c r="A1591" t="s">
        <v>45</v>
      </c>
      <c r="B1591" t="s">
        <v>20</v>
      </c>
      <c r="C1591" t="s">
        <v>14</v>
      </c>
      <c r="D1591" t="s">
        <v>15</v>
      </c>
      <c r="E1591" s="5">
        <v>184948.5</v>
      </c>
      <c r="F1591" t="s">
        <v>2314</v>
      </c>
      <c r="G1591" t="s">
        <v>125</v>
      </c>
      <c r="H1591" t="s">
        <v>16</v>
      </c>
    </row>
    <row r="1592" spans="1:8" x14ac:dyDescent="0.3">
      <c r="A1592" t="s">
        <v>49</v>
      </c>
      <c r="B1592" t="s">
        <v>20</v>
      </c>
      <c r="C1592" t="s">
        <v>27</v>
      </c>
      <c r="D1592" t="s">
        <v>42</v>
      </c>
      <c r="E1592" s="5">
        <v>56274.5</v>
      </c>
      <c r="F1592" t="s">
        <v>659</v>
      </c>
      <c r="G1592" t="s">
        <v>157</v>
      </c>
      <c r="H1592" t="s">
        <v>69</v>
      </c>
    </row>
    <row r="1593" spans="1:8" x14ac:dyDescent="0.3">
      <c r="A1593" t="s">
        <v>19</v>
      </c>
      <c r="B1593" t="s">
        <v>20</v>
      </c>
      <c r="C1593" t="s">
        <v>14</v>
      </c>
      <c r="D1593" t="s">
        <v>15</v>
      </c>
      <c r="E1593" s="5">
        <v>69673</v>
      </c>
      <c r="F1593" t="s">
        <v>3668</v>
      </c>
      <c r="G1593" t="s">
        <v>293</v>
      </c>
      <c r="H1593" t="s">
        <v>69</v>
      </c>
    </row>
    <row r="1594" spans="1:8" x14ac:dyDescent="0.3">
      <c r="A1594" t="s">
        <v>19</v>
      </c>
      <c r="B1594" t="s">
        <v>54</v>
      </c>
      <c r="C1594" t="s">
        <v>27</v>
      </c>
      <c r="D1594" t="s">
        <v>42</v>
      </c>
      <c r="E1594" s="5">
        <v>115746</v>
      </c>
      <c r="F1594" t="s">
        <v>3887</v>
      </c>
      <c r="G1594" t="s">
        <v>70</v>
      </c>
      <c r="H1594" t="s">
        <v>14</v>
      </c>
    </row>
    <row r="1595" spans="1:8" x14ac:dyDescent="0.3">
      <c r="A1595" t="s">
        <v>40</v>
      </c>
      <c r="B1595" t="s">
        <v>54</v>
      </c>
      <c r="C1595" t="s">
        <v>27</v>
      </c>
      <c r="D1595" t="s">
        <v>51</v>
      </c>
      <c r="E1595" s="5">
        <v>91834</v>
      </c>
      <c r="F1595" t="s">
        <v>2418</v>
      </c>
      <c r="G1595" t="s">
        <v>52</v>
      </c>
      <c r="H1595" t="s">
        <v>69</v>
      </c>
    </row>
    <row r="1596" spans="1:8" x14ac:dyDescent="0.3">
      <c r="A1596" t="s">
        <v>11</v>
      </c>
      <c r="B1596" t="s">
        <v>20</v>
      </c>
      <c r="C1596" t="s">
        <v>14</v>
      </c>
      <c r="D1596" t="s">
        <v>51</v>
      </c>
      <c r="E1596" s="5">
        <v>79245.5</v>
      </c>
      <c r="F1596" t="s">
        <v>3119</v>
      </c>
      <c r="G1596" t="s">
        <v>1553</v>
      </c>
      <c r="H1596" t="s">
        <v>69</v>
      </c>
    </row>
    <row r="1597" spans="1:8" x14ac:dyDescent="0.3">
      <c r="A1597" t="s">
        <v>40</v>
      </c>
      <c r="B1597" t="s">
        <v>20</v>
      </c>
      <c r="C1597" t="s">
        <v>22</v>
      </c>
      <c r="D1597" t="s">
        <v>51</v>
      </c>
      <c r="E1597" s="5">
        <v>108357.5</v>
      </c>
      <c r="F1597" t="s">
        <v>1584</v>
      </c>
      <c r="G1597" t="s">
        <v>497</v>
      </c>
      <c r="H1597" t="s">
        <v>16</v>
      </c>
    </row>
    <row r="1598" spans="1:8" x14ac:dyDescent="0.3">
      <c r="A1598" t="s">
        <v>45</v>
      </c>
      <c r="B1598" t="s">
        <v>67</v>
      </c>
      <c r="C1598" t="s">
        <v>27</v>
      </c>
      <c r="D1598" t="s">
        <v>51</v>
      </c>
      <c r="E1598" s="5">
        <v>121919</v>
      </c>
      <c r="F1598" t="s">
        <v>805</v>
      </c>
      <c r="G1598" t="s">
        <v>128</v>
      </c>
      <c r="H1598" t="s">
        <v>14</v>
      </c>
    </row>
    <row r="1599" spans="1:8" x14ac:dyDescent="0.3">
      <c r="A1599" t="s">
        <v>40</v>
      </c>
      <c r="B1599" t="s">
        <v>67</v>
      </c>
      <c r="C1599" t="s">
        <v>22</v>
      </c>
      <c r="D1599" t="s">
        <v>42</v>
      </c>
      <c r="E1599" s="5">
        <v>156327.5</v>
      </c>
      <c r="F1599" t="s">
        <v>2160</v>
      </c>
      <c r="G1599" t="s">
        <v>52</v>
      </c>
      <c r="H1599" t="s">
        <v>69</v>
      </c>
    </row>
    <row r="1600" spans="1:8" x14ac:dyDescent="0.3">
      <c r="A1600" t="s">
        <v>34</v>
      </c>
      <c r="B1600" t="s">
        <v>35</v>
      </c>
      <c r="C1600" t="s">
        <v>27</v>
      </c>
      <c r="D1600" t="s">
        <v>42</v>
      </c>
      <c r="E1600" s="5">
        <v>148935</v>
      </c>
      <c r="F1600" t="s">
        <v>1082</v>
      </c>
      <c r="G1600" t="s">
        <v>847</v>
      </c>
      <c r="H1600" t="s">
        <v>16</v>
      </c>
    </row>
    <row r="1601" spans="1:8" x14ac:dyDescent="0.3">
      <c r="A1601" t="s">
        <v>34</v>
      </c>
      <c r="B1601" t="s">
        <v>35</v>
      </c>
      <c r="C1601" t="s">
        <v>22</v>
      </c>
      <c r="D1601" t="s">
        <v>51</v>
      </c>
      <c r="E1601" s="5">
        <v>102985</v>
      </c>
      <c r="F1601" t="s">
        <v>2759</v>
      </c>
      <c r="G1601" t="s">
        <v>157</v>
      </c>
      <c r="H1601" t="s">
        <v>69</v>
      </c>
    </row>
    <row r="1602" spans="1:8" x14ac:dyDescent="0.3">
      <c r="A1602" t="s">
        <v>34</v>
      </c>
      <c r="B1602" t="s">
        <v>25</v>
      </c>
      <c r="C1602" t="s">
        <v>14</v>
      </c>
      <c r="D1602" t="s">
        <v>37</v>
      </c>
      <c r="E1602" s="5">
        <v>89652.5</v>
      </c>
      <c r="F1602" t="s">
        <v>443</v>
      </c>
      <c r="G1602" t="s">
        <v>444</v>
      </c>
      <c r="H1602" t="s">
        <v>16</v>
      </c>
    </row>
    <row r="1603" spans="1:8" x14ac:dyDescent="0.3">
      <c r="A1603" t="s">
        <v>72</v>
      </c>
      <c r="B1603" t="s">
        <v>12</v>
      </c>
      <c r="C1603" t="s">
        <v>22</v>
      </c>
      <c r="D1603" t="s">
        <v>15</v>
      </c>
      <c r="E1603" s="5">
        <v>180135.5</v>
      </c>
      <c r="F1603" t="s">
        <v>2822</v>
      </c>
      <c r="G1603" t="s">
        <v>128</v>
      </c>
      <c r="H1603" t="s">
        <v>69</v>
      </c>
    </row>
    <row r="1604" spans="1:8" x14ac:dyDescent="0.3">
      <c r="A1604" t="s">
        <v>34</v>
      </c>
      <c r="B1604" t="s">
        <v>20</v>
      </c>
      <c r="C1604" t="s">
        <v>22</v>
      </c>
      <c r="D1604" t="s">
        <v>37</v>
      </c>
      <c r="E1604" s="5">
        <v>162714</v>
      </c>
      <c r="F1604" t="s">
        <v>3241</v>
      </c>
      <c r="G1604" t="s">
        <v>128</v>
      </c>
      <c r="H1604" t="s">
        <v>16</v>
      </c>
    </row>
    <row r="1605" spans="1:8" x14ac:dyDescent="0.3">
      <c r="A1605" t="s">
        <v>34</v>
      </c>
      <c r="B1605" t="s">
        <v>67</v>
      </c>
      <c r="C1605" t="s">
        <v>14</v>
      </c>
      <c r="D1605" t="s">
        <v>42</v>
      </c>
      <c r="E1605" s="5">
        <v>153250</v>
      </c>
      <c r="F1605" t="s">
        <v>1295</v>
      </c>
      <c r="G1605" t="s">
        <v>546</v>
      </c>
      <c r="H1605" t="s">
        <v>14</v>
      </c>
    </row>
    <row r="1606" spans="1:8" x14ac:dyDescent="0.3">
      <c r="A1606" t="s">
        <v>19</v>
      </c>
      <c r="B1606" t="s">
        <v>12</v>
      </c>
      <c r="C1606" t="s">
        <v>22</v>
      </c>
      <c r="D1606" t="s">
        <v>15</v>
      </c>
      <c r="E1606" s="5">
        <v>111273</v>
      </c>
      <c r="F1606" t="s">
        <v>2357</v>
      </c>
      <c r="G1606" t="s">
        <v>157</v>
      </c>
      <c r="H1606" t="s">
        <v>16</v>
      </c>
    </row>
    <row r="1607" spans="1:8" x14ac:dyDescent="0.3">
      <c r="A1607" t="s">
        <v>19</v>
      </c>
      <c r="B1607" t="s">
        <v>25</v>
      </c>
      <c r="C1607" t="s">
        <v>27</v>
      </c>
      <c r="D1607" t="s">
        <v>37</v>
      </c>
      <c r="E1607" s="5">
        <v>77089</v>
      </c>
      <c r="F1607" t="s">
        <v>3242</v>
      </c>
      <c r="G1607" t="s">
        <v>77</v>
      </c>
      <c r="H1607" t="s">
        <v>69</v>
      </c>
    </row>
    <row r="1608" spans="1:8" x14ac:dyDescent="0.3">
      <c r="A1608" t="s">
        <v>19</v>
      </c>
      <c r="B1608" t="s">
        <v>20</v>
      </c>
      <c r="C1608" t="s">
        <v>14</v>
      </c>
      <c r="D1608" t="s">
        <v>37</v>
      </c>
      <c r="E1608" s="5">
        <v>108049.5</v>
      </c>
      <c r="F1608" t="s">
        <v>1866</v>
      </c>
      <c r="G1608" t="s">
        <v>77</v>
      </c>
      <c r="H1608" t="s">
        <v>16</v>
      </c>
    </row>
    <row r="1609" spans="1:8" x14ac:dyDescent="0.3">
      <c r="A1609" t="s">
        <v>72</v>
      </c>
      <c r="B1609" t="s">
        <v>54</v>
      </c>
      <c r="C1609" t="s">
        <v>22</v>
      </c>
      <c r="D1609" t="s">
        <v>15</v>
      </c>
      <c r="E1609" s="5">
        <v>101942</v>
      </c>
      <c r="F1609" t="s">
        <v>1898</v>
      </c>
      <c r="G1609" t="s">
        <v>80</v>
      </c>
      <c r="H1609" t="s">
        <v>16</v>
      </c>
    </row>
    <row r="1610" spans="1:8" x14ac:dyDescent="0.3">
      <c r="A1610" t="s">
        <v>49</v>
      </c>
      <c r="B1610" t="s">
        <v>25</v>
      </c>
      <c r="C1610" t="s">
        <v>22</v>
      </c>
      <c r="D1610" t="s">
        <v>51</v>
      </c>
      <c r="E1610" s="5">
        <v>153865</v>
      </c>
      <c r="F1610" t="s">
        <v>647</v>
      </c>
      <c r="G1610" t="s">
        <v>206</v>
      </c>
      <c r="H1610" t="s">
        <v>14</v>
      </c>
    </row>
    <row r="1611" spans="1:8" x14ac:dyDescent="0.3">
      <c r="A1611" t="s">
        <v>45</v>
      </c>
      <c r="B1611" t="s">
        <v>54</v>
      </c>
      <c r="C1611" t="s">
        <v>27</v>
      </c>
      <c r="D1611" t="s">
        <v>51</v>
      </c>
      <c r="E1611" s="5">
        <v>149044</v>
      </c>
      <c r="F1611" t="s">
        <v>1473</v>
      </c>
      <c r="G1611" t="s">
        <v>122</v>
      </c>
      <c r="H1611" t="s">
        <v>16</v>
      </c>
    </row>
    <row r="1612" spans="1:8" x14ac:dyDescent="0.3">
      <c r="A1612" t="s">
        <v>40</v>
      </c>
      <c r="B1612" t="s">
        <v>67</v>
      </c>
      <c r="C1612" t="s">
        <v>14</v>
      </c>
      <c r="D1612" t="s">
        <v>15</v>
      </c>
      <c r="E1612" s="5">
        <v>136190</v>
      </c>
      <c r="F1612" t="s">
        <v>149</v>
      </c>
      <c r="G1612" t="s">
        <v>80</v>
      </c>
      <c r="H1612" t="s">
        <v>69</v>
      </c>
    </row>
    <row r="1613" spans="1:8" x14ac:dyDescent="0.3">
      <c r="A1613" t="s">
        <v>40</v>
      </c>
      <c r="B1613" t="s">
        <v>25</v>
      </c>
      <c r="C1613" t="s">
        <v>27</v>
      </c>
      <c r="D1613" t="s">
        <v>51</v>
      </c>
      <c r="E1613" s="5">
        <v>186602</v>
      </c>
      <c r="F1613" t="s">
        <v>4166</v>
      </c>
      <c r="G1613" t="s">
        <v>80</v>
      </c>
      <c r="H1613" t="s">
        <v>14</v>
      </c>
    </row>
    <row r="1614" spans="1:8" x14ac:dyDescent="0.3">
      <c r="A1614" t="s">
        <v>45</v>
      </c>
      <c r="B1614" t="s">
        <v>135</v>
      </c>
      <c r="C1614" t="s">
        <v>14</v>
      </c>
      <c r="D1614" t="s">
        <v>37</v>
      </c>
      <c r="E1614" s="5">
        <v>70476.5</v>
      </c>
      <c r="F1614" t="s">
        <v>239</v>
      </c>
      <c r="G1614" t="s">
        <v>240</v>
      </c>
      <c r="H1614" t="s">
        <v>14</v>
      </c>
    </row>
    <row r="1615" spans="1:8" x14ac:dyDescent="0.3">
      <c r="A1615" t="s">
        <v>72</v>
      </c>
      <c r="B1615" t="s">
        <v>20</v>
      </c>
      <c r="C1615" t="s">
        <v>27</v>
      </c>
      <c r="D1615" t="s">
        <v>15</v>
      </c>
      <c r="E1615" s="5">
        <v>107418.5</v>
      </c>
      <c r="F1615" t="s">
        <v>2205</v>
      </c>
      <c r="G1615" t="s">
        <v>2206</v>
      </c>
      <c r="H1615" t="s">
        <v>16</v>
      </c>
    </row>
    <row r="1616" spans="1:8" x14ac:dyDescent="0.3">
      <c r="A1616" t="s">
        <v>72</v>
      </c>
      <c r="B1616" t="s">
        <v>12</v>
      </c>
      <c r="C1616" t="s">
        <v>22</v>
      </c>
      <c r="D1616" t="s">
        <v>42</v>
      </c>
      <c r="E1616" s="5">
        <v>140698</v>
      </c>
      <c r="F1616" t="s">
        <v>4109</v>
      </c>
      <c r="G1616" t="s">
        <v>299</v>
      </c>
      <c r="H1616" t="s">
        <v>14</v>
      </c>
    </row>
    <row r="1617" spans="1:8" x14ac:dyDescent="0.3">
      <c r="A1617" t="s">
        <v>40</v>
      </c>
      <c r="B1617" t="s">
        <v>35</v>
      </c>
      <c r="C1617" t="s">
        <v>27</v>
      </c>
      <c r="D1617" t="s">
        <v>15</v>
      </c>
      <c r="E1617" s="5">
        <v>115304.5</v>
      </c>
      <c r="F1617" t="s">
        <v>3751</v>
      </c>
      <c r="G1617" t="s">
        <v>2680</v>
      </c>
      <c r="H1617" t="s">
        <v>16</v>
      </c>
    </row>
    <row r="1618" spans="1:8" x14ac:dyDescent="0.3">
      <c r="A1618" t="s">
        <v>11</v>
      </c>
      <c r="B1618" t="s">
        <v>12</v>
      </c>
      <c r="C1618" t="s">
        <v>27</v>
      </c>
      <c r="D1618" t="s">
        <v>37</v>
      </c>
      <c r="E1618" s="5">
        <v>148691.5</v>
      </c>
      <c r="F1618" t="s">
        <v>111</v>
      </c>
      <c r="G1618" t="s">
        <v>47</v>
      </c>
      <c r="H1618" t="s">
        <v>69</v>
      </c>
    </row>
    <row r="1619" spans="1:8" x14ac:dyDescent="0.3">
      <c r="A1619" t="s">
        <v>49</v>
      </c>
      <c r="B1619" t="s">
        <v>67</v>
      </c>
      <c r="C1619" t="s">
        <v>27</v>
      </c>
      <c r="D1619" t="s">
        <v>42</v>
      </c>
      <c r="E1619" s="5">
        <v>107531</v>
      </c>
      <c r="F1619" t="s">
        <v>930</v>
      </c>
      <c r="G1619" t="s">
        <v>931</v>
      </c>
      <c r="H1619" t="s">
        <v>16</v>
      </c>
    </row>
    <row r="1620" spans="1:8" x14ac:dyDescent="0.3">
      <c r="A1620" t="s">
        <v>34</v>
      </c>
      <c r="B1620" t="s">
        <v>30</v>
      </c>
      <c r="C1620" t="s">
        <v>22</v>
      </c>
      <c r="D1620" t="s">
        <v>37</v>
      </c>
      <c r="E1620" s="5">
        <v>137660.5</v>
      </c>
      <c r="F1620" t="s">
        <v>945</v>
      </c>
      <c r="G1620" t="s">
        <v>59</v>
      </c>
      <c r="H1620" t="s">
        <v>14</v>
      </c>
    </row>
    <row r="1621" spans="1:8" x14ac:dyDescent="0.3">
      <c r="A1621" t="s">
        <v>72</v>
      </c>
      <c r="B1621" t="s">
        <v>135</v>
      </c>
      <c r="C1621" t="s">
        <v>22</v>
      </c>
      <c r="D1621" t="s">
        <v>15</v>
      </c>
      <c r="E1621" s="5">
        <v>110308.5</v>
      </c>
      <c r="F1621" t="s">
        <v>2489</v>
      </c>
      <c r="G1621" t="s">
        <v>226</v>
      </c>
      <c r="H1621" t="s">
        <v>16</v>
      </c>
    </row>
    <row r="1622" spans="1:8" x14ac:dyDescent="0.3">
      <c r="A1622" t="s">
        <v>72</v>
      </c>
      <c r="B1622" t="s">
        <v>35</v>
      </c>
      <c r="C1622" t="s">
        <v>22</v>
      </c>
      <c r="D1622" t="s">
        <v>37</v>
      </c>
      <c r="E1622" s="5">
        <v>110923</v>
      </c>
      <c r="F1622" t="s">
        <v>3864</v>
      </c>
      <c r="G1622" t="s">
        <v>101</v>
      </c>
      <c r="H1622" t="s">
        <v>14</v>
      </c>
    </row>
    <row r="1623" spans="1:8" x14ac:dyDescent="0.3">
      <c r="A1623" t="s">
        <v>45</v>
      </c>
      <c r="B1623" t="s">
        <v>20</v>
      </c>
      <c r="C1623" t="s">
        <v>22</v>
      </c>
      <c r="D1623" t="s">
        <v>15</v>
      </c>
      <c r="E1623" s="5">
        <v>153933</v>
      </c>
      <c r="F1623" t="s">
        <v>1670</v>
      </c>
      <c r="G1623" t="s">
        <v>410</v>
      </c>
      <c r="H1623" t="s">
        <v>14</v>
      </c>
    </row>
    <row r="1624" spans="1:8" x14ac:dyDescent="0.3">
      <c r="A1624" t="s">
        <v>49</v>
      </c>
      <c r="B1624" t="s">
        <v>35</v>
      </c>
      <c r="C1624" t="s">
        <v>14</v>
      </c>
      <c r="D1624" t="s">
        <v>37</v>
      </c>
      <c r="E1624" s="5">
        <v>158832</v>
      </c>
      <c r="F1624" t="s">
        <v>3925</v>
      </c>
      <c r="G1624" t="s">
        <v>157</v>
      </c>
      <c r="H1624" t="s">
        <v>16</v>
      </c>
    </row>
    <row r="1625" spans="1:8" x14ac:dyDescent="0.3">
      <c r="A1625" t="s">
        <v>40</v>
      </c>
      <c r="B1625" t="s">
        <v>135</v>
      </c>
      <c r="C1625" t="s">
        <v>27</v>
      </c>
      <c r="D1625" t="s">
        <v>42</v>
      </c>
      <c r="E1625" s="5">
        <v>169202.5</v>
      </c>
      <c r="F1625" t="s">
        <v>3290</v>
      </c>
      <c r="G1625" t="s">
        <v>157</v>
      </c>
      <c r="H1625" t="s">
        <v>16</v>
      </c>
    </row>
    <row r="1626" spans="1:8" x14ac:dyDescent="0.3">
      <c r="A1626" t="s">
        <v>40</v>
      </c>
      <c r="B1626" t="s">
        <v>12</v>
      </c>
      <c r="C1626" t="s">
        <v>22</v>
      </c>
      <c r="D1626" t="s">
        <v>15</v>
      </c>
      <c r="E1626" s="5">
        <v>89036.5</v>
      </c>
      <c r="F1626" t="s">
        <v>3872</v>
      </c>
      <c r="G1626" t="s">
        <v>386</v>
      </c>
      <c r="H1626" t="s">
        <v>69</v>
      </c>
    </row>
    <row r="1627" spans="1:8" x14ac:dyDescent="0.3">
      <c r="A1627" t="s">
        <v>45</v>
      </c>
      <c r="B1627" t="s">
        <v>12</v>
      </c>
      <c r="C1627" t="s">
        <v>27</v>
      </c>
      <c r="D1627" t="s">
        <v>42</v>
      </c>
      <c r="E1627" s="5">
        <v>183808</v>
      </c>
      <c r="F1627" t="s">
        <v>1245</v>
      </c>
      <c r="G1627" t="s">
        <v>823</v>
      </c>
      <c r="H1627" t="s">
        <v>14</v>
      </c>
    </row>
    <row r="1628" spans="1:8" x14ac:dyDescent="0.3">
      <c r="A1628" t="s">
        <v>49</v>
      </c>
      <c r="B1628" t="s">
        <v>135</v>
      </c>
      <c r="C1628" t="s">
        <v>14</v>
      </c>
      <c r="D1628" t="s">
        <v>42</v>
      </c>
      <c r="E1628" s="5">
        <v>107122.5</v>
      </c>
      <c r="F1628" t="s">
        <v>2947</v>
      </c>
      <c r="G1628" t="s">
        <v>1131</v>
      </c>
      <c r="H1628" t="s">
        <v>14</v>
      </c>
    </row>
    <row r="1629" spans="1:8" x14ac:dyDescent="0.3">
      <c r="A1629" t="s">
        <v>19</v>
      </c>
      <c r="B1629" t="s">
        <v>35</v>
      </c>
      <c r="C1629" t="s">
        <v>27</v>
      </c>
      <c r="D1629" t="s">
        <v>15</v>
      </c>
      <c r="E1629" s="5">
        <v>136601</v>
      </c>
      <c r="F1629" t="s">
        <v>2860</v>
      </c>
      <c r="G1629" t="s">
        <v>362</v>
      </c>
      <c r="H1629" t="s">
        <v>16</v>
      </c>
    </row>
    <row r="1630" spans="1:8" x14ac:dyDescent="0.3">
      <c r="A1630" t="s">
        <v>40</v>
      </c>
      <c r="B1630" t="s">
        <v>54</v>
      </c>
      <c r="C1630" t="s">
        <v>22</v>
      </c>
      <c r="D1630" t="s">
        <v>51</v>
      </c>
      <c r="E1630" s="5">
        <v>122735.5</v>
      </c>
      <c r="F1630" t="s">
        <v>1300</v>
      </c>
      <c r="G1630" t="s">
        <v>90</v>
      </c>
      <c r="H1630" t="s">
        <v>69</v>
      </c>
    </row>
    <row r="1631" spans="1:8" x14ac:dyDescent="0.3">
      <c r="A1631" t="s">
        <v>40</v>
      </c>
      <c r="B1631" t="s">
        <v>54</v>
      </c>
      <c r="C1631" t="s">
        <v>27</v>
      </c>
      <c r="D1631" t="s">
        <v>51</v>
      </c>
      <c r="E1631" s="5">
        <v>143745</v>
      </c>
      <c r="F1631" t="s">
        <v>1400</v>
      </c>
      <c r="G1631" t="s">
        <v>128</v>
      </c>
      <c r="H1631" t="s">
        <v>69</v>
      </c>
    </row>
    <row r="1632" spans="1:8" x14ac:dyDescent="0.3">
      <c r="A1632" t="s">
        <v>49</v>
      </c>
      <c r="B1632" t="s">
        <v>20</v>
      </c>
      <c r="C1632" t="s">
        <v>27</v>
      </c>
      <c r="D1632" t="s">
        <v>51</v>
      </c>
      <c r="E1632" s="5">
        <v>114118</v>
      </c>
      <c r="F1632" t="s">
        <v>1999</v>
      </c>
      <c r="G1632" t="s">
        <v>1131</v>
      </c>
      <c r="H1632" t="s">
        <v>14</v>
      </c>
    </row>
    <row r="1633" spans="1:8" x14ac:dyDescent="0.3">
      <c r="A1633" t="s">
        <v>72</v>
      </c>
      <c r="B1633" t="s">
        <v>25</v>
      </c>
      <c r="C1633" t="s">
        <v>14</v>
      </c>
      <c r="D1633" t="s">
        <v>37</v>
      </c>
      <c r="E1633" s="5">
        <v>65357.5</v>
      </c>
      <c r="F1633" t="s">
        <v>2619</v>
      </c>
      <c r="G1633" t="s">
        <v>17</v>
      </c>
      <c r="H1633" t="s">
        <v>69</v>
      </c>
    </row>
    <row r="1634" spans="1:8" x14ac:dyDescent="0.3">
      <c r="A1634" t="s">
        <v>34</v>
      </c>
      <c r="B1634" t="s">
        <v>25</v>
      </c>
      <c r="C1634" t="s">
        <v>14</v>
      </c>
      <c r="D1634" t="s">
        <v>42</v>
      </c>
      <c r="E1634" s="5">
        <v>57737.5</v>
      </c>
      <c r="F1634" t="s">
        <v>1128</v>
      </c>
      <c r="G1634" t="s">
        <v>1067</v>
      </c>
      <c r="H1634" t="s">
        <v>16</v>
      </c>
    </row>
    <row r="1635" spans="1:8" x14ac:dyDescent="0.3">
      <c r="A1635" t="s">
        <v>40</v>
      </c>
      <c r="B1635" t="s">
        <v>30</v>
      </c>
      <c r="C1635" t="s">
        <v>27</v>
      </c>
      <c r="D1635" t="s">
        <v>37</v>
      </c>
      <c r="E1635" s="5">
        <v>72060</v>
      </c>
      <c r="F1635" t="s">
        <v>4234</v>
      </c>
      <c r="G1635" t="s">
        <v>114</v>
      </c>
      <c r="H1635" t="s">
        <v>69</v>
      </c>
    </row>
    <row r="1636" spans="1:8" x14ac:dyDescent="0.3">
      <c r="A1636" t="s">
        <v>19</v>
      </c>
      <c r="B1636" t="s">
        <v>25</v>
      </c>
      <c r="C1636" t="s">
        <v>14</v>
      </c>
      <c r="D1636" t="s">
        <v>15</v>
      </c>
      <c r="E1636" s="5">
        <v>95554.5</v>
      </c>
      <c r="F1636" t="s">
        <v>181</v>
      </c>
      <c r="G1636" t="s">
        <v>182</v>
      </c>
      <c r="H1636" t="s">
        <v>16</v>
      </c>
    </row>
    <row r="1637" spans="1:8" x14ac:dyDescent="0.3">
      <c r="A1637" t="s">
        <v>40</v>
      </c>
      <c r="B1637" t="s">
        <v>135</v>
      </c>
      <c r="C1637" t="s">
        <v>14</v>
      </c>
      <c r="D1637" t="s">
        <v>42</v>
      </c>
      <c r="E1637" s="5">
        <v>133751</v>
      </c>
      <c r="F1637" t="s">
        <v>1256</v>
      </c>
      <c r="G1637" t="s">
        <v>520</v>
      </c>
      <c r="H1637" t="s">
        <v>69</v>
      </c>
    </row>
    <row r="1638" spans="1:8" x14ac:dyDescent="0.3">
      <c r="A1638" t="s">
        <v>34</v>
      </c>
      <c r="B1638" t="s">
        <v>30</v>
      </c>
      <c r="C1638" t="s">
        <v>27</v>
      </c>
      <c r="D1638" t="s">
        <v>51</v>
      </c>
      <c r="E1638" s="5">
        <v>150884.5</v>
      </c>
      <c r="F1638" t="s">
        <v>1116</v>
      </c>
      <c r="G1638" t="s">
        <v>450</v>
      </c>
      <c r="H1638" t="s">
        <v>16</v>
      </c>
    </row>
    <row r="1639" spans="1:8" x14ac:dyDescent="0.3">
      <c r="A1639" t="s">
        <v>34</v>
      </c>
      <c r="B1639" t="s">
        <v>135</v>
      </c>
      <c r="C1639" t="s">
        <v>14</v>
      </c>
      <c r="D1639" t="s">
        <v>42</v>
      </c>
      <c r="E1639" s="5">
        <v>79250.5</v>
      </c>
      <c r="F1639" t="s">
        <v>3445</v>
      </c>
      <c r="G1639" t="s">
        <v>313</v>
      </c>
      <c r="H1639" t="s">
        <v>14</v>
      </c>
    </row>
    <row r="1640" spans="1:8" x14ac:dyDescent="0.3">
      <c r="A1640" t="s">
        <v>72</v>
      </c>
      <c r="B1640" t="s">
        <v>25</v>
      </c>
      <c r="C1640" t="s">
        <v>27</v>
      </c>
      <c r="D1640" t="s">
        <v>15</v>
      </c>
      <c r="E1640" s="5">
        <v>120019</v>
      </c>
      <c r="F1640" t="s">
        <v>1078</v>
      </c>
      <c r="G1640" t="s">
        <v>299</v>
      </c>
      <c r="H1640" t="s">
        <v>14</v>
      </c>
    </row>
    <row r="1641" spans="1:8" x14ac:dyDescent="0.3">
      <c r="A1641" t="s">
        <v>45</v>
      </c>
      <c r="B1641" t="s">
        <v>135</v>
      </c>
      <c r="C1641" t="s">
        <v>27</v>
      </c>
      <c r="D1641" t="s">
        <v>42</v>
      </c>
      <c r="E1641" s="5">
        <v>126134</v>
      </c>
      <c r="F1641" t="s">
        <v>4047</v>
      </c>
      <c r="G1641" t="s">
        <v>497</v>
      </c>
      <c r="H1641" t="s">
        <v>16</v>
      </c>
    </row>
    <row r="1642" spans="1:8" x14ac:dyDescent="0.3">
      <c r="A1642" t="s">
        <v>19</v>
      </c>
      <c r="B1642" t="s">
        <v>54</v>
      </c>
      <c r="C1642" t="s">
        <v>14</v>
      </c>
      <c r="D1642" t="s">
        <v>42</v>
      </c>
      <c r="E1642" s="5">
        <v>138573</v>
      </c>
      <c r="F1642" t="s">
        <v>2243</v>
      </c>
      <c r="G1642" t="s">
        <v>319</v>
      </c>
      <c r="H1642" t="s">
        <v>14</v>
      </c>
    </row>
    <row r="1643" spans="1:8" x14ac:dyDescent="0.3">
      <c r="A1643" t="s">
        <v>34</v>
      </c>
      <c r="B1643" t="s">
        <v>20</v>
      </c>
      <c r="C1643" t="s">
        <v>27</v>
      </c>
      <c r="D1643" t="s">
        <v>37</v>
      </c>
      <c r="E1643" s="5">
        <v>173195</v>
      </c>
      <c r="F1643" t="s">
        <v>2171</v>
      </c>
      <c r="G1643" t="s">
        <v>677</v>
      </c>
      <c r="H1643" t="s">
        <v>69</v>
      </c>
    </row>
    <row r="1644" spans="1:8" x14ac:dyDescent="0.3">
      <c r="A1644" t="s">
        <v>11</v>
      </c>
      <c r="B1644" t="s">
        <v>12</v>
      </c>
      <c r="C1644" t="s">
        <v>22</v>
      </c>
      <c r="D1644" t="s">
        <v>51</v>
      </c>
      <c r="E1644" s="5">
        <v>117623.5</v>
      </c>
      <c r="F1644" t="s">
        <v>3733</v>
      </c>
      <c r="G1644" t="s">
        <v>826</v>
      </c>
      <c r="H1644" t="s">
        <v>69</v>
      </c>
    </row>
    <row r="1645" spans="1:8" x14ac:dyDescent="0.3">
      <c r="A1645" t="s">
        <v>11</v>
      </c>
      <c r="B1645" t="s">
        <v>30</v>
      </c>
      <c r="C1645" t="s">
        <v>22</v>
      </c>
      <c r="D1645" t="s">
        <v>42</v>
      </c>
      <c r="E1645" s="5">
        <v>58869.5</v>
      </c>
      <c r="F1645" t="s">
        <v>3409</v>
      </c>
      <c r="G1645" t="s">
        <v>3410</v>
      </c>
      <c r="H1645" t="s">
        <v>16</v>
      </c>
    </row>
    <row r="1646" spans="1:8" x14ac:dyDescent="0.3">
      <c r="A1646" t="s">
        <v>45</v>
      </c>
      <c r="B1646" t="s">
        <v>12</v>
      </c>
      <c r="C1646" t="s">
        <v>14</v>
      </c>
      <c r="D1646" t="s">
        <v>42</v>
      </c>
      <c r="E1646" s="5">
        <v>163075.5</v>
      </c>
      <c r="F1646" t="s">
        <v>1858</v>
      </c>
      <c r="G1646" t="s">
        <v>229</v>
      </c>
      <c r="H1646" t="s">
        <v>16</v>
      </c>
    </row>
    <row r="1647" spans="1:8" x14ac:dyDescent="0.3">
      <c r="A1647" t="s">
        <v>45</v>
      </c>
      <c r="B1647" t="s">
        <v>20</v>
      </c>
      <c r="C1647" t="s">
        <v>22</v>
      </c>
      <c r="D1647" t="s">
        <v>37</v>
      </c>
      <c r="E1647" s="5">
        <v>177868.5</v>
      </c>
      <c r="F1647" t="s">
        <v>3260</v>
      </c>
      <c r="G1647" t="s">
        <v>1029</v>
      </c>
      <c r="H1647" t="s">
        <v>69</v>
      </c>
    </row>
    <row r="1648" spans="1:8" x14ac:dyDescent="0.3">
      <c r="A1648" t="s">
        <v>45</v>
      </c>
      <c r="B1648" t="s">
        <v>30</v>
      </c>
      <c r="C1648" t="s">
        <v>14</v>
      </c>
      <c r="D1648" t="s">
        <v>51</v>
      </c>
      <c r="E1648" s="5">
        <v>67997</v>
      </c>
      <c r="F1648" t="s">
        <v>1625</v>
      </c>
      <c r="G1648" t="s">
        <v>1626</v>
      </c>
      <c r="H1648" t="s">
        <v>16</v>
      </c>
    </row>
    <row r="1649" spans="1:8" x14ac:dyDescent="0.3">
      <c r="A1649" t="s">
        <v>72</v>
      </c>
      <c r="B1649" t="s">
        <v>25</v>
      </c>
      <c r="C1649" t="s">
        <v>22</v>
      </c>
      <c r="D1649" t="s">
        <v>15</v>
      </c>
      <c r="E1649" s="5">
        <v>153067</v>
      </c>
      <c r="F1649" t="s">
        <v>3059</v>
      </c>
      <c r="G1649" t="s">
        <v>77</v>
      </c>
      <c r="H1649" t="s">
        <v>14</v>
      </c>
    </row>
    <row r="1650" spans="1:8" x14ac:dyDescent="0.3">
      <c r="A1650" t="s">
        <v>40</v>
      </c>
      <c r="B1650" t="s">
        <v>25</v>
      </c>
      <c r="C1650" t="s">
        <v>14</v>
      </c>
      <c r="D1650" t="s">
        <v>37</v>
      </c>
      <c r="E1650" s="5">
        <v>67021.5</v>
      </c>
      <c r="F1650" t="s">
        <v>2925</v>
      </c>
      <c r="G1650" t="s">
        <v>128</v>
      </c>
      <c r="H1650" t="s">
        <v>16</v>
      </c>
    </row>
    <row r="1651" spans="1:8" x14ac:dyDescent="0.3">
      <c r="A1651" t="s">
        <v>19</v>
      </c>
      <c r="B1651" t="s">
        <v>30</v>
      </c>
      <c r="C1651" t="s">
        <v>22</v>
      </c>
      <c r="D1651" t="s">
        <v>15</v>
      </c>
      <c r="E1651" s="5">
        <v>158028</v>
      </c>
      <c r="F1651" t="s">
        <v>906</v>
      </c>
      <c r="G1651" t="s">
        <v>90</v>
      </c>
      <c r="H1651" t="s">
        <v>16</v>
      </c>
    </row>
    <row r="1652" spans="1:8" x14ac:dyDescent="0.3">
      <c r="A1652" t="s">
        <v>34</v>
      </c>
      <c r="B1652" t="s">
        <v>12</v>
      </c>
      <c r="C1652" t="s">
        <v>22</v>
      </c>
      <c r="D1652" t="s">
        <v>37</v>
      </c>
      <c r="E1652" s="5">
        <v>94447.5</v>
      </c>
      <c r="F1652" t="s">
        <v>3862</v>
      </c>
      <c r="G1652" t="s">
        <v>683</v>
      </c>
      <c r="H1652" t="s">
        <v>14</v>
      </c>
    </row>
    <row r="1653" spans="1:8" x14ac:dyDescent="0.3">
      <c r="A1653" t="s">
        <v>34</v>
      </c>
      <c r="B1653" t="s">
        <v>35</v>
      </c>
      <c r="C1653" t="s">
        <v>27</v>
      </c>
      <c r="D1653" t="s">
        <v>42</v>
      </c>
      <c r="E1653" s="5">
        <v>138101.5</v>
      </c>
      <c r="F1653" t="s">
        <v>2406</v>
      </c>
      <c r="G1653" t="s">
        <v>2407</v>
      </c>
      <c r="H1653" t="s">
        <v>16</v>
      </c>
    </row>
    <row r="1654" spans="1:8" x14ac:dyDescent="0.3">
      <c r="A1654" t="s">
        <v>34</v>
      </c>
      <c r="B1654" t="s">
        <v>35</v>
      </c>
      <c r="C1654" t="s">
        <v>14</v>
      </c>
      <c r="D1654" t="s">
        <v>15</v>
      </c>
      <c r="E1654" s="5">
        <v>120868.5</v>
      </c>
      <c r="F1654" t="s">
        <v>4029</v>
      </c>
      <c r="G1654" t="s">
        <v>270</v>
      </c>
      <c r="H1654" t="s">
        <v>14</v>
      </c>
    </row>
    <row r="1655" spans="1:8" x14ac:dyDescent="0.3">
      <c r="A1655" t="s">
        <v>40</v>
      </c>
      <c r="B1655" t="s">
        <v>54</v>
      </c>
      <c r="C1655" t="s">
        <v>14</v>
      </c>
      <c r="D1655" t="s">
        <v>51</v>
      </c>
      <c r="E1655" s="5">
        <v>155958.5</v>
      </c>
      <c r="F1655" t="s">
        <v>2985</v>
      </c>
      <c r="G1655" t="s">
        <v>80</v>
      </c>
      <c r="H1655" t="s">
        <v>16</v>
      </c>
    </row>
    <row r="1656" spans="1:8" x14ac:dyDescent="0.3">
      <c r="A1656" t="s">
        <v>45</v>
      </c>
      <c r="B1656" t="s">
        <v>25</v>
      </c>
      <c r="C1656" t="s">
        <v>27</v>
      </c>
      <c r="D1656" t="s">
        <v>51</v>
      </c>
      <c r="E1656" s="5">
        <v>116678</v>
      </c>
      <c r="F1656" t="s">
        <v>3755</v>
      </c>
      <c r="G1656" t="s">
        <v>229</v>
      </c>
      <c r="H1656" t="s">
        <v>16</v>
      </c>
    </row>
    <row r="1657" spans="1:8" x14ac:dyDescent="0.3">
      <c r="A1657" t="s">
        <v>45</v>
      </c>
      <c r="B1657" t="s">
        <v>20</v>
      </c>
      <c r="C1657" t="s">
        <v>22</v>
      </c>
      <c r="D1657" t="s">
        <v>42</v>
      </c>
      <c r="E1657" s="5">
        <v>132009</v>
      </c>
      <c r="F1657" t="s">
        <v>2524</v>
      </c>
      <c r="G1657" t="s">
        <v>125</v>
      </c>
      <c r="H1657" t="s">
        <v>69</v>
      </c>
    </row>
    <row r="1658" spans="1:8" x14ac:dyDescent="0.3">
      <c r="A1658" t="s">
        <v>72</v>
      </c>
      <c r="B1658" t="s">
        <v>25</v>
      </c>
      <c r="C1658" t="s">
        <v>14</v>
      </c>
      <c r="D1658" t="s">
        <v>51</v>
      </c>
      <c r="E1658" s="5">
        <v>155436</v>
      </c>
      <c r="F1658" t="s">
        <v>1137</v>
      </c>
      <c r="G1658" t="s">
        <v>813</v>
      </c>
      <c r="H1658" t="s">
        <v>16</v>
      </c>
    </row>
    <row r="1659" spans="1:8" x14ac:dyDescent="0.3">
      <c r="A1659" t="s">
        <v>19</v>
      </c>
      <c r="B1659" t="s">
        <v>35</v>
      </c>
      <c r="C1659" t="s">
        <v>27</v>
      </c>
      <c r="D1659" t="s">
        <v>42</v>
      </c>
      <c r="E1659" s="5">
        <v>97126.5</v>
      </c>
      <c r="F1659" t="s">
        <v>3115</v>
      </c>
      <c r="G1659" t="s">
        <v>77</v>
      </c>
      <c r="H1659" t="s">
        <v>16</v>
      </c>
    </row>
    <row r="1660" spans="1:8" x14ac:dyDescent="0.3">
      <c r="A1660" t="s">
        <v>72</v>
      </c>
      <c r="B1660" t="s">
        <v>25</v>
      </c>
      <c r="C1660" t="s">
        <v>27</v>
      </c>
      <c r="D1660" t="s">
        <v>15</v>
      </c>
      <c r="E1660" s="5">
        <v>128800</v>
      </c>
      <c r="F1660" t="s">
        <v>2337</v>
      </c>
      <c r="G1660" t="s">
        <v>407</v>
      </c>
      <c r="H1660" t="s">
        <v>69</v>
      </c>
    </row>
    <row r="1661" spans="1:8" x14ac:dyDescent="0.3">
      <c r="A1661" t="s">
        <v>49</v>
      </c>
      <c r="B1661" t="s">
        <v>54</v>
      </c>
      <c r="C1661" t="s">
        <v>27</v>
      </c>
      <c r="D1661" t="s">
        <v>51</v>
      </c>
      <c r="E1661" s="5">
        <v>155667</v>
      </c>
      <c r="F1661" t="s">
        <v>1973</v>
      </c>
      <c r="G1661" t="s">
        <v>1263</v>
      </c>
      <c r="H1661" t="s">
        <v>14</v>
      </c>
    </row>
    <row r="1662" spans="1:8" x14ac:dyDescent="0.3">
      <c r="A1662" t="s">
        <v>19</v>
      </c>
      <c r="B1662" t="s">
        <v>30</v>
      </c>
      <c r="C1662" t="s">
        <v>14</v>
      </c>
      <c r="D1662" t="s">
        <v>15</v>
      </c>
      <c r="E1662" s="5">
        <v>99379.5</v>
      </c>
      <c r="F1662" t="s">
        <v>4100</v>
      </c>
      <c r="G1662" t="s">
        <v>2717</v>
      </c>
      <c r="H1662" t="s">
        <v>16</v>
      </c>
    </row>
    <row r="1663" spans="1:8" x14ac:dyDescent="0.3">
      <c r="A1663" t="s">
        <v>72</v>
      </c>
      <c r="B1663" t="s">
        <v>35</v>
      </c>
      <c r="C1663" t="s">
        <v>22</v>
      </c>
      <c r="D1663" t="s">
        <v>42</v>
      </c>
      <c r="E1663" s="5">
        <v>128037</v>
      </c>
      <c r="F1663" t="s">
        <v>2690</v>
      </c>
      <c r="G1663" t="s">
        <v>101</v>
      </c>
      <c r="H1663" t="s">
        <v>69</v>
      </c>
    </row>
    <row r="1664" spans="1:8" x14ac:dyDescent="0.3">
      <c r="A1664" t="s">
        <v>19</v>
      </c>
      <c r="B1664" t="s">
        <v>12</v>
      </c>
      <c r="C1664" t="s">
        <v>22</v>
      </c>
      <c r="D1664" t="s">
        <v>37</v>
      </c>
      <c r="E1664" s="5">
        <v>172014.5</v>
      </c>
      <c r="F1664" t="s">
        <v>1621</v>
      </c>
      <c r="G1664" t="s">
        <v>52</v>
      </c>
      <c r="H1664" t="s">
        <v>16</v>
      </c>
    </row>
    <row r="1665" spans="1:8" x14ac:dyDescent="0.3">
      <c r="A1665" t="s">
        <v>72</v>
      </c>
      <c r="B1665" t="s">
        <v>12</v>
      </c>
      <c r="C1665" t="s">
        <v>14</v>
      </c>
      <c r="D1665" t="s">
        <v>15</v>
      </c>
      <c r="E1665" s="5">
        <v>131424.5</v>
      </c>
      <c r="F1665" t="s">
        <v>3460</v>
      </c>
      <c r="G1665" t="s">
        <v>469</v>
      </c>
      <c r="H1665" t="s">
        <v>69</v>
      </c>
    </row>
    <row r="1666" spans="1:8" x14ac:dyDescent="0.3">
      <c r="A1666" t="s">
        <v>11</v>
      </c>
      <c r="B1666" t="s">
        <v>54</v>
      </c>
      <c r="C1666" t="s">
        <v>27</v>
      </c>
      <c r="D1666" t="s">
        <v>51</v>
      </c>
      <c r="E1666" s="5">
        <v>152638</v>
      </c>
      <c r="F1666" t="s">
        <v>3498</v>
      </c>
      <c r="G1666" t="s">
        <v>347</v>
      </c>
      <c r="H1666" t="s">
        <v>69</v>
      </c>
    </row>
    <row r="1667" spans="1:8" x14ac:dyDescent="0.3">
      <c r="A1667" t="s">
        <v>19</v>
      </c>
      <c r="B1667" t="s">
        <v>25</v>
      </c>
      <c r="C1667" t="s">
        <v>27</v>
      </c>
      <c r="D1667" t="s">
        <v>37</v>
      </c>
      <c r="E1667" s="5">
        <v>96143</v>
      </c>
      <c r="F1667" t="s">
        <v>247</v>
      </c>
      <c r="G1667" t="s">
        <v>70</v>
      </c>
      <c r="H1667" t="s">
        <v>69</v>
      </c>
    </row>
    <row r="1668" spans="1:8" x14ac:dyDescent="0.3">
      <c r="A1668" t="s">
        <v>45</v>
      </c>
      <c r="B1668" t="s">
        <v>54</v>
      </c>
      <c r="C1668" t="s">
        <v>22</v>
      </c>
      <c r="D1668" t="s">
        <v>37</v>
      </c>
      <c r="E1668" s="5">
        <v>141709.5</v>
      </c>
      <c r="F1668" t="s">
        <v>4218</v>
      </c>
      <c r="G1668" t="s">
        <v>4219</v>
      </c>
      <c r="H1668" t="s">
        <v>14</v>
      </c>
    </row>
    <row r="1669" spans="1:8" x14ac:dyDescent="0.3">
      <c r="A1669" t="s">
        <v>72</v>
      </c>
      <c r="B1669" t="s">
        <v>54</v>
      </c>
      <c r="C1669" t="s">
        <v>27</v>
      </c>
      <c r="D1669" t="s">
        <v>42</v>
      </c>
      <c r="E1669" s="5">
        <v>158515</v>
      </c>
      <c r="F1669" t="s">
        <v>1852</v>
      </c>
      <c r="G1669" t="s">
        <v>77</v>
      </c>
      <c r="H1669" t="s">
        <v>16</v>
      </c>
    </row>
    <row r="1670" spans="1:8" x14ac:dyDescent="0.3">
      <c r="A1670" t="s">
        <v>11</v>
      </c>
      <c r="B1670" t="s">
        <v>12</v>
      </c>
      <c r="C1670" t="s">
        <v>14</v>
      </c>
      <c r="D1670" t="s">
        <v>37</v>
      </c>
      <c r="E1670" s="5">
        <v>70578.5</v>
      </c>
      <c r="F1670" t="s">
        <v>2286</v>
      </c>
      <c r="G1670" t="s">
        <v>32</v>
      </c>
      <c r="H1670" t="s">
        <v>16</v>
      </c>
    </row>
    <row r="1671" spans="1:8" x14ac:dyDescent="0.3">
      <c r="A1671" t="s">
        <v>49</v>
      </c>
      <c r="B1671" t="s">
        <v>30</v>
      </c>
      <c r="C1671" t="s">
        <v>22</v>
      </c>
      <c r="D1671" t="s">
        <v>15</v>
      </c>
      <c r="E1671" s="5">
        <v>103103</v>
      </c>
      <c r="F1671" t="s">
        <v>1187</v>
      </c>
      <c r="G1671" t="s">
        <v>147</v>
      </c>
      <c r="H1671" t="s">
        <v>69</v>
      </c>
    </row>
    <row r="1672" spans="1:8" x14ac:dyDescent="0.3">
      <c r="A1672" t="s">
        <v>11</v>
      </c>
      <c r="B1672" t="s">
        <v>54</v>
      </c>
      <c r="C1672" t="s">
        <v>22</v>
      </c>
      <c r="D1672" t="s">
        <v>15</v>
      </c>
      <c r="E1672" s="5">
        <v>67737</v>
      </c>
      <c r="F1672" t="s">
        <v>1014</v>
      </c>
      <c r="G1672" t="s">
        <v>1015</v>
      </c>
      <c r="H1672" t="s">
        <v>69</v>
      </c>
    </row>
    <row r="1673" spans="1:8" x14ac:dyDescent="0.3">
      <c r="A1673" t="s">
        <v>72</v>
      </c>
      <c r="B1673" t="s">
        <v>35</v>
      </c>
      <c r="C1673" t="s">
        <v>22</v>
      </c>
      <c r="D1673" t="s">
        <v>15</v>
      </c>
      <c r="E1673" s="5">
        <v>149525.5</v>
      </c>
      <c r="F1673" t="s">
        <v>3690</v>
      </c>
      <c r="G1673" t="s">
        <v>3228</v>
      </c>
      <c r="H1673" t="s">
        <v>16</v>
      </c>
    </row>
    <row r="1674" spans="1:8" x14ac:dyDescent="0.3">
      <c r="A1674" t="s">
        <v>19</v>
      </c>
      <c r="B1674" t="s">
        <v>35</v>
      </c>
      <c r="C1674" t="s">
        <v>14</v>
      </c>
      <c r="D1674" t="s">
        <v>51</v>
      </c>
      <c r="E1674" s="5">
        <v>70578</v>
      </c>
      <c r="F1674" t="s">
        <v>3601</v>
      </c>
      <c r="G1674" t="s">
        <v>77</v>
      </c>
      <c r="H1674" t="s">
        <v>16</v>
      </c>
    </row>
    <row r="1675" spans="1:8" x14ac:dyDescent="0.3">
      <c r="A1675" t="s">
        <v>19</v>
      </c>
      <c r="B1675" t="s">
        <v>25</v>
      </c>
      <c r="C1675" t="s">
        <v>14</v>
      </c>
      <c r="D1675" t="s">
        <v>37</v>
      </c>
      <c r="E1675" s="5">
        <v>137462</v>
      </c>
      <c r="F1675" t="s">
        <v>2502</v>
      </c>
      <c r="G1675" t="s">
        <v>1231</v>
      </c>
      <c r="H1675" t="s">
        <v>14</v>
      </c>
    </row>
    <row r="1676" spans="1:8" x14ac:dyDescent="0.3">
      <c r="A1676" t="s">
        <v>45</v>
      </c>
      <c r="B1676" t="s">
        <v>12</v>
      </c>
      <c r="C1676" t="s">
        <v>14</v>
      </c>
      <c r="D1676" t="s">
        <v>42</v>
      </c>
      <c r="E1676" s="5">
        <v>85102</v>
      </c>
      <c r="F1676" t="s">
        <v>2852</v>
      </c>
      <c r="G1676" t="s">
        <v>546</v>
      </c>
      <c r="H1676" t="s">
        <v>69</v>
      </c>
    </row>
    <row r="1677" spans="1:8" x14ac:dyDescent="0.3">
      <c r="A1677" t="s">
        <v>40</v>
      </c>
      <c r="B1677" t="s">
        <v>35</v>
      </c>
      <c r="C1677" t="s">
        <v>22</v>
      </c>
      <c r="D1677" t="s">
        <v>37</v>
      </c>
      <c r="E1677" s="5">
        <v>93142.5</v>
      </c>
      <c r="F1677" t="s">
        <v>956</v>
      </c>
      <c r="G1677" t="s">
        <v>90</v>
      </c>
      <c r="H1677" t="s">
        <v>16</v>
      </c>
    </row>
    <row r="1678" spans="1:8" x14ac:dyDescent="0.3">
      <c r="A1678" t="s">
        <v>11</v>
      </c>
      <c r="B1678" t="s">
        <v>12</v>
      </c>
      <c r="C1678" t="s">
        <v>22</v>
      </c>
      <c r="D1678" t="s">
        <v>37</v>
      </c>
      <c r="E1678" s="5">
        <v>144832</v>
      </c>
      <c r="F1678" t="s">
        <v>2169</v>
      </c>
      <c r="G1678" t="s">
        <v>2156</v>
      </c>
      <c r="H1678" t="s">
        <v>14</v>
      </c>
    </row>
    <row r="1679" spans="1:8" x14ac:dyDescent="0.3">
      <c r="A1679" t="s">
        <v>40</v>
      </c>
      <c r="B1679" t="s">
        <v>35</v>
      </c>
      <c r="C1679" t="s">
        <v>14</v>
      </c>
      <c r="D1679" t="s">
        <v>37</v>
      </c>
      <c r="E1679" s="5">
        <v>86518.5</v>
      </c>
      <c r="F1679" t="s">
        <v>1313</v>
      </c>
      <c r="G1679" t="s">
        <v>226</v>
      </c>
      <c r="H1679" t="s">
        <v>69</v>
      </c>
    </row>
    <row r="1680" spans="1:8" x14ac:dyDescent="0.3">
      <c r="A1680" t="s">
        <v>19</v>
      </c>
      <c r="B1680" t="s">
        <v>25</v>
      </c>
      <c r="C1680" t="s">
        <v>22</v>
      </c>
      <c r="D1680" t="s">
        <v>51</v>
      </c>
      <c r="E1680" s="5">
        <v>110313.5</v>
      </c>
      <c r="F1680" t="s">
        <v>834</v>
      </c>
      <c r="G1680" t="s">
        <v>90</v>
      </c>
      <c r="H1680" t="s">
        <v>14</v>
      </c>
    </row>
    <row r="1681" spans="1:8" x14ac:dyDescent="0.3">
      <c r="A1681" t="s">
        <v>40</v>
      </c>
      <c r="B1681" t="s">
        <v>35</v>
      </c>
      <c r="C1681" t="s">
        <v>22</v>
      </c>
      <c r="D1681" t="s">
        <v>37</v>
      </c>
      <c r="E1681" s="5">
        <v>77929</v>
      </c>
      <c r="F1681" t="s">
        <v>3426</v>
      </c>
      <c r="G1681" t="s">
        <v>90</v>
      </c>
      <c r="H1681" t="s">
        <v>69</v>
      </c>
    </row>
    <row r="1682" spans="1:8" x14ac:dyDescent="0.3">
      <c r="A1682" t="s">
        <v>49</v>
      </c>
      <c r="B1682" t="s">
        <v>12</v>
      </c>
      <c r="C1682" t="s">
        <v>27</v>
      </c>
      <c r="D1682" t="s">
        <v>42</v>
      </c>
      <c r="E1682" s="5">
        <v>122831</v>
      </c>
      <c r="F1682" t="s">
        <v>3230</v>
      </c>
      <c r="G1682" t="s">
        <v>80</v>
      </c>
      <c r="H1682" t="s">
        <v>14</v>
      </c>
    </row>
    <row r="1683" spans="1:8" x14ac:dyDescent="0.3">
      <c r="A1683" t="s">
        <v>34</v>
      </c>
      <c r="B1683" t="s">
        <v>54</v>
      </c>
      <c r="C1683" t="s">
        <v>27</v>
      </c>
      <c r="D1683" t="s">
        <v>37</v>
      </c>
      <c r="E1683" s="5">
        <v>69724</v>
      </c>
      <c r="F1683" t="s">
        <v>1037</v>
      </c>
      <c r="G1683" t="s">
        <v>80</v>
      </c>
      <c r="H1683" t="s">
        <v>16</v>
      </c>
    </row>
    <row r="1684" spans="1:8" x14ac:dyDescent="0.3">
      <c r="A1684" t="s">
        <v>45</v>
      </c>
      <c r="B1684" t="s">
        <v>135</v>
      </c>
      <c r="C1684" t="s">
        <v>14</v>
      </c>
      <c r="D1684" t="s">
        <v>42</v>
      </c>
      <c r="E1684" s="5">
        <v>155058</v>
      </c>
      <c r="F1684" t="s">
        <v>4208</v>
      </c>
      <c r="G1684" t="s">
        <v>794</v>
      </c>
      <c r="H1684" t="s">
        <v>16</v>
      </c>
    </row>
    <row r="1685" spans="1:8" x14ac:dyDescent="0.3">
      <c r="A1685" t="s">
        <v>19</v>
      </c>
      <c r="B1685" t="s">
        <v>30</v>
      </c>
      <c r="C1685" t="s">
        <v>14</v>
      </c>
      <c r="D1685" t="s">
        <v>15</v>
      </c>
      <c r="E1685" s="5">
        <v>103697</v>
      </c>
      <c r="F1685" t="s">
        <v>2656</v>
      </c>
      <c r="G1685" t="s">
        <v>70</v>
      </c>
      <c r="H1685" t="s">
        <v>69</v>
      </c>
    </row>
    <row r="1686" spans="1:8" x14ac:dyDescent="0.3">
      <c r="A1686" t="s">
        <v>72</v>
      </c>
      <c r="B1686" t="s">
        <v>20</v>
      </c>
      <c r="C1686" t="s">
        <v>22</v>
      </c>
      <c r="D1686" t="s">
        <v>42</v>
      </c>
      <c r="E1686" s="5">
        <v>50505</v>
      </c>
      <c r="F1686" t="s">
        <v>3227</v>
      </c>
      <c r="G1686" t="s">
        <v>3228</v>
      </c>
      <c r="H1686" t="s">
        <v>69</v>
      </c>
    </row>
    <row r="1687" spans="1:8" x14ac:dyDescent="0.3">
      <c r="A1687" t="s">
        <v>49</v>
      </c>
      <c r="B1687" t="s">
        <v>35</v>
      </c>
      <c r="C1687" t="s">
        <v>27</v>
      </c>
      <c r="D1687" t="s">
        <v>51</v>
      </c>
      <c r="E1687" s="5">
        <v>172244</v>
      </c>
      <c r="F1687" t="s">
        <v>1315</v>
      </c>
      <c r="G1687" t="s">
        <v>293</v>
      </c>
      <c r="H1687" t="s">
        <v>69</v>
      </c>
    </row>
    <row r="1688" spans="1:8" x14ac:dyDescent="0.3">
      <c r="A1688" t="s">
        <v>19</v>
      </c>
      <c r="B1688" t="s">
        <v>25</v>
      </c>
      <c r="C1688" t="s">
        <v>22</v>
      </c>
      <c r="D1688" t="s">
        <v>51</v>
      </c>
      <c r="E1688" s="5">
        <v>128117</v>
      </c>
      <c r="F1688" t="s">
        <v>1537</v>
      </c>
      <c r="G1688" t="s">
        <v>1538</v>
      </c>
      <c r="H1688" t="s">
        <v>69</v>
      </c>
    </row>
    <row r="1689" spans="1:8" x14ac:dyDescent="0.3">
      <c r="A1689" t="s">
        <v>11</v>
      </c>
      <c r="B1689" t="s">
        <v>20</v>
      </c>
      <c r="C1689" t="s">
        <v>27</v>
      </c>
      <c r="D1689" t="s">
        <v>42</v>
      </c>
      <c r="E1689" s="5">
        <v>162770</v>
      </c>
      <c r="F1689" t="s">
        <v>3990</v>
      </c>
      <c r="G1689" t="s">
        <v>270</v>
      </c>
      <c r="H1689" t="s">
        <v>14</v>
      </c>
    </row>
    <row r="1690" spans="1:8" x14ac:dyDescent="0.3">
      <c r="A1690" t="s">
        <v>72</v>
      </c>
      <c r="B1690" t="s">
        <v>67</v>
      </c>
      <c r="C1690" t="s">
        <v>14</v>
      </c>
      <c r="D1690" t="s">
        <v>51</v>
      </c>
      <c r="E1690" s="5">
        <v>58969.5</v>
      </c>
      <c r="F1690" t="s">
        <v>2547</v>
      </c>
      <c r="G1690" t="s">
        <v>928</v>
      </c>
      <c r="H1690" t="s">
        <v>14</v>
      </c>
    </row>
    <row r="1691" spans="1:8" x14ac:dyDescent="0.3">
      <c r="A1691" t="s">
        <v>34</v>
      </c>
      <c r="B1691" t="s">
        <v>12</v>
      </c>
      <c r="C1691" t="s">
        <v>27</v>
      </c>
      <c r="D1691" t="s">
        <v>15</v>
      </c>
      <c r="E1691" s="5">
        <v>149266</v>
      </c>
      <c r="F1691" t="s">
        <v>4243</v>
      </c>
      <c r="G1691" t="s">
        <v>90</v>
      </c>
      <c r="H1691" t="s">
        <v>69</v>
      </c>
    </row>
    <row r="1692" spans="1:8" x14ac:dyDescent="0.3">
      <c r="A1692" t="s">
        <v>19</v>
      </c>
      <c r="B1692" t="s">
        <v>35</v>
      </c>
      <c r="C1692" t="s">
        <v>22</v>
      </c>
      <c r="D1692" t="s">
        <v>15</v>
      </c>
      <c r="E1692" s="5">
        <v>160922.5</v>
      </c>
      <c r="F1692" t="s">
        <v>3960</v>
      </c>
      <c r="G1692" t="s">
        <v>313</v>
      </c>
      <c r="H1692" t="s">
        <v>16</v>
      </c>
    </row>
    <row r="1693" spans="1:8" x14ac:dyDescent="0.3">
      <c r="A1693" t="s">
        <v>40</v>
      </c>
      <c r="B1693" t="s">
        <v>30</v>
      </c>
      <c r="C1693" t="s">
        <v>27</v>
      </c>
      <c r="D1693" t="s">
        <v>42</v>
      </c>
      <c r="E1693" s="5">
        <v>118081.5</v>
      </c>
      <c r="F1693" t="s">
        <v>208</v>
      </c>
      <c r="G1693" t="s">
        <v>77</v>
      </c>
      <c r="H1693" t="s">
        <v>69</v>
      </c>
    </row>
    <row r="1694" spans="1:8" x14ac:dyDescent="0.3">
      <c r="A1694" t="s">
        <v>49</v>
      </c>
      <c r="B1694" t="s">
        <v>67</v>
      </c>
      <c r="C1694" t="s">
        <v>22</v>
      </c>
      <c r="D1694" t="s">
        <v>51</v>
      </c>
      <c r="E1694" s="5">
        <v>101024.5</v>
      </c>
      <c r="F1694" t="s">
        <v>3082</v>
      </c>
      <c r="G1694" t="s">
        <v>128</v>
      </c>
      <c r="H1694" t="s">
        <v>69</v>
      </c>
    </row>
    <row r="1695" spans="1:8" x14ac:dyDescent="0.3">
      <c r="A1695" t="s">
        <v>72</v>
      </c>
      <c r="B1695" t="s">
        <v>67</v>
      </c>
      <c r="C1695" t="s">
        <v>22</v>
      </c>
      <c r="D1695" t="s">
        <v>42</v>
      </c>
      <c r="E1695" s="5">
        <v>149631</v>
      </c>
      <c r="F1695" t="s">
        <v>3204</v>
      </c>
      <c r="G1695" t="s">
        <v>90</v>
      </c>
      <c r="H1695" t="s">
        <v>69</v>
      </c>
    </row>
    <row r="1696" spans="1:8" x14ac:dyDescent="0.3">
      <c r="A1696" t="s">
        <v>72</v>
      </c>
      <c r="B1696" t="s">
        <v>135</v>
      </c>
      <c r="C1696" t="s">
        <v>22</v>
      </c>
      <c r="D1696" t="s">
        <v>15</v>
      </c>
      <c r="E1696" s="5">
        <v>170858.5</v>
      </c>
      <c r="F1696" t="s">
        <v>672</v>
      </c>
      <c r="G1696" t="s">
        <v>166</v>
      </c>
      <c r="H1696" t="s">
        <v>69</v>
      </c>
    </row>
    <row r="1697" spans="1:8" x14ac:dyDescent="0.3">
      <c r="A1697" t="s">
        <v>72</v>
      </c>
      <c r="B1697" t="s">
        <v>12</v>
      </c>
      <c r="C1697" t="s">
        <v>22</v>
      </c>
      <c r="D1697" t="s">
        <v>42</v>
      </c>
      <c r="E1697" s="5">
        <v>102633.5</v>
      </c>
      <c r="F1697" t="s">
        <v>927</v>
      </c>
      <c r="G1697" t="s">
        <v>928</v>
      </c>
      <c r="H1697" t="s">
        <v>14</v>
      </c>
    </row>
    <row r="1698" spans="1:8" x14ac:dyDescent="0.3">
      <c r="A1698" t="s">
        <v>49</v>
      </c>
      <c r="B1698" t="s">
        <v>67</v>
      </c>
      <c r="C1698" t="s">
        <v>14</v>
      </c>
      <c r="D1698" t="s">
        <v>37</v>
      </c>
      <c r="E1698" s="5">
        <v>186827.5</v>
      </c>
      <c r="F1698" t="s">
        <v>3616</v>
      </c>
      <c r="G1698" t="s">
        <v>296</v>
      </c>
      <c r="H1698" t="s">
        <v>14</v>
      </c>
    </row>
    <row r="1699" spans="1:8" x14ac:dyDescent="0.3">
      <c r="A1699" t="s">
        <v>72</v>
      </c>
      <c r="B1699" t="s">
        <v>67</v>
      </c>
      <c r="C1699" t="s">
        <v>14</v>
      </c>
      <c r="D1699" t="s">
        <v>15</v>
      </c>
      <c r="E1699" s="5">
        <v>82758.5</v>
      </c>
      <c r="F1699" t="s">
        <v>3903</v>
      </c>
      <c r="G1699" t="s">
        <v>80</v>
      </c>
      <c r="H1699" t="s">
        <v>16</v>
      </c>
    </row>
    <row r="1700" spans="1:8" x14ac:dyDescent="0.3">
      <c r="A1700" t="s">
        <v>45</v>
      </c>
      <c r="B1700" t="s">
        <v>25</v>
      </c>
      <c r="C1700" t="s">
        <v>14</v>
      </c>
      <c r="D1700" t="s">
        <v>37</v>
      </c>
      <c r="E1700" s="5">
        <v>75276</v>
      </c>
      <c r="F1700" t="s">
        <v>722</v>
      </c>
      <c r="G1700" t="s">
        <v>128</v>
      </c>
      <c r="H1700" t="s">
        <v>16</v>
      </c>
    </row>
    <row r="1701" spans="1:8" x14ac:dyDescent="0.3">
      <c r="A1701" t="s">
        <v>40</v>
      </c>
      <c r="B1701" t="s">
        <v>54</v>
      </c>
      <c r="C1701" t="s">
        <v>27</v>
      </c>
      <c r="D1701" t="s">
        <v>15</v>
      </c>
      <c r="E1701" s="5">
        <v>166231.5</v>
      </c>
      <c r="F1701" t="s">
        <v>1712</v>
      </c>
      <c r="G1701" t="s">
        <v>520</v>
      </c>
      <c r="H1701" t="s">
        <v>69</v>
      </c>
    </row>
    <row r="1702" spans="1:8" x14ac:dyDescent="0.3">
      <c r="A1702" t="s">
        <v>45</v>
      </c>
      <c r="B1702" t="s">
        <v>135</v>
      </c>
      <c r="C1702" t="s">
        <v>22</v>
      </c>
      <c r="D1702" t="s">
        <v>51</v>
      </c>
      <c r="E1702" s="5">
        <v>66403.5</v>
      </c>
      <c r="F1702" t="s">
        <v>1912</v>
      </c>
      <c r="G1702" t="s">
        <v>714</v>
      </c>
      <c r="H1702" t="s">
        <v>14</v>
      </c>
    </row>
    <row r="1703" spans="1:8" x14ac:dyDescent="0.3">
      <c r="A1703" t="s">
        <v>19</v>
      </c>
      <c r="B1703" t="s">
        <v>67</v>
      </c>
      <c r="C1703" t="s">
        <v>14</v>
      </c>
      <c r="D1703" t="s">
        <v>15</v>
      </c>
      <c r="E1703" s="5">
        <v>111206</v>
      </c>
      <c r="F1703" t="s">
        <v>4043</v>
      </c>
      <c r="G1703" t="s">
        <v>1527</v>
      </c>
      <c r="H1703" t="s">
        <v>69</v>
      </c>
    </row>
    <row r="1704" spans="1:8" x14ac:dyDescent="0.3">
      <c r="A1704" t="s">
        <v>34</v>
      </c>
      <c r="B1704" t="s">
        <v>30</v>
      </c>
      <c r="C1704" t="s">
        <v>27</v>
      </c>
      <c r="D1704" t="s">
        <v>37</v>
      </c>
      <c r="E1704" s="5">
        <v>145152.5</v>
      </c>
      <c r="F1704" t="s">
        <v>1189</v>
      </c>
      <c r="G1704" t="s">
        <v>268</v>
      </c>
      <c r="H1704" t="s">
        <v>69</v>
      </c>
    </row>
    <row r="1705" spans="1:8" x14ac:dyDescent="0.3">
      <c r="A1705" t="s">
        <v>49</v>
      </c>
      <c r="B1705" t="s">
        <v>12</v>
      </c>
      <c r="C1705" t="s">
        <v>22</v>
      </c>
      <c r="D1705" t="s">
        <v>42</v>
      </c>
      <c r="E1705" s="5">
        <v>156929.5</v>
      </c>
      <c r="F1705" t="s">
        <v>1356</v>
      </c>
      <c r="G1705" t="s">
        <v>1357</v>
      </c>
      <c r="H1705" t="s">
        <v>14</v>
      </c>
    </row>
    <row r="1706" spans="1:8" x14ac:dyDescent="0.3">
      <c r="A1706" t="s">
        <v>49</v>
      </c>
      <c r="B1706" t="s">
        <v>35</v>
      </c>
      <c r="C1706" t="s">
        <v>27</v>
      </c>
      <c r="D1706" t="s">
        <v>37</v>
      </c>
      <c r="E1706" s="5">
        <v>105540.5</v>
      </c>
      <c r="F1706" t="s">
        <v>1356</v>
      </c>
      <c r="G1706" t="s">
        <v>157</v>
      </c>
      <c r="H1706" t="s">
        <v>14</v>
      </c>
    </row>
    <row r="1707" spans="1:8" x14ac:dyDescent="0.3">
      <c r="A1707" t="s">
        <v>40</v>
      </c>
      <c r="B1707" t="s">
        <v>30</v>
      </c>
      <c r="C1707" t="s">
        <v>27</v>
      </c>
      <c r="D1707" t="s">
        <v>42</v>
      </c>
      <c r="E1707" s="5">
        <v>74666.5</v>
      </c>
      <c r="F1707" t="s">
        <v>3816</v>
      </c>
      <c r="G1707" t="s">
        <v>2071</v>
      </c>
      <c r="H1707" t="s">
        <v>69</v>
      </c>
    </row>
    <row r="1708" spans="1:8" x14ac:dyDescent="0.3">
      <c r="A1708" t="s">
        <v>72</v>
      </c>
      <c r="B1708" t="s">
        <v>67</v>
      </c>
      <c r="C1708" t="s">
        <v>22</v>
      </c>
      <c r="D1708" t="s">
        <v>15</v>
      </c>
      <c r="E1708" s="5">
        <v>62971</v>
      </c>
      <c r="F1708" t="s">
        <v>2884</v>
      </c>
      <c r="G1708" t="s">
        <v>125</v>
      </c>
      <c r="H1708" t="s">
        <v>69</v>
      </c>
    </row>
    <row r="1709" spans="1:8" x14ac:dyDescent="0.3">
      <c r="A1709" t="s">
        <v>34</v>
      </c>
      <c r="B1709" t="s">
        <v>35</v>
      </c>
      <c r="C1709" t="s">
        <v>22</v>
      </c>
      <c r="D1709" t="s">
        <v>51</v>
      </c>
      <c r="E1709" s="5">
        <v>79698.5</v>
      </c>
      <c r="F1709" t="s">
        <v>3320</v>
      </c>
      <c r="G1709" t="s">
        <v>1680</v>
      </c>
      <c r="H1709" t="s">
        <v>14</v>
      </c>
    </row>
    <row r="1710" spans="1:8" x14ac:dyDescent="0.3">
      <c r="A1710" t="s">
        <v>40</v>
      </c>
      <c r="B1710" t="s">
        <v>67</v>
      </c>
      <c r="C1710" t="s">
        <v>27</v>
      </c>
      <c r="D1710" t="s">
        <v>15</v>
      </c>
      <c r="E1710" s="5">
        <v>142721</v>
      </c>
      <c r="F1710" t="s">
        <v>999</v>
      </c>
      <c r="G1710" t="s">
        <v>80</v>
      </c>
      <c r="H1710" t="s">
        <v>14</v>
      </c>
    </row>
    <row r="1711" spans="1:8" x14ac:dyDescent="0.3">
      <c r="A1711" t="s">
        <v>34</v>
      </c>
      <c r="B1711" t="s">
        <v>12</v>
      </c>
      <c r="C1711" t="s">
        <v>27</v>
      </c>
      <c r="D1711" t="s">
        <v>15</v>
      </c>
      <c r="E1711" s="5">
        <v>117160.5</v>
      </c>
      <c r="F1711" t="s">
        <v>3272</v>
      </c>
      <c r="G1711" t="s">
        <v>80</v>
      </c>
      <c r="H1711" t="s">
        <v>16</v>
      </c>
    </row>
    <row r="1712" spans="1:8" x14ac:dyDescent="0.3">
      <c r="A1712" t="s">
        <v>34</v>
      </c>
      <c r="B1712" t="s">
        <v>35</v>
      </c>
      <c r="C1712" t="s">
        <v>22</v>
      </c>
      <c r="D1712" t="s">
        <v>51</v>
      </c>
      <c r="E1712" s="5">
        <v>157670.5</v>
      </c>
      <c r="F1712" t="s">
        <v>3361</v>
      </c>
      <c r="G1712" t="s">
        <v>2259</v>
      </c>
      <c r="H1712" t="s">
        <v>16</v>
      </c>
    </row>
    <row r="1713" spans="1:8" x14ac:dyDescent="0.3">
      <c r="A1713" t="s">
        <v>11</v>
      </c>
      <c r="B1713" t="s">
        <v>135</v>
      </c>
      <c r="C1713" t="s">
        <v>14</v>
      </c>
      <c r="D1713" t="s">
        <v>37</v>
      </c>
      <c r="E1713" s="5">
        <v>135925.5</v>
      </c>
      <c r="F1713" t="s">
        <v>2177</v>
      </c>
      <c r="G1713" t="s">
        <v>114</v>
      </c>
      <c r="H1713" t="s">
        <v>69</v>
      </c>
    </row>
    <row r="1714" spans="1:8" x14ac:dyDescent="0.3">
      <c r="A1714" t="s">
        <v>45</v>
      </c>
      <c r="B1714" t="s">
        <v>25</v>
      </c>
      <c r="C1714" t="s">
        <v>27</v>
      </c>
      <c r="D1714" t="s">
        <v>37</v>
      </c>
      <c r="E1714" s="5">
        <v>174465</v>
      </c>
      <c r="F1714" t="s">
        <v>1801</v>
      </c>
      <c r="G1714" t="s">
        <v>353</v>
      </c>
      <c r="H1714" t="s">
        <v>69</v>
      </c>
    </row>
    <row r="1715" spans="1:8" x14ac:dyDescent="0.3">
      <c r="A1715" t="s">
        <v>72</v>
      </c>
      <c r="B1715" t="s">
        <v>30</v>
      </c>
      <c r="C1715" t="s">
        <v>14</v>
      </c>
      <c r="D1715" t="s">
        <v>42</v>
      </c>
      <c r="E1715" s="5">
        <v>145050</v>
      </c>
      <c r="F1715" t="s">
        <v>1463</v>
      </c>
      <c r="G1715" t="s">
        <v>70</v>
      </c>
      <c r="H1715" t="s">
        <v>69</v>
      </c>
    </row>
    <row r="1716" spans="1:8" x14ac:dyDescent="0.3">
      <c r="A1716" t="s">
        <v>49</v>
      </c>
      <c r="B1716" t="s">
        <v>20</v>
      </c>
      <c r="C1716" t="s">
        <v>27</v>
      </c>
      <c r="D1716" t="s">
        <v>51</v>
      </c>
      <c r="E1716" s="5">
        <v>155805.5</v>
      </c>
      <c r="F1716" t="s">
        <v>871</v>
      </c>
      <c r="G1716" t="s">
        <v>80</v>
      </c>
      <c r="H1716" t="s">
        <v>16</v>
      </c>
    </row>
    <row r="1717" spans="1:8" x14ac:dyDescent="0.3">
      <c r="A1717" t="s">
        <v>40</v>
      </c>
      <c r="B1717" t="s">
        <v>25</v>
      </c>
      <c r="C1717" t="s">
        <v>14</v>
      </c>
      <c r="D1717" t="s">
        <v>37</v>
      </c>
      <c r="E1717" s="5">
        <v>194075</v>
      </c>
      <c r="F1717" t="s">
        <v>2348</v>
      </c>
      <c r="G1717" t="s">
        <v>2349</v>
      </c>
      <c r="H1717" t="s">
        <v>16</v>
      </c>
    </row>
    <row r="1718" spans="1:8" x14ac:dyDescent="0.3">
      <c r="A1718" t="s">
        <v>49</v>
      </c>
      <c r="B1718" t="s">
        <v>135</v>
      </c>
      <c r="C1718" t="s">
        <v>14</v>
      </c>
      <c r="D1718" t="s">
        <v>51</v>
      </c>
      <c r="E1718" s="5">
        <v>138886</v>
      </c>
      <c r="F1718" t="s">
        <v>251</v>
      </c>
      <c r="G1718" t="s">
        <v>252</v>
      </c>
      <c r="H1718" t="s">
        <v>16</v>
      </c>
    </row>
    <row r="1719" spans="1:8" x14ac:dyDescent="0.3">
      <c r="A1719" t="s">
        <v>11</v>
      </c>
      <c r="B1719" t="s">
        <v>12</v>
      </c>
      <c r="C1719" t="s">
        <v>14</v>
      </c>
      <c r="D1719" t="s">
        <v>51</v>
      </c>
      <c r="E1719" s="5">
        <v>181603</v>
      </c>
      <c r="F1719" t="s">
        <v>3605</v>
      </c>
      <c r="G1719" t="s">
        <v>122</v>
      </c>
      <c r="H1719" t="s">
        <v>16</v>
      </c>
    </row>
    <row r="1720" spans="1:8" x14ac:dyDescent="0.3">
      <c r="A1720" t="s">
        <v>34</v>
      </c>
      <c r="B1720" t="s">
        <v>20</v>
      </c>
      <c r="C1720" t="s">
        <v>22</v>
      </c>
      <c r="D1720" t="s">
        <v>15</v>
      </c>
      <c r="E1720" s="5">
        <v>109860.5</v>
      </c>
      <c r="F1720" t="s">
        <v>3535</v>
      </c>
      <c r="G1720" t="s">
        <v>122</v>
      </c>
      <c r="H1720" t="s">
        <v>69</v>
      </c>
    </row>
    <row r="1721" spans="1:8" x14ac:dyDescent="0.3">
      <c r="A1721" t="s">
        <v>72</v>
      </c>
      <c r="B1721" t="s">
        <v>20</v>
      </c>
      <c r="C1721" t="s">
        <v>22</v>
      </c>
      <c r="D1721" t="s">
        <v>51</v>
      </c>
      <c r="E1721" s="5">
        <v>52169.5</v>
      </c>
      <c r="F1721" t="s">
        <v>4144</v>
      </c>
      <c r="G1721" t="s">
        <v>101</v>
      </c>
      <c r="H1721" t="s">
        <v>14</v>
      </c>
    </row>
    <row r="1722" spans="1:8" x14ac:dyDescent="0.3">
      <c r="A1722" t="s">
        <v>49</v>
      </c>
      <c r="B1722" t="s">
        <v>54</v>
      </c>
      <c r="C1722" t="s">
        <v>14</v>
      </c>
      <c r="D1722" t="s">
        <v>42</v>
      </c>
      <c r="E1722" s="5">
        <v>140248</v>
      </c>
      <c r="F1722" t="s">
        <v>3917</v>
      </c>
      <c r="G1722" t="s">
        <v>2890</v>
      </c>
      <c r="H1722" t="s">
        <v>16</v>
      </c>
    </row>
    <row r="1723" spans="1:8" x14ac:dyDescent="0.3">
      <c r="A1723" t="s">
        <v>45</v>
      </c>
      <c r="B1723" t="s">
        <v>20</v>
      </c>
      <c r="C1723" t="s">
        <v>27</v>
      </c>
      <c r="D1723" t="s">
        <v>42</v>
      </c>
      <c r="E1723" s="5">
        <v>146171.5</v>
      </c>
      <c r="F1723" t="s">
        <v>4024</v>
      </c>
      <c r="G1723" t="s">
        <v>1767</v>
      </c>
      <c r="H1723" t="s">
        <v>69</v>
      </c>
    </row>
    <row r="1724" spans="1:8" x14ac:dyDescent="0.3">
      <c r="A1724" t="s">
        <v>19</v>
      </c>
      <c r="B1724" t="s">
        <v>20</v>
      </c>
      <c r="C1724" t="s">
        <v>22</v>
      </c>
      <c r="D1724" t="s">
        <v>42</v>
      </c>
      <c r="E1724" s="5">
        <v>110544.5</v>
      </c>
      <c r="F1724" t="s">
        <v>2308</v>
      </c>
      <c r="G1724" t="s">
        <v>1558</v>
      </c>
      <c r="H1724" t="s">
        <v>69</v>
      </c>
    </row>
    <row r="1725" spans="1:8" x14ac:dyDescent="0.3">
      <c r="A1725" t="s">
        <v>40</v>
      </c>
      <c r="B1725" t="s">
        <v>20</v>
      </c>
      <c r="C1725" t="s">
        <v>22</v>
      </c>
      <c r="D1725" t="s">
        <v>51</v>
      </c>
      <c r="E1725" s="5">
        <v>117429.5</v>
      </c>
      <c r="F1725" t="s">
        <v>713</v>
      </c>
      <c r="G1725" t="s">
        <v>714</v>
      </c>
      <c r="H1725" t="s">
        <v>69</v>
      </c>
    </row>
    <row r="1726" spans="1:8" x14ac:dyDescent="0.3">
      <c r="A1726" t="s">
        <v>40</v>
      </c>
      <c r="B1726" t="s">
        <v>12</v>
      </c>
      <c r="C1726" t="s">
        <v>27</v>
      </c>
      <c r="D1726" t="s">
        <v>37</v>
      </c>
      <c r="E1726" s="5">
        <v>80228.5</v>
      </c>
      <c r="F1726" t="s">
        <v>2339</v>
      </c>
      <c r="G1726" t="s">
        <v>77</v>
      </c>
      <c r="H1726" t="s">
        <v>16</v>
      </c>
    </row>
    <row r="1727" spans="1:8" x14ac:dyDescent="0.3">
      <c r="A1727" t="s">
        <v>11</v>
      </c>
      <c r="B1727" t="s">
        <v>35</v>
      </c>
      <c r="C1727" t="s">
        <v>14</v>
      </c>
      <c r="D1727" t="s">
        <v>37</v>
      </c>
      <c r="E1727" s="5">
        <v>152211</v>
      </c>
      <c r="F1727" t="s">
        <v>989</v>
      </c>
      <c r="G1727" t="s">
        <v>128</v>
      </c>
      <c r="H1727" t="s">
        <v>69</v>
      </c>
    </row>
    <row r="1728" spans="1:8" x14ac:dyDescent="0.3">
      <c r="A1728" t="s">
        <v>49</v>
      </c>
      <c r="B1728" t="s">
        <v>12</v>
      </c>
      <c r="C1728" t="s">
        <v>22</v>
      </c>
      <c r="D1728" t="s">
        <v>51</v>
      </c>
      <c r="E1728" s="5">
        <v>125425</v>
      </c>
      <c r="F1728" t="s">
        <v>788</v>
      </c>
      <c r="G1728" t="s">
        <v>789</v>
      </c>
      <c r="H1728" t="s">
        <v>16</v>
      </c>
    </row>
    <row r="1729" spans="1:8" x14ac:dyDescent="0.3">
      <c r="A1729" t="s">
        <v>19</v>
      </c>
      <c r="B1729" t="s">
        <v>67</v>
      </c>
      <c r="C1729" t="s">
        <v>27</v>
      </c>
      <c r="D1729" t="s">
        <v>42</v>
      </c>
      <c r="E1729" s="5">
        <v>88403.5</v>
      </c>
      <c r="F1729" t="s">
        <v>3532</v>
      </c>
      <c r="G1729" t="s">
        <v>3533</v>
      </c>
      <c r="H1729" t="s">
        <v>69</v>
      </c>
    </row>
    <row r="1730" spans="1:8" x14ac:dyDescent="0.3">
      <c r="A1730" t="s">
        <v>34</v>
      </c>
      <c r="B1730" t="s">
        <v>12</v>
      </c>
      <c r="C1730" t="s">
        <v>14</v>
      </c>
      <c r="D1730" t="s">
        <v>42</v>
      </c>
      <c r="E1730" s="5">
        <v>183947</v>
      </c>
      <c r="F1730" t="s">
        <v>2272</v>
      </c>
      <c r="G1730" t="s">
        <v>378</v>
      </c>
      <c r="H1730" t="s">
        <v>69</v>
      </c>
    </row>
    <row r="1731" spans="1:8" x14ac:dyDescent="0.3">
      <c r="A1731" t="s">
        <v>40</v>
      </c>
      <c r="B1731" t="s">
        <v>12</v>
      </c>
      <c r="C1731" t="s">
        <v>22</v>
      </c>
      <c r="D1731" t="s">
        <v>42</v>
      </c>
      <c r="E1731" s="5">
        <v>149154</v>
      </c>
      <c r="F1731" t="s">
        <v>499</v>
      </c>
      <c r="G1731" t="s">
        <v>500</v>
      </c>
      <c r="H1731" t="s">
        <v>16</v>
      </c>
    </row>
    <row r="1732" spans="1:8" x14ac:dyDescent="0.3">
      <c r="A1732" t="s">
        <v>72</v>
      </c>
      <c r="B1732" t="s">
        <v>25</v>
      </c>
      <c r="C1732" t="s">
        <v>14</v>
      </c>
      <c r="D1732" t="s">
        <v>15</v>
      </c>
      <c r="E1732" s="5">
        <v>89846.5</v>
      </c>
      <c r="F1732" t="s">
        <v>770</v>
      </c>
      <c r="G1732" t="s">
        <v>56</v>
      </c>
      <c r="H1732" t="s">
        <v>14</v>
      </c>
    </row>
    <row r="1733" spans="1:8" x14ac:dyDescent="0.3">
      <c r="A1733" t="s">
        <v>40</v>
      </c>
      <c r="B1733" t="s">
        <v>67</v>
      </c>
      <c r="C1733" t="s">
        <v>27</v>
      </c>
      <c r="D1733" t="s">
        <v>42</v>
      </c>
      <c r="E1733" s="5">
        <v>59248</v>
      </c>
      <c r="F1733" t="s">
        <v>2237</v>
      </c>
      <c r="G1733" t="s">
        <v>2238</v>
      </c>
      <c r="H1733" t="s">
        <v>69</v>
      </c>
    </row>
    <row r="1734" spans="1:8" x14ac:dyDescent="0.3">
      <c r="A1734" t="s">
        <v>11</v>
      </c>
      <c r="B1734" t="s">
        <v>54</v>
      </c>
      <c r="C1734" t="s">
        <v>22</v>
      </c>
      <c r="D1734" t="s">
        <v>15</v>
      </c>
      <c r="E1734" s="5">
        <v>152413</v>
      </c>
      <c r="F1734" t="s">
        <v>3190</v>
      </c>
      <c r="G1734" t="s">
        <v>206</v>
      </c>
      <c r="H1734" t="s">
        <v>69</v>
      </c>
    </row>
    <row r="1735" spans="1:8" x14ac:dyDescent="0.3">
      <c r="A1735" t="s">
        <v>45</v>
      </c>
      <c r="B1735" t="s">
        <v>135</v>
      </c>
      <c r="C1735" t="s">
        <v>22</v>
      </c>
      <c r="D1735" t="s">
        <v>42</v>
      </c>
      <c r="E1735" s="5">
        <v>176845.5</v>
      </c>
      <c r="F1735" t="s">
        <v>2843</v>
      </c>
      <c r="G1735" t="s">
        <v>1782</v>
      </c>
      <c r="H1735" t="s">
        <v>14</v>
      </c>
    </row>
    <row r="1736" spans="1:8" x14ac:dyDescent="0.3">
      <c r="A1736" t="s">
        <v>45</v>
      </c>
      <c r="B1736" t="s">
        <v>54</v>
      </c>
      <c r="C1736" t="s">
        <v>22</v>
      </c>
      <c r="D1736" t="s">
        <v>42</v>
      </c>
      <c r="E1736" s="5">
        <v>126431.5</v>
      </c>
      <c r="F1736" t="s">
        <v>2858</v>
      </c>
      <c r="G1736" t="s">
        <v>157</v>
      </c>
      <c r="H1736" t="s">
        <v>69</v>
      </c>
    </row>
    <row r="1737" spans="1:8" x14ac:dyDescent="0.3">
      <c r="A1737" t="s">
        <v>72</v>
      </c>
      <c r="B1737" t="s">
        <v>67</v>
      </c>
      <c r="C1737" t="s">
        <v>14</v>
      </c>
      <c r="D1737" t="s">
        <v>37</v>
      </c>
      <c r="E1737" s="5">
        <v>135968</v>
      </c>
      <c r="F1737" t="s">
        <v>3983</v>
      </c>
      <c r="G1737" t="s">
        <v>80</v>
      </c>
      <c r="H1737" t="s">
        <v>14</v>
      </c>
    </row>
    <row r="1738" spans="1:8" x14ac:dyDescent="0.3">
      <c r="A1738" t="s">
        <v>49</v>
      </c>
      <c r="B1738" t="s">
        <v>67</v>
      </c>
      <c r="C1738" t="s">
        <v>22</v>
      </c>
      <c r="D1738" t="s">
        <v>15</v>
      </c>
      <c r="E1738" s="5">
        <v>100078.5</v>
      </c>
      <c r="F1738" t="s">
        <v>2114</v>
      </c>
      <c r="G1738" t="s">
        <v>561</v>
      </c>
      <c r="H1738" t="s">
        <v>14</v>
      </c>
    </row>
    <row r="1739" spans="1:8" x14ac:dyDescent="0.3">
      <c r="A1739" t="s">
        <v>72</v>
      </c>
      <c r="B1739" t="s">
        <v>67</v>
      </c>
      <c r="C1739" t="s">
        <v>14</v>
      </c>
      <c r="D1739" t="s">
        <v>51</v>
      </c>
      <c r="E1739" s="5">
        <v>72337.5</v>
      </c>
      <c r="F1739" t="s">
        <v>2854</v>
      </c>
      <c r="G1739" t="s">
        <v>101</v>
      </c>
      <c r="H1739" t="s">
        <v>69</v>
      </c>
    </row>
    <row r="1740" spans="1:8" x14ac:dyDescent="0.3">
      <c r="A1740" t="s">
        <v>11</v>
      </c>
      <c r="B1740" t="s">
        <v>12</v>
      </c>
      <c r="C1740" t="s">
        <v>27</v>
      </c>
      <c r="D1740" t="s">
        <v>51</v>
      </c>
      <c r="E1740" s="5">
        <v>146787.5</v>
      </c>
      <c r="F1740" t="s">
        <v>2365</v>
      </c>
      <c r="G1740" t="s">
        <v>106</v>
      </c>
      <c r="H1740" t="s">
        <v>16</v>
      </c>
    </row>
    <row r="1741" spans="1:8" x14ac:dyDescent="0.3">
      <c r="A1741" t="s">
        <v>49</v>
      </c>
      <c r="B1741" t="s">
        <v>25</v>
      </c>
      <c r="C1741" t="s">
        <v>14</v>
      </c>
      <c r="D1741" t="s">
        <v>37</v>
      </c>
      <c r="E1741" s="5">
        <v>131540</v>
      </c>
      <c r="F1741" t="s">
        <v>3071</v>
      </c>
      <c r="G1741" t="s">
        <v>80</v>
      </c>
      <c r="H1741" t="s">
        <v>16</v>
      </c>
    </row>
    <row r="1742" spans="1:8" x14ac:dyDescent="0.3">
      <c r="A1742" t="s">
        <v>11</v>
      </c>
      <c r="B1742" t="s">
        <v>25</v>
      </c>
      <c r="C1742" t="s">
        <v>27</v>
      </c>
      <c r="D1742" t="s">
        <v>51</v>
      </c>
      <c r="E1742" s="5">
        <v>155592.5</v>
      </c>
      <c r="F1742" t="s">
        <v>1557</v>
      </c>
      <c r="G1742" t="s">
        <v>1558</v>
      </c>
      <c r="H1742" t="s">
        <v>16</v>
      </c>
    </row>
    <row r="1743" spans="1:8" x14ac:dyDescent="0.3">
      <c r="A1743" t="s">
        <v>19</v>
      </c>
      <c r="B1743" t="s">
        <v>54</v>
      </c>
      <c r="C1743" t="s">
        <v>22</v>
      </c>
      <c r="D1743" t="s">
        <v>15</v>
      </c>
      <c r="E1743" s="5">
        <v>76046.5</v>
      </c>
      <c r="F1743" t="s">
        <v>1337</v>
      </c>
      <c r="G1743" t="s">
        <v>425</v>
      </c>
      <c r="H1743" t="s">
        <v>69</v>
      </c>
    </row>
    <row r="1744" spans="1:8" x14ac:dyDescent="0.3">
      <c r="A1744" t="s">
        <v>11</v>
      </c>
      <c r="B1744" t="s">
        <v>25</v>
      </c>
      <c r="C1744" t="s">
        <v>14</v>
      </c>
      <c r="D1744" t="s">
        <v>51</v>
      </c>
      <c r="E1744" s="5">
        <v>91590.5</v>
      </c>
      <c r="F1744" t="s">
        <v>4008</v>
      </c>
      <c r="G1744" t="s">
        <v>378</v>
      </c>
      <c r="H1744" t="s">
        <v>16</v>
      </c>
    </row>
    <row r="1745" spans="1:8" x14ac:dyDescent="0.3">
      <c r="A1745" t="s">
        <v>72</v>
      </c>
      <c r="B1745" t="s">
        <v>135</v>
      </c>
      <c r="C1745" t="s">
        <v>22</v>
      </c>
      <c r="D1745" t="s">
        <v>51</v>
      </c>
      <c r="E1745" s="5">
        <v>181185</v>
      </c>
      <c r="F1745" t="s">
        <v>3581</v>
      </c>
      <c r="G1745" t="s">
        <v>77</v>
      </c>
      <c r="H1745" t="s">
        <v>14</v>
      </c>
    </row>
    <row r="1746" spans="1:8" x14ac:dyDescent="0.3">
      <c r="A1746" t="s">
        <v>49</v>
      </c>
      <c r="B1746" t="s">
        <v>135</v>
      </c>
      <c r="C1746" t="s">
        <v>14</v>
      </c>
      <c r="D1746" t="s">
        <v>15</v>
      </c>
      <c r="E1746" s="5">
        <v>107884</v>
      </c>
      <c r="F1746" t="s">
        <v>4261</v>
      </c>
      <c r="G1746" t="s">
        <v>194</v>
      </c>
      <c r="H1746" t="s">
        <v>69</v>
      </c>
    </row>
    <row r="1747" spans="1:8" x14ac:dyDescent="0.3">
      <c r="A1747" t="s">
        <v>11</v>
      </c>
      <c r="B1747" t="s">
        <v>135</v>
      </c>
      <c r="C1747" t="s">
        <v>14</v>
      </c>
      <c r="D1747" t="s">
        <v>15</v>
      </c>
      <c r="E1747" s="5">
        <v>104701</v>
      </c>
      <c r="F1747" t="s">
        <v>1291</v>
      </c>
      <c r="G1747" t="s">
        <v>47</v>
      </c>
      <c r="H1747" t="s">
        <v>16</v>
      </c>
    </row>
    <row r="1748" spans="1:8" x14ac:dyDescent="0.3">
      <c r="A1748" t="s">
        <v>72</v>
      </c>
      <c r="B1748" t="s">
        <v>25</v>
      </c>
      <c r="C1748" t="s">
        <v>14</v>
      </c>
      <c r="D1748" t="s">
        <v>42</v>
      </c>
      <c r="E1748" s="5">
        <v>163848</v>
      </c>
      <c r="F1748" t="s">
        <v>4031</v>
      </c>
      <c r="G1748" t="s">
        <v>101</v>
      </c>
      <c r="H1748" t="s">
        <v>16</v>
      </c>
    </row>
    <row r="1749" spans="1:8" x14ac:dyDescent="0.3">
      <c r="A1749" t="s">
        <v>11</v>
      </c>
      <c r="B1749" t="s">
        <v>135</v>
      </c>
      <c r="C1749" t="s">
        <v>14</v>
      </c>
      <c r="D1749" t="s">
        <v>15</v>
      </c>
      <c r="E1749" s="5">
        <v>145732.5</v>
      </c>
      <c r="F1749" t="s">
        <v>3632</v>
      </c>
      <c r="G1749" t="s">
        <v>128</v>
      </c>
      <c r="H1749" t="s">
        <v>69</v>
      </c>
    </row>
    <row r="1750" spans="1:8" x14ac:dyDescent="0.3">
      <c r="A1750" t="s">
        <v>72</v>
      </c>
      <c r="B1750" t="s">
        <v>35</v>
      </c>
      <c r="C1750" t="s">
        <v>22</v>
      </c>
      <c r="D1750" t="s">
        <v>37</v>
      </c>
      <c r="E1750" s="5">
        <v>137379.5</v>
      </c>
      <c r="F1750" t="s">
        <v>3474</v>
      </c>
      <c r="G1750" t="s">
        <v>3475</v>
      </c>
      <c r="H1750" t="s">
        <v>69</v>
      </c>
    </row>
    <row r="1751" spans="1:8" x14ac:dyDescent="0.3">
      <c r="A1751" t="s">
        <v>72</v>
      </c>
      <c r="B1751" t="s">
        <v>20</v>
      </c>
      <c r="C1751" t="s">
        <v>27</v>
      </c>
      <c r="D1751" t="s">
        <v>42</v>
      </c>
      <c r="E1751" s="5">
        <v>185144</v>
      </c>
      <c r="F1751" t="s">
        <v>1605</v>
      </c>
      <c r="G1751" t="s">
        <v>128</v>
      </c>
      <c r="H1751" t="s">
        <v>69</v>
      </c>
    </row>
    <row r="1752" spans="1:8" x14ac:dyDescent="0.3">
      <c r="A1752" t="s">
        <v>19</v>
      </c>
      <c r="B1752" t="s">
        <v>54</v>
      </c>
      <c r="C1752" t="s">
        <v>22</v>
      </c>
      <c r="D1752" t="s">
        <v>42</v>
      </c>
      <c r="E1752" s="5">
        <v>97891</v>
      </c>
      <c r="F1752" t="s">
        <v>3138</v>
      </c>
      <c r="G1752" t="s">
        <v>216</v>
      </c>
      <c r="H1752" t="s">
        <v>14</v>
      </c>
    </row>
    <row r="1753" spans="1:8" x14ac:dyDescent="0.3">
      <c r="A1753" t="s">
        <v>19</v>
      </c>
      <c r="B1753" t="s">
        <v>30</v>
      </c>
      <c r="C1753" t="s">
        <v>14</v>
      </c>
      <c r="D1753" t="s">
        <v>15</v>
      </c>
      <c r="E1753" s="5">
        <v>87325.5</v>
      </c>
      <c r="F1753" t="s">
        <v>31</v>
      </c>
      <c r="G1753" t="s">
        <v>32</v>
      </c>
      <c r="H1753" t="s">
        <v>16</v>
      </c>
    </row>
    <row r="1754" spans="1:8" x14ac:dyDescent="0.3">
      <c r="A1754" t="s">
        <v>45</v>
      </c>
      <c r="B1754" t="s">
        <v>20</v>
      </c>
      <c r="C1754" t="s">
        <v>27</v>
      </c>
      <c r="D1754" t="s">
        <v>37</v>
      </c>
      <c r="E1754" s="5">
        <v>148614.5</v>
      </c>
      <c r="F1754" t="s">
        <v>3898</v>
      </c>
      <c r="G1754" t="s">
        <v>90</v>
      </c>
      <c r="H1754" t="s">
        <v>16</v>
      </c>
    </row>
    <row r="1755" spans="1:8" x14ac:dyDescent="0.3">
      <c r="A1755" t="s">
        <v>19</v>
      </c>
      <c r="B1755" t="s">
        <v>135</v>
      </c>
      <c r="C1755" t="s">
        <v>27</v>
      </c>
      <c r="D1755" t="s">
        <v>37</v>
      </c>
      <c r="E1755" s="5">
        <v>59803</v>
      </c>
      <c r="F1755" t="s">
        <v>2907</v>
      </c>
      <c r="G1755" t="s">
        <v>268</v>
      </c>
      <c r="H1755" t="s">
        <v>16</v>
      </c>
    </row>
    <row r="1756" spans="1:8" x14ac:dyDescent="0.3">
      <c r="A1756" t="s">
        <v>72</v>
      </c>
      <c r="B1756" t="s">
        <v>25</v>
      </c>
      <c r="C1756" t="s">
        <v>27</v>
      </c>
      <c r="D1756" t="s">
        <v>15</v>
      </c>
      <c r="E1756" s="5">
        <v>102844.5</v>
      </c>
      <c r="F1756" t="s">
        <v>3612</v>
      </c>
      <c r="G1756" t="s">
        <v>386</v>
      </c>
      <c r="H1756" t="s">
        <v>14</v>
      </c>
    </row>
    <row r="1757" spans="1:8" x14ac:dyDescent="0.3">
      <c r="A1757" t="s">
        <v>19</v>
      </c>
      <c r="B1757" t="s">
        <v>20</v>
      </c>
      <c r="C1757" t="s">
        <v>22</v>
      </c>
      <c r="D1757" t="s">
        <v>15</v>
      </c>
      <c r="E1757" s="5">
        <v>111699</v>
      </c>
      <c r="F1757" t="s">
        <v>21</v>
      </c>
      <c r="G1757" t="s">
        <v>23</v>
      </c>
      <c r="H1757" t="s">
        <v>16</v>
      </c>
    </row>
    <row r="1758" spans="1:8" x14ac:dyDescent="0.3">
      <c r="A1758" t="s">
        <v>34</v>
      </c>
      <c r="B1758" t="s">
        <v>25</v>
      </c>
      <c r="C1758" t="s">
        <v>22</v>
      </c>
      <c r="D1758" t="s">
        <v>15</v>
      </c>
      <c r="E1758" s="5">
        <v>107818</v>
      </c>
      <c r="F1758" t="s">
        <v>1084</v>
      </c>
      <c r="G1758" t="s">
        <v>1085</v>
      </c>
      <c r="H1758" t="s">
        <v>69</v>
      </c>
    </row>
    <row r="1759" spans="1:8" x14ac:dyDescent="0.3">
      <c r="A1759" t="s">
        <v>72</v>
      </c>
      <c r="B1759" t="s">
        <v>25</v>
      </c>
      <c r="C1759" t="s">
        <v>27</v>
      </c>
      <c r="D1759" t="s">
        <v>51</v>
      </c>
      <c r="E1759" s="5">
        <v>112864</v>
      </c>
      <c r="F1759" t="s">
        <v>2701</v>
      </c>
      <c r="G1759" t="s">
        <v>77</v>
      </c>
      <c r="H1759" t="s">
        <v>14</v>
      </c>
    </row>
    <row r="1760" spans="1:8" x14ac:dyDescent="0.3">
      <c r="A1760" t="s">
        <v>49</v>
      </c>
      <c r="B1760" t="s">
        <v>12</v>
      </c>
      <c r="C1760" t="s">
        <v>22</v>
      </c>
      <c r="D1760" t="s">
        <v>15</v>
      </c>
      <c r="E1760" s="5">
        <v>95912.5</v>
      </c>
      <c r="F1760" t="s">
        <v>692</v>
      </c>
      <c r="G1760" t="s">
        <v>693</v>
      </c>
      <c r="H1760" t="s">
        <v>14</v>
      </c>
    </row>
    <row r="1761" spans="1:8" x14ac:dyDescent="0.3">
      <c r="A1761" t="s">
        <v>49</v>
      </c>
      <c r="B1761" t="s">
        <v>20</v>
      </c>
      <c r="C1761" t="s">
        <v>27</v>
      </c>
      <c r="D1761" t="s">
        <v>42</v>
      </c>
      <c r="E1761" s="5">
        <v>56335.5</v>
      </c>
      <c r="F1761" t="s">
        <v>3511</v>
      </c>
      <c r="G1761" t="s">
        <v>157</v>
      </c>
      <c r="H1761" t="s">
        <v>14</v>
      </c>
    </row>
    <row r="1762" spans="1:8" x14ac:dyDescent="0.3">
      <c r="A1762" t="s">
        <v>49</v>
      </c>
      <c r="B1762" t="s">
        <v>54</v>
      </c>
      <c r="C1762" t="s">
        <v>27</v>
      </c>
      <c r="D1762" t="s">
        <v>51</v>
      </c>
      <c r="E1762" s="5">
        <v>76478.5</v>
      </c>
      <c r="F1762" t="s">
        <v>3127</v>
      </c>
      <c r="G1762" t="s">
        <v>847</v>
      </c>
      <c r="H1762" t="s">
        <v>69</v>
      </c>
    </row>
    <row r="1763" spans="1:8" x14ac:dyDescent="0.3">
      <c r="A1763" t="s">
        <v>40</v>
      </c>
      <c r="B1763" t="s">
        <v>54</v>
      </c>
      <c r="C1763" t="s">
        <v>27</v>
      </c>
      <c r="D1763" t="s">
        <v>37</v>
      </c>
      <c r="E1763" s="5">
        <v>194743.5</v>
      </c>
      <c r="F1763" t="s">
        <v>4125</v>
      </c>
      <c r="G1763" t="s">
        <v>789</v>
      </c>
      <c r="H1763" t="s">
        <v>14</v>
      </c>
    </row>
    <row r="1764" spans="1:8" x14ac:dyDescent="0.3">
      <c r="A1764" t="s">
        <v>72</v>
      </c>
      <c r="B1764" t="s">
        <v>20</v>
      </c>
      <c r="C1764" t="s">
        <v>22</v>
      </c>
      <c r="D1764" t="s">
        <v>42</v>
      </c>
      <c r="E1764" s="5">
        <v>144971.5</v>
      </c>
      <c r="F1764" t="s">
        <v>3768</v>
      </c>
      <c r="G1764" t="s">
        <v>362</v>
      </c>
      <c r="H1764" t="s">
        <v>16</v>
      </c>
    </row>
    <row r="1765" spans="1:8" x14ac:dyDescent="0.3">
      <c r="A1765" t="s">
        <v>72</v>
      </c>
      <c r="B1765" t="s">
        <v>35</v>
      </c>
      <c r="C1765" t="s">
        <v>27</v>
      </c>
      <c r="D1765" t="s">
        <v>51</v>
      </c>
      <c r="E1765" s="5">
        <v>64942.5</v>
      </c>
      <c r="F1765" t="s">
        <v>1573</v>
      </c>
      <c r="G1765" t="s">
        <v>101</v>
      </c>
      <c r="H1765" t="s">
        <v>16</v>
      </c>
    </row>
    <row r="1766" spans="1:8" x14ac:dyDescent="0.3">
      <c r="A1766" t="s">
        <v>72</v>
      </c>
      <c r="B1766" t="s">
        <v>12</v>
      </c>
      <c r="C1766" t="s">
        <v>27</v>
      </c>
      <c r="D1766" t="s">
        <v>42</v>
      </c>
      <c r="E1766" s="5">
        <v>163349.5</v>
      </c>
      <c r="F1766" t="s">
        <v>3178</v>
      </c>
      <c r="G1766" t="s">
        <v>70</v>
      </c>
      <c r="H1766" t="s">
        <v>69</v>
      </c>
    </row>
    <row r="1767" spans="1:8" x14ac:dyDescent="0.3">
      <c r="A1767" t="s">
        <v>11</v>
      </c>
      <c r="B1767" t="s">
        <v>35</v>
      </c>
      <c r="C1767" t="s">
        <v>14</v>
      </c>
      <c r="D1767" t="s">
        <v>42</v>
      </c>
      <c r="E1767" s="5">
        <v>85302</v>
      </c>
      <c r="F1767" t="s">
        <v>3610</v>
      </c>
      <c r="G1767" t="s">
        <v>144</v>
      </c>
      <c r="H1767" t="s">
        <v>16</v>
      </c>
    </row>
    <row r="1768" spans="1:8" x14ac:dyDescent="0.3">
      <c r="A1768" t="s">
        <v>34</v>
      </c>
      <c r="B1768" t="s">
        <v>35</v>
      </c>
      <c r="C1768" t="s">
        <v>27</v>
      </c>
      <c r="D1768" t="s">
        <v>42</v>
      </c>
      <c r="E1768" s="5">
        <v>108449.5</v>
      </c>
      <c r="F1768" t="s">
        <v>2669</v>
      </c>
      <c r="G1768" t="s">
        <v>985</v>
      </c>
      <c r="H1768" t="s">
        <v>69</v>
      </c>
    </row>
    <row r="1769" spans="1:8" x14ac:dyDescent="0.3">
      <c r="A1769" t="s">
        <v>11</v>
      </c>
      <c r="B1769" t="s">
        <v>12</v>
      </c>
      <c r="C1769" t="s">
        <v>27</v>
      </c>
      <c r="D1769" t="s">
        <v>37</v>
      </c>
      <c r="E1769" s="5">
        <v>183918.5</v>
      </c>
      <c r="F1769" t="s">
        <v>3724</v>
      </c>
      <c r="G1769" t="s">
        <v>371</v>
      </c>
      <c r="H1769" t="s">
        <v>16</v>
      </c>
    </row>
    <row r="1770" spans="1:8" x14ac:dyDescent="0.3">
      <c r="A1770" t="s">
        <v>45</v>
      </c>
      <c r="B1770" t="s">
        <v>135</v>
      </c>
      <c r="C1770" t="s">
        <v>22</v>
      </c>
      <c r="D1770" t="s">
        <v>42</v>
      </c>
      <c r="E1770" s="5">
        <v>104121.5</v>
      </c>
      <c r="F1770" t="s">
        <v>629</v>
      </c>
      <c r="G1770" t="s">
        <v>125</v>
      </c>
      <c r="H1770" t="s">
        <v>14</v>
      </c>
    </row>
    <row r="1771" spans="1:8" x14ac:dyDescent="0.3">
      <c r="A1771" t="s">
        <v>45</v>
      </c>
      <c r="B1771" t="s">
        <v>54</v>
      </c>
      <c r="C1771" t="s">
        <v>27</v>
      </c>
      <c r="D1771" t="s">
        <v>37</v>
      </c>
      <c r="E1771" s="5">
        <v>89141</v>
      </c>
      <c r="F1771" t="s">
        <v>1228</v>
      </c>
      <c r="G1771" t="s">
        <v>299</v>
      </c>
      <c r="H1771" t="s">
        <v>69</v>
      </c>
    </row>
    <row r="1772" spans="1:8" x14ac:dyDescent="0.3">
      <c r="A1772" t="s">
        <v>34</v>
      </c>
      <c r="B1772" t="s">
        <v>30</v>
      </c>
      <c r="C1772" t="s">
        <v>14</v>
      </c>
      <c r="D1772" t="s">
        <v>51</v>
      </c>
      <c r="E1772" s="5">
        <v>136174.5</v>
      </c>
      <c r="F1772" t="s">
        <v>614</v>
      </c>
      <c r="G1772" t="s">
        <v>615</v>
      </c>
      <c r="H1772" t="s">
        <v>14</v>
      </c>
    </row>
    <row r="1773" spans="1:8" x14ac:dyDescent="0.3">
      <c r="A1773" t="s">
        <v>72</v>
      </c>
      <c r="B1773" t="s">
        <v>54</v>
      </c>
      <c r="C1773" t="s">
        <v>27</v>
      </c>
      <c r="D1773" t="s">
        <v>15</v>
      </c>
      <c r="E1773" s="5">
        <v>82400</v>
      </c>
      <c r="F1773" t="s">
        <v>2110</v>
      </c>
      <c r="G1773" t="s">
        <v>450</v>
      </c>
      <c r="H1773" t="s">
        <v>69</v>
      </c>
    </row>
    <row r="1774" spans="1:8" x14ac:dyDescent="0.3">
      <c r="A1774" t="s">
        <v>49</v>
      </c>
      <c r="B1774" t="s">
        <v>20</v>
      </c>
      <c r="C1774" t="s">
        <v>22</v>
      </c>
      <c r="D1774" t="s">
        <v>37</v>
      </c>
      <c r="E1774" s="5">
        <v>129978.5</v>
      </c>
      <c r="F1774" t="s">
        <v>4223</v>
      </c>
      <c r="G1774" t="s">
        <v>938</v>
      </c>
      <c r="H1774" t="s">
        <v>16</v>
      </c>
    </row>
    <row r="1775" spans="1:8" x14ac:dyDescent="0.3">
      <c r="A1775" t="s">
        <v>19</v>
      </c>
      <c r="B1775" t="s">
        <v>25</v>
      </c>
      <c r="C1775" t="s">
        <v>27</v>
      </c>
      <c r="D1775" t="s">
        <v>51</v>
      </c>
      <c r="E1775" s="5">
        <v>97994.5</v>
      </c>
      <c r="F1775" t="s">
        <v>2970</v>
      </c>
      <c r="G1775" t="s">
        <v>163</v>
      </c>
      <c r="H1775" t="s">
        <v>16</v>
      </c>
    </row>
    <row r="1776" spans="1:8" x14ac:dyDescent="0.3">
      <c r="A1776" t="s">
        <v>34</v>
      </c>
      <c r="B1776" t="s">
        <v>67</v>
      </c>
      <c r="C1776" t="s">
        <v>14</v>
      </c>
      <c r="D1776" t="s">
        <v>51</v>
      </c>
      <c r="E1776" s="5">
        <v>140725</v>
      </c>
      <c r="F1776" t="s">
        <v>502</v>
      </c>
      <c r="G1776" t="s">
        <v>128</v>
      </c>
      <c r="H1776" t="s">
        <v>69</v>
      </c>
    </row>
    <row r="1777" spans="1:8" x14ac:dyDescent="0.3">
      <c r="A1777" t="s">
        <v>45</v>
      </c>
      <c r="B1777" t="s">
        <v>12</v>
      </c>
      <c r="C1777" t="s">
        <v>22</v>
      </c>
      <c r="D1777" t="s">
        <v>42</v>
      </c>
      <c r="E1777" s="5">
        <v>136259</v>
      </c>
      <c r="F1777" t="s">
        <v>2564</v>
      </c>
      <c r="G1777" t="s">
        <v>2565</v>
      </c>
      <c r="H1777" t="s">
        <v>16</v>
      </c>
    </row>
    <row r="1778" spans="1:8" x14ac:dyDescent="0.3">
      <c r="A1778" t="s">
        <v>72</v>
      </c>
      <c r="B1778" t="s">
        <v>20</v>
      </c>
      <c r="C1778" t="s">
        <v>27</v>
      </c>
      <c r="D1778" t="s">
        <v>15</v>
      </c>
      <c r="E1778" s="5">
        <v>88304.5</v>
      </c>
      <c r="F1778" t="s">
        <v>1465</v>
      </c>
      <c r="G1778" t="s">
        <v>378</v>
      </c>
      <c r="H1778" t="s">
        <v>16</v>
      </c>
    </row>
    <row r="1779" spans="1:8" x14ac:dyDescent="0.3">
      <c r="A1779" t="s">
        <v>49</v>
      </c>
      <c r="B1779" t="s">
        <v>30</v>
      </c>
      <c r="C1779" t="s">
        <v>14</v>
      </c>
      <c r="D1779" t="s">
        <v>42</v>
      </c>
      <c r="E1779" s="5">
        <v>86689.5</v>
      </c>
      <c r="F1779" t="s">
        <v>2528</v>
      </c>
      <c r="G1779" t="s">
        <v>1496</v>
      </c>
      <c r="H1779" t="s">
        <v>16</v>
      </c>
    </row>
    <row r="1780" spans="1:8" x14ac:dyDescent="0.3">
      <c r="A1780" t="s">
        <v>40</v>
      </c>
      <c r="B1780" t="s">
        <v>20</v>
      </c>
      <c r="C1780" t="s">
        <v>27</v>
      </c>
      <c r="D1780" t="s">
        <v>37</v>
      </c>
      <c r="E1780" s="5">
        <v>181054</v>
      </c>
      <c r="F1780" t="s">
        <v>1769</v>
      </c>
      <c r="G1780" t="s">
        <v>77</v>
      </c>
      <c r="H1780" t="s">
        <v>69</v>
      </c>
    </row>
    <row r="1781" spans="1:8" x14ac:dyDescent="0.3">
      <c r="A1781" t="s">
        <v>72</v>
      </c>
      <c r="B1781" t="s">
        <v>67</v>
      </c>
      <c r="C1781" t="s">
        <v>27</v>
      </c>
      <c r="D1781" t="s">
        <v>51</v>
      </c>
      <c r="E1781" s="5">
        <v>166269.5</v>
      </c>
      <c r="F1781" t="s">
        <v>3334</v>
      </c>
      <c r="G1781" t="s">
        <v>353</v>
      </c>
      <c r="H1781" t="s">
        <v>14</v>
      </c>
    </row>
    <row r="1782" spans="1:8" x14ac:dyDescent="0.3">
      <c r="A1782" t="s">
        <v>34</v>
      </c>
      <c r="B1782" t="s">
        <v>54</v>
      </c>
      <c r="C1782" t="s">
        <v>27</v>
      </c>
      <c r="D1782" t="s">
        <v>37</v>
      </c>
      <c r="E1782" s="5">
        <v>114658</v>
      </c>
      <c r="F1782" t="s">
        <v>1298</v>
      </c>
      <c r="G1782" t="s">
        <v>172</v>
      </c>
      <c r="H1782" t="s">
        <v>69</v>
      </c>
    </row>
    <row r="1783" spans="1:8" x14ac:dyDescent="0.3">
      <c r="A1783" t="s">
        <v>49</v>
      </c>
      <c r="B1783" t="s">
        <v>30</v>
      </c>
      <c r="C1783" t="s">
        <v>22</v>
      </c>
      <c r="D1783" t="s">
        <v>15</v>
      </c>
      <c r="E1783" s="5">
        <v>125457</v>
      </c>
      <c r="F1783" t="s">
        <v>2757</v>
      </c>
      <c r="G1783" t="s">
        <v>386</v>
      </c>
      <c r="H1783" t="s">
        <v>14</v>
      </c>
    </row>
    <row r="1784" spans="1:8" x14ac:dyDescent="0.3">
      <c r="A1784" t="s">
        <v>19</v>
      </c>
      <c r="B1784" t="s">
        <v>54</v>
      </c>
      <c r="C1784" t="s">
        <v>22</v>
      </c>
      <c r="D1784" t="s">
        <v>51</v>
      </c>
      <c r="E1784" s="5">
        <v>110970.5</v>
      </c>
      <c r="F1784" t="s">
        <v>3507</v>
      </c>
      <c r="G1784" t="s">
        <v>90</v>
      </c>
      <c r="H1784" t="s">
        <v>69</v>
      </c>
    </row>
    <row r="1785" spans="1:8" x14ac:dyDescent="0.3">
      <c r="A1785" t="s">
        <v>19</v>
      </c>
      <c r="B1785" t="s">
        <v>54</v>
      </c>
      <c r="C1785" t="s">
        <v>22</v>
      </c>
      <c r="D1785" t="s">
        <v>15</v>
      </c>
      <c r="E1785" s="5">
        <v>147007.5</v>
      </c>
      <c r="F1785" t="s">
        <v>2270</v>
      </c>
      <c r="G1785" t="s">
        <v>17</v>
      </c>
      <c r="H1785" t="s">
        <v>14</v>
      </c>
    </row>
    <row r="1786" spans="1:8" x14ac:dyDescent="0.3">
      <c r="A1786" t="s">
        <v>11</v>
      </c>
      <c r="B1786" t="s">
        <v>54</v>
      </c>
      <c r="C1786" t="s">
        <v>22</v>
      </c>
      <c r="D1786" t="s">
        <v>15</v>
      </c>
      <c r="E1786" s="5">
        <v>88227</v>
      </c>
      <c r="F1786" t="s">
        <v>3504</v>
      </c>
      <c r="G1786" t="s">
        <v>588</v>
      </c>
      <c r="H1786" t="s">
        <v>69</v>
      </c>
    </row>
    <row r="1787" spans="1:8" x14ac:dyDescent="0.3">
      <c r="A1787" t="s">
        <v>72</v>
      </c>
      <c r="B1787" t="s">
        <v>35</v>
      </c>
      <c r="C1787" t="s">
        <v>14</v>
      </c>
      <c r="D1787" t="s">
        <v>37</v>
      </c>
      <c r="E1787" s="5">
        <v>132807.5</v>
      </c>
      <c r="F1787" t="s">
        <v>1846</v>
      </c>
      <c r="G1787" t="s">
        <v>362</v>
      </c>
      <c r="H1787" t="s">
        <v>69</v>
      </c>
    </row>
    <row r="1788" spans="1:8" x14ac:dyDescent="0.3">
      <c r="A1788" t="s">
        <v>19</v>
      </c>
      <c r="B1788" t="s">
        <v>30</v>
      </c>
      <c r="C1788" t="s">
        <v>14</v>
      </c>
      <c r="D1788" t="s">
        <v>37</v>
      </c>
      <c r="E1788" s="5">
        <v>115309.5</v>
      </c>
      <c r="F1788" t="s">
        <v>2504</v>
      </c>
      <c r="G1788" t="s">
        <v>229</v>
      </c>
      <c r="H1788" t="s">
        <v>16</v>
      </c>
    </row>
    <row r="1789" spans="1:8" x14ac:dyDescent="0.3">
      <c r="A1789" t="s">
        <v>34</v>
      </c>
      <c r="B1789" t="s">
        <v>35</v>
      </c>
      <c r="C1789" t="s">
        <v>27</v>
      </c>
      <c r="D1789" t="s">
        <v>15</v>
      </c>
      <c r="E1789" s="5">
        <v>90889</v>
      </c>
      <c r="F1789" t="s">
        <v>335</v>
      </c>
      <c r="G1789" t="s">
        <v>157</v>
      </c>
      <c r="H1789" t="s">
        <v>14</v>
      </c>
    </row>
    <row r="1790" spans="1:8" x14ac:dyDescent="0.3">
      <c r="A1790" t="s">
        <v>34</v>
      </c>
      <c r="B1790" t="s">
        <v>54</v>
      </c>
      <c r="C1790" t="s">
        <v>14</v>
      </c>
      <c r="D1790" t="s">
        <v>15</v>
      </c>
      <c r="E1790" s="5">
        <v>176093</v>
      </c>
      <c r="F1790" t="s">
        <v>2415</v>
      </c>
      <c r="G1790" t="s">
        <v>2416</v>
      </c>
      <c r="H1790" t="s">
        <v>69</v>
      </c>
    </row>
    <row r="1791" spans="1:8" x14ac:dyDescent="0.3">
      <c r="A1791" t="s">
        <v>40</v>
      </c>
      <c r="B1791" t="s">
        <v>25</v>
      </c>
      <c r="C1791" t="s">
        <v>14</v>
      </c>
      <c r="D1791" t="s">
        <v>42</v>
      </c>
      <c r="E1791" s="5">
        <v>70174.5</v>
      </c>
      <c r="F1791" t="s">
        <v>3382</v>
      </c>
      <c r="G1791" t="s">
        <v>407</v>
      </c>
      <c r="H1791" t="s">
        <v>69</v>
      </c>
    </row>
    <row r="1792" spans="1:8" x14ac:dyDescent="0.3">
      <c r="A1792" t="s">
        <v>45</v>
      </c>
      <c r="B1792" t="s">
        <v>35</v>
      </c>
      <c r="C1792" t="s">
        <v>27</v>
      </c>
      <c r="D1792" t="s">
        <v>51</v>
      </c>
      <c r="E1792" s="5">
        <v>131594</v>
      </c>
      <c r="F1792" t="s">
        <v>574</v>
      </c>
      <c r="G1792" t="s">
        <v>70</v>
      </c>
      <c r="H1792" t="s">
        <v>14</v>
      </c>
    </row>
    <row r="1793" spans="1:8" x14ac:dyDescent="0.3">
      <c r="A1793" t="s">
        <v>45</v>
      </c>
      <c r="B1793" t="s">
        <v>35</v>
      </c>
      <c r="C1793" t="s">
        <v>22</v>
      </c>
      <c r="D1793" t="s">
        <v>15</v>
      </c>
      <c r="E1793" s="5">
        <v>89387.5</v>
      </c>
      <c r="F1793" t="s">
        <v>2381</v>
      </c>
      <c r="G1793" t="s">
        <v>157</v>
      </c>
      <c r="H1793" t="s">
        <v>14</v>
      </c>
    </row>
    <row r="1794" spans="1:8" x14ac:dyDescent="0.3">
      <c r="A1794" t="s">
        <v>40</v>
      </c>
      <c r="B1794" t="s">
        <v>67</v>
      </c>
      <c r="C1794" t="s">
        <v>22</v>
      </c>
      <c r="D1794" t="s">
        <v>51</v>
      </c>
      <c r="E1794" s="5">
        <v>58720</v>
      </c>
      <c r="F1794" t="s">
        <v>3107</v>
      </c>
      <c r="G1794" t="s">
        <v>2592</v>
      </c>
      <c r="H1794" t="s">
        <v>69</v>
      </c>
    </row>
    <row r="1795" spans="1:8" x14ac:dyDescent="0.3">
      <c r="A1795" t="s">
        <v>11</v>
      </c>
      <c r="B1795" t="s">
        <v>35</v>
      </c>
      <c r="C1795" t="s">
        <v>22</v>
      </c>
      <c r="D1795" t="s">
        <v>15</v>
      </c>
      <c r="E1795" s="5">
        <v>139252.5</v>
      </c>
      <c r="F1795" t="s">
        <v>3763</v>
      </c>
      <c r="G1795" t="s">
        <v>789</v>
      </c>
      <c r="H1795" t="s">
        <v>14</v>
      </c>
    </row>
    <row r="1796" spans="1:8" x14ac:dyDescent="0.3">
      <c r="A1796" t="s">
        <v>11</v>
      </c>
      <c r="B1796" t="s">
        <v>12</v>
      </c>
      <c r="C1796" t="s">
        <v>14</v>
      </c>
      <c r="D1796" t="s">
        <v>15</v>
      </c>
      <c r="E1796" s="5">
        <v>122171.5</v>
      </c>
      <c r="F1796" t="s">
        <v>3921</v>
      </c>
      <c r="G1796" t="s">
        <v>734</v>
      </c>
      <c r="H1796" t="s">
        <v>69</v>
      </c>
    </row>
    <row r="1797" spans="1:8" x14ac:dyDescent="0.3">
      <c r="A1797" t="s">
        <v>34</v>
      </c>
      <c r="B1797" t="s">
        <v>35</v>
      </c>
      <c r="C1797" t="s">
        <v>14</v>
      </c>
      <c r="D1797" t="s">
        <v>37</v>
      </c>
      <c r="E1797" s="5">
        <v>162947.5</v>
      </c>
      <c r="F1797" t="s">
        <v>162</v>
      </c>
      <c r="G1797" t="s">
        <v>163</v>
      </c>
      <c r="H1797" t="s">
        <v>69</v>
      </c>
    </row>
    <row r="1798" spans="1:8" x14ac:dyDescent="0.3">
      <c r="A1798" t="s">
        <v>72</v>
      </c>
      <c r="B1798" t="s">
        <v>25</v>
      </c>
      <c r="C1798" t="s">
        <v>27</v>
      </c>
      <c r="D1798" t="s">
        <v>37</v>
      </c>
      <c r="E1798" s="5">
        <v>93975</v>
      </c>
      <c r="F1798" t="s">
        <v>2872</v>
      </c>
      <c r="G1798" t="s">
        <v>101</v>
      </c>
      <c r="H1798" t="s">
        <v>14</v>
      </c>
    </row>
    <row r="1799" spans="1:8" x14ac:dyDescent="0.3">
      <c r="A1799" t="s">
        <v>72</v>
      </c>
      <c r="B1799" t="s">
        <v>12</v>
      </c>
      <c r="C1799" t="s">
        <v>27</v>
      </c>
      <c r="D1799" t="s">
        <v>37</v>
      </c>
      <c r="E1799" s="5">
        <v>80851</v>
      </c>
      <c r="F1799" t="s">
        <v>409</v>
      </c>
      <c r="G1799" t="s">
        <v>410</v>
      </c>
      <c r="H1799" t="s">
        <v>14</v>
      </c>
    </row>
    <row r="1800" spans="1:8" x14ac:dyDescent="0.3">
      <c r="A1800" t="s">
        <v>49</v>
      </c>
      <c r="B1800" t="s">
        <v>67</v>
      </c>
      <c r="C1800" t="s">
        <v>14</v>
      </c>
      <c r="D1800" t="s">
        <v>51</v>
      </c>
      <c r="E1800" s="5">
        <v>57113</v>
      </c>
      <c r="F1800" t="s">
        <v>1552</v>
      </c>
      <c r="G1800" t="s">
        <v>1553</v>
      </c>
      <c r="H1800" t="s">
        <v>14</v>
      </c>
    </row>
    <row r="1801" spans="1:8" x14ac:dyDescent="0.3">
      <c r="A1801" t="s">
        <v>34</v>
      </c>
      <c r="B1801" t="s">
        <v>25</v>
      </c>
      <c r="C1801" t="s">
        <v>14</v>
      </c>
      <c r="D1801" t="s">
        <v>51</v>
      </c>
      <c r="E1801" s="5">
        <v>155555</v>
      </c>
      <c r="F1801" t="s">
        <v>2878</v>
      </c>
      <c r="G1801" t="s">
        <v>410</v>
      </c>
      <c r="H1801" t="s">
        <v>14</v>
      </c>
    </row>
    <row r="1802" spans="1:8" x14ac:dyDescent="0.3">
      <c r="A1802" t="s">
        <v>19</v>
      </c>
      <c r="B1802" t="s">
        <v>25</v>
      </c>
      <c r="C1802" t="s">
        <v>14</v>
      </c>
      <c r="D1802" t="s">
        <v>15</v>
      </c>
      <c r="E1802" s="5">
        <v>146054.5</v>
      </c>
      <c r="F1802" t="s">
        <v>2829</v>
      </c>
      <c r="G1802" t="s">
        <v>2300</v>
      </c>
      <c r="H1802" t="s">
        <v>16</v>
      </c>
    </row>
    <row r="1803" spans="1:8" x14ac:dyDescent="0.3">
      <c r="A1803" t="s">
        <v>72</v>
      </c>
      <c r="B1803" t="s">
        <v>54</v>
      </c>
      <c r="C1803" t="s">
        <v>14</v>
      </c>
      <c r="D1803" t="s">
        <v>51</v>
      </c>
      <c r="E1803" s="5">
        <v>73875</v>
      </c>
      <c r="F1803" t="s">
        <v>810</v>
      </c>
      <c r="G1803" t="s">
        <v>38</v>
      </c>
      <c r="H1803" t="s">
        <v>14</v>
      </c>
    </row>
    <row r="1804" spans="1:8" x14ac:dyDescent="0.3">
      <c r="A1804" t="s">
        <v>40</v>
      </c>
      <c r="B1804" t="s">
        <v>135</v>
      </c>
      <c r="C1804" t="s">
        <v>22</v>
      </c>
      <c r="D1804" t="s">
        <v>15</v>
      </c>
      <c r="E1804" s="5">
        <v>142426</v>
      </c>
      <c r="F1804" t="s">
        <v>851</v>
      </c>
      <c r="G1804" t="s">
        <v>852</v>
      </c>
      <c r="H1804" t="s">
        <v>14</v>
      </c>
    </row>
    <row r="1805" spans="1:8" x14ac:dyDescent="0.3">
      <c r="A1805" t="s">
        <v>34</v>
      </c>
      <c r="B1805" t="s">
        <v>67</v>
      </c>
      <c r="C1805" t="s">
        <v>14</v>
      </c>
      <c r="D1805" t="s">
        <v>51</v>
      </c>
      <c r="E1805" s="5">
        <v>91535.5</v>
      </c>
      <c r="F1805" t="s">
        <v>4124</v>
      </c>
      <c r="G1805" t="s">
        <v>70</v>
      </c>
      <c r="H1805" t="s">
        <v>16</v>
      </c>
    </row>
    <row r="1806" spans="1:8" x14ac:dyDescent="0.3">
      <c r="A1806" t="s">
        <v>40</v>
      </c>
      <c r="B1806" t="s">
        <v>12</v>
      </c>
      <c r="C1806" t="s">
        <v>27</v>
      </c>
      <c r="D1806" t="s">
        <v>15</v>
      </c>
      <c r="E1806" s="5">
        <v>164165.5</v>
      </c>
      <c r="F1806" t="s">
        <v>2815</v>
      </c>
      <c r="G1806" t="s">
        <v>77</v>
      </c>
      <c r="H1806" t="s">
        <v>14</v>
      </c>
    </row>
    <row r="1807" spans="1:8" x14ac:dyDescent="0.3">
      <c r="A1807" t="s">
        <v>40</v>
      </c>
      <c r="B1807" t="s">
        <v>25</v>
      </c>
      <c r="C1807" t="s">
        <v>27</v>
      </c>
      <c r="D1807" t="s">
        <v>42</v>
      </c>
      <c r="E1807" s="5">
        <v>176149.5</v>
      </c>
      <c r="F1807" t="s">
        <v>3663</v>
      </c>
      <c r="G1807" t="s">
        <v>80</v>
      </c>
      <c r="H1807" t="s">
        <v>16</v>
      </c>
    </row>
    <row r="1808" spans="1:8" x14ac:dyDescent="0.3">
      <c r="A1808" t="s">
        <v>72</v>
      </c>
      <c r="B1808" t="s">
        <v>25</v>
      </c>
      <c r="C1808" t="s">
        <v>22</v>
      </c>
      <c r="D1808" t="s">
        <v>15</v>
      </c>
      <c r="E1808" s="5">
        <v>120019</v>
      </c>
      <c r="F1808" t="s">
        <v>1808</v>
      </c>
      <c r="G1808" t="s">
        <v>794</v>
      </c>
      <c r="H1808" t="s">
        <v>69</v>
      </c>
    </row>
    <row r="1809" spans="1:8" x14ac:dyDescent="0.3">
      <c r="A1809" t="s">
        <v>72</v>
      </c>
      <c r="B1809" t="s">
        <v>35</v>
      </c>
      <c r="C1809" t="s">
        <v>27</v>
      </c>
      <c r="D1809" t="s">
        <v>51</v>
      </c>
      <c r="E1809" s="5">
        <v>120209</v>
      </c>
      <c r="F1809" t="s">
        <v>2629</v>
      </c>
      <c r="G1809" t="s">
        <v>17</v>
      </c>
      <c r="H1809" t="s">
        <v>14</v>
      </c>
    </row>
    <row r="1810" spans="1:8" x14ac:dyDescent="0.3">
      <c r="A1810" t="s">
        <v>34</v>
      </c>
      <c r="B1810" t="s">
        <v>12</v>
      </c>
      <c r="C1810" t="s">
        <v>27</v>
      </c>
      <c r="D1810" t="s">
        <v>37</v>
      </c>
      <c r="E1810" s="5">
        <v>116250</v>
      </c>
      <c r="F1810" t="s">
        <v>116</v>
      </c>
      <c r="G1810" t="s">
        <v>80</v>
      </c>
      <c r="H1810" t="s">
        <v>69</v>
      </c>
    </row>
    <row r="1811" spans="1:8" x14ac:dyDescent="0.3">
      <c r="A1811" t="s">
        <v>11</v>
      </c>
      <c r="B1811" t="s">
        <v>30</v>
      </c>
      <c r="C1811" t="s">
        <v>22</v>
      </c>
      <c r="D1811" t="s">
        <v>37</v>
      </c>
      <c r="E1811" s="5">
        <v>155923</v>
      </c>
      <c r="F1811" t="s">
        <v>925</v>
      </c>
      <c r="G1811" t="s">
        <v>90</v>
      </c>
      <c r="H1811" t="s">
        <v>14</v>
      </c>
    </row>
    <row r="1812" spans="1:8" x14ac:dyDescent="0.3">
      <c r="A1812" t="s">
        <v>72</v>
      </c>
      <c r="B1812" t="s">
        <v>20</v>
      </c>
      <c r="C1812" t="s">
        <v>14</v>
      </c>
      <c r="D1812" t="s">
        <v>42</v>
      </c>
      <c r="E1812" s="5">
        <v>79599.5</v>
      </c>
      <c r="F1812" t="s">
        <v>515</v>
      </c>
      <c r="G1812" t="s">
        <v>157</v>
      </c>
      <c r="H1812" t="s">
        <v>16</v>
      </c>
    </row>
    <row r="1813" spans="1:8" x14ac:dyDescent="0.3">
      <c r="A1813" t="s">
        <v>49</v>
      </c>
      <c r="B1813" t="s">
        <v>25</v>
      </c>
      <c r="C1813" t="s">
        <v>27</v>
      </c>
      <c r="D1813" t="s">
        <v>51</v>
      </c>
      <c r="E1813" s="5">
        <v>169485.5</v>
      </c>
      <c r="F1813" t="s">
        <v>4094</v>
      </c>
      <c r="G1813" t="s">
        <v>507</v>
      </c>
      <c r="H1813" t="s">
        <v>14</v>
      </c>
    </row>
    <row r="1814" spans="1:8" x14ac:dyDescent="0.3">
      <c r="A1814" t="s">
        <v>72</v>
      </c>
      <c r="B1814" t="s">
        <v>20</v>
      </c>
      <c r="C1814" t="s">
        <v>22</v>
      </c>
      <c r="D1814" t="s">
        <v>37</v>
      </c>
      <c r="E1814" s="5">
        <v>115231</v>
      </c>
      <c r="F1814" t="s">
        <v>2249</v>
      </c>
      <c r="G1814" t="s">
        <v>77</v>
      </c>
      <c r="H1814" t="s">
        <v>14</v>
      </c>
    </row>
    <row r="1815" spans="1:8" x14ac:dyDescent="0.3">
      <c r="A1815" t="s">
        <v>11</v>
      </c>
      <c r="B1815" t="s">
        <v>25</v>
      </c>
      <c r="C1815" t="s">
        <v>22</v>
      </c>
      <c r="D1815" t="s">
        <v>15</v>
      </c>
      <c r="E1815" s="5">
        <v>115511</v>
      </c>
      <c r="F1815" t="s">
        <v>2635</v>
      </c>
      <c r="G1815" t="s">
        <v>1440</v>
      </c>
      <c r="H1815" t="s">
        <v>16</v>
      </c>
    </row>
    <row r="1816" spans="1:8" x14ac:dyDescent="0.3">
      <c r="A1816" t="s">
        <v>11</v>
      </c>
      <c r="B1816" t="s">
        <v>30</v>
      </c>
      <c r="C1816" t="s">
        <v>14</v>
      </c>
      <c r="D1816" t="s">
        <v>37</v>
      </c>
      <c r="E1816" s="5">
        <v>103469.5</v>
      </c>
      <c r="F1816" t="s">
        <v>1906</v>
      </c>
      <c r="G1816" t="s">
        <v>347</v>
      </c>
      <c r="H1816" t="s">
        <v>69</v>
      </c>
    </row>
    <row r="1817" spans="1:8" x14ac:dyDescent="0.3">
      <c r="A1817" t="s">
        <v>72</v>
      </c>
      <c r="B1817" t="s">
        <v>30</v>
      </c>
      <c r="C1817" t="s">
        <v>27</v>
      </c>
      <c r="D1817" t="s">
        <v>51</v>
      </c>
      <c r="E1817" s="5">
        <v>99267.5</v>
      </c>
      <c r="F1817" t="s">
        <v>2931</v>
      </c>
      <c r="G1817" t="s">
        <v>1131</v>
      </c>
      <c r="H1817" t="s">
        <v>69</v>
      </c>
    </row>
    <row r="1818" spans="1:8" x14ac:dyDescent="0.3">
      <c r="A1818" t="s">
        <v>45</v>
      </c>
      <c r="B1818" t="s">
        <v>20</v>
      </c>
      <c r="C1818" t="s">
        <v>22</v>
      </c>
      <c r="D1818" t="s">
        <v>51</v>
      </c>
      <c r="E1818" s="5">
        <v>158500.5</v>
      </c>
      <c r="F1818" t="s">
        <v>1699</v>
      </c>
      <c r="G1818" t="s">
        <v>693</v>
      </c>
      <c r="H1818" t="s">
        <v>14</v>
      </c>
    </row>
    <row r="1819" spans="1:8" x14ac:dyDescent="0.3">
      <c r="A1819" t="s">
        <v>72</v>
      </c>
      <c r="B1819" t="s">
        <v>12</v>
      </c>
      <c r="C1819" t="s">
        <v>22</v>
      </c>
      <c r="D1819" t="s">
        <v>37</v>
      </c>
      <c r="E1819" s="5">
        <v>168770</v>
      </c>
      <c r="F1819" t="s">
        <v>398</v>
      </c>
      <c r="G1819" t="s">
        <v>52</v>
      </c>
      <c r="H1819" t="s">
        <v>69</v>
      </c>
    </row>
    <row r="1820" spans="1:8" x14ac:dyDescent="0.3">
      <c r="A1820" t="s">
        <v>19</v>
      </c>
      <c r="B1820" t="s">
        <v>20</v>
      </c>
      <c r="C1820" t="s">
        <v>14</v>
      </c>
      <c r="D1820" t="s">
        <v>42</v>
      </c>
      <c r="E1820" s="5">
        <v>121848.5</v>
      </c>
      <c r="F1820" t="s">
        <v>364</v>
      </c>
      <c r="G1820" t="s">
        <v>128</v>
      </c>
      <c r="H1820" t="s">
        <v>16</v>
      </c>
    </row>
    <row r="1821" spans="1:8" x14ac:dyDescent="0.3">
      <c r="A1821" t="s">
        <v>45</v>
      </c>
      <c r="B1821" t="s">
        <v>20</v>
      </c>
      <c r="C1821" t="s">
        <v>22</v>
      </c>
      <c r="D1821" t="s">
        <v>51</v>
      </c>
      <c r="E1821" s="5">
        <v>142225</v>
      </c>
      <c r="F1821" t="s">
        <v>2555</v>
      </c>
      <c r="G1821" t="s">
        <v>77</v>
      </c>
      <c r="H1821" t="s">
        <v>69</v>
      </c>
    </row>
    <row r="1822" spans="1:8" x14ac:dyDescent="0.3">
      <c r="A1822" t="s">
        <v>19</v>
      </c>
      <c r="B1822" t="s">
        <v>30</v>
      </c>
      <c r="C1822" t="s">
        <v>14</v>
      </c>
      <c r="D1822" t="s">
        <v>37</v>
      </c>
      <c r="E1822" s="5">
        <v>170508.5</v>
      </c>
      <c r="F1822" t="s">
        <v>1802</v>
      </c>
      <c r="G1822" t="s">
        <v>507</v>
      </c>
      <c r="H1822" t="s">
        <v>69</v>
      </c>
    </row>
    <row r="1823" spans="1:8" x14ac:dyDescent="0.3">
      <c r="A1823" t="s">
        <v>45</v>
      </c>
      <c r="B1823" t="s">
        <v>20</v>
      </c>
      <c r="C1823" t="s">
        <v>14</v>
      </c>
      <c r="D1823" t="s">
        <v>42</v>
      </c>
      <c r="E1823" s="5">
        <v>85885.5</v>
      </c>
      <c r="F1823" t="s">
        <v>2048</v>
      </c>
      <c r="G1823" t="s">
        <v>2049</v>
      </c>
      <c r="H1823" t="s">
        <v>69</v>
      </c>
    </row>
    <row r="1824" spans="1:8" x14ac:dyDescent="0.3">
      <c r="A1824" t="s">
        <v>72</v>
      </c>
      <c r="B1824" t="s">
        <v>25</v>
      </c>
      <c r="C1824" t="s">
        <v>27</v>
      </c>
      <c r="D1824" t="s">
        <v>15</v>
      </c>
      <c r="E1824" s="5">
        <v>183357</v>
      </c>
      <c r="F1824" t="s">
        <v>2694</v>
      </c>
      <c r="G1824" t="s">
        <v>128</v>
      </c>
      <c r="H1824" t="s">
        <v>14</v>
      </c>
    </row>
    <row r="1825" spans="1:8" x14ac:dyDescent="0.3">
      <c r="A1825" t="s">
        <v>11</v>
      </c>
      <c r="B1825" t="s">
        <v>54</v>
      </c>
      <c r="C1825" t="s">
        <v>14</v>
      </c>
      <c r="D1825" t="s">
        <v>15</v>
      </c>
      <c r="E1825" s="5">
        <v>179766</v>
      </c>
      <c r="F1825" t="s">
        <v>3543</v>
      </c>
      <c r="G1825" t="s">
        <v>157</v>
      </c>
      <c r="H1825" t="s">
        <v>14</v>
      </c>
    </row>
    <row r="1826" spans="1:8" x14ac:dyDescent="0.3">
      <c r="A1826" t="s">
        <v>45</v>
      </c>
      <c r="B1826" t="s">
        <v>25</v>
      </c>
      <c r="C1826" t="s">
        <v>14</v>
      </c>
      <c r="D1826" t="s">
        <v>37</v>
      </c>
      <c r="E1826" s="5">
        <v>111185.5</v>
      </c>
      <c r="F1826" t="s">
        <v>2915</v>
      </c>
      <c r="G1826" t="s">
        <v>77</v>
      </c>
      <c r="H1826" t="s">
        <v>14</v>
      </c>
    </row>
    <row r="1827" spans="1:8" x14ac:dyDescent="0.3">
      <c r="A1827" t="s">
        <v>45</v>
      </c>
      <c r="B1827" t="s">
        <v>67</v>
      </c>
      <c r="C1827" t="s">
        <v>27</v>
      </c>
      <c r="D1827" t="s">
        <v>37</v>
      </c>
      <c r="E1827" s="5">
        <v>117930.5</v>
      </c>
      <c r="F1827" t="s">
        <v>965</v>
      </c>
      <c r="G1827" t="s">
        <v>52</v>
      </c>
      <c r="H1827" t="s">
        <v>14</v>
      </c>
    </row>
    <row r="1828" spans="1:8" x14ac:dyDescent="0.3">
      <c r="A1828" t="s">
        <v>45</v>
      </c>
      <c r="B1828" t="s">
        <v>12</v>
      </c>
      <c r="C1828" t="s">
        <v>22</v>
      </c>
      <c r="D1828" t="s">
        <v>42</v>
      </c>
      <c r="E1828" s="5">
        <v>123939</v>
      </c>
      <c r="F1828" t="s">
        <v>1985</v>
      </c>
      <c r="G1828" t="s">
        <v>70</v>
      </c>
      <c r="H1828" t="s">
        <v>69</v>
      </c>
    </row>
    <row r="1829" spans="1:8" x14ac:dyDescent="0.3">
      <c r="A1829" t="s">
        <v>45</v>
      </c>
      <c r="B1829" t="s">
        <v>30</v>
      </c>
      <c r="C1829" t="s">
        <v>22</v>
      </c>
      <c r="D1829" t="s">
        <v>15</v>
      </c>
      <c r="E1829" s="5">
        <v>104831</v>
      </c>
      <c r="F1829" t="s">
        <v>3111</v>
      </c>
      <c r="G1829" t="s">
        <v>101</v>
      </c>
      <c r="H1829" t="s">
        <v>16</v>
      </c>
    </row>
    <row r="1830" spans="1:8" x14ac:dyDescent="0.3">
      <c r="A1830" t="s">
        <v>19</v>
      </c>
      <c r="B1830" t="s">
        <v>30</v>
      </c>
      <c r="C1830" t="s">
        <v>27</v>
      </c>
      <c r="D1830" t="s">
        <v>42</v>
      </c>
      <c r="E1830" s="5">
        <v>68634.5</v>
      </c>
      <c r="F1830" t="s">
        <v>963</v>
      </c>
      <c r="G1830" t="s">
        <v>80</v>
      </c>
      <c r="H1830" t="s">
        <v>69</v>
      </c>
    </row>
    <row r="1831" spans="1:8" x14ac:dyDescent="0.3">
      <c r="A1831" t="s">
        <v>72</v>
      </c>
      <c r="B1831" t="s">
        <v>35</v>
      </c>
      <c r="C1831" t="s">
        <v>27</v>
      </c>
      <c r="D1831" t="s">
        <v>15</v>
      </c>
      <c r="E1831" s="5">
        <v>160072</v>
      </c>
      <c r="F1831" t="s">
        <v>1969</v>
      </c>
      <c r="G1831" t="s">
        <v>808</v>
      </c>
      <c r="H1831" t="s">
        <v>14</v>
      </c>
    </row>
    <row r="1832" spans="1:8" x14ac:dyDescent="0.3">
      <c r="A1832" t="s">
        <v>19</v>
      </c>
      <c r="B1832" t="s">
        <v>30</v>
      </c>
      <c r="C1832" t="s">
        <v>14</v>
      </c>
      <c r="D1832" t="s">
        <v>15</v>
      </c>
      <c r="E1832" s="5">
        <v>128309</v>
      </c>
      <c r="F1832" t="s">
        <v>1779</v>
      </c>
      <c r="G1832" t="s">
        <v>114</v>
      </c>
      <c r="H1832" t="s">
        <v>14</v>
      </c>
    </row>
    <row r="1833" spans="1:8" x14ac:dyDescent="0.3">
      <c r="A1833" t="s">
        <v>49</v>
      </c>
      <c r="B1833" t="s">
        <v>25</v>
      </c>
      <c r="C1833" t="s">
        <v>14</v>
      </c>
      <c r="D1833" t="s">
        <v>51</v>
      </c>
      <c r="E1833" s="5">
        <v>68971.5</v>
      </c>
      <c r="F1833" t="s">
        <v>4162</v>
      </c>
      <c r="G1833" t="s">
        <v>77</v>
      </c>
      <c r="H1833" t="s">
        <v>16</v>
      </c>
    </row>
    <row r="1834" spans="1:8" x14ac:dyDescent="0.3">
      <c r="A1834" t="s">
        <v>19</v>
      </c>
      <c r="B1834" t="s">
        <v>12</v>
      </c>
      <c r="C1834" t="s">
        <v>14</v>
      </c>
      <c r="D1834" t="s">
        <v>42</v>
      </c>
      <c r="E1834" s="5">
        <v>184067</v>
      </c>
      <c r="F1834" t="s">
        <v>3528</v>
      </c>
      <c r="G1834" t="s">
        <v>2049</v>
      </c>
      <c r="H1834" t="s">
        <v>16</v>
      </c>
    </row>
    <row r="1835" spans="1:8" x14ac:dyDescent="0.3">
      <c r="A1835" t="s">
        <v>45</v>
      </c>
      <c r="B1835" t="s">
        <v>20</v>
      </c>
      <c r="C1835" t="s">
        <v>14</v>
      </c>
      <c r="D1835" t="s">
        <v>51</v>
      </c>
      <c r="E1835" s="5">
        <v>70330.5</v>
      </c>
      <c r="F1835" t="s">
        <v>2631</v>
      </c>
      <c r="G1835" t="s">
        <v>1024</v>
      </c>
      <c r="H1835" t="s">
        <v>69</v>
      </c>
    </row>
    <row r="1836" spans="1:8" x14ac:dyDescent="0.3">
      <c r="A1836" t="s">
        <v>19</v>
      </c>
      <c r="B1836" t="s">
        <v>30</v>
      </c>
      <c r="C1836" t="s">
        <v>22</v>
      </c>
      <c r="D1836" t="s">
        <v>37</v>
      </c>
      <c r="E1836" s="5">
        <v>145110</v>
      </c>
      <c r="F1836" t="s">
        <v>2252</v>
      </c>
      <c r="G1836" t="s">
        <v>206</v>
      </c>
      <c r="H1836" t="s">
        <v>14</v>
      </c>
    </row>
    <row r="1837" spans="1:8" x14ac:dyDescent="0.3">
      <c r="A1837" t="s">
        <v>34</v>
      </c>
      <c r="B1837" t="s">
        <v>135</v>
      </c>
      <c r="C1837" t="s">
        <v>14</v>
      </c>
      <c r="D1837" t="s">
        <v>42</v>
      </c>
      <c r="E1837" s="5">
        <v>145954.5</v>
      </c>
      <c r="F1837" t="s">
        <v>2370</v>
      </c>
      <c r="G1837" t="s">
        <v>52</v>
      </c>
      <c r="H1837" t="s">
        <v>69</v>
      </c>
    </row>
    <row r="1838" spans="1:8" x14ac:dyDescent="0.3">
      <c r="A1838" t="s">
        <v>34</v>
      </c>
      <c r="B1838" t="s">
        <v>25</v>
      </c>
      <c r="C1838" t="s">
        <v>14</v>
      </c>
      <c r="D1838" t="s">
        <v>37</v>
      </c>
      <c r="E1838" s="5">
        <v>146938</v>
      </c>
      <c r="F1838" t="s">
        <v>1475</v>
      </c>
      <c r="G1838" t="s">
        <v>1476</v>
      </c>
      <c r="H1838" t="s">
        <v>69</v>
      </c>
    </row>
    <row r="1839" spans="1:8" x14ac:dyDescent="0.3">
      <c r="A1839" t="s">
        <v>40</v>
      </c>
      <c r="B1839" t="s">
        <v>135</v>
      </c>
      <c r="C1839" t="s">
        <v>27</v>
      </c>
      <c r="D1839" t="s">
        <v>37</v>
      </c>
      <c r="E1839" s="5">
        <v>114608.5</v>
      </c>
      <c r="F1839" t="s">
        <v>2434</v>
      </c>
      <c r="G1839" t="s">
        <v>928</v>
      </c>
      <c r="H1839" t="s">
        <v>14</v>
      </c>
    </row>
    <row r="1840" spans="1:8" x14ac:dyDescent="0.3">
      <c r="A1840" t="s">
        <v>11</v>
      </c>
      <c r="B1840" t="s">
        <v>25</v>
      </c>
      <c r="C1840" t="s">
        <v>22</v>
      </c>
      <c r="D1840" t="s">
        <v>37</v>
      </c>
      <c r="E1840" s="5">
        <v>144470.5</v>
      </c>
      <c r="F1840" t="s">
        <v>2787</v>
      </c>
      <c r="G1840" t="s">
        <v>52</v>
      </c>
      <c r="H1840" t="s">
        <v>69</v>
      </c>
    </row>
    <row r="1841" spans="1:8" x14ac:dyDescent="0.3">
      <c r="A1841" t="s">
        <v>45</v>
      </c>
      <c r="B1841" t="s">
        <v>25</v>
      </c>
      <c r="C1841" t="s">
        <v>14</v>
      </c>
      <c r="D1841" t="s">
        <v>42</v>
      </c>
      <c r="E1841" s="5">
        <v>153512</v>
      </c>
      <c r="F1841" t="s">
        <v>1660</v>
      </c>
      <c r="G1841" t="s">
        <v>813</v>
      </c>
      <c r="H1841" t="s">
        <v>69</v>
      </c>
    </row>
    <row r="1842" spans="1:8" x14ac:dyDescent="0.3">
      <c r="A1842" t="s">
        <v>11</v>
      </c>
      <c r="B1842" t="s">
        <v>12</v>
      </c>
      <c r="C1842" t="s">
        <v>22</v>
      </c>
      <c r="D1842" t="s">
        <v>51</v>
      </c>
      <c r="E1842" s="5">
        <v>133033</v>
      </c>
      <c r="F1842" t="s">
        <v>4175</v>
      </c>
      <c r="G1842" t="s">
        <v>546</v>
      </c>
      <c r="H1842" t="s">
        <v>16</v>
      </c>
    </row>
    <row r="1843" spans="1:8" x14ac:dyDescent="0.3">
      <c r="A1843" t="s">
        <v>72</v>
      </c>
      <c r="B1843" t="s">
        <v>135</v>
      </c>
      <c r="C1843" t="s">
        <v>14</v>
      </c>
      <c r="D1843" t="s">
        <v>42</v>
      </c>
      <c r="E1843" s="5">
        <v>132648</v>
      </c>
      <c r="F1843" t="s">
        <v>352</v>
      </c>
      <c r="G1843" t="s">
        <v>353</v>
      </c>
      <c r="H1843" t="s">
        <v>14</v>
      </c>
    </row>
    <row r="1844" spans="1:8" x14ac:dyDescent="0.3">
      <c r="A1844" t="s">
        <v>11</v>
      </c>
      <c r="B1844" t="s">
        <v>30</v>
      </c>
      <c r="C1844" t="s">
        <v>27</v>
      </c>
      <c r="D1844" t="s">
        <v>51</v>
      </c>
      <c r="E1844" s="5">
        <v>121764</v>
      </c>
      <c r="F1844" t="s">
        <v>2731</v>
      </c>
      <c r="G1844" t="s">
        <v>80</v>
      </c>
      <c r="H1844" t="s">
        <v>69</v>
      </c>
    </row>
    <row r="1845" spans="1:8" x14ac:dyDescent="0.3">
      <c r="A1845" t="s">
        <v>19</v>
      </c>
      <c r="B1845" t="s">
        <v>20</v>
      </c>
      <c r="C1845" t="s">
        <v>27</v>
      </c>
      <c r="D1845" t="s">
        <v>51</v>
      </c>
      <c r="E1845" s="5">
        <v>92876.5</v>
      </c>
      <c r="F1845" t="s">
        <v>1881</v>
      </c>
      <c r="G1845" t="s">
        <v>353</v>
      </c>
      <c r="H1845" t="s">
        <v>69</v>
      </c>
    </row>
    <row r="1846" spans="1:8" x14ac:dyDescent="0.3">
      <c r="A1846" t="s">
        <v>34</v>
      </c>
      <c r="B1846" t="s">
        <v>12</v>
      </c>
      <c r="C1846" t="s">
        <v>27</v>
      </c>
      <c r="D1846" t="s">
        <v>15</v>
      </c>
      <c r="E1846" s="5">
        <v>145988</v>
      </c>
      <c r="F1846" t="s">
        <v>3470</v>
      </c>
      <c r="G1846" t="s">
        <v>268</v>
      </c>
      <c r="H1846" t="s">
        <v>16</v>
      </c>
    </row>
    <row r="1847" spans="1:8" x14ac:dyDescent="0.3">
      <c r="A1847" t="s">
        <v>11</v>
      </c>
      <c r="B1847" t="s">
        <v>25</v>
      </c>
      <c r="C1847" t="s">
        <v>22</v>
      </c>
      <c r="D1847" t="s">
        <v>42</v>
      </c>
      <c r="E1847" s="5">
        <v>80347.5</v>
      </c>
      <c r="F1847" t="s">
        <v>228</v>
      </c>
      <c r="G1847" t="s">
        <v>229</v>
      </c>
      <c r="H1847" t="s">
        <v>69</v>
      </c>
    </row>
    <row r="1848" spans="1:8" x14ac:dyDescent="0.3">
      <c r="A1848" t="s">
        <v>49</v>
      </c>
      <c r="B1848" t="s">
        <v>25</v>
      </c>
      <c r="C1848" t="s">
        <v>27</v>
      </c>
      <c r="D1848" t="s">
        <v>42</v>
      </c>
      <c r="E1848" s="5">
        <v>64069</v>
      </c>
      <c r="F1848" t="s">
        <v>2968</v>
      </c>
      <c r="G1848" t="s">
        <v>439</v>
      </c>
      <c r="H1848" t="s">
        <v>14</v>
      </c>
    </row>
    <row r="1849" spans="1:8" x14ac:dyDescent="0.3">
      <c r="A1849" t="s">
        <v>40</v>
      </c>
      <c r="B1849" t="s">
        <v>35</v>
      </c>
      <c r="C1849" t="s">
        <v>14</v>
      </c>
      <c r="D1849" t="s">
        <v>51</v>
      </c>
      <c r="E1849" s="5">
        <v>79767.5</v>
      </c>
      <c r="F1849" t="s">
        <v>798</v>
      </c>
      <c r="G1849" t="s">
        <v>799</v>
      </c>
      <c r="H1849" t="s">
        <v>69</v>
      </c>
    </row>
    <row r="1850" spans="1:8" x14ac:dyDescent="0.3">
      <c r="A1850" t="s">
        <v>19</v>
      </c>
      <c r="B1850" t="s">
        <v>67</v>
      </c>
      <c r="C1850" t="s">
        <v>27</v>
      </c>
      <c r="D1850" t="s">
        <v>51</v>
      </c>
      <c r="E1850" s="5">
        <v>157780.5</v>
      </c>
      <c r="F1850" t="s">
        <v>3784</v>
      </c>
      <c r="G1850" t="s">
        <v>101</v>
      </c>
      <c r="H1850" t="s">
        <v>14</v>
      </c>
    </row>
    <row r="1851" spans="1:8" x14ac:dyDescent="0.3">
      <c r="A1851" t="s">
        <v>45</v>
      </c>
      <c r="B1851" t="s">
        <v>54</v>
      </c>
      <c r="C1851" t="s">
        <v>14</v>
      </c>
      <c r="D1851" t="s">
        <v>51</v>
      </c>
      <c r="E1851" s="5">
        <v>142097.5</v>
      </c>
      <c r="F1851" t="s">
        <v>3105</v>
      </c>
      <c r="G1851" t="s">
        <v>773</v>
      </c>
      <c r="H1851" t="s">
        <v>14</v>
      </c>
    </row>
    <row r="1852" spans="1:8" x14ac:dyDescent="0.3">
      <c r="A1852" t="s">
        <v>72</v>
      </c>
      <c r="B1852" t="s">
        <v>20</v>
      </c>
      <c r="C1852" t="s">
        <v>22</v>
      </c>
      <c r="D1852" t="s">
        <v>37</v>
      </c>
      <c r="E1852" s="5">
        <v>137700.5</v>
      </c>
      <c r="F1852" t="s">
        <v>1592</v>
      </c>
      <c r="G1852" t="s">
        <v>1593</v>
      </c>
      <c r="H1852" t="s">
        <v>14</v>
      </c>
    </row>
    <row r="1853" spans="1:8" x14ac:dyDescent="0.3">
      <c r="A1853" t="s">
        <v>19</v>
      </c>
      <c r="B1853" t="s">
        <v>35</v>
      </c>
      <c r="C1853" t="s">
        <v>22</v>
      </c>
      <c r="D1853" t="s">
        <v>37</v>
      </c>
      <c r="E1853" s="5">
        <v>70943.5</v>
      </c>
      <c r="F1853" t="s">
        <v>1943</v>
      </c>
      <c r="G1853" t="s">
        <v>137</v>
      </c>
      <c r="H1853" t="s">
        <v>69</v>
      </c>
    </row>
    <row r="1854" spans="1:8" x14ac:dyDescent="0.3">
      <c r="A1854" t="s">
        <v>49</v>
      </c>
      <c r="B1854" t="s">
        <v>135</v>
      </c>
      <c r="C1854" t="s">
        <v>27</v>
      </c>
      <c r="D1854" t="s">
        <v>42</v>
      </c>
      <c r="E1854" s="5">
        <v>80322.5</v>
      </c>
      <c r="F1854" t="s">
        <v>328</v>
      </c>
      <c r="G1854" t="s">
        <v>157</v>
      </c>
      <c r="H1854" t="s">
        <v>16</v>
      </c>
    </row>
    <row r="1855" spans="1:8" x14ac:dyDescent="0.3">
      <c r="A1855" t="s">
        <v>34</v>
      </c>
      <c r="B1855" t="s">
        <v>30</v>
      </c>
      <c r="C1855" t="s">
        <v>27</v>
      </c>
      <c r="D1855" t="s">
        <v>42</v>
      </c>
      <c r="E1855" s="5">
        <v>129249</v>
      </c>
      <c r="F1855" t="s">
        <v>699</v>
      </c>
      <c r="G1855" t="s">
        <v>268</v>
      </c>
      <c r="H1855" t="s">
        <v>69</v>
      </c>
    </row>
    <row r="1856" spans="1:8" x14ac:dyDescent="0.3">
      <c r="A1856" t="s">
        <v>45</v>
      </c>
      <c r="B1856" t="s">
        <v>25</v>
      </c>
      <c r="C1856" t="s">
        <v>27</v>
      </c>
      <c r="D1856" t="s">
        <v>42</v>
      </c>
      <c r="E1856" s="5">
        <v>126814</v>
      </c>
      <c r="F1856" t="s">
        <v>3125</v>
      </c>
      <c r="G1856" t="s">
        <v>216</v>
      </c>
      <c r="H1856" t="s">
        <v>69</v>
      </c>
    </row>
    <row r="1857" spans="1:8" x14ac:dyDescent="0.3">
      <c r="A1857" t="s">
        <v>34</v>
      </c>
      <c r="B1857" t="s">
        <v>12</v>
      </c>
      <c r="C1857" t="s">
        <v>27</v>
      </c>
      <c r="D1857" t="s">
        <v>42</v>
      </c>
      <c r="E1857" s="5">
        <v>85976.5</v>
      </c>
      <c r="F1857" t="s">
        <v>995</v>
      </c>
      <c r="G1857" t="s">
        <v>919</v>
      </c>
      <c r="H1857" t="s">
        <v>69</v>
      </c>
    </row>
    <row r="1858" spans="1:8" x14ac:dyDescent="0.3">
      <c r="A1858" t="s">
        <v>45</v>
      </c>
      <c r="B1858" t="s">
        <v>20</v>
      </c>
      <c r="C1858" t="s">
        <v>14</v>
      </c>
      <c r="D1858" t="s">
        <v>15</v>
      </c>
      <c r="E1858" s="5">
        <v>119102</v>
      </c>
      <c r="F1858" t="s">
        <v>1868</v>
      </c>
      <c r="G1858" t="s">
        <v>90</v>
      </c>
      <c r="H1858" t="s">
        <v>16</v>
      </c>
    </row>
    <row r="1859" spans="1:8" x14ac:dyDescent="0.3">
      <c r="A1859" t="s">
        <v>34</v>
      </c>
      <c r="B1859" t="s">
        <v>12</v>
      </c>
      <c r="C1859" t="s">
        <v>22</v>
      </c>
      <c r="D1859" t="s">
        <v>51</v>
      </c>
      <c r="E1859" s="5">
        <v>133701.5</v>
      </c>
      <c r="F1859" t="s">
        <v>1456</v>
      </c>
      <c r="G1859" t="s">
        <v>353</v>
      </c>
      <c r="H1859" t="s">
        <v>69</v>
      </c>
    </row>
    <row r="1860" spans="1:8" x14ac:dyDescent="0.3">
      <c r="A1860" t="s">
        <v>49</v>
      </c>
      <c r="B1860" t="s">
        <v>25</v>
      </c>
      <c r="C1860" t="s">
        <v>22</v>
      </c>
      <c r="D1860" t="s">
        <v>37</v>
      </c>
      <c r="E1860" s="5">
        <v>140207</v>
      </c>
      <c r="F1860" t="s">
        <v>1174</v>
      </c>
      <c r="G1860" t="s">
        <v>157</v>
      </c>
      <c r="H1860" t="s">
        <v>14</v>
      </c>
    </row>
    <row r="1861" spans="1:8" x14ac:dyDescent="0.3">
      <c r="A1861" t="s">
        <v>45</v>
      </c>
      <c r="B1861" t="s">
        <v>35</v>
      </c>
      <c r="C1861" t="s">
        <v>22</v>
      </c>
      <c r="D1861" t="s">
        <v>15</v>
      </c>
      <c r="E1861" s="5">
        <v>57514.5</v>
      </c>
      <c r="F1861" t="s">
        <v>3412</v>
      </c>
      <c r="G1861" t="s">
        <v>420</v>
      </c>
      <c r="H1861" t="s">
        <v>14</v>
      </c>
    </row>
    <row r="1862" spans="1:8" x14ac:dyDescent="0.3">
      <c r="A1862" t="s">
        <v>19</v>
      </c>
      <c r="B1862" t="s">
        <v>25</v>
      </c>
      <c r="C1862" t="s">
        <v>14</v>
      </c>
      <c r="D1862" t="s">
        <v>51</v>
      </c>
      <c r="E1862" s="5">
        <v>115892</v>
      </c>
      <c r="F1862" t="s">
        <v>1091</v>
      </c>
      <c r="G1862" t="s">
        <v>690</v>
      </c>
      <c r="H1862" t="s">
        <v>69</v>
      </c>
    </row>
    <row r="1863" spans="1:8" x14ac:dyDescent="0.3">
      <c r="A1863" t="s">
        <v>72</v>
      </c>
      <c r="B1863" t="s">
        <v>30</v>
      </c>
      <c r="C1863" t="s">
        <v>14</v>
      </c>
      <c r="D1863" t="s">
        <v>42</v>
      </c>
      <c r="E1863" s="5">
        <v>169570.5</v>
      </c>
      <c r="F1863" t="s">
        <v>1931</v>
      </c>
      <c r="G1863" t="s">
        <v>157</v>
      </c>
      <c r="H1863" t="s">
        <v>14</v>
      </c>
    </row>
    <row r="1864" spans="1:8" x14ac:dyDescent="0.3">
      <c r="A1864" t="s">
        <v>40</v>
      </c>
      <c r="B1864" t="s">
        <v>54</v>
      </c>
      <c r="C1864" t="s">
        <v>14</v>
      </c>
      <c r="D1864" t="s">
        <v>42</v>
      </c>
      <c r="E1864" s="5">
        <v>137937.5</v>
      </c>
      <c r="F1864" t="s">
        <v>139</v>
      </c>
      <c r="G1864" t="s">
        <v>90</v>
      </c>
      <c r="H1864" t="s">
        <v>69</v>
      </c>
    </row>
    <row r="1865" spans="1:8" x14ac:dyDescent="0.3">
      <c r="A1865" t="s">
        <v>45</v>
      </c>
      <c r="B1865" t="s">
        <v>35</v>
      </c>
      <c r="C1865" t="s">
        <v>22</v>
      </c>
      <c r="D1865" t="s">
        <v>37</v>
      </c>
      <c r="E1865" s="5">
        <v>166076</v>
      </c>
      <c r="F1865" t="s">
        <v>1268</v>
      </c>
      <c r="G1865" t="s">
        <v>213</v>
      </c>
      <c r="H1865" t="s">
        <v>69</v>
      </c>
    </row>
    <row r="1866" spans="1:8" x14ac:dyDescent="0.3">
      <c r="A1866" t="s">
        <v>19</v>
      </c>
      <c r="B1866" t="s">
        <v>30</v>
      </c>
      <c r="C1866" t="s">
        <v>22</v>
      </c>
      <c r="D1866" t="s">
        <v>51</v>
      </c>
      <c r="E1866" s="5">
        <v>75202.5</v>
      </c>
      <c r="F1866" t="s">
        <v>609</v>
      </c>
      <c r="G1866" t="s">
        <v>378</v>
      </c>
      <c r="H1866" t="s">
        <v>14</v>
      </c>
    </row>
    <row r="1867" spans="1:8" x14ac:dyDescent="0.3">
      <c r="A1867" t="s">
        <v>72</v>
      </c>
      <c r="B1867" t="s">
        <v>30</v>
      </c>
      <c r="C1867" t="s">
        <v>22</v>
      </c>
      <c r="D1867" t="s">
        <v>51</v>
      </c>
      <c r="E1867" s="5">
        <v>102117.5</v>
      </c>
      <c r="F1867" t="s">
        <v>3702</v>
      </c>
      <c r="G1867" t="s">
        <v>808</v>
      </c>
      <c r="H1867" t="s">
        <v>69</v>
      </c>
    </row>
    <row r="1868" spans="1:8" x14ac:dyDescent="0.3">
      <c r="A1868" t="s">
        <v>34</v>
      </c>
      <c r="B1868" t="s">
        <v>25</v>
      </c>
      <c r="C1868" t="s">
        <v>14</v>
      </c>
      <c r="D1868" t="s">
        <v>42</v>
      </c>
      <c r="E1868" s="5">
        <v>94029.5</v>
      </c>
      <c r="F1868" t="s">
        <v>2575</v>
      </c>
      <c r="G1868" t="s">
        <v>77</v>
      </c>
      <c r="H1868" t="s">
        <v>16</v>
      </c>
    </row>
    <row r="1869" spans="1:8" x14ac:dyDescent="0.3">
      <c r="A1869" t="s">
        <v>49</v>
      </c>
      <c r="B1869" t="s">
        <v>12</v>
      </c>
      <c r="C1869" t="s">
        <v>14</v>
      </c>
      <c r="D1869" t="s">
        <v>37</v>
      </c>
      <c r="E1869" s="5">
        <v>163111.5</v>
      </c>
      <c r="F1869" t="s">
        <v>1371</v>
      </c>
      <c r="G1869" t="s">
        <v>90</v>
      </c>
      <c r="H1869" t="s">
        <v>69</v>
      </c>
    </row>
    <row r="1870" spans="1:8" x14ac:dyDescent="0.3">
      <c r="A1870" t="s">
        <v>49</v>
      </c>
      <c r="B1870" t="s">
        <v>30</v>
      </c>
      <c r="C1870" t="s">
        <v>14</v>
      </c>
      <c r="D1870" t="s">
        <v>42</v>
      </c>
      <c r="E1870" s="5">
        <v>81886.5</v>
      </c>
      <c r="F1870" t="s">
        <v>2800</v>
      </c>
      <c r="G1870" t="s">
        <v>90</v>
      </c>
      <c r="H1870" t="s">
        <v>16</v>
      </c>
    </row>
    <row r="1871" spans="1:8" x14ac:dyDescent="0.3">
      <c r="A1871" t="s">
        <v>49</v>
      </c>
      <c r="B1871" t="s">
        <v>12</v>
      </c>
      <c r="C1871" t="s">
        <v>27</v>
      </c>
      <c r="D1871" t="s">
        <v>37</v>
      </c>
      <c r="E1871" s="5">
        <v>124184</v>
      </c>
      <c r="F1871" t="s">
        <v>2837</v>
      </c>
      <c r="G1871" t="s">
        <v>316</v>
      </c>
      <c r="H1871" t="s">
        <v>69</v>
      </c>
    </row>
    <row r="1872" spans="1:8" x14ac:dyDescent="0.3">
      <c r="A1872" t="s">
        <v>40</v>
      </c>
      <c r="B1872" t="s">
        <v>35</v>
      </c>
      <c r="C1872" t="s">
        <v>22</v>
      </c>
      <c r="D1872" t="s">
        <v>42</v>
      </c>
      <c r="E1872" s="5">
        <v>85879.5</v>
      </c>
      <c r="F1872" t="s">
        <v>3370</v>
      </c>
      <c r="G1872" t="s">
        <v>985</v>
      </c>
      <c r="H1872" t="s">
        <v>16</v>
      </c>
    </row>
    <row r="1873" spans="1:8" x14ac:dyDescent="0.3">
      <c r="A1873" t="s">
        <v>34</v>
      </c>
      <c r="B1873" t="s">
        <v>12</v>
      </c>
      <c r="C1873" t="s">
        <v>14</v>
      </c>
      <c r="D1873" t="s">
        <v>42</v>
      </c>
      <c r="E1873" s="5">
        <v>102836</v>
      </c>
      <c r="F1873" t="s">
        <v>2306</v>
      </c>
      <c r="G1873" t="s">
        <v>80</v>
      </c>
      <c r="H1873" t="s">
        <v>69</v>
      </c>
    </row>
    <row r="1874" spans="1:8" x14ac:dyDescent="0.3">
      <c r="A1874" t="s">
        <v>45</v>
      </c>
      <c r="B1874" t="s">
        <v>67</v>
      </c>
      <c r="C1874" t="s">
        <v>22</v>
      </c>
      <c r="D1874" t="s">
        <v>15</v>
      </c>
      <c r="E1874" s="5">
        <v>148805</v>
      </c>
      <c r="F1874" t="s">
        <v>882</v>
      </c>
      <c r="G1874" t="s">
        <v>883</v>
      </c>
      <c r="H1874" t="s">
        <v>69</v>
      </c>
    </row>
    <row r="1875" spans="1:8" x14ac:dyDescent="0.3">
      <c r="A1875" t="s">
        <v>19</v>
      </c>
      <c r="B1875" t="s">
        <v>54</v>
      </c>
      <c r="C1875" t="s">
        <v>27</v>
      </c>
      <c r="D1875" t="s">
        <v>15</v>
      </c>
      <c r="E1875" s="5">
        <v>81089.5</v>
      </c>
      <c r="F1875" t="s">
        <v>4041</v>
      </c>
      <c r="G1875" t="s">
        <v>70</v>
      </c>
      <c r="H1875" t="s">
        <v>14</v>
      </c>
    </row>
    <row r="1876" spans="1:8" x14ac:dyDescent="0.3">
      <c r="A1876" t="s">
        <v>49</v>
      </c>
      <c r="B1876" t="s">
        <v>30</v>
      </c>
      <c r="C1876" t="s">
        <v>22</v>
      </c>
      <c r="D1876" t="s">
        <v>42</v>
      </c>
      <c r="E1876" s="5">
        <v>97635.5</v>
      </c>
      <c r="F1876" t="s">
        <v>558</v>
      </c>
      <c r="G1876" t="s">
        <v>101</v>
      </c>
      <c r="H1876" t="s">
        <v>69</v>
      </c>
    </row>
    <row r="1877" spans="1:8" x14ac:dyDescent="0.3">
      <c r="A1877" t="s">
        <v>72</v>
      </c>
      <c r="B1877" t="s">
        <v>135</v>
      </c>
      <c r="C1877" t="s">
        <v>14</v>
      </c>
      <c r="D1877" t="s">
        <v>51</v>
      </c>
      <c r="E1877" s="5">
        <v>89251.5</v>
      </c>
      <c r="F1877" t="s">
        <v>1619</v>
      </c>
      <c r="G1877" t="s">
        <v>70</v>
      </c>
      <c r="H1877" t="s">
        <v>69</v>
      </c>
    </row>
    <row r="1878" spans="1:8" x14ac:dyDescent="0.3">
      <c r="A1878" t="s">
        <v>49</v>
      </c>
      <c r="B1878" t="s">
        <v>135</v>
      </c>
      <c r="C1878" t="s">
        <v>14</v>
      </c>
      <c r="D1878" t="s">
        <v>51</v>
      </c>
      <c r="E1878" s="5">
        <v>143622</v>
      </c>
      <c r="F1878" t="s">
        <v>2919</v>
      </c>
      <c r="G1878" t="s">
        <v>2046</v>
      </c>
      <c r="H1878" t="s">
        <v>16</v>
      </c>
    </row>
    <row r="1879" spans="1:8" x14ac:dyDescent="0.3">
      <c r="A1879" t="s">
        <v>11</v>
      </c>
      <c r="B1879" t="s">
        <v>67</v>
      </c>
      <c r="C1879" t="s">
        <v>14</v>
      </c>
      <c r="D1879" t="s">
        <v>51</v>
      </c>
      <c r="E1879" s="5">
        <v>69365.5</v>
      </c>
      <c r="F1879" t="s">
        <v>1962</v>
      </c>
      <c r="G1879" t="s">
        <v>114</v>
      </c>
      <c r="H1879" t="s">
        <v>16</v>
      </c>
    </row>
    <row r="1880" spans="1:8" x14ac:dyDescent="0.3">
      <c r="A1880" t="s">
        <v>49</v>
      </c>
      <c r="B1880" t="s">
        <v>54</v>
      </c>
      <c r="C1880" t="s">
        <v>22</v>
      </c>
      <c r="D1880" t="s">
        <v>37</v>
      </c>
      <c r="E1880" s="5">
        <v>121584.5</v>
      </c>
      <c r="F1880" t="s">
        <v>1478</v>
      </c>
      <c r="G1880" t="s">
        <v>77</v>
      </c>
      <c r="H1880" t="s">
        <v>16</v>
      </c>
    </row>
    <row r="1881" spans="1:8" x14ac:dyDescent="0.3">
      <c r="A1881" t="s">
        <v>40</v>
      </c>
      <c r="B1881" t="s">
        <v>54</v>
      </c>
      <c r="C1881" t="s">
        <v>27</v>
      </c>
      <c r="D1881" t="s">
        <v>15</v>
      </c>
      <c r="E1881" s="5">
        <v>136008.5</v>
      </c>
      <c r="F1881" t="s">
        <v>1258</v>
      </c>
      <c r="G1881" t="s">
        <v>206</v>
      </c>
      <c r="H1881" t="s">
        <v>16</v>
      </c>
    </row>
    <row r="1882" spans="1:8" x14ac:dyDescent="0.3">
      <c r="A1882" t="s">
        <v>49</v>
      </c>
      <c r="B1882" t="s">
        <v>67</v>
      </c>
      <c r="C1882" t="s">
        <v>27</v>
      </c>
      <c r="D1882" t="s">
        <v>37</v>
      </c>
      <c r="E1882" s="5">
        <v>103486.5</v>
      </c>
      <c r="F1882" t="s">
        <v>3568</v>
      </c>
      <c r="G1882" t="s">
        <v>680</v>
      </c>
      <c r="H1882" t="s">
        <v>14</v>
      </c>
    </row>
    <row r="1883" spans="1:8" x14ac:dyDescent="0.3">
      <c r="A1883" t="s">
        <v>11</v>
      </c>
      <c r="B1883" t="s">
        <v>54</v>
      </c>
      <c r="C1883" t="s">
        <v>22</v>
      </c>
      <c r="D1883" t="s">
        <v>15</v>
      </c>
      <c r="E1883" s="5">
        <v>114963</v>
      </c>
      <c r="F1883" t="s">
        <v>2613</v>
      </c>
      <c r="G1883" t="s">
        <v>439</v>
      </c>
      <c r="H1883" t="s">
        <v>16</v>
      </c>
    </row>
    <row r="1884" spans="1:8" x14ac:dyDescent="0.3">
      <c r="A1884" t="s">
        <v>72</v>
      </c>
      <c r="B1884" t="s">
        <v>135</v>
      </c>
      <c r="C1884" t="s">
        <v>27</v>
      </c>
      <c r="D1884" t="s">
        <v>51</v>
      </c>
      <c r="E1884" s="5">
        <v>77141.5</v>
      </c>
      <c r="F1884" t="s">
        <v>3649</v>
      </c>
      <c r="G1884" t="s">
        <v>122</v>
      </c>
      <c r="H1884" t="s">
        <v>16</v>
      </c>
    </row>
    <row r="1885" spans="1:8" x14ac:dyDescent="0.3">
      <c r="A1885" t="s">
        <v>45</v>
      </c>
      <c r="B1885" t="s">
        <v>30</v>
      </c>
      <c r="C1885" t="s">
        <v>22</v>
      </c>
      <c r="D1885" t="s">
        <v>51</v>
      </c>
      <c r="E1885" s="5">
        <v>54915</v>
      </c>
      <c r="F1885" t="s">
        <v>2100</v>
      </c>
      <c r="G1885" t="s">
        <v>2101</v>
      </c>
      <c r="H1885" t="s">
        <v>69</v>
      </c>
    </row>
    <row r="1886" spans="1:8" x14ac:dyDescent="0.3">
      <c r="A1886" t="s">
        <v>45</v>
      </c>
      <c r="B1886" t="s">
        <v>35</v>
      </c>
      <c r="C1886" t="s">
        <v>22</v>
      </c>
      <c r="D1886" t="s">
        <v>42</v>
      </c>
      <c r="E1886" s="5">
        <v>94569</v>
      </c>
      <c r="F1886" t="s">
        <v>2705</v>
      </c>
      <c r="G1886" t="s">
        <v>2706</v>
      </c>
      <c r="H1886" t="s">
        <v>14</v>
      </c>
    </row>
    <row r="1887" spans="1:8" x14ac:dyDescent="0.3">
      <c r="A1887" t="s">
        <v>72</v>
      </c>
      <c r="B1887" t="s">
        <v>135</v>
      </c>
      <c r="C1887" t="s">
        <v>27</v>
      </c>
      <c r="D1887" t="s">
        <v>51</v>
      </c>
      <c r="E1887" s="5">
        <v>94761.5</v>
      </c>
      <c r="F1887" t="s">
        <v>887</v>
      </c>
      <c r="G1887" t="s">
        <v>90</v>
      </c>
      <c r="H1887" t="s">
        <v>69</v>
      </c>
    </row>
    <row r="1888" spans="1:8" x14ac:dyDescent="0.3">
      <c r="A1888" t="s">
        <v>72</v>
      </c>
      <c r="B1888" t="s">
        <v>12</v>
      </c>
      <c r="C1888" t="s">
        <v>27</v>
      </c>
      <c r="D1888" t="s">
        <v>37</v>
      </c>
      <c r="E1888" s="5">
        <v>177123.5</v>
      </c>
      <c r="F1888" t="s">
        <v>2793</v>
      </c>
      <c r="G1888" t="s">
        <v>213</v>
      </c>
      <c r="H1888" t="s">
        <v>16</v>
      </c>
    </row>
    <row r="1889" spans="1:8" x14ac:dyDescent="0.3">
      <c r="A1889" t="s">
        <v>34</v>
      </c>
      <c r="B1889" t="s">
        <v>54</v>
      </c>
      <c r="C1889" t="s">
        <v>14</v>
      </c>
      <c r="D1889" t="s">
        <v>37</v>
      </c>
      <c r="E1889" s="5">
        <v>109995</v>
      </c>
      <c r="F1889" t="s">
        <v>1890</v>
      </c>
      <c r="G1889" t="s">
        <v>537</v>
      </c>
      <c r="H1889" t="s">
        <v>16</v>
      </c>
    </row>
    <row r="1890" spans="1:8" x14ac:dyDescent="0.3">
      <c r="A1890" t="s">
        <v>72</v>
      </c>
      <c r="B1890" t="s">
        <v>67</v>
      </c>
      <c r="C1890" t="s">
        <v>14</v>
      </c>
      <c r="D1890" t="s">
        <v>15</v>
      </c>
      <c r="E1890" s="5">
        <v>92728</v>
      </c>
      <c r="F1890" t="s">
        <v>3786</v>
      </c>
      <c r="G1890" t="s">
        <v>128</v>
      </c>
      <c r="H1890" t="s">
        <v>69</v>
      </c>
    </row>
    <row r="1891" spans="1:8" x14ac:dyDescent="0.3">
      <c r="A1891" t="s">
        <v>34</v>
      </c>
      <c r="B1891" t="s">
        <v>54</v>
      </c>
      <c r="C1891" t="s">
        <v>22</v>
      </c>
      <c r="D1891" t="s">
        <v>42</v>
      </c>
      <c r="E1891" s="5">
        <v>152401.5</v>
      </c>
      <c r="F1891" t="s">
        <v>2404</v>
      </c>
      <c r="G1891" t="s">
        <v>333</v>
      </c>
      <c r="H1891" t="s">
        <v>16</v>
      </c>
    </row>
    <row r="1892" spans="1:8" x14ac:dyDescent="0.3">
      <c r="A1892" t="s">
        <v>19</v>
      </c>
      <c r="B1892" t="s">
        <v>30</v>
      </c>
      <c r="C1892" t="s">
        <v>27</v>
      </c>
      <c r="D1892" t="s">
        <v>37</v>
      </c>
      <c r="E1892" s="5">
        <v>88199.5</v>
      </c>
      <c r="F1892" t="s">
        <v>1266</v>
      </c>
      <c r="G1892" t="s">
        <v>350</v>
      </c>
      <c r="H1892" t="s">
        <v>14</v>
      </c>
    </row>
    <row r="1893" spans="1:8" x14ac:dyDescent="0.3">
      <c r="A1893" t="s">
        <v>49</v>
      </c>
      <c r="B1893" t="s">
        <v>67</v>
      </c>
      <c r="C1893" t="s">
        <v>22</v>
      </c>
      <c r="D1893" t="s">
        <v>42</v>
      </c>
      <c r="E1893" s="5">
        <v>100537.5</v>
      </c>
      <c r="F1893" t="s">
        <v>622</v>
      </c>
      <c r="G1893" t="s">
        <v>90</v>
      </c>
      <c r="H1893" t="s">
        <v>14</v>
      </c>
    </row>
    <row r="1894" spans="1:8" x14ac:dyDescent="0.3">
      <c r="A1894" t="s">
        <v>72</v>
      </c>
      <c r="B1894" t="s">
        <v>67</v>
      </c>
      <c r="C1894" t="s">
        <v>22</v>
      </c>
      <c r="D1894" t="s">
        <v>42</v>
      </c>
      <c r="E1894" s="5">
        <v>162148.5</v>
      </c>
      <c r="F1894" t="s">
        <v>2909</v>
      </c>
      <c r="G1894" t="s">
        <v>206</v>
      </c>
      <c r="H1894" t="s">
        <v>69</v>
      </c>
    </row>
    <row r="1895" spans="1:8" x14ac:dyDescent="0.3">
      <c r="A1895" t="s">
        <v>45</v>
      </c>
      <c r="B1895" t="s">
        <v>54</v>
      </c>
      <c r="C1895" t="s">
        <v>14</v>
      </c>
      <c r="D1895" t="s">
        <v>51</v>
      </c>
      <c r="E1895" s="5">
        <v>60168.5</v>
      </c>
      <c r="F1895" t="s">
        <v>2716</v>
      </c>
      <c r="G1895" t="s">
        <v>2717</v>
      </c>
      <c r="H1895" t="s">
        <v>14</v>
      </c>
    </row>
    <row r="1896" spans="1:8" x14ac:dyDescent="0.3">
      <c r="A1896" t="s">
        <v>72</v>
      </c>
      <c r="B1896" t="s">
        <v>25</v>
      </c>
      <c r="C1896" t="s">
        <v>14</v>
      </c>
      <c r="D1896" t="s">
        <v>42</v>
      </c>
      <c r="E1896" s="5">
        <v>66068</v>
      </c>
      <c r="F1896" t="s">
        <v>1169</v>
      </c>
      <c r="G1896" t="s">
        <v>316</v>
      </c>
      <c r="H1896" t="s">
        <v>16</v>
      </c>
    </row>
    <row r="1897" spans="1:8" x14ac:dyDescent="0.3">
      <c r="A1897" t="s">
        <v>11</v>
      </c>
      <c r="B1897" t="s">
        <v>35</v>
      </c>
      <c r="C1897" t="s">
        <v>14</v>
      </c>
      <c r="D1897" t="s">
        <v>15</v>
      </c>
      <c r="E1897" s="5">
        <v>120906</v>
      </c>
      <c r="F1897" t="s">
        <v>3481</v>
      </c>
      <c r="G1897" t="s">
        <v>3482</v>
      </c>
      <c r="H1897" t="s">
        <v>16</v>
      </c>
    </row>
    <row r="1898" spans="1:8" x14ac:dyDescent="0.3">
      <c r="A1898" t="s">
        <v>34</v>
      </c>
      <c r="B1898" t="s">
        <v>30</v>
      </c>
      <c r="C1898" t="s">
        <v>27</v>
      </c>
      <c r="D1898" t="s">
        <v>51</v>
      </c>
      <c r="E1898" s="5">
        <v>112857.5</v>
      </c>
      <c r="F1898" t="s">
        <v>1035</v>
      </c>
      <c r="G1898" t="s">
        <v>17</v>
      </c>
      <c r="H1898" t="s">
        <v>14</v>
      </c>
    </row>
    <row r="1899" spans="1:8" x14ac:dyDescent="0.3">
      <c r="A1899" t="s">
        <v>72</v>
      </c>
      <c r="B1899" t="s">
        <v>67</v>
      </c>
      <c r="C1899" t="s">
        <v>22</v>
      </c>
      <c r="D1899" t="s">
        <v>42</v>
      </c>
      <c r="E1899" s="5">
        <v>154142.5</v>
      </c>
      <c r="F1899" t="s">
        <v>4077</v>
      </c>
      <c r="G1899" t="s">
        <v>520</v>
      </c>
      <c r="H1899" t="s">
        <v>69</v>
      </c>
    </row>
    <row r="1900" spans="1:8" x14ac:dyDescent="0.3">
      <c r="A1900" t="s">
        <v>34</v>
      </c>
      <c r="B1900" t="s">
        <v>67</v>
      </c>
      <c r="C1900" t="s">
        <v>14</v>
      </c>
      <c r="D1900" t="s">
        <v>51</v>
      </c>
      <c r="E1900" s="5">
        <v>178767</v>
      </c>
      <c r="F1900" t="s">
        <v>2385</v>
      </c>
      <c r="G1900" t="s">
        <v>1010</v>
      </c>
      <c r="H1900" t="s">
        <v>16</v>
      </c>
    </row>
    <row r="1901" spans="1:8" x14ac:dyDescent="0.3">
      <c r="A1901" t="s">
        <v>34</v>
      </c>
      <c r="B1901" t="s">
        <v>12</v>
      </c>
      <c r="C1901" t="s">
        <v>27</v>
      </c>
      <c r="D1901" t="s">
        <v>37</v>
      </c>
      <c r="E1901" s="5">
        <v>103684</v>
      </c>
      <c r="F1901" t="s">
        <v>4156</v>
      </c>
      <c r="G1901" t="s">
        <v>59</v>
      </c>
      <c r="H1901" t="s">
        <v>14</v>
      </c>
    </row>
    <row r="1902" spans="1:8" x14ac:dyDescent="0.3">
      <c r="A1902" t="s">
        <v>49</v>
      </c>
      <c r="B1902" t="s">
        <v>25</v>
      </c>
      <c r="C1902" t="s">
        <v>14</v>
      </c>
      <c r="D1902" t="s">
        <v>42</v>
      </c>
      <c r="E1902" s="5">
        <v>112145</v>
      </c>
      <c r="F1902" t="s">
        <v>2745</v>
      </c>
      <c r="G1902" t="s">
        <v>182</v>
      </c>
      <c r="H1902" t="s">
        <v>69</v>
      </c>
    </row>
    <row r="1903" spans="1:8" x14ac:dyDescent="0.3">
      <c r="A1903" t="s">
        <v>45</v>
      </c>
      <c r="B1903" t="s">
        <v>30</v>
      </c>
      <c r="C1903" t="s">
        <v>22</v>
      </c>
      <c r="D1903" t="s">
        <v>15</v>
      </c>
      <c r="E1903" s="5">
        <v>139389</v>
      </c>
      <c r="F1903" t="s">
        <v>2641</v>
      </c>
      <c r="G1903" t="s">
        <v>194</v>
      </c>
      <c r="H1903" t="s">
        <v>16</v>
      </c>
    </row>
    <row r="1904" spans="1:8" x14ac:dyDescent="0.3">
      <c r="A1904" t="s">
        <v>45</v>
      </c>
      <c r="B1904" t="s">
        <v>12</v>
      </c>
      <c r="C1904" t="s">
        <v>14</v>
      </c>
      <c r="D1904" t="s">
        <v>15</v>
      </c>
      <c r="E1904" s="5">
        <v>127382</v>
      </c>
      <c r="F1904" t="s">
        <v>3003</v>
      </c>
      <c r="G1904" t="s">
        <v>3004</v>
      </c>
      <c r="H1904" t="s">
        <v>69</v>
      </c>
    </row>
    <row r="1905" spans="1:8" x14ac:dyDescent="0.3">
      <c r="A1905" t="s">
        <v>49</v>
      </c>
      <c r="B1905" t="s">
        <v>12</v>
      </c>
      <c r="C1905" t="s">
        <v>22</v>
      </c>
      <c r="D1905" t="s">
        <v>42</v>
      </c>
      <c r="E1905" s="5">
        <v>91205.5</v>
      </c>
      <c r="F1905" t="s">
        <v>758</v>
      </c>
      <c r="G1905" t="s">
        <v>128</v>
      </c>
      <c r="H1905" t="s">
        <v>16</v>
      </c>
    </row>
    <row r="1906" spans="1:8" x14ac:dyDescent="0.3">
      <c r="A1906" t="s">
        <v>45</v>
      </c>
      <c r="B1906" t="s">
        <v>25</v>
      </c>
      <c r="C1906" t="s">
        <v>14</v>
      </c>
      <c r="D1906" t="s">
        <v>37</v>
      </c>
      <c r="E1906" s="5">
        <v>153416</v>
      </c>
      <c r="F1906" t="s">
        <v>1854</v>
      </c>
      <c r="G1906" t="s">
        <v>90</v>
      </c>
      <c r="H1906" t="s">
        <v>16</v>
      </c>
    </row>
    <row r="1907" spans="1:8" x14ac:dyDescent="0.3">
      <c r="A1907" t="s">
        <v>72</v>
      </c>
      <c r="B1907" t="s">
        <v>25</v>
      </c>
      <c r="C1907" t="s">
        <v>22</v>
      </c>
      <c r="D1907" t="s">
        <v>42</v>
      </c>
      <c r="E1907" s="5">
        <v>159685</v>
      </c>
      <c r="F1907" t="s">
        <v>1113</v>
      </c>
      <c r="G1907" t="s">
        <v>1114</v>
      </c>
      <c r="H1907" t="s">
        <v>16</v>
      </c>
    </row>
    <row r="1908" spans="1:8" x14ac:dyDescent="0.3">
      <c r="A1908" t="s">
        <v>72</v>
      </c>
      <c r="B1908" t="s">
        <v>12</v>
      </c>
      <c r="C1908" t="s">
        <v>14</v>
      </c>
      <c r="D1908" t="s">
        <v>15</v>
      </c>
      <c r="E1908" s="5">
        <v>80896.5</v>
      </c>
      <c r="F1908" t="s">
        <v>3570</v>
      </c>
      <c r="G1908" t="s">
        <v>157</v>
      </c>
      <c r="H1908" t="s">
        <v>14</v>
      </c>
    </row>
    <row r="1909" spans="1:8" x14ac:dyDescent="0.3">
      <c r="A1909" t="s">
        <v>72</v>
      </c>
      <c r="B1909" t="s">
        <v>35</v>
      </c>
      <c r="C1909" t="s">
        <v>27</v>
      </c>
      <c r="D1909" t="s">
        <v>15</v>
      </c>
      <c r="E1909" s="5">
        <v>180953</v>
      </c>
      <c r="F1909" t="s">
        <v>3367</v>
      </c>
      <c r="G1909" t="s">
        <v>3368</v>
      </c>
      <c r="H1909" t="s">
        <v>69</v>
      </c>
    </row>
    <row r="1910" spans="1:8" x14ac:dyDescent="0.3">
      <c r="A1910" t="s">
        <v>40</v>
      </c>
      <c r="B1910" t="s">
        <v>54</v>
      </c>
      <c r="C1910" t="s">
        <v>14</v>
      </c>
      <c r="D1910" t="s">
        <v>37</v>
      </c>
      <c r="E1910" s="5">
        <v>105038.5</v>
      </c>
      <c r="F1910" t="s">
        <v>3708</v>
      </c>
      <c r="G1910" t="s">
        <v>101</v>
      </c>
      <c r="H1910" t="s">
        <v>69</v>
      </c>
    </row>
    <row r="1911" spans="1:8" x14ac:dyDescent="0.3">
      <c r="A1911" t="s">
        <v>40</v>
      </c>
      <c r="B1911" t="s">
        <v>20</v>
      </c>
      <c r="C1911" t="s">
        <v>27</v>
      </c>
      <c r="D1911" t="s">
        <v>51</v>
      </c>
      <c r="E1911" s="5">
        <v>68255.5</v>
      </c>
      <c r="F1911" t="s">
        <v>3628</v>
      </c>
      <c r="G1911" t="s">
        <v>959</v>
      </c>
      <c r="H1911" t="s">
        <v>16</v>
      </c>
    </row>
    <row r="1912" spans="1:8" x14ac:dyDescent="0.3">
      <c r="A1912" t="s">
        <v>45</v>
      </c>
      <c r="B1912" t="s">
        <v>135</v>
      </c>
      <c r="C1912" t="s">
        <v>27</v>
      </c>
      <c r="D1912" t="s">
        <v>37</v>
      </c>
      <c r="E1912" s="5">
        <v>108195</v>
      </c>
      <c r="F1912" t="s">
        <v>1601</v>
      </c>
      <c r="G1912" t="s">
        <v>789</v>
      </c>
      <c r="H1912" t="s">
        <v>16</v>
      </c>
    </row>
    <row r="1913" spans="1:8" x14ac:dyDescent="0.3">
      <c r="A1913" t="s">
        <v>40</v>
      </c>
      <c r="B1913" t="s">
        <v>25</v>
      </c>
      <c r="C1913" t="s">
        <v>27</v>
      </c>
      <c r="D1913" t="s">
        <v>51</v>
      </c>
      <c r="E1913" s="5">
        <v>149986</v>
      </c>
      <c r="F1913" t="s">
        <v>4069</v>
      </c>
      <c r="G1913" t="s">
        <v>128</v>
      </c>
      <c r="H1913" t="s">
        <v>14</v>
      </c>
    </row>
    <row r="1914" spans="1:8" x14ac:dyDescent="0.3">
      <c r="A1914" t="s">
        <v>34</v>
      </c>
      <c r="B1914" t="s">
        <v>54</v>
      </c>
      <c r="C1914" t="s">
        <v>22</v>
      </c>
      <c r="D1914" t="s">
        <v>51</v>
      </c>
      <c r="E1914" s="5">
        <v>183423</v>
      </c>
      <c r="F1914" t="s">
        <v>1735</v>
      </c>
      <c r="G1914" t="s">
        <v>77</v>
      </c>
      <c r="H1914" t="s">
        <v>16</v>
      </c>
    </row>
    <row r="1915" spans="1:8" x14ac:dyDescent="0.3">
      <c r="A1915" t="s">
        <v>72</v>
      </c>
      <c r="B1915" t="s">
        <v>20</v>
      </c>
      <c r="C1915" t="s">
        <v>27</v>
      </c>
      <c r="D1915" t="s">
        <v>15</v>
      </c>
      <c r="E1915" s="5">
        <v>126027</v>
      </c>
      <c r="F1915" t="s">
        <v>3140</v>
      </c>
      <c r="G1915" t="s">
        <v>847</v>
      </c>
      <c r="H1915" t="s">
        <v>69</v>
      </c>
    </row>
    <row r="1916" spans="1:8" x14ac:dyDescent="0.3">
      <c r="A1916" t="s">
        <v>34</v>
      </c>
      <c r="B1916" t="s">
        <v>30</v>
      </c>
      <c r="C1916" t="s">
        <v>14</v>
      </c>
      <c r="D1916" t="s">
        <v>51</v>
      </c>
      <c r="E1916" s="5">
        <v>89857.5</v>
      </c>
      <c r="F1916" t="s">
        <v>199</v>
      </c>
      <c r="G1916" t="s">
        <v>52</v>
      </c>
      <c r="H1916" t="s">
        <v>69</v>
      </c>
    </row>
    <row r="1917" spans="1:8" x14ac:dyDescent="0.3">
      <c r="A1917" t="s">
        <v>49</v>
      </c>
      <c r="B1917" t="s">
        <v>54</v>
      </c>
      <c r="C1917" t="s">
        <v>27</v>
      </c>
      <c r="D1917" t="s">
        <v>51</v>
      </c>
      <c r="E1917" s="5">
        <v>157438</v>
      </c>
      <c r="F1917" t="s">
        <v>1771</v>
      </c>
      <c r="G1917" t="s">
        <v>480</v>
      </c>
      <c r="H1917" t="s">
        <v>69</v>
      </c>
    </row>
    <row r="1918" spans="1:8" x14ac:dyDescent="0.3">
      <c r="A1918" t="s">
        <v>40</v>
      </c>
      <c r="B1918" t="s">
        <v>20</v>
      </c>
      <c r="C1918" t="s">
        <v>22</v>
      </c>
      <c r="D1918" t="s">
        <v>51</v>
      </c>
      <c r="E1918" s="5">
        <v>185745.5</v>
      </c>
      <c r="F1918" t="s">
        <v>1080</v>
      </c>
      <c r="G1918" t="s">
        <v>299</v>
      </c>
      <c r="H1918" t="s">
        <v>14</v>
      </c>
    </row>
    <row r="1919" spans="1:8" x14ac:dyDescent="0.3">
      <c r="A1919" t="s">
        <v>40</v>
      </c>
      <c r="B1919" t="s">
        <v>20</v>
      </c>
      <c r="C1919" t="s">
        <v>22</v>
      </c>
      <c r="D1919" t="s">
        <v>51</v>
      </c>
      <c r="E1919" s="5">
        <v>147760.5</v>
      </c>
      <c r="F1919" t="s">
        <v>2079</v>
      </c>
      <c r="G1919" t="s">
        <v>157</v>
      </c>
      <c r="H1919" t="s">
        <v>16</v>
      </c>
    </row>
    <row r="1920" spans="1:8" x14ac:dyDescent="0.3">
      <c r="A1920" t="s">
        <v>19</v>
      </c>
      <c r="B1920" t="s">
        <v>35</v>
      </c>
      <c r="C1920" t="s">
        <v>27</v>
      </c>
      <c r="D1920" t="s">
        <v>51</v>
      </c>
      <c r="E1920" s="5">
        <v>97428.5</v>
      </c>
      <c r="F1920" t="s">
        <v>477</v>
      </c>
      <c r="G1920" t="s">
        <v>226</v>
      </c>
      <c r="H1920" t="s">
        <v>14</v>
      </c>
    </row>
    <row r="1921" spans="1:8" x14ac:dyDescent="0.3">
      <c r="A1921" t="s">
        <v>34</v>
      </c>
      <c r="B1921" t="s">
        <v>135</v>
      </c>
      <c r="C1921" t="s">
        <v>27</v>
      </c>
      <c r="D1921" t="s">
        <v>51</v>
      </c>
      <c r="E1921" s="5">
        <v>141233.5</v>
      </c>
      <c r="F1921" t="s">
        <v>3308</v>
      </c>
      <c r="G1921" t="s">
        <v>128</v>
      </c>
      <c r="H1921" t="s">
        <v>14</v>
      </c>
    </row>
    <row r="1922" spans="1:8" x14ac:dyDescent="0.3">
      <c r="A1922" t="s">
        <v>49</v>
      </c>
      <c r="B1922" t="s">
        <v>12</v>
      </c>
      <c r="C1922" t="s">
        <v>27</v>
      </c>
      <c r="D1922" t="s">
        <v>51</v>
      </c>
      <c r="E1922" s="5">
        <v>143311</v>
      </c>
      <c r="F1922" t="s">
        <v>4214</v>
      </c>
      <c r="G1922" t="s">
        <v>319</v>
      </c>
      <c r="H1922" t="s">
        <v>69</v>
      </c>
    </row>
    <row r="1923" spans="1:8" x14ac:dyDescent="0.3">
      <c r="A1923" t="s">
        <v>72</v>
      </c>
      <c r="B1923" t="s">
        <v>30</v>
      </c>
      <c r="C1923" t="s">
        <v>22</v>
      </c>
      <c r="D1923" t="s">
        <v>15</v>
      </c>
      <c r="E1923" s="5">
        <v>153856</v>
      </c>
      <c r="F1923" t="s">
        <v>3103</v>
      </c>
      <c r="G1923" t="s">
        <v>52</v>
      </c>
      <c r="H1923" t="s">
        <v>69</v>
      </c>
    </row>
    <row r="1924" spans="1:8" x14ac:dyDescent="0.3">
      <c r="A1924" t="s">
        <v>45</v>
      </c>
      <c r="B1924" t="s">
        <v>12</v>
      </c>
      <c r="C1924" t="s">
        <v>14</v>
      </c>
      <c r="D1924" t="s">
        <v>37</v>
      </c>
      <c r="E1924" s="5">
        <v>91656.5</v>
      </c>
      <c r="F1924" t="s">
        <v>3103</v>
      </c>
      <c r="G1924" t="s">
        <v>564</v>
      </c>
      <c r="H1924" t="s">
        <v>14</v>
      </c>
    </row>
    <row r="1925" spans="1:8" x14ac:dyDescent="0.3">
      <c r="A1925" t="s">
        <v>34</v>
      </c>
      <c r="B1925" t="s">
        <v>20</v>
      </c>
      <c r="C1925" t="s">
        <v>22</v>
      </c>
      <c r="D1925" t="s">
        <v>42</v>
      </c>
      <c r="E1925" s="5">
        <v>87289.5</v>
      </c>
      <c r="F1925" t="s">
        <v>2806</v>
      </c>
      <c r="G1925" t="s">
        <v>52</v>
      </c>
      <c r="H1925" t="s">
        <v>69</v>
      </c>
    </row>
    <row r="1926" spans="1:8" x14ac:dyDescent="0.3">
      <c r="A1926" t="s">
        <v>49</v>
      </c>
      <c r="B1926" t="s">
        <v>25</v>
      </c>
      <c r="C1926" t="s">
        <v>14</v>
      </c>
      <c r="D1926" t="s">
        <v>15</v>
      </c>
      <c r="E1926" s="5">
        <v>154934.5</v>
      </c>
      <c r="F1926" t="s">
        <v>2295</v>
      </c>
      <c r="G1926" t="s">
        <v>80</v>
      </c>
      <c r="H1926" t="s">
        <v>14</v>
      </c>
    </row>
    <row r="1927" spans="1:8" x14ac:dyDescent="0.3">
      <c r="A1927" t="s">
        <v>34</v>
      </c>
      <c r="B1927" t="s">
        <v>30</v>
      </c>
      <c r="C1927" t="s">
        <v>14</v>
      </c>
      <c r="D1927" t="s">
        <v>37</v>
      </c>
      <c r="E1927" s="5">
        <v>117190</v>
      </c>
      <c r="F1927" t="s">
        <v>429</v>
      </c>
      <c r="G1927" t="s">
        <v>101</v>
      </c>
      <c r="H1927" t="s">
        <v>14</v>
      </c>
    </row>
    <row r="1928" spans="1:8" x14ac:dyDescent="0.3">
      <c r="A1928" t="s">
        <v>72</v>
      </c>
      <c r="B1928" t="s">
        <v>25</v>
      </c>
      <c r="C1928" t="s">
        <v>22</v>
      </c>
      <c r="D1928" t="s">
        <v>42</v>
      </c>
      <c r="E1928" s="5">
        <v>133597</v>
      </c>
      <c r="F1928" t="s">
        <v>2136</v>
      </c>
      <c r="G1928" t="s">
        <v>876</v>
      </c>
      <c r="H1928" t="s">
        <v>69</v>
      </c>
    </row>
    <row r="1929" spans="1:8" x14ac:dyDescent="0.3">
      <c r="A1929" t="s">
        <v>19</v>
      </c>
      <c r="B1929" t="s">
        <v>25</v>
      </c>
      <c r="C1929" t="s">
        <v>14</v>
      </c>
      <c r="D1929" t="s">
        <v>15</v>
      </c>
      <c r="E1929" s="5">
        <v>154335.5</v>
      </c>
      <c r="F1929" t="s">
        <v>1366</v>
      </c>
      <c r="G1929" t="s">
        <v>1367</v>
      </c>
      <c r="H1929" t="s">
        <v>14</v>
      </c>
    </row>
    <row r="1930" spans="1:8" x14ac:dyDescent="0.3">
      <c r="A1930" t="s">
        <v>11</v>
      </c>
      <c r="B1930" t="s">
        <v>25</v>
      </c>
      <c r="C1930" t="s">
        <v>22</v>
      </c>
      <c r="D1930" t="s">
        <v>51</v>
      </c>
      <c r="E1930" s="5">
        <v>179275</v>
      </c>
      <c r="F1930" t="s">
        <v>2056</v>
      </c>
      <c r="G1930" t="s">
        <v>157</v>
      </c>
      <c r="H1930" t="s">
        <v>14</v>
      </c>
    </row>
    <row r="1931" spans="1:8" x14ac:dyDescent="0.3">
      <c r="A1931" t="s">
        <v>19</v>
      </c>
      <c r="B1931" t="s">
        <v>54</v>
      </c>
      <c r="C1931" t="s">
        <v>27</v>
      </c>
      <c r="D1931" t="s">
        <v>51</v>
      </c>
      <c r="E1931" s="5">
        <v>85420</v>
      </c>
      <c r="F1931" t="s">
        <v>3407</v>
      </c>
      <c r="G1931" t="s">
        <v>80</v>
      </c>
      <c r="H1931" t="s">
        <v>16</v>
      </c>
    </row>
    <row r="1932" spans="1:8" x14ac:dyDescent="0.3">
      <c r="A1932" t="s">
        <v>19</v>
      </c>
      <c r="B1932" t="s">
        <v>30</v>
      </c>
      <c r="C1932" t="s">
        <v>27</v>
      </c>
      <c r="D1932" t="s">
        <v>37</v>
      </c>
      <c r="E1932" s="5">
        <v>87623.5</v>
      </c>
      <c r="F1932" t="s">
        <v>2981</v>
      </c>
      <c r="G1932" t="s">
        <v>182</v>
      </c>
      <c r="H1932" t="s">
        <v>16</v>
      </c>
    </row>
    <row r="1933" spans="1:8" x14ac:dyDescent="0.3">
      <c r="A1933" t="s">
        <v>19</v>
      </c>
      <c r="B1933" t="s">
        <v>25</v>
      </c>
      <c r="C1933" t="s">
        <v>14</v>
      </c>
      <c r="D1933" t="s">
        <v>51</v>
      </c>
      <c r="E1933" s="5">
        <v>129018.5</v>
      </c>
      <c r="F1933" t="s">
        <v>1345</v>
      </c>
      <c r="G1933" t="s">
        <v>80</v>
      </c>
      <c r="H1933" t="s">
        <v>14</v>
      </c>
    </row>
    <row r="1934" spans="1:8" x14ac:dyDescent="0.3">
      <c r="A1934" t="s">
        <v>72</v>
      </c>
      <c r="B1934" t="s">
        <v>30</v>
      </c>
      <c r="C1934" t="s">
        <v>27</v>
      </c>
      <c r="D1934" t="s">
        <v>37</v>
      </c>
      <c r="E1934" s="5">
        <v>126301.5</v>
      </c>
      <c r="F1934" t="s">
        <v>3526</v>
      </c>
      <c r="G1934" t="s">
        <v>70</v>
      </c>
      <c r="H1934" t="s">
        <v>16</v>
      </c>
    </row>
    <row r="1935" spans="1:8" x14ac:dyDescent="0.3">
      <c r="A1935" t="s">
        <v>49</v>
      </c>
      <c r="B1935" t="s">
        <v>67</v>
      </c>
      <c r="C1935" t="s">
        <v>22</v>
      </c>
      <c r="D1935" t="s">
        <v>51</v>
      </c>
      <c r="E1935" s="5">
        <v>111453</v>
      </c>
      <c r="F1935" t="s">
        <v>3405</v>
      </c>
      <c r="G1935" t="s">
        <v>235</v>
      </c>
      <c r="H1935" t="s">
        <v>14</v>
      </c>
    </row>
    <row r="1936" spans="1:8" x14ac:dyDescent="0.3">
      <c r="A1936" t="s">
        <v>19</v>
      </c>
      <c r="B1936" t="s">
        <v>12</v>
      </c>
      <c r="C1936" t="s">
        <v>27</v>
      </c>
      <c r="D1936" t="s">
        <v>42</v>
      </c>
      <c r="E1936" s="5">
        <v>131137.5</v>
      </c>
      <c r="F1936" t="s">
        <v>2899</v>
      </c>
      <c r="G1936" t="s">
        <v>70</v>
      </c>
      <c r="H1936" t="s">
        <v>14</v>
      </c>
    </row>
    <row r="1937" spans="1:8" x14ac:dyDescent="0.3">
      <c r="A1937" t="s">
        <v>19</v>
      </c>
      <c r="B1937" t="s">
        <v>135</v>
      </c>
      <c r="C1937" t="s">
        <v>14</v>
      </c>
      <c r="D1937" t="s">
        <v>15</v>
      </c>
      <c r="E1937" s="5">
        <v>82159</v>
      </c>
      <c r="F1937" t="s">
        <v>1701</v>
      </c>
      <c r="G1937" t="s">
        <v>52</v>
      </c>
      <c r="H1937" t="s">
        <v>14</v>
      </c>
    </row>
    <row r="1938" spans="1:8" x14ac:dyDescent="0.3">
      <c r="A1938" t="s">
        <v>49</v>
      </c>
      <c r="B1938" t="s">
        <v>25</v>
      </c>
      <c r="C1938" t="s">
        <v>22</v>
      </c>
      <c r="D1938" t="s">
        <v>51</v>
      </c>
      <c r="E1938" s="5">
        <v>119542.5</v>
      </c>
      <c r="F1938" t="s">
        <v>1059</v>
      </c>
      <c r="G1938" t="s">
        <v>1060</v>
      </c>
      <c r="H1938" t="s">
        <v>69</v>
      </c>
    </row>
    <row r="1939" spans="1:8" x14ac:dyDescent="0.3">
      <c r="A1939" t="s">
        <v>34</v>
      </c>
      <c r="B1939" t="s">
        <v>25</v>
      </c>
      <c r="C1939" t="s">
        <v>27</v>
      </c>
      <c r="D1939" t="s">
        <v>37</v>
      </c>
      <c r="E1939" s="5">
        <v>149931.5</v>
      </c>
      <c r="F1939" t="s">
        <v>2749</v>
      </c>
      <c r="G1939" t="s">
        <v>462</v>
      </c>
      <c r="H1939" t="s">
        <v>14</v>
      </c>
    </row>
    <row r="1940" spans="1:8" x14ac:dyDescent="0.3">
      <c r="A1940" t="s">
        <v>49</v>
      </c>
      <c r="B1940" t="s">
        <v>54</v>
      </c>
      <c r="C1940" t="s">
        <v>14</v>
      </c>
      <c r="D1940" t="s">
        <v>51</v>
      </c>
      <c r="E1940" s="5">
        <v>96864.5</v>
      </c>
      <c r="F1940" t="s">
        <v>3912</v>
      </c>
      <c r="G1940" t="s">
        <v>2349</v>
      </c>
      <c r="H1940" t="s">
        <v>16</v>
      </c>
    </row>
    <row r="1941" spans="1:8" x14ac:dyDescent="0.3">
      <c r="A1941" t="s">
        <v>72</v>
      </c>
      <c r="B1941" t="s">
        <v>67</v>
      </c>
      <c r="C1941" t="s">
        <v>22</v>
      </c>
      <c r="D1941" t="s">
        <v>51</v>
      </c>
      <c r="E1941" s="5">
        <v>137878.5</v>
      </c>
      <c r="F1941" t="s">
        <v>2845</v>
      </c>
      <c r="G1941" t="s">
        <v>1010</v>
      </c>
      <c r="H1941" t="s">
        <v>16</v>
      </c>
    </row>
    <row r="1942" spans="1:8" x14ac:dyDescent="0.3">
      <c r="A1942" t="s">
        <v>19</v>
      </c>
      <c r="B1942" t="s">
        <v>20</v>
      </c>
      <c r="C1942" t="s">
        <v>14</v>
      </c>
      <c r="D1942" t="s">
        <v>51</v>
      </c>
      <c r="E1942" s="5">
        <v>117540.5</v>
      </c>
      <c r="F1942" t="s">
        <v>3941</v>
      </c>
      <c r="G1942" t="s">
        <v>77</v>
      </c>
      <c r="H1942" t="s">
        <v>16</v>
      </c>
    </row>
    <row r="1943" spans="1:8" x14ac:dyDescent="0.3">
      <c r="A1943" t="s">
        <v>72</v>
      </c>
      <c r="B1943" t="s">
        <v>54</v>
      </c>
      <c r="C1943" t="s">
        <v>14</v>
      </c>
      <c r="D1943" t="s">
        <v>42</v>
      </c>
      <c r="E1943" s="5">
        <v>175712</v>
      </c>
      <c r="F1943" t="s">
        <v>1744</v>
      </c>
      <c r="G1943" t="s">
        <v>101</v>
      </c>
      <c r="H1943" t="s">
        <v>14</v>
      </c>
    </row>
    <row r="1944" spans="1:8" x14ac:dyDescent="0.3">
      <c r="A1944" t="s">
        <v>72</v>
      </c>
      <c r="B1944" t="s">
        <v>12</v>
      </c>
      <c r="C1944" t="s">
        <v>14</v>
      </c>
      <c r="D1944" t="s">
        <v>42</v>
      </c>
      <c r="E1944" s="5">
        <v>128034.5</v>
      </c>
      <c r="F1944" t="s">
        <v>2266</v>
      </c>
      <c r="G1944" t="s">
        <v>2215</v>
      </c>
      <c r="H1944" t="s">
        <v>14</v>
      </c>
    </row>
    <row r="1945" spans="1:8" x14ac:dyDescent="0.3">
      <c r="A1945" t="s">
        <v>49</v>
      </c>
      <c r="B1945" t="s">
        <v>135</v>
      </c>
      <c r="C1945" t="s">
        <v>14</v>
      </c>
      <c r="D1945" t="s">
        <v>37</v>
      </c>
      <c r="E1945" s="5">
        <v>92841</v>
      </c>
      <c r="F1945" t="s">
        <v>1044</v>
      </c>
      <c r="G1945" t="s">
        <v>982</v>
      </c>
      <c r="H1945" t="s">
        <v>69</v>
      </c>
    </row>
    <row r="1946" spans="1:8" x14ac:dyDescent="0.3">
      <c r="A1946" t="s">
        <v>40</v>
      </c>
      <c r="B1946" t="s">
        <v>30</v>
      </c>
      <c r="C1946" t="s">
        <v>27</v>
      </c>
      <c r="D1946" t="s">
        <v>15</v>
      </c>
      <c r="E1946" s="5">
        <v>182411.5</v>
      </c>
      <c r="F1946" t="s">
        <v>174</v>
      </c>
      <c r="G1946" t="s">
        <v>52</v>
      </c>
      <c r="H1946" t="s">
        <v>16</v>
      </c>
    </row>
    <row r="1947" spans="1:8" x14ac:dyDescent="0.3">
      <c r="A1947" t="s">
        <v>40</v>
      </c>
      <c r="B1947" t="s">
        <v>12</v>
      </c>
      <c r="C1947" t="s">
        <v>22</v>
      </c>
      <c r="D1947" t="s">
        <v>51</v>
      </c>
      <c r="E1947" s="5">
        <v>129663.5</v>
      </c>
      <c r="F1947" t="s">
        <v>873</v>
      </c>
      <c r="G1947" t="s">
        <v>420</v>
      </c>
      <c r="H1947" t="s">
        <v>69</v>
      </c>
    </row>
    <row r="1948" spans="1:8" x14ac:dyDescent="0.3">
      <c r="A1948" t="s">
        <v>19</v>
      </c>
      <c r="B1948" t="s">
        <v>54</v>
      </c>
      <c r="C1948" t="s">
        <v>14</v>
      </c>
      <c r="D1948" t="s">
        <v>51</v>
      </c>
      <c r="E1948" s="5">
        <v>168212</v>
      </c>
      <c r="F1948" t="s">
        <v>3574</v>
      </c>
      <c r="G1948" t="s">
        <v>3552</v>
      </c>
      <c r="H1948" t="s">
        <v>16</v>
      </c>
    </row>
    <row r="1949" spans="1:8" x14ac:dyDescent="0.3">
      <c r="A1949" t="s">
        <v>11</v>
      </c>
      <c r="B1949" t="s">
        <v>54</v>
      </c>
      <c r="C1949" t="s">
        <v>22</v>
      </c>
      <c r="D1949" t="s">
        <v>15</v>
      </c>
      <c r="E1949" s="5">
        <v>157524.5</v>
      </c>
      <c r="F1949" t="s">
        <v>3747</v>
      </c>
      <c r="G1949" t="s">
        <v>2278</v>
      </c>
      <c r="H1949" t="s">
        <v>69</v>
      </c>
    </row>
    <row r="1950" spans="1:8" x14ac:dyDescent="0.3">
      <c r="A1950" t="s">
        <v>72</v>
      </c>
      <c r="B1950" t="s">
        <v>54</v>
      </c>
      <c r="C1950" t="s">
        <v>22</v>
      </c>
      <c r="D1950" t="s">
        <v>51</v>
      </c>
      <c r="E1950" s="5">
        <v>182201</v>
      </c>
      <c r="F1950" t="s">
        <v>1766</v>
      </c>
      <c r="G1950" t="s">
        <v>1767</v>
      </c>
      <c r="H1950" t="s">
        <v>16</v>
      </c>
    </row>
    <row r="1951" spans="1:8" x14ac:dyDescent="0.3">
      <c r="A1951" t="s">
        <v>11</v>
      </c>
      <c r="B1951" t="s">
        <v>54</v>
      </c>
      <c r="C1951" t="s">
        <v>27</v>
      </c>
      <c r="D1951" t="s">
        <v>37</v>
      </c>
      <c r="E1951" s="5">
        <v>92378</v>
      </c>
      <c r="F1951" t="s">
        <v>1289</v>
      </c>
      <c r="G1951" t="s">
        <v>90</v>
      </c>
      <c r="H1951" t="s">
        <v>14</v>
      </c>
    </row>
    <row r="1952" spans="1:8" x14ac:dyDescent="0.3">
      <c r="A1952" t="s">
        <v>49</v>
      </c>
      <c r="B1952" t="s">
        <v>67</v>
      </c>
      <c r="C1952" t="s">
        <v>27</v>
      </c>
      <c r="D1952" t="s">
        <v>42</v>
      </c>
      <c r="E1952" s="5">
        <v>119857</v>
      </c>
      <c r="F1952" t="s">
        <v>168</v>
      </c>
      <c r="G1952" t="s">
        <v>169</v>
      </c>
      <c r="H1952" t="s">
        <v>14</v>
      </c>
    </row>
    <row r="1953" spans="1:8" x14ac:dyDescent="0.3">
      <c r="A1953" t="s">
        <v>45</v>
      </c>
      <c r="B1953" t="s">
        <v>12</v>
      </c>
      <c r="C1953" t="s">
        <v>27</v>
      </c>
      <c r="D1953" t="s">
        <v>51</v>
      </c>
      <c r="E1953" s="5">
        <v>168659</v>
      </c>
      <c r="F1953" t="s">
        <v>1693</v>
      </c>
      <c r="G1953" t="s">
        <v>789</v>
      </c>
      <c r="H1953" t="s">
        <v>14</v>
      </c>
    </row>
    <row r="1954" spans="1:8" x14ac:dyDescent="0.3">
      <c r="A1954" t="s">
        <v>11</v>
      </c>
      <c r="B1954" t="s">
        <v>67</v>
      </c>
      <c r="C1954" t="s">
        <v>27</v>
      </c>
      <c r="D1954" t="s">
        <v>42</v>
      </c>
      <c r="E1954" s="5">
        <v>188486</v>
      </c>
      <c r="F1954" t="s">
        <v>2721</v>
      </c>
      <c r="G1954" t="s">
        <v>909</v>
      </c>
      <c r="H1954" t="s">
        <v>16</v>
      </c>
    </row>
    <row r="1955" spans="1:8" x14ac:dyDescent="0.3">
      <c r="A1955" t="s">
        <v>45</v>
      </c>
      <c r="B1955" t="s">
        <v>135</v>
      </c>
      <c r="C1955" t="s">
        <v>14</v>
      </c>
      <c r="D1955" t="s">
        <v>15</v>
      </c>
      <c r="E1955" s="5">
        <v>101853</v>
      </c>
      <c r="F1955" t="s">
        <v>1823</v>
      </c>
      <c r="G1955" t="s">
        <v>119</v>
      </c>
      <c r="H1955" t="s">
        <v>16</v>
      </c>
    </row>
    <row r="1956" spans="1:8" x14ac:dyDescent="0.3">
      <c r="A1956" t="s">
        <v>34</v>
      </c>
      <c r="B1956" t="s">
        <v>35</v>
      </c>
      <c r="C1956" t="s">
        <v>14</v>
      </c>
      <c r="D1956" t="s">
        <v>15</v>
      </c>
      <c r="E1956" s="5">
        <v>100350</v>
      </c>
      <c r="F1956" t="s">
        <v>2633</v>
      </c>
      <c r="G1956" t="s">
        <v>90</v>
      </c>
      <c r="H1956" t="s">
        <v>16</v>
      </c>
    </row>
    <row r="1957" spans="1:8" x14ac:dyDescent="0.3">
      <c r="A1957" t="s">
        <v>11</v>
      </c>
      <c r="B1957" t="s">
        <v>67</v>
      </c>
      <c r="C1957" t="s">
        <v>22</v>
      </c>
      <c r="D1957" t="s">
        <v>51</v>
      </c>
      <c r="E1957" s="5">
        <v>122145</v>
      </c>
      <c r="F1957" t="s">
        <v>2250</v>
      </c>
      <c r="G1957" t="s">
        <v>90</v>
      </c>
      <c r="H1957" t="s">
        <v>14</v>
      </c>
    </row>
    <row r="1958" spans="1:8" x14ac:dyDescent="0.3">
      <c r="A1958" t="s">
        <v>49</v>
      </c>
      <c r="B1958" t="s">
        <v>20</v>
      </c>
      <c r="C1958" t="s">
        <v>22</v>
      </c>
      <c r="D1958" t="s">
        <v>15</v>
      </c>
      <c r="E1958" s="5">
        <v>145816.5</v>
      </c>
      <c r="F1958" t="s">
        <v>4033</v>
      </c>
      <c r="G1958" t="s">
        <v>322</v>
      </c>
      <c r="H1958" t="s">
        <v>16</v>
      </c>
    </row>
    <row r="1959" spans="1:8" x14ac:dyDescent="0.3">
      <c r="A1959" t="s">
        <v>72</v>
      </c>
      <c r="B1959" t="s">
        <v>20</v>
      </c>
      <c r="C1959" t="s">
        <v>27</v>
      </c>
      <c r="D1959" t="s">
        <v>15</v>
      </c>
      <c r="E1959" s="5">
        <v>140928.5</v>
      </c>
      <c r="F1959" t="s">
        <v>3661</v>
      </c>
      <c r="G1959" t="s">
        <v>90</v>
      </c>
      <c r="H1959" t="s">
        <v>69</v>
      </c>
    </row>
    <row r="1960" spans="1:8" x14ac:dyDescent="0.3">
      <c r="A1960" t="s">
        <v>72</v>
      </c>
      <c r="B1960" t="s">
        <v>135</v>
      </c>
      <c r="C1960" t="s">
        <v>27</v>
      </c>
      <c r="D1960" t="s">
        <v>42</v>
      </c>
      <c r="E1960" s="5">
        <v>92446</v>
      </c>
      <c r="F1960" t="s">
        <v>3688</v>
      </c>
      <c r="G1960" t="s">
        <v>852</v>
      </c>
      <c r="H1960" t="s">
        <v>69</v>
      </c>
    </row>
    <row r="1961" spans="1:8" x14ac:dyDescent="0.3">
      <c r="A1961" t="s">
        <v>40</v>
      </c>
      <c r="B1961" t="s">
        <v>67</v>
      </c>
      <c r="C1961" t="s">
        <v>27</v>
      </c>
      <c r="D1961" t="s">
        <v>51</v>
      </c>
      <c r="E1961" s="5">
        <v>181485</v>
      </c>
      <c r="F1961" t="s">
        <v>2577</v>
      </c>
      <c r="G1961" t="s">
        <v>128</v>
      </c>
      <c r="H1961" t="s">
        <v>69</v>
      </c>
    </row>
    <row r="1962" spans="1:8" x14ac:dyDescent="0.3">
      <c r="A1962" t="s">
        <v>11</v>
      </c>
      <c r="B1962" t="s">
        <v>20</v>
      </c>
      <c r="C1962" t="s">
        <v>22</v>
      </c>
      <c r="D1962" t="s">
        <v>15</v>
      </c>
      <c r="E1962" s="5">
        <v>78827.5</v>
      </c>
      <c r="F1962" t="s">
        <v>1214</v>
      </c>
      <c r="G1962" t="s">
        <v>1215</v>
      </c>
      <c r="H1962" t="s">
        <v>14</v>
      </c>
    </row>
    <row r="1963" spans="1:8" x14ac:dyDescent="0.3">
      <c r="A1963" t="s">
        <v>11</v>
      </c>
      <c r="B1963" t="s">
        <v>20</v>
      </c>
      <c r="C1963" t="s">
        <v>27</v>
      </c>
      <c r="D1963" t="s">
        <v>51</v>
      </c>
      <c r="E1963" s="5">
        <v>164225</v>
      </c>
      <c r="F1963" t="s">
        <v>3564</v>
      </c>
      <c r="G1963" t="s">
        <v>714</v>
      </c>
      <c r="H1963" t="s">
        <v>14</v>
      </c>
    </row>
    <row r="1964" spans="1:8" x14ac:dyDescent="0.3">
      <c r="A1964" t="s">
        <v>19</v>
      </c>
      <c r="B1964" t="s">
        <v>35</v>
      </c>
      <c r="C1964" t="s">
        <v>14</v>
      </c>
      <c r="D1964" t="s">
        <v>15</v>
      </c>
      <c r="E1964" s="5">
        <v>136902</v>
      </c>
      <c r="F1964" t="s">
        <v>2400</v>
      </c>
      <c r="G1964" t="s">
        <v>59</v>
      </c>
      <c r="H1964" t="s">
        <v>14</v>
      </c>
    </row>
    <row r="1965" spans="1:8" x14ac:dyDescent="0.3">
      <c r="A1965" t="s">
        <v>34</v>
      </c>
      <c r="B1965" t="s">
        <v>135</v>
      </c>
      <c r="C1965" t="s">
        <v>27</v>
      </c>
      <c r="D1965" t="s">
        <v>15</v>
      </c>
      <c r="E1965" s="5">
        <v>173148</v>
      </c>
      <c r="F1965" t="s">
        <v>2096</v>
      </c>
      <c r="G1965" t="s">
        <v>128</v>
      </c>
      <c r="H1965" t="s">
        <v>69</v>
      </c>
    </row>
    <row r="1966" spans="1:8" x14ac:dyDescent="0.3">
      <c r="A1966" t="s">
        <v>49</v>
      </c>
      <c r="B1966" t="s">
        <v>35</v>
      </c>
      <c r="C1966" t="s">
        <v>22</v>
      </c>
      <c r="D1966" t="s">
        <v>37</v>
      </c>
      <c r="E1966" s="5">
        <v>154499.5</v>
      </c>
      <c r="F1966" t="s">
        <v>4168</v>
      </c>
      <c r="G1966" t="s">
        <v>70</v>
      </c>
      <c r="H1966" t="s">
        <v>14</v>
      </c>
    </row>
    <row r="1967" spans="1:8" x14ac:dyDescent="0.3">
      <c r="A1967" t="s">
        <v>72</v>
      </c>
      <c r="B1967" t="s">
        <v>30</v>
      </c>
      <c r="C1967" t="s">
        <v>27</v>
      </c>
      <c r="D1967" t="s">
        <v>37</v>
      </c>
      <c r="E1967" s="5">
        <v>59611</v>
      </c>
      <c r="F1967" t="s">
        <v>3456</v>
      </c>
      <c r="G1967" t="s">
        <v>931</v>
      </c>
      <c r="H1967" t="s">
        <v>69</v>
      </c>
    </row>
    <row r="1968" spans="1:8" x14ac:dyDescent="0.3">
      <c r="A1968" t="s">
        <v>19</v>
      </c>
      <c r="B1968" t="s">
        <v>25</v>
      </c>
      <c r="C1968" t="s">
        <v>22</v>
      </c>
      <c r="D1968" t="s">
        <v>37</v>
      </c>
      <c r="E1968" s="5">
        <v>185276</v>
      </c>
      <c r="F1968" t="s">
        <v>2200</v>
      </c>
      <c r="G1968" t="s">
        <v>1756</v>
      </c>
      <c r="H1968" t="s">
        <v>16</v>
      </c>
    </row>
    <row r="1969" spans="1:8" x14ac:dyDescent="0.3">
      <c r="A1969" t="s">
        <v>45</v>
      </c>
      <c r="B1969" t="s">
        <v>67</v>
      </c>
      <c r="C1969" t="s">
        <v>14</v>
      </c>
      <c r="D1969" t="s">
        <v>37</v>
      </c>
      <c r="E1969" s="5">
        <v>113658</v>
      </c>
      <c r="F1969" t="s">
        <v>277</v>
      </c>
      <c r="G1969" t="s">
        <v>278</v>
      </c>
      <c r="H1969" t="s">
        <v>14</v>
      </c>
    </row>
    <row r="1970" spans="1:8" x14ac:dyDescent="0.3">
      <c r="A1970" t="s">
        <v>40</v>
      </c>
      <c r="B1970" t="s">
        <v>67</v>
      </c>
      <c r="C1970" t="s">
        <v>27</v>
      </c>
      <c r="D1970" t="s">
        <v>51</v>
      </c>
      <c r="E1970" s="5">
        <v>142413.5</v>
      </c>
      <c r="F1970" t="s">
        <v>1056</v>
      </c>
      <c r="G1970" t="s">
        <v>1057</v>
      </c>
      <c r="H1970" t="s">
        <v>14</v>
      </c>
    </row>
    <row r="1971" spans="1:8" x14ac:dyDescent="0.3">
      <c r="A1971" t="s">
        <v>11</v>
      </c>
      <c r="B1971" t="s">
        <v>12</v>
      </c>
      <c r="C1971" t="s">
        <v>27</v>
      </c>
      <c r="D1971" t="s">
        <v>42</v>
      </c>
      <c r="E1971" s="5">
        <v>74229.5</v>
      </c>
      <c r="F1971" t="s">
        <v>3560</v>
      </c>
      <c r="G1971" t="s">
        <v>3533</v>
      </c>
      <c r="H1971" t="s">
        <v>16</v>
      </c>
    </row>
    <row r="1972" spans="1:8" x14ac:dyDescent="0.3">
      <c r="A1972" t="s">
        <v>45</v>
      </c>
      <c r="B1972" t="s">
        <v>25</v>
      </c>
      <c r="C1972" t="s">
        <v>22</v>
      </c>
      <c r="D1972" t="s">
        <v>51</v>
      </c>
      <c r="E1972" s="5">
        <v>90614</v>
      </c>
      <c r="F1972" t="s">
        <v>880</v>
      </c>
      <c r="G1972" t="s">
        <v>101</v>
      </c>
      <c r="H1972" t="s">
        <v>16</v>
      </c>
    </row>
    <row r="1973" spans="1:8" x14ac:dyDescent="0.3">
      <c r="A1973" t="s">
        <v>19</v>
      </c>
      <c r="B1973" t="s">
        <v>135</v>
      </c>
      <c r="C1973" t="s">
        <v>14</v>
      </c>
      <c r="D1973" t="s">
        <v>51</v>
      </c>
      <c r="E1973" s="5">
        <v>95808</v>
      </c>
      <c r="F1973" t="s">
        <v>1426</v>
      </c>
      <c r="G1973" t="s">
        <v>52</v>
      </c>
      <c r="H1973" t="s">
        <v>14</v>
      </c>
    </row>
    <row r="1974" spans="1:8" x14ac:dyDescent="0.3">
      <c r="A1974" t="s">
        <v>40</v>
      </c>
      <c r="B1974" t="s">
        <v>30</v>
      </c>
      <c r="C1974" t="s">
        <v>14</v>
      </c>
      <c r="D1974" t="s">
        <v>42</v>
      </c>
      <c r="E1974" s="5">
        <v>145832</v>
      </c>
      <c r="F1974" t="s">
        <v>1180</v>
      </c>
      <c r="G1974" t="s">
        <v>598</v>
      </c>
      <c r="H1974" t="s">
        <v>69</v>
      </c>
    </row>
    <row r="1975" spans="1:8" x14ac:dyDescent="0.3">
      <c r="A1975" t="s">
        <v>45</v>
      </c>
      <c r="B1975" t="s">
        <v>135</v>
      </c>
      <c r="C1975" t="s">
        <v>27</v>
      </c>
      <c r="D1975" t="s">
        <v>42</v>
      </c>
      <c r="E1975" s="5">
        <v>117462</v>
      </c>
      <c r="F1975" t="s">
        <v>2727</v>
      </c>
      <c r="G1975" t="s">
        <v>226</v>
      </c>
      <c r="H1975" t="s">
        <v>14</v>
      </c>
    </row>
    <row r="1976" spans="1:8" x14ac:dyDescent="0.3">
      <c r="A1976" t="s">
        <v>40</v>
      </c>
      <c r="B1976" t="s">
        <v>54</v>
      </c>
      <c r="C1976" t="s">
        <v>14</v>
      </c>
      <c r="D1976" t="s">
        <v>15</v>
      </c>
      <c r="E1976" s="5">
        <v>129528</v>
      </c>
      <c r="F1976" t="s">
        <v>3594</v>
      </c>
      <c r="G1976" t="s">
        <v>70</v>
      </c>
      <c r="H1976" t="s">
        <v>16</v>
      </c>
    </row>
    <row r="1977" spans="1:8" x14ac:dyDescent="0.3">
      <c r="A1977" t="s">
        <v>19</v>
      </c>
      <c r="B1977" t="s">
        <v>67</v>
      </c>
      <c r="C1977" t="s">
        <v>27</v>
      </c>
      <c r="D1977" t="s">
        <v>42</v>
      </c>
      <c r="E1977" s="5">
        <v>135997</v>
      </c>
      <c r="F1977" t="s">
        <v>3642</v>
      </c>
      <c r="G1977" t="s">
        <v>101</v>
      </c>
      <c r="H1977" t="s">
        <v>69</v>
      </c>
    </row>
    <row r="1978" spans="1:8" x14ac:dyDescent="0.3">
      <c r="A1978" t="s">
        <v>72</v>
      </c>
      <c r="B1978" t="s">
        <v>20</v>
      </c>
      <c r="C1978" t="s">
        <v>22</v>
      </c>
      <c r="D1978" t="s">
        <v>51</v>
      </c>
      <c r="E1978" s="5">
        <v>119144.5</v>
      </c>
      <c r="F1978" t="s">
        <v>556</v>
      </c>
      <c r="G1978" t="s">
        <v>80</v>
      </c>
      <c r="H1978" t="s">
        <v>16</v>
      </c>
    </row>
    <row r="1979" spans="1:8" x14ac:dyDescent="0.3">
      <c r="A1979" t="s">
        <v>11</v>
      </c>
      <c r="B1979" t="s">
        <v>67</v>
      </c>
      <c r="C1979" t="s">
        <v>22</v>
      </c>
      <c r="D1979" t="s">
        <v>37</v>
      </c>
      <c r="E1979" s="5">
        <v>126317.5</v>
      </c>
      <c r="F1979" t="s">
        <v>1149</v>
      </c>
      <c r="G1979" t="s">
        <v>47</v>
      </c>
      <c r="H1979" t="s">
        <v>14</v>
      </c>
    </row>
    <row r="1980" spans="1:8" x14ac:dyDescent="0.3">
      <c r="A1980" t="s">
        <v>11</v>
      </c>
      <c r="B1980" t="s">
        <v>135</v>
      </c>
      <c r="C1980" t="s">
        <v>14</v>
      </c>
      <c r="D1980" t="s">
        <v>51</v>
      </c>
      <c r="E1980" s="5">
        <v>107572.5</v>
      </c>
      <c r="F1980" t="s">
        <v>2688</v>
      </c>
      <c r="G1980" t="s">
        <v>98</v>
      </c>
      <c r="H1980" t="s">
        <v>69</v>
      </c>
    </row>
    <row r="1981" spans="1:8" x14ac:dyDescent="0.3">
      <c r="A1981" t="s">
        <v>72</v>
      </c>
      <c r="B1981" t="s">
        <v>12</v>
      </c>
      <c r="C1981" t="s">
        <v>27</v>
      </c>
      <c r="D1981" t="s">
        <v>37</v>
      </c>
      <c r="E1981" s="5">
        <v>142798</v>
      </c>
      <c r="F1981" t="s">
        <v>3992</v>
      </c>
      <c r="G1981" t="s">
        <v>157</v>
      </c>
      <c r="H1981" t="s">
        <v>16</v>
      </c>
    </row>
    <row r="1982" spans="1:8" x14ac:dyDescent="0.3">
      <c r="A1982" t="s">
        <v>40</v>
      </c>
      <c r="B1982" t="s">
        <v>12</v>
      </c>
      <c r="C1982" t="s">
        <v>27</v>
      </c>
      <c r="D1982" t="s">
        <v>37</v>
      </c>
      <c r="E1982" s="5">
        <v>188367</v>
      </c>
      <c r="F1982" t="s">
        <v>3142</v>
      </c>
      <c r="G1982" t="s">
        <v>293</v>
      </c>
      <c r="H1982" t="s">
        <v>14</v>
      </c>
    </row>
    <row r="1983" spans="1:8" x14ac:dyDescent="0.3">
      <c r="A1983" t="s">
        <v>11</v>
      </c>
      <c r="B1983" t="s">
        <v>54</v>
      </c>
      <c r="C1983" t="s">
        <v>22</v>
      </c>
      <c r="D1983" t="s">
        <v>37</v>
      </c>
      <c r="E1983" s="5">
        <v>49666</v>
      </c>
      <c r="F1983" t="s">
        <v>1109</v>
      </c>
      <c r="G1983" t="s">
        <v>627</v>
      </c>
      <c r="H1983" t="s">
        <v>16</v>
      </c>
    </row>
    <row r="1984" spans="1:8" x14ac:dyDescent="0.3">
      <c r="A1984" t="s">
        <v>40</v>
      </c>
      <c r="B1984" t="s">
        <v>135</v>
      </c>
      <c r="C1984" t="s">
        <v>14</v>
      </c>
      <c r="D1984" t="s">
        <v>51</v>
      </c>
      <c r="E1984" s="5">
        <v>153126</v>
      </c>
      <c r="F1984" t="s">
        <v>627</v>
      </c>
      <c r="G1984" t="s">
        <v>157</v>
      </c>
      <c r="H1984" t="s">
        <v>69</v>
      </c>
    </row>
    <row r="1985" spans="1:8" x14ac:dyDescent="0.3">
      <c r="A1985" t="s">
        <v>11</v>
      </c>
      <c r="B1985" t="s">
        <v>30</v>
      </c>
      <c r="C1985" t="s">
        <v>22</v>
      </c>
      <c r="D1985" t="s">
        <v>37</v>
      </c>
      <c r="E1985" s="5">
        <v>129986.5</v>
      </c>
      <c r="F1985" t="s">
        <v>3805</v>
      </c>
      <c r="G1985" t="s">
        <v>410</v>
      </c>
      <c r="H1985" t="s">
        <v>69</v>
      </c>
    </row>
    <row r="1986" spans="1:8" x14ac:dyDescent="0.3">
      <c r="A1986" t="s">
        <v>11</v>
      </c>
      <c r="B1986" t="s">
        <v>135</v>
      </c>
      <c r="C1986" t="s">
        <v>14</v>
      </c>
      <c r="D1986" t="s">
        <v>37</v>
      </c>
      <c r="E1986" s="5">
        <v>64953</v>
      </c>
      <c r="F1986" t="s">
        <v>1238</v>
      </c>
      <c r="G1986" t="s">
        <v>1029</v>
      </c>
      <c r="H1986" t="s">
        <v>16</v>
      </c>
    </row>
    <row r="1987" spans="1:8" x14ac:dyDescent="0.3">
      <c r="A1987" t="s">
        <v>40</v>
      </c>
      <c r="B1987" t="s">
        <v>12</v>
      </c>
      <c r="C1987" t="s">
        <v>14</v>
      </c>
      <c r="D1987" t="s">
        <v>51</v>
      </c>
      <c r="E1987" s="5">
        <v>96385.5</v>
      </c>
      <c r="F1987" t="s">
        <v>344</v>
      </c>
      <c r="G1987" t="s">
        <v>101</v>
      </c>
      <c r="H1987" t="s">
        <v>69</v>
      </c>
    </row>
    <row r="1988" spans="1:8" x14ac:dyDescent="0.3">
      <c r="A1988" t="s">
        <v>19</v>
      </c>
      <c r="B1988" t="s">
        <v>25</v>
      </c>
      <c r="C1988" t="s">
        <v>22</v>
      </c>
      <c r="D1988" t="s">
        <v>51</v>
      </c>
      <c r="E1988" s="5">
        <v>117946</v>
      </c>
      <c r="F1988" t="s">
        <v>1848</v>
      </c>
      <c r="G1988" t="s">
        <v>410</v>
      </c>
      <c r="H1988" t="s">
        <v>14</v>
      </c>
    </row>
    <row r="1989" spans="1:8" x14ac:dyDescent="0.3">
      <c r="A1989" t="s">
        <v>19</v>
      </c>
      <c r="B1989" t="s">
        <v>135</v>
      </c>
      <c r="C1989" t="s">
        <v>27</v>
      </c>
      <c r="D1989" t="s">
        <v>15</v>
      </c>
      <c r="E1989" s="5">
        <v>164119</v>
      </c>
      <c r="F1989" t="s">
        <v>2662</v>
      </c>
      <c r="G1989" t="s">
        <v>206</v>
      </c>
      <c r="H1989" t="s">
        <v>16</v>
      </c>
    </row>
    <row r="1990" spans="1:8" x14ac:dyDescent="0.3">
      <c r="A1990" t="s">
        <v>45</v>
      </c>
      <c r="B1990" t="s">
        <v>25</v>
      </c>
      <c r="C1990" t="s">
        <v>27</v>
      </c>
      <c r="D1990" t="s">
        <v>42</v>
      </c>
      <c r="E1990" s="5">
        <v>111165</v>
      </c>
      <c r="F1990" t="s">
        <v>2013</v>
      </c>
      <c r="G1990" t="s">
        <v>77</v>
      </c>
      <c r="H1990" t="s">
        <v>16</v>
      </c>
    </row>
    <row r="1991" spans="1:8" x14ac:dyDescent="0.3">
      <c r="A1991" t="s">
        <v>19</v>
      </c>
      <c r="B1991" t="s">
        <v>35</v>
      </c>
      <c r="C1991" t="s">
        <v>14</v>
      </c>
      <c r="D1991" t="s">
        <v>15</v>
      </c>
      <c r="E1991" s="5">
        <v>128609.5</v>
      </c>
      <c r="F1991" t="s">
        <v>1819</v>
      </c>
      <c r="G1991" t="s">
        <v>1820</v>
      </c>
      <c r="H1991" t="s">
        <v>16</v>
      </c>
    </row>
    <row r="1992" spans="1:8" x14ac:dyDescent="0.3">
      <c r="A1992" t="s">
        <v>11</v>
      </c>
      <c r="B1992" t="s">
        <v>67</v>
      </c>
      <c r="C1992" t="s">
        <v>27</v>
      </c>
      <c r="D1992" t="s">
        <v>42</v>
      </c>
      <c r="E1992" s="5">
        <v>108784.5</v>
      </c>
      <c r="F1992" t="s">
        <v>1870</v>
      </c>
      <c r="G1992" t="s">
        <v>1509</v>
      </c>
      <c r="H1992" t="s">
        <v>14</v>
      </c>
    </row>
    <row r="1993" spans="1:8" x14ac:dyDescent="0.3">
      <c r="A1993" t="s">
        <v>45</v>
      </c>
      <c r="B1993" t="s">
        <v>54</v>
      </c>
      <c r="C1993" t="s">
        <v>27</v>
      </c>
      <c r="D1993" t="s">
        <v>37</v>
      </c>
      <c r="E1993" s="5">
        <v>110730.5</v>
      </c>
      <c r="F1993" t="s">
        <v>2667</v>
      </c>
      <c r="G1993" t="s">
        <v>1010</v>
      </c>
      <c r="H1993" t="s">
        <v>14</v>
      </c>
    </row>
    <row r="1994" spans="1:8" x14ac:dyDescent="0.3">
      <c r="A1994" t="s">
        <v>34</v>
      </c>
      <c r="B1994" t="s">
        <v>54</v>
      </c>
      <c r="C1994" t="s">
        <v>27</v>
      </c>
      <c r="D1994" t="s">
        <v>42</v>
      </c>
      <c r="E1994" s="5">
        <v>156236.5</v>
      </c>
      <c r="F1994" t="s">
        <v>3801</v>
      </c>
      <c r="G1994" t="s">
        <v>680</v>
      </c>
      <c r="H1994" t="s">
        <v>16</v>
      </c>
    </row>
    <row r="1995" spans="1:8" x14ac:dyDescent="0.3">
      <c r="A1995" t="s">
        <v>49</v>
      </c>
      <c r="B1995" t="s">
        <v>20</v>
      </c>
      <c r="C1995" t="s">
        <v>22</v>
      </c>
      <c r="D1995" t="s">
        <v>51</v>
      </c>
      <c r="E1995" s="5">
        <v>84224.5</v>
      </c>
      <c r="F1995" t="s">
        <v>4101</v>
      </c>
      <c r="G1995" t="s">
        <v>4102</v>
      </c>
      <c r="H1995" t="s">
        <v>14</v>
      </c>
    </row>
    <row r="1996" spans="1:8" x14ac:dyDescent="0.3">
      <c r="A1996" t="s">
        <v>49</v>
      </c>
      <c r="B1996" t="s">
        <v>35</v>
      </c>
      <c r="C1996" t="s">
        <v>27</v>
      </c>
      <c r="D1996" t="s">
        <v>37</v>
      </c>
      <c r="E1996" s="5">
        <v>130091</v>
      </c>
      <c r="F1996" t="s">
        <v>2691</v>
      </c>
      <c r="G1996" t="s">
        <v>2692</v>
      </c>
      <c r="H1996" t="s">
        <v>16</v>
      </c>
    </row>
    <row r="1997" spans="1:8" x14ac:dyDescent="0.3">
      <c r="A1997" t="s">
        <v>19</v>
      </c>
      <c r="B1997" t="s">
        <v>35</v>
      </c>
      <c r="C1997" t="s">
        <v>14</v>
      </c>
      <c r="D1997" t="s">
        <v>42</v>
      </c>
      <c r="E1997" s="5">
        <v>83415.5</v>
      </c>
      <c r="F1997" t="s">
        <v>3674</v>
      </c>
      <c r="G1997" t="s">
        <v>128</v>
      </c>
      <c r="H1997" t="s">
        <v>69</v>
      </c>
    </row>
    <row r="1998" spans="1:8" x14ac:dyDescent="0.3">
      <c r="A1998" t="s">
        <v>72</v>
      </c>
      <c r="B1998" t="s">
        <v>67</v>
      </c>
      <c r="C1998" t="s">
        <v>27</v>
      </c>
      <c r="D1998" t="s">
        <v>51</v>
      </c>
      <c r="E1998" s="5">
        <v>174884</v>
      </c>
      <c r="F1998" t="s">
        <v>534</v>
      </c>
      <c r="G1998" t="s">
        <v>319</v>
      </c>
      <c r="H1998" t="s">
        <v>14</v>
      </c>
    </row>
    <row r="1999" spans="1:8" x14ac:dyDescent="0.3">
      <c r="A1999" t="s">
        <v>19</v>
      </c>
      <c r="B1999" t="s">
        <v>20</v>
      </c>
      <c r="C1999" t="s">
        <v>27</v>
      </c>
      <c r="D1999" t="s">
        <v>37</v>
      </c>
      <c r="E1999" s="5">
        <v>158957.5</v>
      </c>
      <c r="F1999" t="s">
        <v>3814</v>
      </c>
      <c r="G1999" t="s">
        <v>1243</v>
      </c>
      <c r="H1999" t="s">
        <v>14</v>
      </c>
    </row>
    <row r="2000" spans="1:8" x14ac:dyDescent="0.3">
      <c r="A2000" t="s">
        <v>49</v>
      </c>
      <c r="B2000" t="s">
        <v>12</v>
      </c>
      <c r="C2000" t="s">
        <v>22</v>
      </c>
      <c r="D2000" t="s">
        <v>37</v>
      </c>
      <c r="E2000" s="5">
        <v>130348</v>
      </c>
      <c r="F2000" t="s">
        <v>2813</v>
      </c>
      <c r="G2000" t="s">
        <v>779</v>
      </c>
      <c r="H2000" t="s">
        <v>16</v>
      </c>
    </row>
    <row r="2001" spans="1:8" x14ac:dyDescent="0.3">
      <c r="A2001" t="s">
        <v>72</v>
      </c>
      <c r="B2001" t="s">
        <v>12</v>
      </c>
      <c r="C2001" t="s">
        <v>14</v>
      </c>
      <c r="D2001" t="s">
        <v>15</v>
      </c>
      <c r="E2001" s="5">
        <v>78404.5</v>
      </c>
      <c r="F2001" t="s">
        <v>2363</v>
      </c>
      <c r="G2001" t="s">
        <v>1675</v>
      </c>
      <c r="H2001" t="s">
        <v>69</v>
      </c>
    </row>
  </sheetData>
  <pageMargins left="0.7" right="0.7" top="0.75" bottom="0.75" header="0.3" footer="0.3"/>
  <drawing r:id="rId14"/>
  <tableParts count="1">
    <tablePart r:id="rId15"/>
  </tableParts>
  <extLst>
    <ext xmlns:x14="http://schemas.microsoft.com/office/spreadsheetml/2009/9/main" uri="{A8765BA9-456A-4dab-B4F3-ACF838C121DE}">
      <x14:slicerList>
        <x14:slicer r:id="rId1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C63D4-D3A4-48D2-B1ED-921144352B2C}">
  <dimension ref="A1"/>
  <sheetViews>
    <sheetView showGridLines="0" tabSelected="1" zoomScale="50" zoomScaleNormal="50" workbookViewId="0">
      <selection activeCell="AJ36" sqref="AJ36"/>
    </sheetView>
  </sheetViews>
  <sheetFormatPr defaultRowHeight="14.4" x14ac:dyDescent="0.3"/>
  <cols>
    <col min="1" max="16384" width="8.88671875" style="1"/>
  </cols>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C69F8-D308-4339-95C4-579095B3FBF3}">
  <dimension ref="A1"/>
  <sheetViews>
    <sheetView showGridLines="0" zoomScale="94" zoomScaleNormal="94" workbookViewId="0"/>
  </sheetViews>
  <sheetFormatPr defaultRowHeight="14.4" x14ac:dyDescent="0.3"/>
  <cols>
    <col min="1" max="16384" width="8.8867187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4FCE8-F9F8-48CD-AD3A-B433F23ED9C4}">
  <dimension ref="A1"/>
  <sheetViews>
    <sheetView showGridLines="0" zoomScale="94" zoomScaleNormal="94" workbookViewId="0"/>
  </sheetViews>
  <sheetFormatPr defaultRowHeight="14.4" x14ac:dyDescent="0.3"/>
  <cols>
    <col min="1" max="16384" width="8.8867187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113BCD8-6A5A-46E5-A2FF-C28200D4E23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ai_job_market</vt:lpstr>
      <vt:lpstr>Sheet1</vt:lpstr>
      <vt:lpstr>Pivot Tables</vt:lpstr>
      <vt:lpstr>Home</vt:lpstr>
      <vt:lpstr>Industry</vt:lpstr>
      <vt:lpstr>Experience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Ajinkya Garud</dc:creator>
  <cp:lastModifiedBy>Ajinkya Garud</cp:lastModifiedBy>
  <dcterms:created xsi:type="dcterms:W3CDTF">2025-11-08T17:25:27Z</dcterms:created>
  <dcterms:modified xsi:type="dcterms:W3CDTF">2025-11-17T14:43:15Z</dcterms:modified>
</cp:coreProperties>
</file>